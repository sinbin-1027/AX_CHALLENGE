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pportUm\Desktop\AX챌린지\"/>
    </mc:Choice>
  </mc:AlternateContent>
  <xr:revisionPtr revIDLastSave="0" documentId="13_ncr:1_{47FC7913-4DC0-44A0-921B-BFA78062A33D}" xr6:coauthVersionLast="47" xr6:coauthVersionMax="47" xr10:uidLastSave="{00000000-0000-0000-0000-000000000000}"/>
  <bookViews>
    <workbookView xWindow="-110" yWindow="-110" windowWidth="25820" windowHeight="15500" xr2:uid="{D4A6F3F8-644E-4A3C-8E35-B80037B27E7F}"/>
  </bookViews>
  <sheets>
    <sheet name="RA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0" i="1" l="1"/>
  <c r="Q26" i="1"/>
  <c r="Q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김나영</author>
  </authors>
  <commentList>
    <comment ref="A15" authorId="0" shapeId="0" xr:uid="{02A03597-455A-40B4-8569-4D292F6A4C00}">
      <text>
        <r>
          <rPr>
            <b/>
            <sz val="9"/>
            <color indexed="81"/>
            <rFont val="돋움"/>
            <family val="3"/>
            <charset val="129"/>
          </rPr>
          <t xml:space="preserve">중소기업인지 확인하기
</t>
        </r>
      </text>
    </comment>
    <comment ref="AC15" authorId="0" shapeId="0" xr:uid="{E9CADF9A-C739-41CC-8D57-F8B73E77561F}">
      <text>
        <r>
          <rPr>
            <b/>
            <sz val="9"/>
            <color indexed="81"/>
            <rFont val="돋움"/>
            <family val="3"/>
            <charset val="129"/>
          </rPr>
          <t>통정시에</t>
        </r>
        <r>
          <rPr>
            <b/>
            <sz val="9"/>
            <color indexed="81"/>
            <rFont val="Tahoma"/>
            <family val="2"/>
          </rPr>
          <t xml:space="preserve"> N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입력되어서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바꿔야함</t>
        </r>
        <r>
          <rPr>
            <b/>
            <sz val="9"/>
            <color indexed="81"/>
            <rFont val="Tahoma"/>
            <family val="2"/>
          </rPr>
          <t>!!!</t>
        </r>
        <r>
          <rPr>
            <b/>
            <sz val="9"/>
            <color indexed="81"/>
            <rFont val="돋움"/>
            <family val="3"/>
            <charset val="129"/>
          </rPr>
          <t>연말에</t>
        </r>
      </text>
    </comment>
  </commentList>
</comments>
</file>

<file path=xl/sharedStrings.xml><?xml version="1.0" encoding="utf-8"?>
<sst xmlns="http://schemas.openxmlformats.org/spreadsheetml/2006/main" count="1268" uniqueCount="212">
  <si>
    <t>수령인사업자명</t>
  </si>
  <si>
    <t>물품금액</t>
    <phoneticPr fontId="4" type="noConversion"/>
  </si>
  <si>
    <t>결의번호</t>
  </si>
  <si>
    <t>발의일자</t>
  </si>
  <si>
    <t>출납예정일자</t>
  </si>
  <si>
    <t>통제일자</t>
  </si>
  <si>
    <t>적요</t>
  </si>
  <si>
    <t>구매구분</t>
  </si>
  <si>
    <t>최초회계년도</t>
  </si>
  <si>
    <t>예산코드</t>
  </si>
  <si>
    <t>예산명</t>
  </si>
  <si>
    <t>예산금액</t>
  </si>
  <si>
    <t>9:33 AM</t>
    <phoneticPr fontId="4" type="noConversion"/>
  </si>
  <si>
    <t>부서명</t>
  </si>
  <si>
    <t>부서평가 직군</t>
  </si>
  <si>
    <t>채주지급금액</t>
  </si>
  <si>
    <t>물품금액</t>
  </si>
  <si>
    <t>MRO여부</t>
  </si>
  <si>
    <t>장애인구매(연동)</t>
  </si>
  <si>
    <t>중증장애인대상품목조회</t>
  </si>
  <si>
    <t>중증장애인제품</t>
  </si>
  <si>
    <t>자활용사촌제품</t>
  </si>
  <si>
    <t>용사촌대상 품목코드</t>
  </si>
  <si>
    <t>용사촌대상 품목명</t>
  </si>
  <si>
    <t>기술개발제품대상품목조회</t>
  </si>
  <si>
    <t>친환경제품대상품목조회</t>
  </si>
  <si>
    <t>친환경제품</t>
  </si>
  <si>
    <t>친환경제품 설문 값</t>
  </si>
  <si>
    <t>중소기업제품(연동)</t>
  </si>
  <si>
    <t>여성기업제품(연동)</t>
  </si>
  <si>
    <t>사회적기업</t>
  </si>
  <si>
    <t>전자조달구매</t>
  </si>
  <si>
    <t>수령인사업자번호</t>
  </si>
  <si>
    <t>수령인우편번호</t>
  </si>
  <si>
    <t>수령인주소</t>
  </si>
  <si>
    <t>구매실적사업자번호</t>
  </si>
  <si>
    <t>구매실적사업자명</t>
  </si>
  <si>
    <t>구매실적우편번호</t>
  </si>
  <si>
    <t>구매실적주소</t>
  </si>
  <si>
    <t>발주품목코드</t>
  </si>
  <si>
    <t>발주품목명</t>
  </si>
  <si>
    <t>장애인표준사업장여부</t>
  </si>
  <si>
    <t>사회적협동조합제품여부</t>
  </si>
  <si>
    <t>시범구매여부</t>
  </si>
  <si>
    <t>혁신제품여부</t>
  </si>
  <si>
    <t>창업기업제품</t>
  </si>
  <si>
    <t>이전지역물품</t>
  </si>
  <si>
    <t>에너지소비효율등급제품</t>
  </si>
  <si>
    <t>고효율에너지기자재인증제품</t>
  </si>
  <si>
    <t>세금구분</t>
  </si>
  <si>
    <t>신제품인증(NEP)여부</t>
  </si>
  <si>
    <t>신제품인증(NEP) 대상품목</t>
  </si>
  <si>
    <t>등록일자</t>
  </si>
  <si>
    <t>신도OA프라자</t>
  </si>
  <si>
    <t>042257</t>
  </si>
  <si>
    <t>기업평가 업무 관련 사무용 복합기 사용료(4월)</t>
  </si>
  <si>
    <t>용역</t>
  </si>
  <si>
    <t>2026</t>
  </si>
  <si>
    <t>116720072762000021007001</t>
  </si>
  <si>
    <t>중진기금기본경비(본부)-임차료</t>
  </si>
  <si>
    <t>062000</t>
  </si>
  <si>
    <t>기업평가·데이터실</t>
  </si>
  <si>
    <t>N</t>
  </si>
  <si>
    <t xml:space="preserve"> </t>
  </si>
  <si>
    <t>001</t>
  </si>
  <si>
    <t>해당 없음</t>
  </si>
  <si>
    <t>해당사항없음</t>
  </si>
  <si>
    <t>해당없음</t>
  </si>
  <si>
    <t>Y</t>
  </si>
  <si>
    <t>6130394339</t>
  </si>
  <si>
    <t>52725</t>
  </si>
  <si>
    <t xml:space="preserve">경상남도 진주시 강남로151번길 20 (칠암동) </t>
  </si>
  <si>
    <t>108</t>
  </si>
  <si>
    <t>기타</t>
  </si>
  <si>
    <t>세금계산서및계산서</t>
  </si>
  <si>
    <t>030555</t>
  </si>
  <si>
    <t>기업평가 업무 관련 사무용 복합기 사용료(3월)</t>
  </si>
  <si>
    <t>017042</t>
  </si>
  <si>
    <t>기업평가 업무 관련 사무용 복합기 사용료(2월)</t>
  </si>
  <si>
    <t>006423</t>
  </si>
  <si>
    <t>기업평가 업무 관련 사무용 복합기 사용료(1월)</t>
  </si>
  <si>
    <t>커피머신렌탈아울렛</t>
  </si>
  <si>
    <t>003424</t>
  </si>
  <si>
    <t>기업평가 관련 업무용 커피머신 사용료(1월)</t>
  </si>
  <si>
    <t>용역</t>
    <phoneticPr fontId="4" type="noConversion"/>
  </si>
  <si>
    <t>116720072762000021001001</t>
  </si>
  <si>
    <t>중진기금기본경비(본부)-일반수용비</t>
  </si>
  <si>
    <t>6091254252</t>
  </si>
  <si>
    <t>50992</t>
  </si>
  <si>
    <t xml:space="preserve">경상남도 김해시 대청로167번길 27(대청동) </t>
  </si>
  <si>
    <t>한국평가데이터(주)</t>
  </si>
  <si>
    <t>021582</t>
  </si>
  <si>
    <t>기업진단 및 평가 관련 KCB개인신용등급 서비스 이용료 선금 지급</t>
  </si>
  <si>
    <t>119120012533010021001001</t>
  </si>
  <si>
    <t>기업진단-일반수용비</t>
  </si>
  <si>
    <t>1058675080</t>
  </si>
  <si>
    <t>07237</t>
  </si>
  <si>
    <t xml:space="preserve">서울특별시 영등포구 의사당대로 21 (여의도동) </t>
  </si>
  <si>
    <t>016714</t>
  </si>
  <si>
    <t>기업평가 관련 업무용 커피머신 사용료(2월)</t>
  </si>
  <si>
    <t>023309</t>
  </si>
  <si>
    <t>기업평가·진단 관련 SOHO서비스(신용정보 데이터 제공) 이용료 선금 지급</t>
  </si>
  <si>
    <t>(사)한국물가협회</t>
  </si>
  <si>
    <t>026411</t>
  </si>
  <si>
    <t>AI확산과 전문성 강화를 위한 정책자금 기업평가모형 고도화 연구 관련 원가계산 대금 지급</t>
  </si>
  <si>
    <t>1068204542</t>
  </si>
  <si>
    <t>08506</t>
  </si>
  <si>
    <t xml:space="preserve">서울특별시 금천구 가산디지털2로 98, 롯데IT캐슬 1동 13층 (가산동) </t>
  </si>
  <si>
    <t>026438</t>
  </si>
  <si>
    <t>기업평가·진단을 위한 기업평가시스템 유지보수 원가계산 대금 지급</t>
  </si>
  <si>
    <t>(사)한국응용통계연구원</t>
  </si>
  <si>
    <t>028189</t>
  </si>
  <si>
    <t>기업평가·진단을 위한 기업정보 조회 서비스 원가계산 대금 지급</t>
  </si>
  <si>
    <t>1168210814</t>
  </si>
  <si>
    <t>07235</t>
  </si>
  <si>
    <t>서울특별시 영등포구 국회대로62길 14 한국보이스카우트연맹회관</t>
  </si>
  <si>
    <t>기업평가데이터실</t>
  </si>
  <si>
    <t>033937</t>
  </si>
  <si>
    <t>기업진단 및 평가 업무 관련 내방객 응대용 다과 구매(온누리상품권)</t>
  </si>
  <si>
    <t>온누리상품권</t>
  </si>
  <si>
    <t>119120012533010021016001</t>
  </si>
  <si>
    <t>기업진단-기타운영비(부운영비)</t>
  </si>
  <si>
    <t>D062000</t>
  </si>
  <si>
    <t>52851</t>
  </si>
  <si>
    <t xml:space="preserve">경상남도 진주시 동진로 430 (충무공동) </t>
  </si>
  <si>
    <t xml:space="preserve">    </t>
  </si>
  <si>
    <t>부서카드</t>
  </si>
  <si>
    <t>027189</t>
  </si>
  <si>
    <t>기업평가·진단 관련 업무용 커피머신 사용료(3월)</t>
  </si>
  <si>
    <t>(주)아이가드</t>
  </si>
  <si>
    <t>038706</t>
  </si>
  <si>
    <t>기업진단·평가 관련 업무용 모니터 보안기 구매</t>
  </si>
  <si>
    <t>물품</t>
  </si>
  <si>
    <t>NEP(신제품인증)</t>
  </si>
  <si>
    <t>Y</t>
    <phoneticPr fontId="4" type="noConversion"/>
  </si>
  <si>
    <t>1058621852</t>
  </si>
  <si>
    <t xml:space="preserve">   </t>
  </si>
  <si>
    <t>07205</t>
  </si>
  <si>
    <t>서울특별시 영등포구 양평로22길 21 선유도코오롱디지털타워 1103호</t>
  </si>
  <si>
    <t>컴퓨터용보안기</t>
  </si>
  <si>
    <t>(주)아이알컴퍼니</t>
  </si>
  <si>
    <t>042897</t>
  </si>
  <si>
    <t>2026년 빅데이터 플랫폼 유지보수 용역 선금 지급</t>
  </si>
  <si>
    <t>116720072762000321015001</t>
  </si>
  <si>
    <t>중진기금기본경비(전산)-관리용역비</t>
  </si>
  <si>
    <t>5988800183</t>
  </si>
  <si>
    <t>48058</t>
  </si>
  <si>
    <t>부산광역시 해운대구 센텀서로 30, 2202호(우동) 2202호</t>
  </si>
  <si>
    <t>003</t>
  </si>
  <si>
    <t>정보시스템 유지관리</t>
  </si>
  <si>
    <t>039586</t>
  </si>
  <si>
    <t>RPA 유지보수 용역 선금 지급</t>
  </si>
  <si>
    <t>116720072762000021015001</t>
  </si>
  <si>
    <t>중진기금기본경비(본부)-관리용역비</t>
  </si>
  <si>
    <t>046064</t>
  </si>
  <si>
    <t>기업진단 관련 내방객 응대용 다과 구매(온누리 상품권)</t>
  </si>
  <si>
    <t>041109</t>
  </si>
  <si>
    <t>기업평가·진단 관련 업무용 커피머신 사용료(4월)</t>
  </si>
  <si>
    <t>㈜네오누리콤</t>
    <phoneticPr fontId="4" type="noConversion"/>
  </si>
  <si>
    <t>마스터 키트 제작</t>
    <phoneticPr fontId="4" type="noConversion"/>
  </si>
  <si>
    <t>물품</t>
    <phoneticPr fontId="4" type="noConversion"/>
  </si>
  <si>
    <t>기업진단-일반수용비</t>
    <phoneticPr fontId="4" type="noConversion"/>
  </si>
  <si>
    <t>예지기획</t>
    <phoneticPr fontId="4" type="noConversion"/>
  </si>
  <si>
    <t>비즈패스파인더 리플렛</t>
    <phoneticPr fontId="4" type="noConversion"/>
  </si>
  <si>
    <t>[수탁]26중기부 수출바우처-일반수용비</t>
    <phoneticPr fontId="4" type="noConversion"/>
  </si>
  <si>
    <t>↓예정</t>
    <phoneticPr fontId="4" type="noConversion"/>
  </si>
  <si>
    <t>(재)한국무역통계진흥원</t>
  </si>
  <si>
    <t>관세청 수출통관 데이터 구매</t>
    <phoneticPr fontId="4" type="noConversion"/>
  </si>
  <si>
    <t>06221</t>
  </si>
  <si>
    <t>서울특별시 강남구 테헤란로 238(역삼동) 4 5 6층 (마크로젠빌딩)</t>
  </si>
  <si>
    <t>(주)아이알컴퍼니</t>
    <phoneticPr fontId="4" type="noConversion"/>
  </si>
  <si>
    <t>빅데이터플랫폼 유지보수</t>
    <phoneticPr fontId="4" type="noConversion"/>
  </si>
  <si>
    <t>중진기금기본경비(전산)-관리용역비</t>
    <phoneticPr fontId="4" type="noConversion"/>
  </si>
  <si>
    <t>한국평가데이터</t>
    <phoneticPr fontId="4" type="noConversion"/>
  </si>
  <si>
    <t>빅데이터플랫폼 데이터 현행화</t>
    <phoneticPr fontId="4" type="noConversion"/>
  </si>
  <si>
    <t>RPA 계약</t>
    <phoneticPr fontId="4" type="noConversion"/>
  </si>
  <si>
    <t>중진기금기본경비(본부)-관리용역비</t>
    <phoneticPr fontId="4" type="noConversion"/>
  </si>
  <si>
    <t>07238</t>
  </si>
  <si>
    <t>서울특별시 영등포구 은행로 37 4층 (여의도동, 기계산업진흥회)</t>
  </si>
  <si>
    <t>1098637604</t>
  </si>
  <si>
    <t>(사)한국물가협회/응용통계연구원</t>
    <phoneticPr fontId="4" type="noConversion"/>
  </si>
  <si>
    <t>위원수당, 원가계산 용역 등</t>
    <phoneticPr fontId="4" type="noConversion"/>
  </si>
  <si>
    <t>구조개선촉진-일반수용비</t>
    <phoneticPr fontId="4" type="noConversion"/>
  </si>
  <si>
    <t>N</t>
    <phoneticPr fontId="4" type="noConversion"/>
  </si>
  <si>
    <t>원가계산수수료(빅데이터플랫폼 유지보수)</t>
    <phoneticPr fontId="4" type="noConversion"/>
  </si>
  <si>
    <t>빅데이터플랫폼 과업심의위, 제안서평가수당 등</t>
    <phoneticPr fontId="4" type="noConversion"/>
  </si>
  <si>
    <t>한국평가데이터/나이스평가정보</t>
    <phoneticPr fontId="4" type="noConversion"/>
  </si>
  <si>
    <t>기업평가 데이터 구매</t>
    <phoneticPr fontId="4" type="noConversion"/>
  </si>
  <si>
    <t>㈜딥서치</t>
    <phoneticPr fontId="4" type="noConversion"/>
  </si>
  <si>
    <t>API 계약</t>
    <phoneticPr fontId="4" type="noConversion"/>
  </si>
  <si>
    <t>평가팀 원가계산 용역 및 제안서평가수당</t>
    <phoneticPr fontId="4" type="noConversion"/>
  </si>
  <si>
    <t>한국생산성본부/한국능률협회</t>
    <phoneticPr fontId="4" type="noConversion"/>
  </si>
  <si>
    <t>평가마스터 교육 위탁</t>
    <phoneticPr fontId="4" type="noConversion"/>
  </si>
  <si>
    <t>(주)겟스마트에이아이</t>
    <phoneticPr fontId="4" type="noConversion"/>
  </si>
  <si>
    <t>기업평가시스템 유지보수</t>
    <phoneticPr fontId="4" type="noConversion"/>
  </si>
  <si>
    <t>3598802683</t>
  </si>
  <si>
    <t>(주)겟스마트</t>
  </si>
  <si>
    <t>㈜딥서치(예정)</t>
    <phoneticPr fontId="4" type="noConversion"/>
  </si>
  <si>
    <t>평가모형 고도화 연구용역(K-ACE전산화 등)</t>
    <phoneticPr fontId="4" type="noConversion"/>
  </si>
  <si>
    <t>정책자금 이차보전 지원-일반용역비</t>
    <phoneticPr fontId="4" type="noConversion"/>
  </si>
  <si>
    <t>피앤디디자인</t>
    <phoneticPr fontId="4" type="noConversion"/>
  </si>
  <si>
    <t>평가모형 BI</t>
    <phoneticPr fontId="4" type="noConversion"/>
  </si>
  <si>
    <t>04074</t>
  </si>
  <si>
    <t>서울특별시 마포구 독막로 76-1 한주빌딩 3층</t>
  </si>
  <si>
    <t>1058741684</t>
  </si>
  <si>
    <t>(주)딥서치</t>
  </si>
  <si>
    <t>평가팀 연구용역(전략실예산)</t>
    <phoneticPr fontId="4" type="noConversion"/>
  </si>
  <si>
    <t>일반연구비</t>
    <phoneticPr fontId="4" type="noConversion"/>
  </si>
  <si>
    <t>04147</t>
  </si>
  <si>
    <t xml:space="preserve"> 서울특별시 마포구 백범로31길 21</t>
  </si>
  <si>
    <t>6038182945</t>
  </si>
  <si>
    <t>?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</si>
</sst>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\-mm\-dd"/>
    <numFmt numFmtId="177" formatCode="#,##0;[Red]#,##0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333333"/>
      <name val="NanumGothic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rgb="FF333333"/>
      <name val="NanumGothic"/>
      <family val="3"/>
      <charset val="129"/>
    </font>
    <font>
      <sz val="9"/>
      <color rgb="FFFF0000"/>
      <name val="NanumGothic"/>
      <family val="3"/>
      <charset val="129"/>
    </font>
    <font>
      <sz val="11"/>
      <color rgb="FF0070C0"/>
      <name val="맑은 고딕"/>
      <family val="2"/>
      <scheme val="minor"/>
    </font>
    <font>
      <sz val="11"/>
      <name val="맑은 고딕"/>
      <family val="2"/>
      <scheme val="minor"/>
    </font>
    <font>
      <sz val="10"/>
      <color indexed="8"/>
      <name val="맑은 고딕"/>
      <family val="2"/>
      <scheme val="minor"/>
    </font>
    <font>
      <b/>
      <sz val="11"/>
      <color theme="0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sz val="9"/>
      <color rgb="FF333333"/>
      <name val="맑은 고딕"/>
      <family val="3"/>
      <charset val="129"/>
      <scheme val="major"/>
    </font>
    <font>
      <i/>
      <sz val="9"/>
      <name val="맑은 고딕"/>
      <family val="3"/>
      <charset val="129"/>
      <scheme val="maj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FDFD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9D9D9D"/>
      </right>
      <top style="thin">
        <color rgb="FF9D9D9D"/>
      </top>
      <bottom style="thin">
        <color rgb="FF9D9D9D"/>
      </bottom>
      <diagonal/>
    </border>
    <border>
      <left/>
      <right style="thin">
        <color rgb="FF9D9D9D"/>
      </right>
      <top/>
      <bottom style="thin">
        <color rgb="FF9D9D9D"/>
      </bottom>
      <diagonal/>
    </border>
    <border>
      <left/>
      <right style="thin">
        <color rgb="FF9D9D9D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1" fontId="2" fillId="2" borderId="1" xfId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5" fillId="5" borderId="2" xfId="0" applyNumberFormat="1" applyFont="1" applyFill="1" applyBorder="1" applyAlignment="1">
      <alignment horizontal="left" vertical="center" wrapText="1"/>
    </xf>
    <xf numFmtId="41" fontId="5" fillId="5" borderId="2" xfId="1" applyFont="1" applyFill="1" applyBorder="1" applyAlignment="1">
      <alignment horizontal="right" vertical="center" wrapText="1"/>
    </xf>
    <xf numFmtId="49" fontId="5" fillId="5" borderId="2" xfId="0" applyNumberFormat="1" applyFont="1" applyFill="1" applyBorder="1" applyAlignment="1">
      <alignment horizontal="center" vertical="center" wrapText="1"/>
    </xf>
    <xf numFmtId="176" fontId="5" fillId="5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right" vertical="center" wrapText="1"/>
    </xf>
    <xf numFmtId="0" fontId="0" fillId="6" borderId="0" xfId="0" applyFill="1">
      <alignment vertical="center"/>
    </xf>
    <xf numFmtId="49" fontId="5" fillId="7" borderId="2" xfId="0" applyNumberFormat="1" applyFont="1" applyFill="1" applyBorder="1" applyAlignment="1">
      <alignment horizontal="left" vertical="center" wrapText="1"/>
    </xf>
    <xf numFmtId="41" fontId="6" fillId="7" borderId="2" xfId="1" applyFont="1" applyFill="1" applyBorder="1" applyAlignment="1">
      <alignment horizontal="right" vertical="center" wrapText="1"/>
    </xf>
    <xf numFmtId="49" fontId="5" fillId="7" borderId="2" xfId="0" applyNumberFormat="1" applyFont="1" applyFill="1" applyBorder="1" applyAlignment="1">
      <alignment horizontal="center" vertical="center" wrapText="1"/>
    </xf>
    <xf numFmtId="176" fontId="5" fillId="7" borderId="2" xfId="0" applyNumberFormat="1" applyFont="1" applyFill="1" applyBorder="1" applyAlignment="1">
      <alignment horizontal="center" vertical="center" wrapText="1"/>
    </xf>
    <xf numFmtId="3" fontId="5" fillId="7" borderId="2" xfId="0" applyNumberFormat="1" applyFont="1" applyFill="1" applyBorder="1" applyAlignment="1">
      <alignment horizontal="right" vertical="center" wrapText="1"/>
    </xf>
    <xf numFmtId="0" fontId="0" fillId="7" borderId="0" xfId="0" applyFill="1">
      <alignment vertical="center"/>
    </xf>
    <xf numFmtId="0" fontId="7" fillId="6" borderId="0" xfId="0" applyFont="1" applyFill="1">
      <alignment vertical="center"/>
    </xf>
    <xf numFmtId="41" fontId="6" fillId="5" borderId="2" xfId="1" applyFont="1" applyFill="1" applyBorder="1" applyAlignment="1">
      <alignment horizontal="right" vertical="center" wrapText="1"/>
    </xf>
    <xf numFmtId="49" fontId="6" fillId="5" borderId="2" xfId="0" applyNumberFormat="1" applyFont="1" applyFill="1" applyBorder="1" applyAlignment="1">
      <alignment horizontal="left" vertical="center" wrapText="1"/>
    </xf>
    <xf numFmtId="49" fontId="6" fillId="5" borderId="2" xfId="0" applyNumberFormat="1" applyFont="1" applyFill="1" applyBorder="1" applyAlignment="1">
      <alignment horizontal="center" vertical="center" wrapText="1"/>
    </xf>
    <xf numFmtId="0" fontId="8" fillId="7" borderId="0" xfId="0" applyFont="1" applyFill="1">
      <alignment vertical="center"/>
    </xf>
    <xf numFmtId="0" fontId="9" fillId="0" borderId="0" xfId="0" applyFont="1">
      <alignment vertical="center"/>
    </xf>
    <xf numFmtId="41" fontId="0" fillId="0" borderId="0" xfId="1" applyFont="1">
      <alignment vertical="center"/>
    </xf>
    <xf numFmtId="49" fontId="5" fillId="5" borderId="3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3" fontId="5" fillId="5" borderId="3" xfId="0" applyNumberFormat="1" applyFont="1" applyFill="1" applyBorder="1" applyAlignment="1">
      <alignment horizontal="right" vertical="center" wrapText="1"/>
    </xf>
    <xf numFmtId="0" fontId="8" fillId="6" borderId="0" xfId="0" applyFont="1" applyFill="1">
      <alignment vertical="center"/>
    </xf>
    <xf numFmtId="0" fontId="0" fillId="8" borderId="0" xfId="0" applyFill="1">
      <alignment vertical="center"/>
    </xf>
    <xf numFmtId="0" fontId="10" fillId="9" borderId="0" xfId="0" applyFont="1" applyFill="1" applyAlignment="1">
      <alignment horizontal="center" vertical="center"/>
    </xf>
    <xf numFmtId="0" fontId="0" fillId="9" borderId="0" xfId="0" applyFill="1">
      <alignment vertical="center"/>
    </xf>
    <xf numFmtId="0" fontId="0" fillId="9" borderId="0" xfId="0" applyFill="1" applyAlignment="1">
      <alignment horizontal="center" vertical="center"/>
    </xf>
    <xf numFmtId="177" fontId="11" fillId="0" borderId="2" xfId="0" applyNumberFormat="1" applyFont="1" applyBorder="1" applyAlignment="1">
      <alignment horizontal="left" vertical="center" shrinkToFit="1"/>
    </xf>
    <xf numFmtId="177" fontId="11" fillId="0" borderId="2" xfId="0" applyNumberFormat="1" applyFont="1" applyBorder="1" applyAlignment="1">
      <alignment horizontal="right" vertical="center" wrapText="1"/>
    </xf>
    <xf numFmtId="177" fontId="11" fillId="0" borderId="2" xfId="0" applyNumberFormat="1" applyFont="1" applyBorder="1" applyAlignment="1">
      <alignment horizontal="center" vertical="center" wrapText="1"/>
    </xf>
    <xf numFmtId="177" fontId="11" fillId="0" borderId="2" xfId="0" applyNumberFormat="1" applyFont="1" applyBorder="1" applyAlignment="1">
      <alignment horizontal="left" vertical="center" wrapText="1"/>
    </xf>
    <xf numFmtId="177" fontId="12" fillId="0" borderId="2" xfId="0" applyNumberFormat="1" applyFont="1" applyBorder="1" applyAlignment="1">
      <alignment horizontal="center" vertical="center" wrapText="1"/>
    </xf>
    <xf numFmtId="177" fontId="11" fillId="10" borderId="2" xfId="0" applyNumberFormat="1" applyFont="1" applyFill="1" applyBorder="1" applyAlignment="1">
      <alignment horizontal="right" vertical="center" wrapText="1"/>
    </xf>
    <xf numFmtId="177" fontId="12" fillId="0" borderId="2" xfId="0" applyNumberFormat="1" applyFont="1" applyBorder="1" applyAlignment="1">
      <alignment horizontal="right" vertical="center" wrapText="1"/>
    </xf>
    <xf numFmtId="177" fontId="11" fillId="2" borderId="2" xfId="0" applyNumberFormat="1" applyFont="1" applyFill="1" applyBorder="1" applyAlignment="1">
      <alignment horizontal="center" vertical="center" wrapText="1"/>
    </xf>
    <xf numFmtId="177" fontId="13" fillId="0" borderId="2" xfId="0" applyNumberFormat="1" applyFont="1" applyBorder="1" applyAlignment="1">
      <alignment horizontal="right" vertical="center" wrapText="1"/>
    </xf>
    <xf numFmtId="177" fontId="13" fillId="0" borderId="2" xfId="0" applyNumberFormat="1" applyFont="1" applyBorder="1" applyAlignment="1">
      <alignment horizontal="center" vertical="center" wrapText="1"/>
    </xf>
    <xf numFmtId="177" fontId="13" fillId="10" borderId="2" xfId="0" applyNumberFormat="1" applyFont="1" applyFill="1" applyBorder="1" applyAlignment="1">
      <alignment horizontal="right" vertical="center" wrapText="1"/>
    </xf>
    <xf numFmtId="177" fontId="13" fillId="0" borderId="2" xfId="0" applyNumberFormat="1" applyFont="1" applyBorder="1" applyAlignment="1">
      <alignment horizontal="left" vertical="center" wrapText="1"/>
    </xf>
    <xf numFmtId="177" fontId="13" fillId="2" borderId="2" xfId="0" applyNumberFormat="1" applyFont="1" applyFill="1" applyBorder="1" applyAlignment="1">
      <alignment horizontal="center" vertical="center" wrapText="1"/>
    </xf>
    <xf numFmtId="177" fontId="14" fillId="0" borderId="2" xfId="0" applyNumberFormat="1" applyFont="1" applyBorder="1" applyAlignment="1">
      <alignment horizontal="left" vertical="center" shrinkToFit="1"/>
    </xf>
    <xf numFmtId="0" fontId="0" fillId="4" borderId="0" xfId="0" applyFill="1" applyAlignment="1">
      <alignment horizontal="center" vertical="center"/>
    </xf>
    <xf numFmtId="0" fontId="0" fillId="4" borderId="0" xfId="0" applyFill="1">
      <alignment vertical="center"/>
    </xf>
  </cellXfs>
  <cellStyles count="2">
    <cellStyle name="쉼표 [0]" xfId="1" builtinId="6"/>
    <cellStyle name="표준" xfId="0" builtinId="0"/>
  </cellStyles>
  <dxfs count="19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C81A7-A8BF-4C34-9075-141AA86D9539}">
  <dimension ref="A1:BD744"/>
  <sheetViews>
    <sheetView tabSelected="1" workbookViewId="0"/>
  </sheetViews>
  <sheetFormatPr defaultRowHeight="17" x14ac:dyDescent="0.45"/>
  <cols>
    <col min="1" max="1" width="18.75" style="22" customWidth="1"/>
    <col min="2" max="2" width="11.5" style="23" customWidth="1"/>
    <col min="3" max="3" width="10" customWidth="1"/>
    <col min="4" max="6" width="12.5" customWidth="1"/>
    <col min="7" max="7" width="50.25" customWidth="1"/>
    <col min="8" max="8" width="11.08203125" style="46" customWidth="1"/>
    <col min="9" max="9" width="12.5" customWidth="1"/>
    <col min="10" max="10" width="25" customWidth="1"/>
    <col min="11" max="11" width="37.5" customWidth="1"/>
    <col min="12" max="13" width="12.5" customWidth="1"/>
    <col min="14" max="14" width="18.75" customWidth="1"/>
    <col min="15" max="15" width="8.75" customWidth="1"/>
    <col min="16" max="16" width="11.25" customWidth="1"/>
    <col min="17" max="17" width="12.5" style="47" customWidth="1"/>
    <col min="18" max="18" width="10" customWidth="1"/>
    <col min="19" max="19" width="15" customWidth="1"/>
    <col min="20" max="20" width="18.75" customWidth="1"/>
    <col min="21" max="21" width="14.08203125" bestFit="1" customWidth="1"/>
    <col min="22" max="22" width="12.5" customWidth="1"/>
    <col min="23" max="23" width="16.25" customWidth="1"/>
    <col min="24" max="24" width="18.75" customWidth="1"/>
    <col min="25" max="25" width="22.5" customWidth="1"/>
    <col min="26" max="26" width="20" customWidth="1"/>
    <col min="27" max="27" width="12.5" customWidth="1"/>
    <col min="28" max="30" width="15" customWidth="1"/>
    <col min="31" max="31" width="10.25" bestFit="1" customWidth="1"/>
    <col min="32" max="32" width="12.5" customWidth="1"/>
    <col min="33" max="33" width="15" customWidth="1"/>
    <col min="34" max="34" width="25" customWidth="1"/>
    <col min="35" max="35" width="12.5" customWidth="1"/>
    <col min="36" max="36" width="37.5" customWidth="1"/>
    <col min="37" max="37" width="15.58203125" customWidth="1"/>
    <col min="38" max="38" width="18.75" customWidth="1"/>
    <col min="39" max="39" width="15" customWidth="1"/>
    <col min="40" max="40" width="37.5" customWidth="1"/>
    <col min="41" max="41" width="11.25" customWidth="1"/>
    <col min="42" max="42" width="12.5" customWidth="1"/>
    <col min="43" max="43" width="18.08203125" customWidth="1"/>
    <col min="44" max="44" width="18.75" customWidth="1"/>
    <col min="45" max="48" width="12.5" customWidth="1"/>
    <col min="49" max="49" width="19.33203125" customWidth="1"/>
    <col min="50" max="50" width="22" customWidth="1"/>
    <col min="51" max="51" width="17.5" customWidth="1"/>
    <col min="52" max="52" width="17.58203125" customWidth="1"/>
    <col min="53" max="53" width="21.33203125" customWidth="1"/>
    <col min="54" max="54" width="12.5" customWidth="1"/>
  </cols>
  <sheetData>
    <row r="1" spans="1:56" ht="18.75" customHeight="1" x14ac:dyDescent="0.4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0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</row>
    <row r="2" spans="1:56" s="10" customFormat="1" ht="18.75" customHeight="1" x14ac:dyDescent="0.45">
      <c r="A2" s="5" t="s">
        <v>53</v>
      </c>
      <c r="B2" s="6">
        <v>440000</v>
      </c>
      <c r="C2" s="7" t="s">
        <v>54</v>
      </c>
      <c r="D2" s="8">
        <v>46024</v>
      </c>
      <c r="E2" s="8">
        <v>46142</v>
      </c>
      <c r="F2" s="8">
        <v>46140</v>
      </c>
      <c r="G2" s="5" t="s">
        <v>55</v>
      </c>
      <c r="H2" s="7" t="s">
        <v>56</v>
      </c>
      <c r="I2" s="7" t="s">
        <v>57</v>
      </c>
      <c r="J2" s="7" t="s">
        <v>58</v>
      </c>
      <c r="K2" s="5" t="s">
        <v>59</v>
      </c>
      <c r="L2" s="9">
        <v>440000</v>
      </c>
      <c r="M2" s="7" t="s">
        <v>60</v>
      </c>
      <c r="N2" s="5" t="s">
        <v>61</v>
      </c>
      <c r="O2" s="5"/>
      <c r="P2" s="9">
        <v>440000</v>
      </c>
      <c r="Q2" s="9">
        <v>440000</v>
      </c>
      <c r="R2" s="7" t="s">
        <v>62</v>
      </c>
      <c r="S2" s="7" t="s">
        <v>62</v>
      </c>
      <c r="T2" s="5"/>
      <c r="U2" s="5"/>
      <c r="V2" s="7" t="s">
        <v>63</v>
      </c>
      <c r="W2" s="7" t="s">
        <v>64</v>
      </c>
      <c r="X2" s="5" t="s">
        <v>65</v>
      </c>
      <c r="Y2" s="5" t="s">
        <v>66</v>
      </c>
      <c r="Z2" s="5" t="s">
        <v>67</v>
      </c>
      <c r="AA2" s="7" t="s">
        <v>62</v>
      </c>
      <c r="AB2" s="7" t="s">
        <v>63</v>
      </c>
      <c r="AC2" s="7" t="s">
        <v>68</v>
      </c>
      <c r="AD2" s="7" t="s">
        <v>62</v>
      </c>
      <c r="AE2" s="7" t="s">
        <v>62</v>
      </c>
      <c r="AF2" s="7" t="s">
        <v>62</v>
      </c>
      <c r="AG2" s="7" t="s">
        <v>69</v>
      </c>
      <c r="AH2" s="5" t="s">
        <v>53</v>
      </c>
      <c r="AI2" s="7" t="s">
        <v>70</v>
      </c>
      <c r="AJ2" s="5" t="s">
        <v>71</v>
      </c>
      <c r="AK2" s="7" t="s">
        <v>69</v>
      </c>
      <c r="AL2" s="5" t="s">
        <v>53</v>
      </c>
      <c r="AM2" s="7" t="s">
        <v>70</v>
      </c>
      <c r="AN2" s="5" t="s">
        <v>71</v>
      </c>
      <c r="AO2" s="7" t="s">
        <v>72</v>
      </c>
      <c r="AP2" s="5" t="s">
        <v>73</v>
      </c>
      <c r="AQ2" s="7" t="s">
        <v>62</v>
      </c>
      <c r="AR2" s="7" t="s">
        <v>62</v>
      </c>
      <c r="AS2" s="7" t="s">
        <v>62</v>
      </c>
      <c r="AT2" s="7" t="s">
        <v>62</v>
      </c>
      <c r="AU2" s="7" t="s">
        <v>62</v>
      </c>
      <c r="AV2" s="7" t="s">
        <v>68</v>
      </c>
      <c r="AW2" s="5" t="s">
        <v>67</v>
      </c>
      <c r="AX2" s="5" t="s">
        <v>67</v>
      </c>
      <c r="AY2" s="5" t="s">
        <v>74</v>
      </c>
      <c r="AZ2" s="7" t="s">
        <v>62</v>
      </c>
      <c r="BA2" s="7" t="s">
        <v>67</v>
      </c>
      <c r="BB2" s="8">
        <v>46140</v>
      </c>
      <c r="BC2"/>
      <c r="BD2"/>
    </row>
    <row r="3" spans="1:56" s="10" customFormat="1" ht="18.75" customHeight="1" x14ac:dyDescent="0.45">
      <c r="A3" s="5" t="s">
        <v>53</v>
      </c>
      <c r="B3" s="6">
        <v>440000</v>
      </c>
      <c r="C3" s="7" t="s">
        <v>75</v>
      </c>
      <c r="D3" s="8">
        <v>46024</v>
      </c>
      <c r="E3" s="8">
        <v>46113</v>
      </c>
      <c r="F3" s="8">
        <v>46111</v>
      </c>
      <c r="G3" s="5" t="s">
        <v>76</v>
      </c>
      <c r="H3" s="7" t="s">
        <v>56</v>
      </c>
      <c r="I3" s="7" t="s">
        <v>57</v>
      </c>
      <c r="J3" s="7" t="s">
        <v>58</v>
      </c>
      <c r="K3" s="5" t="s">
        <v>59</v>
      </c>
      <c r="L3" s="9">
        <v>440000</v>
      </c>
      <c r="M3" s="7" t="s">
        <v>60</v>
      </c>
      <c r="N3" s="5" t="s">
        <v>61</v>
      </c>
      <c r="O3" s="5"/>
      <c r="P3" s="9">
        <v>440000</v>
      </c>
      <c r="Q3" s="9">
        <v>440000</v>
      </c>
      <c r="R3" s="7" t="s">
        <v>62</v>
      </c>
      <c r="S3" s="7" t="s">
        <v>62</v>
      </c>
      <c r="T3" s="5"/>
      <c r="U3" s="5"/>
      <c r="V3" s="7" t="s">
        <v>63</v>
      </c>
      <c r="W3" s="7" t="s">
        <v>64</v>
      </c>
      <c r="X3" s="5" t="s">
        <v>65</v>
      </c>
      <c r="Y3" s="5" t="s">
        <v>66</v>
      </c>
      <c r="Z3" s="5" t="s">
        <v>67</v>
      </c>
      <c r="AA3" s="7" t="s">
        <v>62</v>
      </c>
      <c r="AB3" s="7" t="s">
        <v>63</v>
      </c>
      <c r="AC3" s="7" t="s">
        <v>68</v>
      </c>
      <c r="AD3" s="7" t="s">
        <v>62</v>
      </c>
      <c r="AE3" s="7" t="s">
        <v>62</v>
      </c>
      <c r="AF3" s="7" t="s">
        <v>62</v>
      </c>
      <c r="AG3" s="7" t="s">
        <v>69</v>
      </c>
      <c r="AH3" s="5" t="s">
        <v>53</v>
      </c>
      <c r="AI3" s="7" t="s">
        <v>70</v>
      </c>
      <c r="AJ3" s="5" t="s">
        <v>71</v>
      </c>
      <c r="AK3" s="7" t="s">
        <v>69</v>
      </c>
      <c r="AL3" s="5" t="s">
        <v>53</v>
      </c>
      <c r="AM3" s="7" t="s">
        <v>70</v>
      </c>
      <c r="AN3" s="5" t="s">
        <v>71</v>
      </c>
      <c r="AO3" s="7" t="s">
        <v>72</v>
      </c>
      <c r="AP3" s="5" t="s">
        <v>73</v>
      </c>
      <c r="AQ3" s="7" t="s">
        <v>62</v>
      </c>
      <c r="AR3" s="7" t="s">
        <v>62</v>
      </c>
      <c r="AS3" s="7" t="s">
        <v>62</v>
      </c>
      <c r="AT3" s="7" t="s">
        <v>62</v>
      </c>
      <c r="AU3" s="7" t="s">
        <v>62</v>
      </c>
      <c r="AV3" s="7" t="s">
        <v>68</v>
      </c>
      <c r="AW3" s="5" t="s">
        <v>67</v>
      </c>
      <c r="AX3" s="5" t="s">
        <v>67</v>
      </c>
      <c r="AY3" s="5" t="s">
        <v>74</v>
      </c>
      <c r="AZ3" s="7" t="s">
        <v>62</v>
      </c>
      <c r="BA3" s="7" t="s">
        <v>67</v>
      </c>
      <c r="BB3" s="8">
        <v>46111</v>
      </c>
      <c r="BC3"/>
      <c r="BD3"/>
    </row>
    <row r="4" spans="1:56" s="10" customFormat="1" ht="18.75" customHeight="1" x14ac:dyDescent="0.45">
      <c r="A4" s="5" t="s">
        <v>53</v>
      </c>
      <c r="B4" s="6">
        <v>440000</v>
      </c>
      <c r="C4" s="7" t="s">
        <v>77</v>
      </c>
      <c r="D4" s="8">
        <v>46024</v>
      </c>
      <c r="E4" s="8">
        <v>46085</v>
      </c>
      <c r="F4" s="8">
        <v>46080</v>
      </c>
      <c r="G4" s="5" t="s">
        <v>78</v>
      </c>
      <c r="H4" s="7" t="s">
        <v>56</v>
      </c>
      <c r="I4" s="7" t="s">
        <v>57</v>
      </c>
      <c r="J4" s="7" t="s">
        <v>58</v>
      </c>
      <c r="K4" s="5" t="s">
        <v>59</v>
      </c>
      <c r="L4" s="9">
        <v>440000</v>
      </c>
      <c r="M4" s="7" t="s">
        <v>60</v>
      </c>
      <c r="N4" s="5" t="s">
        <v>61</v>
      </c>
      <c r="O4" s="5"/>
      <c r="P4" s="9">
        <v>440000</v>
      </c>
      <c r="Q4" s="9">
        <v>440000</v>
      </c>
      <c r="R4" s="7" t="s">
        <v>62</v>
      </c>
      <c r="S4" s="7" t="s">
        <v>62</v>
      </c>
      <c r="T4" s="5"/>
      <c r="U4" s="5"/>
      <c r="V4" s="7" t="s">
        <v>63</v>
      </c>
      <c r="W4" s="7" t="s">
        <v>64</v>
      </c>
      <c r="X4" s="5" t="s">
        <v>65</v>
      </c>
      <c r="Y4" s="5" t="s">
        <v>66</v>
      </c>
      <c r="Z4" s="5" t="s">
        <v>67</v>
      </c>
      <c r="AA4" s="7" t="s">
        <v>62</v>
      </c>
      <c r="AB4" s="7" t="s">
        <v>63</v>
      </c>
      <c r="AC4" s="7" t="s">
        <v>68</v>
      </c>
      <c r="AD4" s="7" t="s">
        <v>62</v>
      </c>
      <c r="AE4" s="7" t="s">
        <v>62</v>
      </c>
      <c r="AF4" s="7" t="s">
        <v>62</v>
      </c>
      <c r="AG4" s="7" t="s">
        <v>69</v>
      </c>
      <c r="AH4" s="5" t="s">
        <v>53</v>
      </c>
      <c r="AI4" s="7" t="s">
        <v>70</v>
      </c>
      <c r="AJ4" s="5" t="s">
        <v>71</v>
      </c>
      <c r="AK4" s="7" t="s">
        <v>69</v>
      </c>
      <c r="AL4" s="5" t="s">
        <v>53</v>
      </c>
      <c r="AM4" s="7" t="s">
        <v>70</v>
      </c>
      <c r="AN4" s="5" t="s">
        <v>71</v>
      </c>
      <c r="AO4" s="7" t="s">
        <v>72</v>
      </c>
      <c r="AP4" s="5" t="s">
        <v>73</v>
      </c>
      <c r="AQ4" s="7" t="s">
        <v>62</v>
      </c>
      <c r="AR4" s="7" t="s">
        <v>62</v>
      </c>
      <c r="AS4" s="7" t="s">
        <v>62</v>
      </c>
      <c r="AT4" s="7" t="s">
        <v>62</v>
      </c>
      <c r="AU4" s="7" t="s">
        <v>62</v>
      </c>
      <c r="AV4" s="7" t="s">
        <v>68</v>
      </c>
      <c r="AW4" s="5" t="s">
        <v>67</v>
      </c>
      <c r="AX4" s="5" t="s">
        <v>67</v>
      </c>
      <c r="AY4" s="5" t="s">
        <v>74</v>
      </c>
      <c r="AZ4" s="7" t="s">
        <v>62</v>
      </c>
      <c r="BA4" s="7" t="s">
        <v>67</v>
      </c>
      <c r="BB4" s="8">
        <v>46079</v>
      </c>
      <c r="BC4"/>
      <c r="BD4"/>
    </row>
    <row r="5" spans="1:56" s="10" customFormat="1" ht="18.75" customHeight="1" x14ac:dyDescent="0.45">
      <c r="A5" s="5" t="s">
        <v>53</v>
      </c>
      <c r="B5" s="6">
        <v>440000</v>
      </c>
      <c r="C5" s="7" t="s">
        <v>79</v>
      </c>
      <c r="D5" s="8">
        <v>46024</v>
      </c>
      <c r="E5" s="8">
        <v>46055</v>
      </c>
      <c r="F5" s="8">
        <v>46055</v>
      </c>
      <c r="G5" s="5" t="s">
        <v>80</v>
      </c>
      <c r="H5" s="7" t="s">
        <v>56</v>
      </c>
      <c r="I5" s="7" t="s">
        <v>57</v>
      </c>
      <c r="J5" s="7" t="s">
        <v>58</v>
      </c>
      <c r="K5" s="5" t="s">
        <v>59</v>
      </c>
      <c r="L5" s="9">
        <v>440000</v>
      </c>
      <c r="M5" s="7" t="s">
        <v>60</v>
      </c>
      <c r="N5" s="5" t="s">
        <v>61</v>
      </c>
      <c r="O5" s="5"/>
      <c r="P5" s="9">
        <v>440000</v>
      </c>
      <c r="Q5" s="9">
        <v>440000</v>
      </c>
      <c r="R5" s="7" t="s">
        <v>62</v>
      </c>
      <c r="S5" s="7" t="s">
        <v>62</v>
      </c>
      <c r="T5" s="5"/>
      <c r="U5" s="5"/>
      <c r="V5" s="7" t="s">
        <v>63</v>
      </c>
      <c r="W5" s="7" t="s">
        <v>64</v>
      </c>
      <c r="X5" s="5" t="s">
        <v>65</v>
      </c>
      <c r="Y5" s="5" t="s">
        <v>66</v>
      </c>
      <c r="Z5" s="5" t="s">
        <v>67</v>
      </c>
      <c r="AA5" s="7" t="s">
        <v>62</v>
      </c>
      <c r="AB5" s="7" t="s">
        <v>63</v>
      </c>
      <c r="AC5" s="7" t="s">
        <v>62</v>
      </c>
      <c r="AD5" s="7" t="s">
        <v>62</v>
      </c>
      <c r="AE5" s="7" t="s">
        <v>62</v>
      </c>
      <c r="AF5" s="7" t="s">
        <v>62</v>
      </c>
      <c r="AG5" s="7" t="s">
        <v>69</v>
      </c>
      <c r="AH5" s="5" t="s">
        <v>53</v>
      </c>
      <c r="AI5" s="7" t="s">
        <v>70</v>
      </c>
      <c r="AJ5" s="5" t="s">
        <v>71</v>
      </c>
      <c r="AK5" s="7" t="s">
        <v>69</v>
      </c>
      <c r="AL5" s="5" t="s">
        <v>53</v>
      </c>
      <c r="AM5" s="7" t="s">
        <v>70</v>
      </c>
      <c r="AN5" s="5" t="s">
        <v>71</v>
      </c>
      <c r="AO5" s="7" t="s">
        <v>72</v>
      </c>
      <c r="AP5" s="5" t="s">
        <v>73</v>
      </c>
      <c r="AQ5" s="7" t="s">
        <v>62</v>
      </c>
      <c r="AR5" s="7" t="s">
        <v>62</v>
      </c>
      <c r="AS5" s="7" t="s">
        <v>62</v>
      </c>
      <c r="AT5" s="7" t="s">
        <v>62</v>
      </c>
      <c r="AU5" s="7" t="s">
        <v>62</v>
      </c>
      <c r="AV5" s="7" t="s">
        <v>68</v>
      </c>
      <c r="AW5" s="5" t="s">
        <v>67</v>
      </c>
      <c r="AX5" s="5" t="s">
        <v>67</v>
      </c>
      <c r="AY5" s="5" t="s">
        <v>74</v>
      </c>
      <c r="AZ5" s="7" t="s">
        <v>62</v>
      </c>
      <c r="BA5" s="7" t="s">
        <v>67</v>
      </c>
      <c r="BB5" s="8">
        <v>46051</v>
      </c>
      <c r="BC5"/>
      <c r="BD5"/>
    </row>
    <row r="6" spans="1:56" s="10" customFormat="1" ht="18.75" customHeight="1" x14ac:dyDescent="0.45">
      <c r="A6" s="5" t="s">
        <v>81</v>
      </c>
      <c r="B6" s="6">
        <v>159500</v>
      </c>
      <c r="C6" s="7" t="s">
        <v>82</v>
      </c>
      <c r="D6" s="8">
        <v>46037</v>
      </c>
      <c r="E6" s="8">
        <v>46044</v>
      </c>
      <c r="F6" s="8">
        <v>46042</v>
      </c>
      <c r="G6" s="5" t="s">
        <v>83</v>
      </c>
      <c r="H6" s="7" t="s">
        <v>84</v>
      </c>
      <c r="I6" s="7" t="s">
        <v>57</v>
      </c>
      <c r="J6" s="7" t="s">
        <v>85</v>
      </c>
      <c r="K6" s="5" t="s">
        <v>86</v>
      </c>
      <c r="L6" s="9">
        <v>159500</v>
      </c>
      <c r="M6" s="7" t="s">
        <v>60</v>
      </c>
      <c r="N6" s="5" t="s">
        <v>61</v>
      </c>
      <c r="O6" s="5"/>
      <c r="P6" s="9">
        <v>159500</v>
      </c>
      <c r="Q6" s="9">
        <v>159500</v>
      </c>
      <c r="R6" s="7"/>
      <c r="S6" s="7"/>
      <c r="T6" s="5"/>
      <c r="U6" s="5"/>
      <c r="V6" s="7"/>
      <c r="W6" s="7"/>
      <c r="X6" s="5"/>
      <c r="Y6" s="5"/>
      <c r="Z6" s="5"/>
      <c r="AA6" s="7"/>
      <c r="AB6" s="7"/>
      <c r="AC6" s="7"/>
      <c r="AD6" s="7"/>
      <c r="AE6" s="7"/>
      <c r="AF6" s="7"/>
      <c r="AG6" s="7" t="s">
        <v>87</v>
      </c>
      <c r="AH6" s="5" t="s">
        <v>81</v>
      </c>
      <c r="AI6" s="7" t="s">
        <v>88</v>
      </c>
      <c r="AJ6" s="5" t="s">
        <v>89</v>
      </c>
      <c r="AK6" s="7"/>
      <c r="AL6" s="5"/>
      <c r="AM6" s="7"/>
      <c r="AN6" s="5"/>
      <c r="AO6" s="7"/>
      <c r="AP6" s="5"/>
      <c r="AQ6" s="7"/>
      <c r="AR6" s="7"/>
      <c r="AS6" s="7"/>
      <c r="AT6" s="7"/>
      <c r="AU6" s="7"/>
      <c r="AV6" s="7"/>
      <c r="AW6" s="5"/>
      <c r="AX6" s="5"/>
      <c r="AY6" s="5" t="s">
        <v>74</v>
      </c>
      <c r="AZ6" s="7"/>
      <c r="BA6" s="7"/>
      <c r="BB6" s="8">
        <v>46042</v>
      </c>
      <c r="BC6"/>
      <c r="BD6"/>
    </row>
    <row r="7" spans="1:56" s="16" customFormat="1" ht="18.75" customHeight="1" x14ac:dyDescent="0.45">
      <c r="A7" s="11" t="s">
        <v>90</v>
      </c>
      <c r="B7" s="12">
        <v>7700000</v>
      </c>
      <c r="C7" s="13" t="s">
        <v>91</v>
      </c>
      <c r="D7" s="14">
        <v>46050</v>
      </c>
      <c r="E7" s="14">
        <v>46092</v>
      </c>
      <c r="F7" s="14">
        <v>46091</v>
      </c>
      <c r="G7" s="11" t="s">
        <v>92</v>
      </c>
      <c r="H7" s="13" t="s">
        <v>56</v>
      </c>
      <c r="I7" s="13" t="s">
        <v>57</v>
      </c>
      <c r="J7" s="13" t="s">
        <v>93</v>
      </c>
      <c r="K7" s="11" t="s">
        <v>94</v>
      </c>
      <c r="L7" s="15">
        <v>7700000</v>
      </c>
      <c r="M7" s="13" t="s">
        <v>60</v>
      </c>
      <c r="N7" s="11" t="s">
        <v>61</v>
      </c>
      <c r="O7" s="11"/>
      <c r="P7" s="15">
        <v>7700000</v>
      </c>
      <c r="Q7" s="15">
        <v>7700000</v>
      </c>
      <c r="R7" s="13" t="s">
        <v>62</v>
      </c>
      <c r="S7" s="13" t="s">
        <v>62</v>
      </c>
      <c r="T7" s="11"/>
      <c r="U7" s="11"/>
      <c r="V7" s="13" t="s">
        <v>63</v>
      </c>
      <c r="W7" s="13" t="s">
        <v>64</v>
      </c>
      <c r="X7" s="11" t="s">
        <v>65</v>
      </c>
      <c r="Y7" s="11" t="s">
        <v>66</v>
      </c>
      <c r="Z7" s="11" t="s">
        <v>67</v>
      </c>
      <c r="AA7" s="13" t="s">
        <v>62</v>
      </c>
      <c r="AB7" s="13" t="s">
        <v>63</v>
      </c>
      <c r="AC7" s="13" t="s">
        <v>62</v>
      </c>
      <c r="AD7" s="13" t="s">
        <v>62</v>
      </c>
      <c r="AE7" s="13" t="s">
        <v>62</v>
      </c>
      <c r="AF7" s="13" t="s">
        <v>62</v>
      </c>
      <c r="AG7" s="13" t="s">
        <v>95</v>
      </c>
      <c r="AH7" s="11" t="s">
        <v>90</v>
      </c>
      <c r="AI7" s="13" t="s">
        <v>96</v>
      </c>
      <c r="AJ7" s="11" t="s">
        <v>97</v>
      </c>
      <c r="AK7" s="13" t="s">
        <v>95</v>
      </c>
      <c r="AL7" s="11" t="s">
        <v>90</v>
      </c>
      <c r="AM7" s="13" t="s">
        <v>96</v>
      </c>
      <c r="AN7" s="11" t="s">
        <v>97</v>
      </c>
      <c r="AO7" s="13" t="s">
        <v>72</v>
      </c>
      <c r="AP7" s="11" t="s">
        <v>73</v>
      </c>
      <c r="AQ7" s="13" t="s">
        <v>62</v>
      </c>
      <c r="AR7" s="13" t="s">
        <v>62</v>
      </c>
      <c r="AS7" s="13" t="s">
        <v>62</v>
      </c>
      <c r="AT7" s="13" t="s">
        <v>62</v>
      </c>
      <c r="AU7" s="13" t="s">
        <v>62</v>
      </c>
      <c r="AV7" s="13" t="s">
        <v>62</v>
      </c>
      <c r="AW7" s="11" t="s">
        <v>67</v>
      </c>
      <c r="AX7" s="11" t="s">
        <v>67</v>
      </c>
      <c r="AY7" s="11" t="s">
        <v>74</v>
      </c>
      <c r="AZ7" s="13" t="s">
        <v>62</v>
      </c>
      <c r="BA7" s="13" t="s">
        <v>67</v>
      </c>
      <c r="BB7" s="14">
        <v>46090</v>
      </c>
    </row>
    <row r="8" spans="1:56" s="10" customFormat="1" ht="18.75" customHeight="1" x14ac:dyDescent="0.45">
      <c r="A8" s="5" t="s">
        <v>81</v>
      </c>
      <c r="B8" s="6">
        <v>159500</v>
      </c>
      <c r="C8" s="7" t="s">
        <v>98</v>
      </c>
      <c r="D8" s="8">
        <v>46077</v>
      </c>
      <c r="E8" s="8">
        <v>46084</v>
      </c>
      <c r="F8" s="8">
        <v>46080</v>
      </c>
      <c r="G8" s="5" t="s">
        <v>99</v>
      </c>
      <c r="H8" s="7" t="s">
        <v>56</v>
      </c>
      <c r="I8" s="7" t="s">
        <v>57</v>
      </c>
      <c r="J8" s="7" t="s">
        <v>85</v>
      </c>
      <c r="K8" s="5" t="s">
        <v>86</v>
      </c>
      <c r="L8" s="9">
        <v>159500</v>
      </c>
      <c r="M8" s="7" t="s">
        <v>60</v>
      </c>
      <c r="N8" s="5" t="s">
        <v>61</v>
      </c>
      <c r="O8" s="5"/>
      <c r="P8" s="9">
        <v>159500</v>
      </c>
      <c r="Q8" s="9">
        <v>159500</v>
      </c>
      <c r="R8" s="7" t="s">
        <v>62</v>
      </c>
      <c r="S8" s="7" t="s">
        <v>62</v>
      </c>
      <c r="T8" s="5"/>
      <c r="U8" s="5"/>
      <c r="V8" s="7" t="s">
        <v>63</v>
      </c>
      <c r="W8" s="7" t="s">
        <v>64</v>
      </c>
      <c r="X8" s="5" t="s">
        <v>65</v>
      </c>
      <c r="Y8" s="5" t="s">
        <v>66</v>
      </c>
      <c r="Z8" s="5" t="s">
        <v>67</v>
      </c>
      <c r="AA8" s="7" t="s">
        <v>62</v>
      </c>
      <c r="AB8" s="7" t="s">
        <v>63</v>
      </c>
      <c r="AC8" s="7" t="s">
        <v>68</v>
      </c>
      <c r="AD8" s="7" t="s">
        <v>62</v>
      </c>
      <c r="AE8" s="7" t="s">
        <v>62</v>
      </c>
      <c r="AF8" s="7" t="s">
        <v>62</v>
      </c>
      <c r="AG8" s="7" t="s">
        <v>87</v>
      </c>
      <c r="AH8" s="5" t="s">
        <v>81</v>
      </c>
      <c r="AI8" s="7" t="s">
        <v>88</v>
      </c>
      <c r="AJ8" s="5" t="s">
        <v>89</v>
      </c>
      <c r="AK8" s="7" t="s">
        <v>87</v>
      </c>
      <c r="AL8" s="5" t="s">
        <v>81</v>
      </c>
      <c r="AM8" s="7" t="s">
        <v>88</v>
      </c>
      <c r="AN8" s="5" t="s">
        <v>89</v>
      </c>
      <c r="AO8" s="7" t="s">
        <v>72</v>
      </c>
      <c r="AP8" s="5" t="s">
        <v>73</v>
      </c>
      <c r="AQ8" s="7" t="s">
        <v>62</v>
      </c>
      <c r="AR8" s="7" t="s">
        <v>62</v>
      </c>
      <c r="AS8" s="7" t="s">
        <v>62</v>
      </c>
      <c r="AT8" s="7" t="s">
        <v>62</v>
      </c>
      <c r="AU8" s="7" t="s">
        <v>62</v>
      </c>
      <c r="AV8" s="7" t="s">
        <v>62</v>
      </c>
      <c r="AW8" s="5" t="s">
        <v>67</v>
      </c>
      <c r="AX8" s="5" t="s">
        <v>67</v>
      </c>
      <c r="AY8" s="5" t="s">
        <v>74</v>
      </c>
      <c r="AZ8" s="7" t="s">
        <v>62</v>
      </c>
      <c r="BA8" s="7" t="s">
        <v>67</v>
      </c>
      <c r="BB8" s="8">
        <v>46078</v>
      </c>
      <c r="BC8"/>
      <c r="BD8"/>
    </row>
    <row r="9" spans="1:56" s="16" customFormat="1" ht="18.75" customHeight="1" x14ac:dyDescent="0.45">
      <c r="A9" s="11" t="s">
        <v>90</v>
      </c>
      <c r="B9" s="12">
        <v>21000000</v>
      </c>
      <c r="C9" s="13" t="s">
        <v>100</v>
      </c>
      <c r="D9" s="14">
        <v>46084</v>
      </c>
      <c r="E9" s="14">
        <v>46098</v>
      </c>
      <c r="F9" s="14">
        <v>46094</v>
      </c>
      <c r="G9" s="11" t="s">
        <v>101</v>
      </c>
      <c r="H9" s="13" t="s">
        <v>56</v>
      </c>
      <c r="I9" s="13" t="s">
        <v>57</v>
      </c>
      <c r="J9" s="13" t="s">
        <v>93</v>
      </c>
      <c r="K9" s="11" t="s">
        <v>94</v>
      </c>
      <c r="L9" s="15">
        <v>21000000</v>
      </c>
      <c r="M9" s="13" t="s">
        <v>60</v>
      </c>
      <c r="N9" s="11" t="s">
        <v>61</v>
      </c>
      <c r="O9" s="11"/>
      <c r="P9" s="15">
        <v>21000000</v>
      </c>
      <c r="Q9" s="15">
        <v>21000000</v>
      </c>
      <c r="R9" s="13" t="s">
        <v>62</v>
      </c>
      <c r="S9" s="13" t="s">
        <v>62</v>
      </c>
      <c r="T9" s="11"/>
      <c r="U9" s="11"/>
      <c r="V9" s="13" t="s">
        <v>63</v>
      </c>
      <c r="W9" s="13" t="s">
        <v>64</v>
      </c>
      <c r="X9" s="11" t="s">
        <v>65</v>
      </c>
      <c r="Y9" s="11" t="s">
        <v>66</v>
      </c>
      <c r="Z9" s="11" t="s">
        <v>67</v>
      </c>
      <c r="AA9" s="13" t="s">
        <v>62</v>
      </c>
      <c r="AB9" s="13" t="s">
        <v>63</v>
      </c>
      <c r="AC9" s="13" t="s">
        <v>62</v>
      </c>
      <c r="AD9" s="13" t="s">
        <v>62</v>
      </c>
      <c r="AE9" s="13" t="s">
        <v>62</v>
      </c>
      <c r="AF9" s="13" t="s">
        <v>62</v>
      </c>
      <c r="AG9" s="13" t="s">
        <v>95</v>
      </c>
      <c r="AH9" s="11" t="s">
        <v>90</v>
      </c>
      <c r="AI9" s="13" t="s">
        <v>96</v>
      </c>
      <c r="AJ9" s="11" t="s">
        <v>97</v>
      </c>
      <c r="AK9" s="13" t="s">
        <v>95</v>
      </c>
      <c r="AL9" s="11" t="s">
        <v>90</v>
      </c>
      <c r="AM9" s="13" t="s">
        <v>96</v>
      </c>
      <c r="AN9" s="11" t="s">
        <v>97</v>
      </c>
      <c r="AO9" s="13" t="s">
        <v>72</v>
      </c>
      <c r="AP9" s="11" t="s">
        <v>73</v>
      </c>
      <c r="AQ9" s="13" t="s">
        <v>62</v>
      </c>
      <c r="AR9" s="13" t="s">
        <v>62</v>
      </c>
      <c r="AS9" s="13" t="s">
        <v>62</v>
      </c>
      <c r="AT9" s="13" t="s">
        <v>62</v>
      </c>
      <c r="AU9" s="13" t="s">
        <v>62</v>
      </c>
      <c r="AV9" s="13" t="s">
        <v>62</v>
      </c>
      <c r="AW9" s="11" t="s">
        <v>67</v>
      </c>
      <c r="AX9" s="11" t="s">
        <v>67</v>
      </c>
      <c r="AY9" s="11" t="s">
        <v>74</v>
      </c>
      <c r="AZ9" s="13" t="s">
        <v>62</v>
      </c>
      <c r="BA9" s="13" t="s">
        <v>67</v>
      </c>
      <c r="BB9" s="14">
        <v>46093</v>
      </c>
    </row>
    <row r="10" spans="1:56" s="10" customFormat="1" ht="18.75" customHeight="1" x14ac:dyDescent="0.45">
      <c r="A10" s="5" t="s">
        <v>102</v>
      </c>
      <c r="B10" s="6">
        <v>990000</v>
      </c>
      <c r="C10" s="7" t="s">
        <v>103</v>
      </c>
      <c r="D10" s="8">
        <v>46093</v>
      </c>
      <c r="E10" s="8">
        <v>46105</v>
      </c>
      <c r="F10" s="8">
        <v>46105</v>
      </c>
      <c r="G10" s="5" t="s">
        <v>104</v>
      </c>
      <c r="H10" s="7" t="s">
        <v>56</v>
      </c>
      <c r="I10" s="7" t="s">
        <v>57</v>
      </c>
      <c r="J10" s="7" t="s">
        <v>85</v>
      </c>
      <c r="K10" s="5" t="s">
        <v>86</v>
      </c>
      <c r="L10" s="9">
        <v>990000</v>
      </c>
      <c r="M10" s="7" t="s">
        <v>60</v>
      </c>
      <c r="N10" s="5" t="s">
        <v>61</v>
      </c>
      <c r="O10" s="5"/>
      <c r="P10" s="9">
        <v>990000</v>
      </c>
      <c r="Q10" s="9">
        <v>990000</v>
      </c>
      <c r="R10" s="7" t="s">
        <v>62</v>
      </c>
      <c r="S10" s="7" t="s">
        <v>62</v>
      </c>
      <c r="T10" s="5"/>
      <c r="U10" s="5"/>
      <c r="V10" s="7" t="s">
        <v>63</v>
      </c>
      <c r="W10" s="7" t="s">
        <v>64</v>
      </c>
      <c r="X10" s="5" t="s">
        <v>65</v>
      </c>
      <c r="Y10" s="5" t="s">
        <v>66</v>
      </c>
      <c r="Z10" s="5" t="s">
        <v>67</v>
      </c>
      <c r="AA10" s="7" t="s">
        <v>62</v>
      </c>
      <c r="AB10" s="7" t="s">
        <v>63</v>
      </c>
      <c r="AC10" s="7" t="s">
        <v>62</v>
      </c>
      <c r="AD10" s="7" t="s">
        <v>62</v>
      </c>
      <c r="AE10" s="7" t="s">
        <v>62</v>
      </c>
      <c r="AF10" s="7" t="s">
        <v>62</v>
      </c>
      <c r="AG10" s="7" t="s">
        <v>105</v>
      </c>
      <c r="AH10" s="5" t="s">
        <v>102</v>
      </c>
      <c r="AI10" s="7" t="s">
        <v>106</v>
      </c>
      <c r="AJ10" s="5" t="s">
        <v>107</v>
      </c>
      <c r="AK10" s="7" t="s">
        <v>105</v>
      </c>
      <c r="AL10" s="5" t="s">
        <v>102</v>
      </c>
      <c r="AM10" s="7" t="s">
        <v>106</v>
      </c>
      <c r="AN10" s="5" t="s">
        <v>107</v>
      </c>
      <c r="AO10" s="7" t="s">
        <v>72</v>
      </c>
      <c r="AP10" s="5" t="s">
        <v>73</v>
      </c>
      <c r="AQ10" s="7" t="s">
        <v>62</v>
      </c>
      <c r="AR10" s="7" t="s">
        <v>62</v>
      </c>
      <c r="AS10" s="7" t="s">
        <v>62</v>
      </c>
      <c r="AT10" s="7" t="s">
        <v>62</v>
      </c>
      <c r="AU10" s="7" t="s">
        <v>62</v>
      </c>
      <c r="AV10" s="7" t="s">
        <v>62</v>
      </c>
      <c r="AW10" s="5" t="s">
        <v>67</v>
      </c>
      <c r="AX10" s="5" t="s">
        <v>67</v>
      </c>
      <c r="AY10" s="5" t="s">
        <v>74</v>
      </c>
      <c r="AZ10" s="7" t="s">
        <v>62</v>
      </c>
      <c r="BA10" s="7" t="s">
        <v>67</v>
      </c>
      <c r="BB10" s="8">
        <v>46101</v>
      </c>
      <c r="BC10"/>
      <c r="BD10"/>
    </row>
    <row r="11" spans="1:56" s="10" customFormat="1" ht="18.75" customHeight="1" x14ac:dyDescent="0.45">
      <c r="A11" s="5" t="s">
        <v>102</v>
      </c>
      <c r="B11" s="6">
        <v>990000</v>
      </c>
      <c r="C11" s="7" t="s">
        <v>108</v>
      </c>
      <c r="D11" s="8">
        <v>46093</v>
      </c>
      <c r="E11" s="8">
        <v>46105</v>
      </c>
      <c r="F11" s="8">
        <v>46105</v>
      </c>
      <c r="G11" s="5" t="s">
        <v>109</v>
      </c>
      <c r="H11" s="7" t="s">
        <v>56</v>
      </c>
      <c r="I11" s="7" t="s">
        <v>57</v>
      </c>
      <c r="J11" s="7" t="s">
        <v>93</v>
      </c>
      <c r="K11" s="5" t="s">
        <v>94</v>
      </c>
      <c r="L11" s="9">
        <v>990000</v>
      </c>
      <c r="M11" s="7" t="s">
        <v>60</v>
      </c>
      <c r="N11" s="5" t="s">
        <v>61</v>
      </c>
      <c r="O11" s="5"/>
      <c r="P11" s="9">
        <v>990000</v>
      </c>
      <c r="Q11" s="9">
        <v>990000</v>
      </c>
      <c r="R11" s="7" t="s">
        <v>62</v>
      </c>
      <c r="S11" s="7" t="s">
        <v>62</v>
      </c>
      <c r="T11" s="5"/>
      <c r="U11" s="5"/>
      <c r="V11" s="7" t="s">
        <v>63</v>
      </c>
      <c r="W11" s="7" t="s">
        <v>64</v>
      </c>
      <c r="X11" s="5" t="s">
        <v>65</v>
      </c>
      <c r="Y11" s="5" t="s">
        <v>66</v>
      </c>
      <c r="Z11" s="5" t="s">
        <v>67</v>
      </c>
      <c r="AA11" s="7" t="s">
        <v>62</v>
      </c>
      <c r="AB11" s="7" t="s">
        <v>63</v>
      </c>
      <c r="AC11" s="7" t="s">
        <v>62</v>
      </c>
      <c r="AD11" s="7" t="s">
        <v>62</v>
      </c>
      <c r="AE11" s="7" t="s">
        <v>62</v>
      </c>
      <c r="AF11" s="7" t="s">
        <v>62</v>
      </c>
      <c r="AG11" s="7" t="s">
        <v>105</v>
      </c>
      <c r="AH11" s="5" t="s">
        <v>102</v>
      </c>
      <c r="AI11" s="7" t="s">
        <v>106</v>
      </c>
      <c r="AJ11" s="5" t="s">
        <v>107</v>
      </c>
      <c r="AK11" s="7" t="s">
        <v>105</v>
      </c>
      <c r="AL11" s="5" t="s">
        <v>102</v>
      </c>
      <c r="AM11" s="7" t="s">
        <v>106</v>
      </c>
      <c r="AN11" s="5" t="s">
        <v>107</v>
      </c>
      <c r="AO11" s="7" t="s">
        <v>72</v>
      </c>
      <c r="AP11" s="5" t="s">
        <v>73</v>
      </c>
      <c r="AQ11" s="7" t="s">
        <v>62</v>
      </c>
      <c r="AR11" s="7" t="s">
        <v>62</v>
      </c>
      <c r="AS11" s="7" t="s">
        <v>62</v>
      </c>
      <c r="AT11" s="7" t="s">
        <v>62</v>
      </c>
      <c r="AU11" s="7" t="s">
        <v>62</v>
      </c>
      <c r="AV11" s="7" t="s">
        <v>62</v>
      </c>
      <c r="AW11" s="5" t="s">
        <v>67</v>
      </c>
      <c r="AX11" s="5" t="s">
        <v>67</v>
      </c>
      <c r="AY11" s="5" t="s">
        <v>74</v>
      </c>
      <c r="AZ11" s="7" t="s">
        <v>62</v>
      </c>
      <c r="BA11" s="7" t="s">
        <v>67</v>
      </c>
      <c r="BB11" s="8">
        <v>46101</v>
      </c>
      <c r="BC11"/>
      <c r="BD11"/>
    </row>
    <row r="12" spans="1:56" s="10" customFormat="1" ht="18.75" customHeight="1" x14ac:dyDescent="0.45">
      <c r="A12" s="5" t="s">
        <v>110</v>
      </c>
      <c r="B12" s="6">
        <v>770000</v>
      </c>
      <c r="C12" s="7" t="s">
        <v>111</v>
      </c>
      <c r="D12" s="8">
        <v>46094</v>
      </c>
      <c r="E12" s="8">
        <v>46111</v>
      </c>
      <c r="F12" s="8">
        <v>46111</v>
      </c>
      <c r="G12" s="5" t="s">
        <v>112</v>
      </c>
      <c r="H12" s="7" t="s">
        <v>56</v>
      </c>
      <c r="I12" s="7" t="s">
        <v>57</v>
      </c>
      <c r="J12" s="7" t="s">
        <v>93</v>
      </c>
      <c r="K12" s="5" t="s">
        <v>94</v>
      </c>
      <c r="L12" s="9">
        <v>770000</v>
      </c>
      <c r="M12" s="7" t="s">
        <v>60</v>
      </c>
      <c r="N12" s="5" t="s">
        <v>61</v>
      </c>
      <c r="O12" s="5"/>
      <c r="P12" s="9">
        <v>770000</v>
      </c>
      <c r="Q12" s="9">
        <v>770000</v>
      </c>
      <c r="R12" s="7" t="s">
        <v>62</v>
      </c>
      <c r="S12" s="7" t="s">
        <v>62</v>
      </c>
      <c r="T12" s="5"/>
      <c r="U12" s="5"/>
      <c r="V12" s="7" t="s">
        <v>63</v>
      </c>
      <c r="W12" s="7" t="s">
        <v>64</v>
      </c>
      <c r="X12" s="5" t="s">
        <v>65</v>
      </c>
      <c r="Y12" s="5" t="s">
        <v>66</v>
      </c>
      <c r="Z12" s="5" t="s">
        <v>67</v>
      </c>
      <c r="AA12" s="7" t="s">
        <v>62</v>
      </c>
      <c r="AB12" s="7" t="s">
        <v>63</v>
      </c>
      <c r="AC12" s="7" t="s">
        <v>62</v>
      </c>
      <c r="AD12" s="7" t="s">
        <v>62</v>
      </c>
      <c r="AE12" s="7" t="s">
        <v>62</v>
      </c>
      <c r="AF12" s="7" t="s">
        <v>62</v>
      </c>
      <c r="AG12" s="7" t="s">
        <v>113</v>
      </c>
      <c r="AH12" s="5" t="s">
        <v>110</v>
      </c>
      <c r="AI12" s="7" t="s">
        <v>114</v>
      </c>
      <c r="AJ12" s="5" t="s">
        <v>115</v>
      </c>
      <c r="AK12" s="7" t="s">
        <v>113</v>
      </c>
      <c r="AL12" s="5" t="s">
        <v>110</v>
      </c>
      <c r="AM12" s="7" t="s">
        <v>114</v>
      </c>
      <c r="AN12" s="5" t="s">
        <v>115</v>
      </c>
      <c r="AO12" s="7" t="s">
        <v>72</v>
      </c>
      <c r="AP12" s="5" t="s">
        <v>73</v>
      </c>
      <c r="AQ12" s="7" t="s">
        <v>62</v>
      </c>
      <c r="AR12" s="7" t="s">
        <v>62</v>
      </c>
      <c r="AS12" s="7" t="s">
        <v>62</v>
      </c>
      <c r="AT12" s="7" t="s">
        <v>62</v>
      </c>
      <c r="AU12" s="7" t="s">
        <v>62</v>
      </c>
      <c r="AV12" s="7" t="s">
        <v>62</v>
      </c>
      <c r="AW12" s="5" t="s">
        <v>67</v>
      </c>
      <c r="AX12" s="5" t="s">
        <v>67</v>
      </c>
      <c r="AY12" s="5" t="s">
        <v>74</v>
      </c>
      <c r="AZ12" s="7" t="s">
        <v>62</v>
      </c>
      <c r="BA12" s="7" t="s">
        <v>67</v>
      </c>
      <c r="BB12" s="8">
        <v>46105</v>
      </c>
      <c r="BC12"/>
      <c r="BD12"/>
    </row>
    <row r="13" spans="1:56" s="17" customFormat="1" ht="18.75" customHeight="1" x14ac:dyDescent="0.45">
      <c r="A13" s="5" t="s">
        <v>116</v>
      </c>
      <c r="B13" s="6">
        <v>500000</v>
      </c>
      <c r="C13" s="7" t="s">
        <v>117</v>
      </c>
      <c r="D13" s="8">
        <v>46097</v>
      </c>
      <c r="E13" s="8">
        <v>46134</v>
      </c>
      <c r="F13" s="8">
        <v>46118</v>
      </c>
      <c r="G13" s="5" t="s">
        <v>118</v>
      </c>
      <c r="H13" s="7" t="s">
        <v>119</v>
      </c>
      <c r="I13" s="7" t="s">
        <v>57</v>
      </c>
      <c r="J13" s="7" t="s">
        <v>120</v>
      </c>
      <c r="K13" s="5" t="s">
        <v>121</v>
      </c>
      <c r="L13" s="9">
        <v>500000</v>
      </c>
      <c r="M13" s="7" t="s">
        <v>60</v>
      </c>
      <c r="N13" s="5" t="s">
        <v>61</v>
      </c>
      <c r="O13" s="5"/>
      <c r="P13" s="9">
        <v>500000</v>
      </c>
      <c r="Q13" s="9">
        <v>500000</v>
      </c>
      <c r="R13" s="7" t="s">
        <v>62</v>
      </c>
      <c r="S13" s="7" t="s">
        <v>63</v>
      </c>
      <c r="T13" s="5"/>
      <c r="U13" s="5"/>
      <c r="V13" s="7" t="s">
        <v>63</v>
      </c>
      <c r="W13" s="7" t="s">
        <v>63</v>
      </c>
      <c r="X13" s="5"/>
      <c r="Y13" s="5"/>
      <c r="Z13" s="5"/>
      <c r="AA13" s="7" t="s">
        <v>63</v>
      </c>
      <c r="AB13" s="7" t="s">
        <v>63</v>
      </c>
      <c r="AC13" s="7" t="s">
        <v>63</v>
      </c>
      <c r="AD13" s="7" t="s">
        <v>63</v>
      </c>
      <c r="AE13" s="7" t="s">
        <v>63</v>
      </c>
      <c r="AF13" s="7" t="s">
        <v>63</v>
      </c>
      <c r="AG13" s="7" t="s">
        <v>122</v>
      </c>
      <c r="AH13" s="5" t="s">
        <v>116</v>
      </c>
      <c r="AI13" s="7" t="s">
        <v>123</v>
      </c>
      <c r="AJ13" s="5" t="s">
        <v>124</v>
      </c>
      <c r="AK13" s="7" t="s">
        <v>63</v>
      </c>
      <c r="AL13" s="5" t="s">
        <v>63</v>
      </c>
      <c r="AM13" s="7" t="s">
        <v>63</v>
      </c>
      <c r="AN13" s="5" t="s">
        <v>125</v>
      </c>
      <c r="AO13" s="7" t="s">
        <v>63</v>
      </c>
      <c r="AP13" s="5"/>
      <c r="AQ13" s="7" t="s">
        <v>63</v>
      </c>
      <c r="AR13" s="7" t="s">
        <v>63</v>
      </c>
      <c r="AS13" s="7" t="s">
        <v>63</v>
      </c>
      <c r="AT13" s="7" t="s">
        <v>63</v>
      </c>
      <c r="AU13" s="7" t="s">
        <v>63</v>
      </c>
      <c r="AV13" s="7" t="s">
        <v>63</v>
      </c>
      <c r="AW13" s="5"/>
      <c r="AX13" s="5"/>
      <c r="AY13" s="5" t="s">
        <v>126</v>
      </c>
      <c r="AZ13" s="7" t="s">
        <v>63</v>
      </c>
      <c r="BA13" s="7"/>
      <c r="BB13" s="8">
        <v>46118</v>
      </c>
      <c r="BC13"/>
      <c r="BD13"/>
    </row>
    <row r="14" spans="1:56" s="10" customFormat="1" ht="18.75" customHeight="1" x14ac:dyDescent="0.45">
      <c r="A14" s="5" t="s">
        <v>81</v>
      </c>
      <c r="B14" s="6">
        <v>159500</v>
      </c>
      <c r="C14" s="7" t="s">
        <v>127</v>
      </c>
      <c r="D14" s="8">
        <v>46100</v>
      </c>
      <c r="E14" s="8">
        <v>46106</v>
      </c>
      <c r="F14" s="8">
        <v>46105</v>
      </c>
      <c r="G14" s="5" t="s">
        <v>128</v>
      </c>
      <c r="H14" s="7" t="s">
        <v>56</v>
      </c>
      <c r="I14" s="7" t="s">
        <v>57</v>
      </c>
      <c r="J14" s="7" t="s">
        <v>93</v>
      </c>
      <c r="K14" s="5" t="s">
        <v>94</v>
      </c>
      <c r="L14" s="9">
        <v>159500</v>
      </c>
      <c r="M14" s="7" t="s">
        <v>60</v>
      </c>
      <c r="N14" s="5" t="s">
        <v>61</v>
      </c>
      <c r="O14" s="5"/>
      <c r="P14" s="9">
        <v>159500</v>
      </c>
      <c r="Q14" s="9">
        <v>159500</v>
      </c>
      <c r="R14" s="7" t="s">
        <v>62</v>
      </c>
      <c r="S14" s="7" t="s">
        <v>62</v>
      </c>
      <c r="T14" s="5"/>
      <c r="U14" s="5"/>
      <c r="V14" s="7" t="s">
        <v>63</v>
      </c>
      <c r="W14" s="7" t="s">
        <v>64</v>
      </c>
      <c r="X14" s="5" t="s">
        <v>65</v>
      </c>
      <c r="Y14" s="5" t="s">
        <v>66</v>
      </c>
      <c r="Z14" s="5" t="s">
        <v>67</v>
      </c>
      <c r="AA14" s="7" t="s">
        <v>62</v>
      </c>
      <c r="AB14" s="7" t="s">
        <v>63</v>
      </c>
      <c r="AC14" s="7" t="s">
        <v>68</v>
      </c>
      <c r="AD14" s="7" t="s">
        <v>62</v>
      </c>
      <c r="AE14" s="7" t="s">
        <v>62</v>
      </c>
      <c r="AF14" s="7" t="s">
        <v>62</v>
      </c>
      <c r="AG14" s="7" t="s">
        <v>87</v>
      </c>
      <c r="AH14" s="5" t="s">
        <v>81</v>
      </c>
      <c r="AI14" s="7" t="s">
        <v>88</v>
      </c>
      <c r="AJ14" s="5" t="s">
        <v>89</v>
      </c>
      <c r="AK14" s="7" t="s">
        <v>87</v>
      </c>
      <c r="AL14" s="5" t="s">
        <v>81</v>
      </c>
      <c r="AM14" s="7" t="s">
        <v>88</v>
      </c>
      <c r="AN14" s="5" t="s">
        <v>89</v>
      </c>
      <c r="AO14" s="7" t="s">
        <v>72</v>
      </c>
      <c r="AP14" s="5" t="s">
        <v>73</v>
      </c>
      <c r="AQ14" s="7" t="s">
        <v>62</v>
      </c>
      <c r="AR14" s="7" t="s">
        <v>62</v>
      </c>
      <c r="AS14" s="7" t="s">
        <v>62</v>
      </c>
      <c r="AT14" s="7" t="s">
        <v>62</v>
      </c>
      <c r="AU14" s="7" t="s">
        <v>62</v>
      </c>
      <c r="AV14" s="7" t="s">
        <v>62</v>
      </c>
      <c r="AW14" s="5" t="s">
        <v>67</v>
      </c>
      <c r="AX14" s="5" t="s">
        <v>67</v>
      </c>
      <c r="AY14" s="5" t="s">
        <v>74</v>
      </c>
      <c r="AZ14" s="7" t="s">
        <v>62</v>
      </c>
      <c r="BA14" s="7" t="s">
        <v>67</v>
      </c>
      <c r="BB14" s="8">
        <v>46104</v>
      </c>
      <c r="BC14"/>
      <c r="BD14"/>
    </row>
    <row r="15" spans="1:56" s="10" customFormat="1" ht="18.75" customHeight="1" x14ac:dyDescent="0.45">
      <c r="A15" s="5" t="s">
        <v>129</v>
      </c>
      <c r="B15" s="18">
        <v>3291400</v>
      </c>
      <c r="C15" s="7" t="s">
        <v>130</v>
      </c>
      <c r="D15" s="8">
        <v>46119</v>
      </c>
      <c r="E15" s="8">
        <v>46133</v>
      </c>
      <c r="F15" s="8">
        <v>46133</v>
      </c>
      <c r="G15" s="5" t="s">
        <v>131</v>
      </c>
      <c r="H15" s="7" t="s">
        <v>132</v>
      </c>
      <c r="I15" s="7" t="s">
        <v>57</v>
      </c>
      <c r="J15" s="7" t="s">
        <v>93</v>
      </c>
      <c r="K15" s="5" t="s">
        <v>94</v>
      </c>
      <c r="L15" s="9">
        <v>3291400</v>
      </c>
      <c r="M15" s="7" t="s">
        <v>60</v>
      </c>
      <c r="N15" s="5" t="s">
        <v>61</v>
      </c>
      <c r="O15" s="5"/>
      <c r="P15" s="9">
        <v>3291400</v>
      </c>
      <c r="Q15" s="9">
        <v>3291400</v>
      </c>
      <c r="R15" s="7" t="s">
        <v>62</v>
      </c>
      <c r="S15" s="7" t="s">
        <v>62</v>
      </c>
      <c r="T15" s="5"/>
      <c r="U15" s="5"/>
      <c r="V15" s="7" t="s">
        <v>63</v>
      </c>
      <c r="W15" s="7" t="s">
        <v>64</v>
      </c>
      <c r="X15" s="5" t="s">
        <v>65</v>
      </c>
      <c r="Y15" s="19" t="s">
        <v>133</v>
      </c>
      <c r="Z15" s="5" t="s">
        <v>67</v>
      </c>
      <c r="AA15" s="7" t="s">
        <v>62</v>
      </c>
      <c r="AB15" s="7" t="s">
        <v>63</v>
      </c>
      <c r="AC15" s="20" t="s">
        <v>134</v>
      </c>
      <c r="AD15" s="7" t="s">
        <v>62</v>
      </c>
      <c r="AE15" s="7" t="s">
        <v>62</v>
      </c>
      <c r="AF15" s="7" t="s">
        <v>68</v>
      </c>
      <c r="AG15" s="7" t="s">
        <v>135</v>
      </c>
      <c r="AH15" s="5" t="s">
        <v>129</v>
      </c>
      <c r="AI15" s="7"/>
      <c r="AJ15" s="5" t="s">
        <v>136</v>
      </c>
      <c r="AK15" s="7" t="s">
        <v>135</v>
      </c>
      <c r="AL15" s="5" t="s">
        <v>129</v>
      </c>
      <c r="AM15" s="7" t="s">
        <v>137</v>
      </c>
      <c r="AN15" s="5" t="s">
        <v>138</v>
      </c>
      <c r="AO15" s="7" t="s">
        <v>72</v>
      </c>
      <c r="AP15" s="5" t="s">
        <v>73</v>
      </c>
      <c r="AQ15" s="7" t="s">
        <v>62</v>
      </c>
      <c r="AR15" s="7" t="s">
        <v>62</v>
      </c>
      <c r="AS15" s="7" t="s">
        <v>62</v>
      </c>
      <c r="AT15" s="7" t="s">
        <v>62</v>
      </c>
      <c r="AU15" s="7" t="s">
        <v>62</v>
      </c>
      <c r="AV15" s="7" t="s">
        <v>62</v>
      </c>
      <c r="AW15" s="5" t="s">
        <v>67</v>
      </c>
      <c r="AX15" s="5" t="s">
        <v>67</v>
      </c>
      <c r="AY15" s="5" t="s">
        <v>74</v>
      </c>
      <c r="AZ15" s="20" t="s">
        <v>68</v>
      </c>
      <c r="BA15" s="7" t="s">
        <v>139</v>
      </c>
      <c r="BB15" s="8">
        <v>46129</v>
      </c>
      <c r="BC15"/>
      <c r="BD15"/>
    </row>
    <row r="16" spans="1:56" s="21" customFormat="1" ht="18.75" customHeight="1" x14ac:dyDescent="0.45">
      <c r="A16" s="11" t="s">
        <v>140</v>
      </c>
      <c r="B16" s="12">
        <v>103145000</v>
      </c>
      <c r="C16" s="13" t="s">
        <v>141</v>
      </c>
      <c r="D16" s="14">
        <v>46125</v>
      </c>
      <c r="E16" s="14">
        <v>46142</v>
      </c>
      <c r="F16" s="14">
        <v>46141</v>
      </c>
      <c r="G16" s="11" t="s">
        <v>142</v>
      </c>
      <c r="H16" s="13" t="s">
        <v>56</v>
      </c>
      <c r="I16" s="13" t="s">
        <v>57</v>
      </c>
      <c r="J16" s="13" t="s">
        <v>143</v>
      </c>
      <c r="K16" s="11" t="s">
        <v>144</v>
      </c>
      <c r="L16" s="15">
        <v>103145000</v>
      </c>
      <c r="M16" s="13" t="s">
        <v>60</v>
      </c>
      <c r="N16" s="11" t="s">
        <v>61</v>
      </c>
      <c r="O16" s="11"/>
      <c r="P16" s="15">
        <v>103145000</v>
      </c>
      <c r="Q16" s="15">
        <v>103145000</v>
      </c>
      <c r="R16" s="13" t="s">
        <v>62</v>
      </c>
      <c r="S16" s="13" t="s">
        <v>62</v>
      </c>
      <c r="T16" s="11"/>
      <c r="U16" s="11"/>
      <c r="V16" s="13" t="s">
        <v>63</v>
      </c>
      <c r="W16" s="13" t="s">
        <v>64</v>
      </c>
      <c r="X16" s="11" t="s">
        <v>65</v>
      </c>
      <c r="Y16" s="11" t="s">
        <v>66</v>
      </c>
      <c r="Z16" s="11" t="s">
        <v>67</v>
      </c>
      <c r="AA16" s="13" t="s">
        <v>62</v>
      </c>
      <c r="AB16" s="13" t="s">
        <v>63</v>
      </c>
      <c r="AC16" s="13" t="s">
        <v>68</v>
      </c>
      <c r="AD16" s="13" t="s">
        <v>62</v>
      </c>
      <c r="AE16" s="13" t="s">
        <v>62</v>
      </c>
      <c r="AF16" s="13" t="s">
        <v>62</v>
      </c>
      <c r="AG16" s="13" t="s">
        <v>145</v>
      </c>
      <c r="AH16" s="11" t="s">
        <v>140</v>
      </c>
      <c r="AI16" s="13" t="s">
        <v>146</v>
      </c>
      <c r="AJ16" s="11" t="s">
        <v>147</v>
      </c>
      <c r="AK16" s="13" t="s">
        <v>145</v>
      </c>
      <c r="AL16" s="11" t="s">
        <v>63</v>
      </c>
      <c r="AM16" s="13" t="s">
        <v>146</v>
      </c>
      <c r="AN16" s="11" t="s">
        <v>147</v>
      </c>
      <c r="AO16" s="13" t="s">
        <v>148</v>
      </c>
      <c r="AP16" s="11" t="s">
        <v>149</v>
      </c>
      <c r="AQ16" s="13" t="s">
        <v>62</v>
      </c>
      <c r="AR16" s="13" t="s">
        <v>62</v>
      </c>
      <c r="AS16" s="13" t="s">
        <v>62</v>
      </c>
      <c r="AT16" s="13" t="s">
        <v>62</v>
      </c>
      <c r="AU16" s="13" t="s">
        <v>62</v>
      </c>
      <c r="AV16" s="13" t="s">
        <v>62</v>
      </c>
      <c r="AW16" s="11" t="s">
        <v>67</v>
      </c>
      <c r="AX16" s="11" t="s">
        <v>67</v>
      </c>
      <c r="AY16" s="11" t="s">
        <v>74</v>
      </c>
      <c r="AZ16" s="13" t="s">
        <v>62</v>
      </c>
      <c r="BA16" s="13" t="s">
        <v>67</v>
      </c>
      <c r="BB16" s="14">
        <v>46140</v>
      </c>
      <c r="BC16" s="16"/>
      <c r="BD16" s="16"/>
    </row>
    <row r="17" spans="1:56" s="16" customFormat="1" ht="18.75" customHeight="1" x14ac:dyDescent="0.45">
      <c r="A17" s="11" t="s">
        <v>140</v>
      </c>
      <c r="B17" s="12">
        <v>34600000</v>
      </c>
      <c r="C17" s="13" t="s">
        <v>150</v>
      </c>
      <c r="D17" s="14">
        <v>46127</v>
      </c>
      <c r="E17" s="14">
        <v>46134</v>
      </c>
      <c r="F17" s="14">
        <v>46133</v>
      </c>
      <c r="G17" s="11" t="s">
        <v>151</v>
      </c>
      <c r="H17" s="13" t="s">
        <v>56</v>
      </c>
      <c r="I17" s="13" t="s">
        <v>57</v>
      </c>
      <c r="J17" s="13" t="s">
        <v>152</v>
      </c>
      <c r="K17" s="11" t="s">
        <v>153</v>
      </c>
      <c r="L17" s="15">
        <v>34600000</v>
      </c>
      <c r="M17" s="13" t="s">
        <v>60</v>
      </c>
      <c r="N17" s="11" t="s">
        <v>61</v>
      </c>
      <c r="O17" s="11"/>
      <c r="P17" s="15">
        <v>34600000</v>
      </c>
      <c r="Q17" s="15">
        <v>34600000</v>
      </c>
      <c r="R17" s="13" t="s">
        <v>62</v>
      </c>
      <c r="S17" s="13" t="s">
        <v>62</v>
      </c>
      <c r="T17" s="11"/>
      <c r="U17" s="11"/>
      <c r="V17" s="13" t="s">
        <v>63</v>
      </c>
      <c r="W17" s="13" t="s">
        <v>64</v>
      </c>
      <c r="X17" s="11" t="s">
        <v>65</v>
      </c>
      <c r="Y17" s="11" t="s">
        <v>66</v>
      </c>
      <c r="Z17" s="11" t="s">
        <v>67</v>
      </c>
      <c r="AA17" s="13" t="s">
        <v>62</v>
      </c>
      <c r="AB17" s="13" t="s">
        <v>63</v>
      </c>
      <c r="AC17" s="13" t="s">
        <v>68</v>
      </c>
      <c r="AD17" s="13" t="s">
        <v>62</v>
      </c>
      <c r="AE17" s="13" t="s">
        <v>62</v>
      </c>
      <c r="AF17" s="13" t="s">
        <v>62</v>
      </c>
      <c r="AG17" s="13" t="s">
        <v>145</v>
      </c>
      <c r="AH17" s="11" t="s">
        <v>140</v>
      </c>
      <c r="AI17" s="13" t="s">
        <v>146</v>
      </c>
      <c r="AJ17" s="11" t="s">
        <v>147</v>
      </c>
      <c r="AK17" s="13" t="s">
        <v>145</v>
      </c>
      <c r="AL17" s="11" t="s">
        <v>63</v>
      </c>
      <c r="AM17" s="13" t="s">
        <v>146</v>
      </c>
      <c r="AN17" s="11" t="s">
        <v>147</v>
      </c>
      <c r="AO17" s="13" t="s">
        <v>148</v>
      </c>
      <c r="AP17" s="11" t="s">
        <v>149</v>
      </c>
      <c r="AQ17" s="13" t="s">
        <v>62</v>
      </c>
      <c r="AR17" s="13" t="s">
        <v>62</v>
      </c>
      <c r="AS17" s="13" t="s">
        <v>62</v>
      </c>
      <c r="AT17" s="13" t="s">
        <v>62</v>
      </c>
      <c r="AU17" s="13" t="s">
        <v>62</v>
      </c>
      <c r="AV17" s="13" t="s">
        <v>62</v>
      </c>
      <c r="AW17" s="11" t="s">
        <v>67</v>
      </c>
      <c r="AX17" s="11" t="s">
        <v>67</v>
      </c>
      <c r="AY17" s="11" t="s">
        <v>74</v>
      </c>
      <c r="AZ17" s="13" t="s">
        <v>62</v>
      </c>
      <c r="BA17" s="13" t="s">
        <v>67</v>
      </c>
      <c r="BB17" s="14">
        <v>46132</v>
      </c>
    </row>
    <row r="18" spans="1:56" s="10" customFormat="1" ht="18.75" customHeight="1" x14ac:dyDescent="0.45">
      <c r="A18" s="5" t="s">
        <v>116</v>
      </c>
      <c r="B18" s="6">
        <v>500000</v>
      </c>
      <c r="C18" s="7" t="s">
        <v>154</v>
      </c>
      <c r="D18" s="8">
        <v>46128</v>
      </c>
      <c r="E18" s="8">
        <v>46164</v>
      </c>
      <c r="F18" s="8">
        <v>46149</v>
      </c>
      <c r="G18" s="5" t="s">
        <v>155</v>
      </c>
      <c r="H18" s="7" t="s">
        <v>119</v>
      </c>
      <c r="I18" s="7" t="s">
        <v>57</v>
      </c>
      <c r="J18" s="7" t="s">
        <v>120</v>
      </c>
      <c r="K18" s="5" t="s">
        <v>121</v>
      </c>
      <c r="L18" s="9">
        <v>500000</v>
      </c>
      <c r="M18" s="7" t="s">
        <v>60</v>
      </c>
      <c r="N18" s="5" t="s">
        <v>61</v>
      </c>
      <c r="O18" s="5"/>
      <c r="P18" s="9">
        <v>500000</v>
      </c>
      <c r="Q18" s="9">
        <v>500000</v>
      </c>
      <c r="R18" s="7" t="s">
        <v>62</v>
      </c>
      <c r="S18" s="7" t="s">
        <v>63</v>
      </c>
      <c r="T18" s="5"/>
      <c r="U18" s="5"/>
      <c r="V18" s="7" t="s">
        <v>63</v>
      </c>
      <c r="W18" s="7" t="s">
        <v>63</v>
      </c>
      <c r="X18" s="5"/>
      <c r="Y18" s="5"/>
      <c r="Z18" s="5"/>
      <c r="AA18" s="7" t="s">
        <v>63</v>
      </c>
      <c r="AB18" s="7" t="s">
        <v>63</v>
      </c>
      <c r="AC18" s="7" t="s">
        <v>63</v>
      </c>
      <c r="AD18" s="7" t="s">
        <v>63</v>
      </c>
      <c r="AE18" s="7" t="s">
        <v>63</v>
      </c>
      <c r="AF18" s="7" t="s">
        <v>63</v>
      </c>
      <c r="AG18" s="7" t="s">
        <v>122</v>
      </c>
      <c r="AH18" s="5" t="s">
        <v>116</v>
      </c>
      <c r="AI18" s="7" t="s">
        <v>123</v>
      </c>
      <c r="AJ18" s="5" t="s">
        <v>124</v>
      </c>
      <c r="AK18" s="7" t="s">
        <v>63</v>
      </c>
      <c r="AL18" s="5" t="s">
        <v>63</v>
      </c>
      <c r="AM18" s="7" t="s">
        <v>63</v>
      </c>
      <c r="AN18" s="5" t="s">
        <v>125</v>
      </c>
      <c r="AO18" s="7" t="s">
        <v>63</v>
      </c>
      <c r="AP18" s="5"/>
      <c r="AQ18" s="7" t="s">
        <v>63</v>
      </c>
      <c r="AR18" s="7" t="s">
        <v>63</v>
      </c>
      <c r="AS18" s="7" t="s">
        <v>63</v>
      </c>
      <c r="AT18" s="7" t="s">
        <v>63</v>
      </c>
      <c r="AU18" s="7" t="s">
        <v>63</v>
      </c>
      <c r="AV18" s="7" t="s">
        <v>63</v>
      </c>
      <c r="AW18" s="5"/>
      <c r="AX18" s="5"/>
      <c r="AY18" s="5" t="s">
        <v>126</v>
      </c>
      <c r="AZ18" s="7" t="s">
        <v>63</v>
      </c>
      <c r="BA18" s="7"/>
      <c r="BB18" s="8">
        <v>46149</v>
      </c>
      <c r="BC18"/>
      <c r="BD18"/>
    </row>
    <row r="19" spans="1:56" s="10" customFormat="1" ht="18.75" customHeight="1" x14ac:dyDescent="0.45">
      <c r="A19" s="5" t="s">
        <v>81</v>
      </c>
      <c r="B19" s="6">
        <v>159500</v>
      </c>
      <c r="C19" s="7" t="s">
        <v>156</v>
      </c>
      <c r="D19" s="8">
        <v>46132</v>
      </c>
      <c r="E19" s="8">
        <v>46140</v>
      </c>
      <c r="F19" s="8">
        <v>46140</v>
      </c>
      <c r="G19" s="5" t="s">
        <v>157</v>
      </c>
      <c r="H19" s="7" t="s">
        <v>56</v>
      </c>
      <c r="I19" s="7" t="s">
        <v>57</v>
      </c>
      <c r="J19" s="7" t="s">
        <v>93</v>
      </c>
      <c r="K19" s="5" t="s">
        <v>94</v>
      </c>
      <c r="L19" s="9">
        <v>159500</v>
      </c>
      <c r="M19" s="7" t="s">
        <v>60</v>
      </c>
      <c r="N19" s="5" t="s">
        <v>61</v>
      </c>
      <c r="O19" s="5"/>
      <c r="P19" s="9">
        <v>159500</v>
      </c>
      <c r="Q19" s="9">
        <v>159500</v>
      </c>
      <c r="R19" s="7" t="s">
        <v>62</v>
      </c>
      <c r="S19" s="7" t="s">
        <v>62</v>
      </c>
      <c r="T19" s="5"/>
      <c r="U19" s="5"/>
      <c r="V19" s="7" t="s">
        <v>63</v>
      </c>
      <c r="W19" s="7" t="s">
        <v>64</v>
      </c>
      <c r="X19" s="5" t="s">
        <v>65</v>
      </c>
      <c r="Y19" s="5" t="s">
        <v>66</v>
      </c>
      <c r="Z19" s="5" t="s">
        <v>67</v>
      </c>
      <c r="AA19" s="7" t="s">
        <v>62</v>
      </c>
      <c r="AB19" s="7" t="s">
        <v>63</v>
      </c>
      <c r="AC19" s="7" t="s">
        <v>68</v>
      </c>
      <c r="AD19" s="7" t="s">
        <v>62</v>
      </c>
      <c r="AE19" s="7" t="s">
        <v>62</v>
      </c>
      <c r="AF19" s="7" t="s">
        <v>62</v>
      </c>
      <c r="AG19" s="7" t="s">
        <v>87</v>
      </c>
      <c r="AH19" s="5" t="s">
        <v>81</v>
      </c>
      <c r="AI19" s="7" t="s">
        <v>88</v>
      </c>
      <c r="AJ19" s="5" t="s">
        <v>89</v>
      </c>
      <c r="AK19" s="7" t="s">
        <v>87</v>
      </c>
      <c r="AL19" s="5" t="s">
        <v>81</v>
      </c>
      <c r="AM19" s="7" t="s">
        <v>88</v>
      </c>
      <c r="AN19" s="5" t="s">
        <v>89</v>
      </c>
      <c r="AO19" s="7" t="s">
        <v>72</v>
      </c>
      <c r="AP19" s="5" t="s">
        <v>73</v>
      </c>
      <c r="AQ19" s="7" t="s">
        <v>62</v>
      </c>
      <c r="AR19" s="7" t="s">
        <v>62</v>
      </c>
      <c r="AS19" s="7" t="s">
        <v>62</v>
      </c>
      <c r="AT19" s="7" t="s">
        <v>62</v>
      </c>
      <c r="AU19" s="7" t="s">
        <v>62</v>
      </c>
      <c r="AV19" s="7" t="s">
        <v>62</v>
      </c>
      <c r="AW19" s="5" t="s">
        <v>67</v>
      </c>
      <c r="AX19" s="5" t="s">
        <v>67</v>
      </c>
      <c r="AY19" s="5" t="s">
        <v>74</v>
      </c>
      <c r="AZ19" s="7" t="s">
        <v>62</v>
      </c>
      <c r="BA19" s="7" t="s">
        <v>67</v>
      </c>
      <c r="BB19" s="8">
        <v>46135</v>
      </c>
      <c r="BC19"/>
      <c r="BD19"/>
    </row>
    <row r="20" spans="1:56" s="27" customFormat="1" ht="18.75" customHeight="1" x14ac:dyDescent="0.45">
      <c r="A20" s="22" t="s">
        <v>158</v>
      </c>
      <c r="B20" s="23">
        <v>10999945</v>
      </c>
      <c r="C20"/>
      <c r="D20"/>
      <c r="E20"/>
      <c r="F20"/>
      <c r="G20" s="24" t="s">
        <v>159</v>
      </c>
      <c r="H20" s="25" t="s">
        <v>160</v>
      </c>
      <c r="I20"/>
      <c r="J20"/>
      <c r="K20" s="24" t="s">
        <v>161</v>
      </c>
      <c r="L20"/>
      <c r="M20"/>
      <c r="N20"/>
      <c r="O20"/>
      <c r="P20"/>
      <c r="Q20" s="26">
        <v>10999945</v>
      </c>
      <c r="R20"/>
      <c r="S20"/>
      <c r="T20"/>
      <c r="U20"/>
      <c r="V20"/>
      <c r="W20"/>
      <c r="X20"/>
      <c r="Y20"/>
      <c r="Z20"/>
      <c r="AA20"/>
      <c r="AB20"/>
      <c r="AC20" s="7" t="s">
        <v>68</v>
      </c>
      <c r="AD20" s="7" t="s">
        <v>68</v>
      </c>
      <c r="AE20" s="7" t="s">
        <v>134</v>
      </c>
      <c r="AF20"/>
      <c r="AG20"/>
      <c r="AH20"/>
      <c r="AI20"/>
      <c r="AJ20"/>
      <c r="AK20"/>
      <c r="AL20"/>
      <c r="AM20"/>
      <c r="AN20"/>
      <c r="AO20"/>
      <c r="AP20"/>
      <c r="AQ20" s="7" t="s">
        <v>68</v>
      </c>
      <c r="AR20"/>
      <c r="AS20"/>
      <c r="AT20"/>
      <c r="AU20"/>
      <c r="AV20"/>
      <c r="AW20"/>
      <c r="AX20"/>
      <c r="AY20"/>
      <c r="AZ20"/>
      <c r="BA20"/>
      <c r="BB20"/>
      <c r="BC20"/>
      <c r="BD20"/>
    </row>
    <row r="21" spans="1:56" s="10" customFormat="1" ht="18.75" customHeight="1" x14ac:dyDescent="0.45">
      <c r="A21" s="22" t="s">
        <v>162</v>
      </c>
      <c r="B21" s="23">
        <v>2000000</v>
      </c>
      <c r="C21"/>
      <c r="D21"/>
      <c r="E21"/>
      <c r="F21"/>
      <c r="G21" s="24" t="s">
        <v>163</v>
      </c>
      <c r="H21" s="25" t="s">
        <v>160</v>
      </c>
      <c r="I21"/>
      <c r="J21"/>
      <c r="K21" s="24" t="s">
        <v>164</v>
      </c>
      <c r="L21"/>
      <c r="M21"/>
      <c r="N21"/>
      <c r="O21"/>
      <c r="P21"/>
      <c r="Q21" s="26">
        <v>2000000</v>
      </c>
      <c r="R21"/>
      <c r="S21"/>
      <c r="T21"/>
      <c r="U21"/>
      <c r="V21"/>
      <c r="W21"/>
      <c r="X21"/>
      <c r="Y21"/>
      <c r="Z21"/>
      <c r="AA21"/>
      <c r="AB21"/>
      <c r="AC21" s="7" t="s">
        <v>68</v>
      </c>
      <c r="AD21" s="7" t="s">
        <v>68</v>
      </c>
      <c r="AE21" s="28"/>
      <c r="AF21"/>
      <c r="AG21"/>
      <c r="AH21"/>
      <c r="AI21"/>
      <c r="AJ21"/>
      <c r="AK21"/>
      <c r="AL21"/>
      <c r="AM21"/>
      <c r="AN21"/>
      <c r="AO21"/>
      <c r="AP21"/>
      <c r="AQ21"/>
      <c r="AR21" s="28"/>
      <c r="AS21"/>
      <c r="AT21"/>
      <c r="AU21"/>
      <c r="AV21"/>
      <c r="AW21"/>
      <c r="AX21"/>
      <c r="AY21"/>
      <c r="AZ21"/>
      <c r="BA21"/>
      <c r="BB21"/>
      <c r="BC21"/>
      <c r="BD21"/>
    </row>
    <row r="22" spans="1:56" s="30" customFormat="1" ht="12" customHeight="1" x14ac:dyDescent="0.45">
      <c r="A22" s="29" t="s">
        <v>165</v>
      </c>
      <c r="H22" s="31"/>
    </row>
    <row r="23" spans="1:56" ht="18.75" customHeight="1" x14ac:dyDescent="0.45">
      <c r="A23" s="32" t="s">
        <v>166</v>
      </c>
      <c r="B23" s="33">
        <v>13000000</v>
      </c>
      <c r="C23" s="34"/>
      <c r="D23" s="34"/>
      <c r="E23" s="34"/>
      <c r="F23" s="33">
        <v>13000000</v>
      </c>
      <c r="G23" s="35" t="s">
        <v>167</v>
      </c>
      <c r="H23" s="36" t="s">
        <v>160</v>
      </c>
      <c r="K23" s="35" t="s">
        <v>161</v>
      </c>
      <c r="Q23" s="33">
        <v>13000000</v>
      </c>
      <c r="R23" s="34"/>
      <c r="S23" s="34"/>
      <c r="T23" s="35"/>
      <c r="U23" s="35"/>
      <c r="V23" s="34"/>
      <c r="W23" s="34"/>
      <c r="X23" s="35"/>
      <c r="Y23" s="35"/>
      <c r="Z23" s="35"/>
      <c r="AA23" s="34"/>
      <c r="AB23" s="34"/>
      <c r="AC23" s="34"/>
      <c r="AD23" s="34"/>
      <c r="AE23" s="34"/>
      <c r="AF23" s="34"/>
      <c r="AH23" s="32" t="s">
        <v>166</v>
      </c>
      <c r="AI23" s="34" t="s">
        <v>168</v>
      </c>
      <c r="AJ23" s="35" t="s">
        <v>169</v>
      </c>
      <c r="AK23" s="34"/>
      <c r="AL23" s="35"/>
      <c r="AM23" s="34"/>
      <c r="AN23" s="35"/>
      <c r="AO23" s="34"/>
      <c r="AP23" s="35"/>
      <c r="AQ23" s="34"/>
      <c r="AR23" s="34"/>
      <c r="AS23" s="34"/>
      <c r="AT23" s="34"/>
      <c r="AU23" s="34"/>
      <c r="AV23" s="34"/>
      <c r="AW23" s="35"/>
      <c r="AX23" s="35"/>
      <c r="AY23" s="35" t="s">
        <v>74</v>
      </c>
      <c r="AZ23" s="34"/>
      <c r="BA23" s="34"/>
      <c r="BB23" s="34">
        <v>45729</v>
      </c>
    </row>
    <row r="24" spans="1:56" ht="18.75" customHeight="1" x14ac:dyDescent="0.45">
      <c r="A24" s="32" t="s">
        <v>170</v>
      </c>
      <c r="B24" s="33">
        <v>215140000</v>
      </c>
      <c r="C24" s="34"/>
      <c r="D24" s="34"/>
      <c r="E24" s="34"/>
      <c r="F24" s="37">
        <v>215140000</v>
      </c>
      <c r="G24" s="35" t="s">
        <v>171</v>
      </c>
      <c r="H24" s="34" t="s">
        <v>84</v>
      </c>
      <c r="K24" s="35" t="s">
        <v>172</v>
      </c>
      <c r="Q24" s="38">
        <f>215140000-B16</f>
        <v>111995000</v>
      </c>
      <c r="R24" s="34" t="s">
        <v>62</v>
      </c>
      <c r="S24" s="34" t="s">
        <v>62</v>
      </c>
      <c r="T24" s="35"/>
      <c r="U24" s="35"/>
      <c r="V24" s="34" t="s">
        <v>63</v>
      </c>
      <c r="W24" s="34" t="s">
        <v>64</v>
      </c>
      <c r="X24" s="35" t="s">
        <v>65</v>
      </c>
      <c r="Y24" s="35" t="s">
        <v>66</v>
      </c>
      <c r="Z24" s="35" t="s">
        <v>67</v>
      </c>
      <c r="AA24" s="34" t="s">
        <v>62</v>
      </c>
      <c r="AB24" s="34" t="s">
        <v>63</v>
      </c>
      <c r="AC24" s="39" t="s">
        <v>68</v>
      </c>
      <c r="AD24" s="34" t="s">
        <v>62</v>
      </c>
      <c r="AE24" s="34" t="s">
        <v>62</v>
      </c>
      <c r="AF24" s="34" t="s">
        <v>62</v>
      </c>
      <c r="AH24" s="32" t="s">
        <v>170</v>
      </c>
      <c r="AI24" s="34" t="s">
        <v>146</v>
      </c>
      <c r="AJ24" s="35" t="s">
        <v>147</v>
      </c>
      <c r="AK24" s="34" t="s">
        <v>145</v>
      </c>
      <c r="AL24" s="35" t="s">
        <v>63</v>
      </c>
      <c r="AM24" s="34" t="s">
        <v>146</v>
      </c>
      <c r="AN24" s="35" t="s">
        <v>147</v>
      </c>
      <c r="AO24" s="34" t="s">
        <v>148</v>
      </c>
      <c r="AP24" s="35" t="s">
        <v>149</v>
      </c>
      <c r="AQ24" s="34" t="s">
        <v>62</v>
      </c>
      <c r="AR24" s="34" t="s">
        <v>62</v>
      </c>
      <c r="AS24" s="34" t="s">
        <v>62</v>
      </c>
      <c r="AT24" s="34" t="s">
        <v>62</v>
      </c>
      <c r="AU24" s="34" t="s">
        <v>62</v>
      </c>
      <c r="AV24" s="34" t="s">
        <v>62</v>
      </c>
      <c r="AW24" s="35" t="s">
        <v>67</v>
      </c>
      <c r="AX24" s="35" t="s">
        <v>67</v>
      </c>
      <c r="AY24" s="35" t="s">
        <v>74</v>
      </c>
      <c r="AZ24" s="34" t="s">
        <v>62</v>
      </c>
      <c r="BA24" s="34" t="s">
        <v>67</v>
      </c>
      <c r="BB24" s="34">
        <v>45749</v>
      </c>
    </row>
    <row r="25" spans="1:56" ht="18.75" customHeight="1" x14ac:dyDescent="0.45">
      <c r="A25" s="32" t="s">
        <v>173</v>
      </c>
      <c r="B25" s="33">
        <v>20000000</v>
      </c>
      <c r="C25" s="34"/>
      <c r="D25" s="34"/>
      <c r="E25" s="34"/>
      <c r="F25" s="33">
        <v>20000000</v>
      </c>
      <c r="G25" s="35" t="s">
        <v>174</v>
      </c>
      <c r="H25" s="36" t="s">
        <v>160</v>
      </c>
      <c r="K25" s="35" t="s">
        <v>161</v>
      </c>
      <c r="Q25" s="33">
        <v>20000000</v>
      </c>
      <c r="R25" s="34"/>
      <c r="S25" s="34"/>
      <c r="T25" s="35"/>
      <c r="U25" s="35"/>
      <c r="V25" s="34"/>
      <c r="W25" s="34"/>
      <c r="X25" s="35"/>
      <c r="Y25" s="35"/>
      <c r="Z25" s="35"/>
      <c r="AA25" s="34"/>
      <c r="AB25" s="34"/>
      <c r="AC25" s="34"/>
      <c r="AD25" s="34"/>
      <c r="AE25" s="34"/>
      <c r="AF25" s="34"/>
      <c r="AH25" s="32" t="s">
        <v>173</v>
      </c>
      <c r="AI25" s="34"/>
      <c r="AJ25" s="35"/>
      <c r="AK25" s="34"/>
      <c r="AL25" s="35"/>
      <c r="AM25" s="34"/>
      <c r="AN25" s="35"/>
      <c r="AO25" s="34"/>
      <c r="AP25" s="35"/>
      <c r="AQ25" s="34"/>
      <c r="AR25" s="34"/>
      <c r="AS25" s="34"/>
      <c r="AT25" s="34"/>
      <c r="AU25" s="34"/>
      <c r="AV25" s="34"/>
      <c r="AW25" s="35"/>
      <c r="AX25" s="35"/>
      <c r="AY25" s="35"/>
      <c r="AZ25" s="34"/>
      <c r="BA25" s="34"/>
      <c r="BB25" s="34"/>
    </row>
    <row r="26" spans="1:56" ht="18.75" customHeight="1" x14ac:dyDescent="0.45">
      <c r="A26" s="32" t="s">
        <v>170</v>
      </c>
      <c r="B26" s="33">
        <v>69310000</v>
      </c>
      <c r="C26" s="34"/>
      <c r="D26" s="34"/>
      <c r="E26" s="34"/>
      <c r="F26" s="37">
        <v>69310000</v>
      </c>
      <c r="G26" s="35" t="s">
        <v>175</v>
      </c>
      <c r="H26" s="34" t="s">
        <v>84</v>
      </c>
      <c r="K26" s="35" t="s">
        <v>176</v>
      </c>
      <c r="Q26" s="38">
        <f>69310000-B17</f>
        <v>34710000</v>
      </c>
      <c r="R26" s="34" t="s">
        <v>62</v>
      </c>
      <c r="S26" s="34" t="s">
        <v>62</v>
      </c>
      <c r="T26" s="35"/>
      <c r="U26" s="35"/>
      <c r="V26" s="34" t="s">
        <v>63</v>
      </c>
      <c r="W26" s="34" t="s">
        <v>64</v>
      </c>
      <c r="X26" s="35" t="s">
        <v>65</v>
      </c>
      <c r="Y26" s="35" t="s">
        <v>66</v>
      </c>
      <c r="Z26" s="35" t="s">
        <v>67</v>
      </c>
      <c r="AA26" s="34" t="s">
        <v>62</v>
      </c>
      <c r="AB26" s="34" t="s">
        <v>63</v>
      </c>
      <c r="AC26" s="39" t="s">
        <v>68</v>
      </c>
      <c r="AD26" s="34" t="s">
        <v>62</v>
      </c>
      <c r="AE26" s="34" t="s">
        <v>62</v>
      </c>
      <c r="AF26" s="34" t="s">
        <v>62</v>
      </c>
      <c r="AH26" s="32" t="s">
        <v>170</v>
      </c>
      <c r="AI26" s="34" t="s">
        <v>177</v>
      </c>
      <c r="AJ26" s="35" t="s">
        <v>178</v>
      </c>
      <c r="AK26" s="34" t="s">
        <v>179</v>
      </c>
      <c r="AL26" s="35" t="s">
        <v>63</v>
      </c>
      <c r="AM26" s="34" t="s">
        <v>177</v>
      </c>
      <c r="AN26" s="35" t="s">
        <v>178</v>
      </c>
      <c r="AO26" s="34" t="s">
        <v>148</v>
      </c>
      <c r="AP26" s="35" t="s">
        <v>149</v>
      </c>
      <c r="AQ26" s="34" t="s">
        <v>62</v>
      </c>
      <c r="AR26" s="34" t="s">
        <v>62</v>
      </c>
      <c r="AS26" s="34" t="s">
        <v>62</v>
      </c>
      <c r="AT26" s="34" t="s">
        <v>62</v>
      </c>
      <c r="AU26" s="34" t="s">
        <v>62</v>
      </c>
      <c r="AV26" s="34" t="s">
        <v>62</v>
      </c>
      <c r="AW26" s="35" t="s">
        <v>67</v>
      </c>
      <c r="AX26" s="35" t="s">
        <v>67</v>
      </c>
      <c r="AY26" s="35" t="s">
        <v>74</v>
      </c>
      <c r="AZ26" s="34" t="s">
        <v>62</v>
      </c>
      <c r="BA26" s="34" t="s">
        <v>67</v>
      </c>
      <c r="BB26" s="34">
        <v>45848</v>
      </c>
    </row>
    <row r="27" spans="1:56" ht="18.75" customHeight="1" x14ac:dyDescent="0.45">
      <c r="A27" s="32" t="s">
        <v>180</v>
      </c>
      <c r="B27" s="33">
        <v>8000000</v>
      </c>
      <c r="C27" s="34"/>
      <c r="D27" s="34"/>
      <c r="E27" s="34"/>
      <c r="F27" s="33">
        <v>8000000</v>
      </c>
      <c r="G27" s="35" t="s">
        <v>181</v>
      </c>
      <c r="H27" s="34" t="s">
        <v>84</v>
      </c>
      <c r="K27" s="35" t="s">
        <v>182</v>
      </c>
      <c r="Q27" s="33">
        <v>8000000</v>
      </c>
      <c r="R27" s="34" t="s">
        <v>62</v>
      </c>
      <c r="S27" s="34" t="s">
        <v>62</v>
      </c>
      <c r="T27" s="35"/>
      <c r="U27" s="35"/>
      <c r="V27" s="34" t="s">
        <v>63</v>
      </c>
      <c r="W27" s="34" t="s">
        <v>64</v>
      </c>
      <c r="X27" s="35" t="s">
        <v>65</v>
      </c>
      <c r="Y27" s="35" t="s">
        <v>66</v>
      </c>
      <c r="Z27" s="35" t="s">
        <v>67</v>
      </c>
      <c r="AA27" s="34" t="s">
        <v>62</v>
      </c>
      <c r="AB27" s="34" t="s">
        <v>63</v>
      </c>
      <c r="AC27" s="34" t="s">
        <v>183</v>
      </c>
      <c r="AD27" s="34" t="s">
        <v>62</v>
      </c>
      <c r="AE27" s="34" t="s">
        <v>62</v>
      </c>
      <c r="AF27" s="34" t="s">
        <v>62</v>
      </c>
      <c r="AH27" s="32" t="s">
        <v>180</v>
      </c>
      <c r="AI27" s="34" t="s">
        <v>106</v>
      </c>
      <c r="AJ27" s="35" t="s">
        <v>107</v>
      </c>
      <c r="AK27" s="34" t="s">
        <v>105</v>
      </c>
      <c r="AL27" s="35" t="s">
        <v>63</v>
      </c>
      <c r="AM27" s="34" t="s">
        <v>106</v>
      </c>
      <c r="AN27" s="35" t="s">
        <v>107</v>
      </c>
      <c r="AO27" s="34" t="s">
        <v>72</v>
      </c>
      <c r="AP27" s="35" t="s">
        <v>73</v>
      </c>
      <c r="AQ27" s="34" t="s">
        <v>62</v>
      </c>
      <c r="AR27" s="34" t="s">
        <v>62</v>
      </c>
      <c r="AS27" s="34" t="s">
        <v>62</v>
      </c>
      <c r="AT27" s="34" t="s">
        <v>62</v>
      </c>
      <c r="AU27" s="34" t="s">
        <v>62</v>
      </c>
      <c r="AV27" s="34" t="s">
        <v>62</v>
      </c>
      <c r="AW27" s="35" t="s">
        <v>67</v>
      </c>
      <c r="AX27" s="35" t="s">
        <v>67</v>
      </c>
      <c r="AY27" s="35" t="s">
        <v>74</v>
      </c>
      <c r="AZ27" s="34" t="s">
        <v>62</v>
      </c>
      <c r="BA27" s="34" t="s">
        <v>67</v>
      </c>
      <c r="BB27" s="34">
        <v>45853</v>
      </c>
    </row>
    <row r="28" spans="1:56" ht="18.75" customHeight="1" x14ac:dyDescent="0.45">
      <c r="A28" s="32" t="s">
        <v>180</v>
      </c>
      <c r="B28" s="33">
        <v>1320000</v>
      </c>
      <c r="C28" s="34"/>
      <c r="D28" s="34"/>
      <c r="E28" s="34"/>
      <c r="F28" s="33">
        <v>1320000</v>
      </c>
      <c r="G28" s="35" t="s">
        <v>184</v>
      </c>
      <c r="H28" s="34" t="s">
        <v>84</v>
      </c>
      <c r="K28" s="35" t="s">
        <v>161</v>
      </c>
      <c r="Q28" s="33">
        <v>1320000</v>
      </c>
      <c r="R28" s="34" t="s">
        <v>62</v>
      </c>
      <c r="S28" s="34" t="s">
        <v>62</v>
      </c>
      <c r="T28" s="35"/>
      <c r="U28" s="35"/>
      <c r="V28" s="34" t="s">
        <v>63</v>
      </c>
      <c r="W28" s="34" t="s">
        <v>64</v>
      </c>
      <c r="X28" s="35" t="s">
        <v>65</v>
      </c>
      <c r="Y28" s="35" t="s">
        <v>66</v>
      </c>
      <c r="Z28" s="35" t="s">
        <v>67</v>
      </c>
      <c r="AA28" s="34" t="s">
        <v>62</v>
      </c>
      <c r="AB28" s="34" t="s">
        <v>63</v>
      </c>
      <c r="AC28" s="34" t="s">
        <v>183</v>
      </c>
      <c r="AD28" s="34" t="s">
        <v>62</v>
      </c>
      <c r="AE28" s="34" t="s">
        <v>62</v>
      </c>
      <c r="AF28" s="34" t="s">
        <v>62</v>
      </c>
      <c r="AH28" s="32" t="s">
        <v>180</v>
      </c>
      <c r="AI28" s="34" t="s">
        <v>106</v>
      </c>
      <c r="AJ28" s="35" t="s">
        <v>107</v>
      </c>
      <c r="AK28" s="34" t="s">
        <v>105</v>
      </c>
      <c r="AL28" s="35" t="s">
        <v>63</v>
      </c>
      <c r="AM28" s="34" t="s">
        <v>106</v>
      </c>
      <c r="AN28" s="35" t="s">
        <v>107</v>
      </c>
      <c r="AO28" s="34" t="s">
        <v>72</v>
      </c>
      <c r="AP28" s="35" t="s">
        <v>73</v>
      </c>
      <c r="AQ28" s="34" t="s">
        <v>62</v>
      </c>
      <c r="AR28" s="34" t="s">
        <v>62</v>
      </c>
      <c r="AS28" s="34" t="s">
        <v>62</v>
      </c>
      <c r="AT28" s="34" t="s">
        <v>62</v>
      </c>
      <c r="AU28" s="34" t="s">
        <v>62</v>
      </c>
      <c r="AV28" s="34" t="s">
        <v>62</v>
      </c>
      <c r="AW28" s="35" t="s">
        <v>67</v>
      </c>
      <c r="AX28" s="35" t="s">
        <v>67</v>
      </c>
      <c r="AY28" s="35" t="s">
        <v>74</v>
      </c>
      <c r="AZ28" s="34" t="s">
        <v>62</v>
      </c>
      <c r="BA28" s="34" t="s">
        <v>67</v>
      </c>
      <c r="BB28" s="34">
        <v>45853</v>
      </c>
    </row>
    <row r="29" spans="1:56" ht="18.75" customHeight="1" x14ac:dyDescent="0.45">
      <c r="A29" s="32" t="s">
        <v>180</v>
      </c>
      <c r="B29" s="33">
        <v>1300000</v>
      </c>
      <c r="C29" s="34"/>
      <c r="D29" s="34"/>
      <c r="E29" s="34"/>
      <c r="F29" s="33">
        <v>1300000</v>
      </c>
      <c r="G29" s="35" t="s">
        <v>185</v>
      </c>
      <c r="H29" s="34" t="s">
        <v>84</v>
      </c>
      <c r="K29" s="35" t="s">
        <v>161</v>
      </c>
      <c r="Q29" s="33">
        <v>1300000</v>
      </c>
      <c r="R29" s="34" t="s">
        <v>62</v>
      </c>
      <c r="S29" s="34" t="s">
        <v>62</v>
      </c>
      <c r="T29" s="35"/>
      <c r="U29" s="35"/>
      <c r="V29" s="34" t="s">
        <v>63</v>
      </c>
      <c r="W29" s="34" t="s">
        <v>64</v>
      </c>
      <c r="X29" s="35" t="s">
        <v>65</v>
      </c>
      <c r="Y29" s="35" t="s">
        <v>66</v>
      </c>
      <c r="Z29" s="35" t="s">
        <v>67</v>
      </c>
      <c r="AA29" s="34" t="s">
        <v>62</v>
      </c>
      <c r="AB29" s="34" t="s">
        <v>63</v>
      </c>
      <c r="AC29" s="34" t="s">
        <v>183</v>
      </c>
      <c r="AD29" s="34" t="s">
        <v>62</v>
      </c>
      <c r="AE29" s="34" t="s">
        <v>62</v>
      </c>
      <c r="AF29" s="34" t="s">
        <v>62</v>
      </c>
      <c r="AH29" s="32" t="s">
        <v>180</v>
      </c>
      <c r="AI29" s="34" t="s">
        <v>106</v>
      </c>
      <c r="AJ29" s="35" t="s">
        <v>107</v>
      </c>
      <c r="AK29" s="34" t="s">
        <v>105</v>
      </c>
      <c r="AL29" s="35" t="s">
        <v>63</v>
      </c>
      <c r="AM29" s="34" t="s">
        <v>106</v>
      </c>
      <c r="AN29" s="35" t="s">
        <v>107</v>
      </c>
      <c r="AO29" s="34" t="s">
        <v>72</v>
      </c>
      <c r="AP29" s="35" t="s">
        <v>73</v>
      </c>
      <c r="AQ29" s="34" t="s">
        <v>62</v>
      </c>
      <c r="AR29" s="34" t="s">
        <v>62</v>
      </c>
      <c r="AS29" s="34" t="s">
        <v>62</v>
      </c>
      <c r="AT29" s="34" t="s">
        <v>62</v>
      </c>
      <c r="AU29" s="34" t="s">
        <v>62</v>
      </c>
      <c r="AV29" s="34" t="s">
        <v>62</v>
      </c>
      <c r="AW29" s="35" t="s">
        <v>67</v>
      </c>
      <c r="AX29" s="35" t="s">
        <v>67</v>
      </c>
      <c r="AY29" s="35" t="s">
        <v>74</v>
      </c>
      <c r="AZ29" s="34" t="s">
        <v>62</v>
      </c>
      <c r="BA29" s="34" t="s">
        <v>67</v>
      </c>
      <c r="BB29" s="34">
        <v>45853</v>
      </c>
    </row>
    <row r="30" spans="1:56" ht="18.75" customHeight="1" x14ac:dyDescent="0.45">
      <c r="A30" s="32" t="s">
        <v>186</v>
      </c>
      <c r="B30" s="40">
        <v>169000000</v>
      </c>
      <c r="C30" s="41"/>
      <c r="D30" s="41"/>
      <c r="E30" s="41"/>
      <c r="F30" s="42">
        <v>169000000</v>
      </c>
      <c r="G30" s="43" t="s">
        <v>187</v>
      </c>
      <c r="H30" s="36" t="s">
        <v>84</v>
      </c>
      <c r="K30" s="43" t="s">
        <v>94</v>
      </c>
      <c r="Q30" s="38">
        <f>169000000-B7-B9</f>
        <v>140300000</v>
      </c>
      <c r="R30" s="41" t="s">
        <v>62</v>
      </c>
      <c r="S30" s="41" t="s">
        <v>62</v>
      </c>
      <c r="T30" s="43"/>
      <c r="U30" s="43"/>
      <c r="V30" s="41" t="s">
        <v>63</v>
      </c>
      <c r="W30" s="41" t="s">
        <v>64</v>
      </c>
      <c r="X30" s="43" t="s">
        <v>65</v>
      </c>
      <c r="Y30" s="43" t="s">
        <v>66</v>
      </c>
      <c r="Z30" s="43" t="s">
        <v>67</v>
      </c>
      <c r="AA30" s="41" t="s">
        <v>62</v>
      </c>
      <c r="AB30" s="41" t="s">
        <v>63</v>
      </c>
      <c r="AC30" s="34" t="s">
        <v>183</v>
      </c>
      <c r="AD30" s="41" t="s">
        <v>62</v>
      </c>
      <c r="AE30" s="41" t="s">
        <v>62</v>
      </c>
      <c r="AF30" s="41" t="s">
        <v>62</v>
      </c>
      <c r="AH30" s="32" t="s">
        <v>186</v>
      </c>
      <c r="AI30" s="41" t="s">
        <v>96</v>
      </c>
      <c r="AJ30" s="43" t="s">
        <v>97</v>
      </c>
      <c r="AK30" s="41" t="s">
        <v>95</v>
      </c>
      <c r="AL30" s="43" t="s">
        <v>90</v>
      </c>
      <c r="AM30" s="41" t="s">
        <v>96</v>
      </c>
      <c r="AN30" s="43" t="s">
        <v>97</v>
      </c>
      <c r="AO30" s="41" t="s">
        <v>72</v>
      </c>
      <c r="AP30" s="43" t="s">
        <v>73</v>
      </c>
      <c r="AQ30" s="41" t="s">
        <v>62</v>
      </c>
      <c r="AR30" s="41" t="s">
        <v>62</v>
      </c>
      <c r="AS30" s="41" t="s">
        <v>62</v>
      </c>
      <c r="AT30" s="41" t="s">
        <v>62</v>
      </c>
      <c r="AU30" s="41" t="s">
        <v>62</v>
      </c>
      <c r="AV30" s="41" t="s">
        <v>62</v>
      </c>
      <c r="AW30" s="43" t="s">
        <v>67</v>
      </c>
      <c r="AX30" s="43" t="s">
        <v>67</v>
      </c>
      <c r="AY30" s="43" t="s">
        <v>74</v>
      </c>
      <c r="AZ30" s="41" t="s">
        <v>62</v>
      </c>
      <c r="BA30" s="41" t="s">
        <v>67</v>
      </c>
      <c r="BB30" s="41">
        <v>45681</v>
      </c>
    </row>
    <row r="31" spans="1:56" ht="18.75" customHeight="1" x14ac:dyDescent="0.45">
      <c r="A31" s="32" t="s">
        <v>188</v>
      </c>
      <c r="B31" s="40">
        <v>11000000</v>
      </c>
      <c r="C31" s="41"/>
      <c r="D31" s="41"/>
      <c r="E31" s="41"/>
      <c r="F31" s="40">
        <v>11000000</v>
      </c>
      <c r="G31" s="43" t="s">
        <v>189</v>
      </c>
      <c r="H31" s="36" t="s">
        <v>84</v>
      </c>
      <c r="K31" s="43" t="s">
        <v>161</v>
      </c>
      <c r="Q31" s="40">
        <v>11000000</v>
      </c>
      <c r="R31" s="41"/>
      <c r="S31" s="41"/>
      <c r="T31" s="43"/>
      <c r="U31" s="43"/>
      <c r="V31" s="41"/>
      <c r="W31" s="41"/>
      <c r="X31" s="43"/>
      <c r="Y31" s="43"/>
      <c r="Z31" s="43"/>
      <c r="AA31" s="41"/>
      <c r="AB31" s="41"/>
      <c r="AC31" s="44" t="s">
        <v>68</v>
      </c>
      <c r="AD31" s="41"/>
      <c r="AE31" s="41"/>
      <c r="AF31" s="41"/>
      <c r="AH31" s="32" t="s">
        <v>188</v>
      </c>
      <c r="AI31" s="41"/>
      <c r="AJ31" s="43"/>
      <c r="AK31" s="41"/>
      <c r="AL31" s="43"/>
      <c r="AM31" s="41"/>
      <c r="AN31" s="43"/>
      <c r="AO31" s="41"/>
      <c r="AP31" s="43"/>
      <c r="AQ31" s="41"/>
      <c r="AR31" s="41"/>
      <c r="AS31" s="41"/>
      <c r="AT31" s="41"/>
      <c r="AU31" s="41"/>
      <c r="AV31" s="41"/>
      <c r="AW31" s="43"/>
      <c r="AX31" s="43"/>
      <c r="AY31" s="43"/>
      <c r="AZ31" s="41"/>
      <c r="BA31" s="41"/>
      <c r="BB31" s="41"/>
    </row>
    <row r="32" spans="1:56" ht="18.75" customHeight="1" x14ac:dyDescent="0.45">
      <c r="A32" s="32" t="s">
        <v>180</v>
      </c>
      <c r="B32" s="33">
        <v>5640000</v>
      </c>
      <c r="C32" s="34"/>
      <c r="D32" s="34"/>
      <c r="E32" s="34"/>
      <c r="F32" s="33">
        <v>5640000</v>
      </c>
      <c r="G32" s="35" t="s">
        <v>190</v>
      </c>
      <c r="H32" s="34" t="s">
        <v>84</v>
      </c>
      <c r="K32" s="35" t="s">
        <v>161</v>
      </c>
      <c r="Q32" s="33">
        <v>5640000</v>
      </c>
      <c r="R32" s="34" t="s">
        <v>62</v>
      </c>
      <c r="S32" s="34" t="s">
        <v>62</v>
      </c>
      <c r="T32" s="35"/>
      <c r="U32" s="35"/>
      <c r="V32" s="34" t="s">
        <v>63</v>
      </c>
      <c r="W32" s="34" t="s">
        <v>64</v>
      </c>
      <c r="X32" s="35" t="s">
        <v>65</v>
      </c>
      <c r="Y32" s="35" t="s">
        <v>66</v>
      </c>
      <c r="Z32" s="35" t="s">
        <v>67</v>
      </c>
      <c r="AA32" s="34" t="s">
        <v>62</v>
      </c>
      <c r="AB32" s="34" t="s">
        <v>63</v>
      </c>
      <c r="AC32" s="34" t="s">
        <v>183</v>
      </c>
      <c r="AD32" s="34" t="s">
        <v>62</v>
      </c>
      <c r="AE32" s="34" t="s">
        <v>62</v>
      </c>
      <c r="AF32" s="34" t="s">
        <v>62</v>
      </c>
      <c r="AH32" s="32" t="s">
        <v>180</v>
      </c>
      <c r="AI32" s="34" t="s">
        <v>106</v>
      </c>
      <c r="AJ32" s="35" t="s">
        <v>107</v>
      </c>
      <c r="AK32" s="34" t="s">
        <v>105</v>
      </c>
      <c r="AL32" s="35" t="s">
        <v>63</v>
      </c>
      <c r="AM32" s="34" t="s">
        <v>106</v>
      </c>
      <c r="AN32" s="35" t="s">
        <v>107</v>
      </c>
      <c r="AO32" s="34" t="s">
        <v>72</v>
      </c>
      <c r="AP32" s="35" t="s">
        <v>73</v>
      </c>
      <c r="AQ32" s="34" t="s">
        <v>62</v>
      </c>
      <c r="AR32" s="34" t="s">
        <v>62</v>
      </c>
      <c r="AS32" s="34" t="s">
        <v>62</v>
      </c>
      <c r="AT32" s="34" t="s">
        <v>62</v>
      </c>
      <c r="AU32" s="34" t="s">
        <v>62</v>
      </c>
      <c r="AV32" s="34" t="s">
        <v>62</v>
      </c>
      <c r="AW32" s="35" t="s">
        <v>67</v>
      </c>
      <c r="AX32" s="35" t="s">
        <v>67</v>
      </c>
      <c r="AY32" s="35" t="s">
        <v>74</v>
      </c>
      <c r="AZ32" s="34" t="s">
        <v>62</v>
      </c>
      <c r="BA32" s="34" t="s">
        <v>67</v>
      </c>
      <c r="BB32" s="34">
        <v>45853</v>
      </c>
    </row>
    <row r="33" spans="1:54" ht="18.75" customHeight="1" x14ac:dyDescent="0.45">
      <c r="A33" s="32" t="s">
        <v>191</v>
      </c>
      <c r="B33" s="33">
        <v>22000000</v>
      </c>
      <c r="C33" s="34"/>
      <c r="D33" s="34"/>
      <c r="E33" s="34"/>
      <c r="F33" s="33">
        <v>22000000</v>
      </c>
      <c r="G33" s="35" t="s">
        <v>192</v>
      </c>
      <c r="H33" s="34" t="s">
        <v>84</v>
      </c>
      <c r="K33" s="35" t="s">
        <v>161</v>
      </c>
      <c r="Q33" s="33">
        <v>22000000</v>
      </c>
      <c r="R33" s="34" t="s">
        <v>62</v>
      </c>
      <c r="S33" s="34" t="s">
        <v>62</v>
      </c>
      <c r="T33" s="35"/>
      <c r="U33" s="35"/>
      <c r="V33" s="34" t="s">
        <v>63</v>
      </c>
      <c r="W33" s="34" t="s">
        <v>64</v>
      </c>
      <c r="X33" s="35" t="s">
        <v>65</v>
      </c>
      <c r="Y33" s="35" t="s">
        <v>66</v>
      </c>
      <c r="Z33" s="35" t="s">
        <v>67</v>
      </c>
      <c r="AA33" s="34" t="s">
        <v>62</v>
      </c>
      <c r="AB33" s="34" t="s">
        <v>63</v>
      </c>
      <c r="AC33" s="34" t="s">
        <v>183</v>
      </c>
      <c r="AD33" s="34" t="s">
        <v>62</v>
      </c>
      <c r="AE33" s="34" t="s">
        <v>62</v>
      </c>
      <c r="AF33" s="34" t="s">
        <v>62</v>
      </c>
      <c r="AH33" s="32" t="s">
        <v>191</v>
      </c>
      <c r="AI33" s="34" t="s">
        <v>106</v>
      </c>
      <c r="AJ33" s="35" t="s">
        <v>107</v>
      </c>
      <c r="AK33" s="34" t="s">
        <v>105</v>
      </c>
      <c r="AL33" s="35" t="s">
        <v>63</v>
      </c>
      <c r="AM33" s="34" t="s">
        <v>106</v>
      </c>
      <c r="AN33" s="35" t="s">
        <v>107</v>
      </c>
      <c r="AO33" s="34" t="s">
        <v>72</v>
      </c>
      <c r="AP33" s="35" t="s">
        <v>73</v>
      </c>
      <c r="AQ33" s="34" t="s">
        <v>62</v>
      </c>
      <c r="AR33" s="34" t="s">
        <v>62</v>
      </c>
      <c r="AS33" s="34" t="s">
        <v>62</v>
      </c>
      <c r="AT33" s="34" t="s">
        <v>62</v>
      </c>
      <c r="AU33" s="34" t="s">
        <v>62</v>
      </c>
      <c r="AV33" s="34" t="s">
        <v>62</v>
      </c>
      <c r="AW33" s="35" t="s">
        <v>67</v>
      </c>
      <c r="AX33" s="35" t="s">
        <v>67</v>
      </c>
      <c r="AY33" s="35" t="s">
        <v>74</v>
      </c>
      <c r="AZ33" s="34" t="s">
        <v>62</v>
      </c>
      <c r="BA33" s="34" t="s">
        <v>67</v>
      </c>
      <c r="BB33" s="34">
        <v>45853</v>
      </c>
    </row>
    <row r="34" spans="1:54" ht="18.75" customHeight="1" x14ac:dyDescent="0.45">
      <c r="A34" s="35" t="s">
        <v>193</v>
      </c>
      <c r="B34" s="33">
        <v>150000000</v>
      </c>
      <c r="C34" s="34"/>
      <c r="D34" s="34"/>
      <c r="E34" s="34"/>
      <c r="F34" s="33">
        <v>150000000</v>
      </c>
      <c r="G34" s="35" t="s">
        <v>194</v>
      </c>
      <c r="H34" s="34" t="s">
        <v>84</v>
      </c>
      <c r="K34" s="35" t="s">
        <v>172</v>
      </c>
      <c r="Q34" s="33">
        <v>150000000</v>
      </c>
      <c r="R34" s="34" t="s">
        <v>62</v>
      </c>
      <c r="S34" s="34" t="s">
        <v>62</v>
      </c>
      <c r="T34" s="35"/>
      <c r="U34" s="35"/>
      <c r="V34" s="34" t="s">
        <v>63</v>
      </c>
      <c r="W34" s="34" t="s">
        <v>64</v>
      </c>
      <c r="X34" s="35" t="s">
        <v>65</v>
      </c>
      <c r="Y34" s="35" t="s">
        <v>66</v>
      </c>
      <c r="Z34" s="35" t="s">
        <v>67</v>
      </c>
      <c r="AA34" s="34" t="s">
        <v>62</v>
      </c>
      <c r="AB34" s="34" t="s">
        <v>63</v>
      </c>
      <c r="AC34" s="39" t="s">
        <v>68</v>
      </c>
      <c r="AD34" s="34" t="s">
        <v>62</v>
      </c>
      <c r="AE34" s="34" t="s">
        <v>62</v>
      </c>
      <c r="AF34" s="34" t="s">
        <v>68</v>
      </c>
      <c r="AH34" s="35" t="s">
        <v>193</v>
      </c>
      <c r="AI34" s="34" t="s">
        <v>63</v>
      </c>
      <c r="AJ34" s="35" t="s">
        <v>136</v>
      </c>
      <c r="AK34" s="34" t="s">
        <v>195</v>
      </c>
      <c r="AL34" s="35" t="s">
        <v>196</v>
      </c>
      <c r="AM34" s="34" t="s">
        <v>63</v>
      </c>
      <c r="AN34" s="35" t="s">
        <v>136</v>
      </c>
      <c r="AO34" s="34" t="s">
        <v>148</v>
      </c>
      <c r="AP34" s="35" t="s">
        <v>149</v>
      </c>
      <c r="AQ34" s="34" t="s">
        <v>62</v>
      </c>
      <c r="AR34" s="34" t="s">
        <v>62</v>
      </c>
      <c r="AS34" s="34" t="s">
        <v>62</v>
      </c>
      <c r="AT34" s="34" t="s">
        <v>62</v>
      </c>
      <c r="AU34" s="34" t="s">
        <v>62</v>
      </c>
      <c r="AV34" s="34" t="s">
        <v>62</v>
      </c>
      <c r="AW34" s="35" t="s">
        <v>67</v>
      </c>
      <c r="AX34" s="35" t="s">
        <v>67</v>
      </c>
      <c r="AY34" s="35" t="s">
        <v>74</v>
      </c>
      <c r="AZ34" s="34" t="s">
        <v>62</v>
      </c>
      <c r="BA34" s="34" t="s">
        <v>67</v>
      </c>
      <c r="BB34" s="34">
        <v>46013</v>
      </c>
    </row>
    <row r="35" spans="1:54" ht="18.75" customHeight="1" x14ac:dyDescent="0.45">
      <c r="A35" s="45" t="s">
        <v>197</v>
      </c>
      <c r="B35" s="33">
        <v>20000000</v>
      </c>
      <c r="C35" s="34"/>
      <c r="D35" s="34"/>
      <c r="E35" s="34"/>
      <c r="F35" s="33">
        <v>20000000</v>
      </c>
      <c r="G35" s="35" t="s">
        <v>198</v>
      </c>
      <c r="H35" s="34" t="s">
        <v>84</v>
      </c>
      <c r="K35" s="35" t="s">
        <v>199</v>
      </c>
      <c r="Q35" s="33">
        <v>20000000</v>
      </c>
      <c r="R35" s="34"/>
      <c r="S35" s="34"/>
      <c r="T35" s="35"/>
      <c r="U35" s="35"/>
      <c r="V35" s="34"/>
      <c r="W35" s="34"/>
      <c r="X35" s="35"/>
      <c r="Y35" s="35"/>
      <c r="Z35" s="35"/>
      <c r="AA35" s="34"/>
      <c r="AB35" s="34"/>
      <c r="AC35" s="39" t="s">
        <v>134</v>
      </c>
      <c r="AD35" s="34"/>
      <c r="AE35" s="34"/>
      <c r="AF35" s="34"/>
      <c r="AH35" s="45" t="s">
        <v>197</v>
      </c>
      <c r="AI35" s="34"/>
      <c r="AJ35" s="35"/>
      <c r="AK35" s="34"/>
      <c r="AL35" s="45" t="s">
        <v>197</v>
      </c>
      <c r="AM35" s="34"/>
      <c r="AN35" s="35"/>
      <c r="AO35" s="34"/>
      <c r="AP35" s="35"/>
      <c r="AQ35" s="34"/>
      <c r="AR35" s="34"/>
      <c r="AS35" s="34"/>
      <c r="AT35" s="34"/>
      <c r="AU35" s="34"/>
      <c r="AV35" s="34"/>
      <c r="AW35" s="35"/>
      <c r="AX35" s="35"/>
      <c r="AY35" s="35"/>
      <c r="AZ35" s="34"/>
      <c r="BA35" s="34"/>
      <c r="BB35" s="34"/>
    </row>
    <row r="36" spans="1:54" ht="18.75" customHeight="1" x14ac:dyDescent="0.45">
      <c r="A36" s="32" t="s">
        <v>200</v>
      </c>
      <c r="B36" s="33">
        <v>20000000</v>
      </c>
      <c r="C36" s="34"/>
      <c r="D36" s="34"/>
      <c r="E36" s="34"/>
      <c r="F36" s="33">
        <v>16500000</v>
      </c>
      <c r="G36" s="35" t="s">
        <v>201</v>
      </c>
      <c r="H36" s="34" t="s">
        <v>84</v>
      </c>
      <c r="K36" s="35" t="s">
        <v>199</v>
      </c>
      <c r="Q36" s="33">
        <v>16500000</v>
      </c>
      <c r="R36" s="34" t="s">
        <v>62</v>
      </c>
      <c r="S36" s="34" t="s">
        <v>63</v>
      </c>
      <c r="T36" s="35"/>
      <c r="U36" s="35"/>
      <c r="V36" s="34" t="s">
        <v>63</v>
      </c>
      <c r="W36" s="34" t="s">
        <v>64</v>
      </c>
      <c r="X36" s="35" t="s">
        <v>65</v>
      </c>
      <c r="Y36" s="35" t="s">
        <v>66</v>
      </c>
      <c r="Z36" s="35" t="s">
        <v>67</v>
      </c>
      <c r="AA36" s="34" t="s">
        <v>62</v>
      </c>
      <c r="AB36" s="34" t="s">
        <v>63</v>
      </c>
      <c r="AC36" s="39" t="s">
        <v>134</v>
      </c>
      <c r="AD36" s="34" t="s">
        <v>62</v>
      </c>
      <c r="AE36" s="34" t="s">
        <v>62</v>
      </c>
      <c r="AF36" s="34" t="s">
        <v>62</v>
      </c>
      <c r="AH36" s="32" t="s">
        <v>200</v>
      </c>
      <c r="AI36" s="34" t="s">
        <v>202</v>
      </c>
      <c r="AJ36" s="35" t="s">
        <v>203</v>
      </c>
      <c r="AK36" s="34" t="s">
        <v>204</v>
      </c>
      <c r="AL36" s="32" t="s">
        <v>200</v>
      </c>
      <c r="AM36" s="34" t="s">
        <v>202</v>
      </c>
      <c r="AN36" s="35" t="s">
        <v>203</v>
      </c>
      <c r="AO36" s="34" t="s">
        <v>63</v>
      </c>
      <c r="AP36" s="35"/>
      <c r="AQ36" s="34" t="s">
        <v>63</v>
      </c>
      <c r="AR36" s="34" t="s">
        <v>63</v>
      </c>
      <c r="AS36" s="34" t="s">
        <v>62</v>
      </c>
      <c r="AT36" s="34" t="s">
        <v>62</v>
      </c>
      <c r="AU36" s="34" t="s">
        <v>63</v>
      </c>
      <c r="AV36" s="34" t="s">
        <v>62</v>
      </c>
      <c r="AW36" s="35" t="s">
        <v>67</v>
      </c>
      <c r="AX36" s="35" t="s">
        <v>67</v>
      </c>
      <c r="AY36" s="35" t="s">
        <v>74</v>
      </c>
      <c r="AZ36" s="34" t="s">
        <v>62</v>
      </c>
      <c r="BA36" s="34" t="s">
        <v>67</v>
      </c>
      <c r="BB36" s="34">
        <v>46010</v>
      </c>
    </row>
    <row r="37" spans="1:54" ht="18.75" customHeight="1" x14ac:dyDescent="0.45">
      <c r="A37" s="35" t="s">
        <v>205</v>
      </c>
      <c r="B37" s="33">
        <v>135000000</v>
      </c>
      <c r="C37" s="34"/>
      <c r="D37" s="34"/>
      <c r="E37" s="34"/>
      <c r="F37" s="33">
        <v>135000000</v>
      </c>
      <c r="G37" s="35" t="s">
        <v>206</v>
      </c>
      <c r="H37" s="34" t="s">
        <v>84</v>
      </c>
      <c r="K37" s="35" t="s">
        <v>207</v>
      </c>
      <c r="Q37" s="33">
        <v>135000000</v>
      </c>
      <c r="R37" s="34" t="s">
        <v>62</v>
      </c>
      <c r="S37" s="34" t="s">
        <v>62</v>
      </c>
      <c r="T37" s="35"/>
      <c r="U37" s="35"/>
      <c r="V37" s="34" t="s">
        <v>63</v>
      </c>
      <c r="W37" s="34" t="s">
        <v>64</v>
      </c>
      <c r="X37" s="35" t="s">
        <v>65</v>
      </c>
      <c r="Y37" s="35" t="s">
        <v>66</v>
      </c>
      <c r="Z37" s="35" t="s">
        <v>67</v>
      </c>
      <c r="AA37" s="34" t="s">
        <v>62</v>
      </c>
      <c r="AB37" s="34" t="s">
        <v>63</v>
      </c>
      <c r="AC37" s="39" t="s">
        <v>68</v>
      </c>
      <c r="AD37" s="34" t="s">
        <v>62</v>
      </c>
      <c r="AE37" s="34" t="s">
        <v>62</v>
      </c>
      <c r="AF37" s="34" t="s">
        <v>62</v>
      </c>
      <c r="AH37" s="35" t="s">
        <v>205</v>
      </c>
      <c r="AI37" s="34" t="s">
        <v>208</v>
      </c>
      <c r="AJ37" s="35" t="s">
        <v>209</v>
      </c>
      <c r="AK37" s="34" t="s">
        <v>210</v>
      </c>
      <c r="AL37" s="35" t="s">
        <v>205</v>
      </c>
      <c r="AM37" s="34" t="s">
        <v>208</v>
      </c>
      <c r="AN37" s="35" t="s">
        <v>209</v>
      </c>
      <c r="AO37" s="34" t="s">
        <v>72</v>
      </c>
      <c r="AP37" s="35" t="s">
        <v>73</v>
      </c>
      <c r="AQ37" s="34" t="s">
        <v>62</v>
      </c>
      <c r="AR37" s="34" t="s">
        <v>62</v>
      </c>
      <c r="AS37" s="34" t="s">
        <v>62</v>
      </c>
      <c r="AT37" s="34" t="s">
        <v>62</v>
      </c>
      <c r="AU37" s="34" t="s">
        <v>62</v>
      </c>
      <c r="AV37" s="34" t="s">
        <v>62</v>
      </c>
      <c r="AW37" s="35" t="s">
        <v>67</v>
      </c>
      <c r="AX37" s="35" t="s">
        <v>67</v>
      </c>
      <c r="AY37" s="35" t="s">
        <v>74</v>
      </c>
      <c r="AZ37" s="34" t="s">
        <v>62</v>
      </c>
      <c r="BA37" s="34" t="s">
        <v>67</v>
      </c>
      <c r="BB37" s="34">
        <v>45989</v>
      </c>
    </row>
    <row r="38" spans="1:54" ht="18.75" customHeight="1" x14ac:dyDescent="0.45">
      <c r="A38" s="32" t="s">
        <v>211</v>
      </c>
      <c r="B38" s="33">
        <v>12000000</v>
      </c>
      <c r="C38" s="34"/>
      <c r="D38" s="34"/>
      <c r="E38" s="34"/>
      <c r="F38" s="33">
        <v>12000000</v>
      </c>
      <c r="G38" s="35" t="s">
        <v>206</v>
      </c>
      <c r="H38" s="34" t="s">
        <v>84</v>
      </c>
      <c r="K38" s="35" t="s">
        <v>207</v>
      </c>
      <c r="Q38" s="33">
        <v>12000000</v>
      </c>
      <c r="R38" s="34" t="s">
        <v>62</v>
      </c>
      <c r="S38" s="34" t="s">
        <v>62</v>
      </c>
      <c r="T38" s="35"/>
      <c r="U38" s="35"/>
      <c r="V38" s="34" t="s">
        <v>63</v>
      </c>
      <c r="W38" s="34" t="s">
        <v>64</v>
      </c>
      <c r="X38" s="35" t="s">
        <v>65</v>
      </c>
      <c r="Y38" s="35" t="s">
        <v>66</v>
      </c>
      <c r="Z38" s="35" t="s">
        <v>67</v>
      </c>
      <c r="AA38" s="34" t="s">
        <v>62</v>
      </c>
      <c r="AB38" s="34" t="s">
        <v>63</v>
      </c>
      <c r="AC38" s="34" t="s">
        <v>183</v>
      </c>
      <c r="AD38" s="34" t="s">
        <v>62</v>
      </c>
      <c r="AE38" s="34" t="s">
        <v>62</v>
      </c>
      <c r="AF38" s="34" t="s">
        <v>62</v>
      </c>
      <c r="AH38" s="32" t="s">
        <v>211</v>
      </c>
      <c r="AI38" s="34" t="s">
        <v>208</v>
      </c>
      <c r="AJ38" s="35" t="s">
        <v>209</v>
      </c>
      <c r="AK38" s="34" t="s">
        <v>210</v>
      </c>
      <c r="AL38" s="35" t="s">
        <v>205</v>
      </c>
      <c r="AM38" s="34" t="s">
        <v>208</v>
      </c>
      <c r="AN38" s="35" t="s">
        <v>209</v>
      </c>
      <c r="AO38" s="34" t="s">
        <v>72</v>
      </c>
      <c r="AP38" s="35" t="s">
        <v>73</v>
      </c>
      <c r="AQ38" s="34" t="s">
        <v>62</v>
      </c>
      <c r="AR38" s="34" t="s">
        <v>62</v>
      </c>
      <c r="AS38" s="34" t="s">
        <v>62</v>
      </c>
      <c r="AT38" s="34" t="s">
        <v>62</v>
      </c>
      <c r="AU38" s="34" t="s">
        <v>62</v>
      </c>
      <c r="AV38" s="34" t="s">
        <v>62</v>
      </c>
      <c r="AW38" s="35" t="s">
        <v>67</v>
      </c>
      <c r="AX38" s="35" t="s">
        <v>67</v>
      </c>
      <c r="AY38" s="35" t="s">
        <v>74</v>
      </c>
      <c r="AZ38" s="34" t="s">
        <v>62</v>
      </c>
      <c r="BA38" s="34" t="s">
        <v>67</v>
      </c>
      <c r="BB38" s="34">
        <v>45989</v>
      </c>
    </row>
    <row r="39" spans="1:54" ht="18.75" customHeight="1" x14ac:dyDescent="0.45">
      <c r="A39"/>
      <c r="B39"/>
      <c r="H39" s="25"/>
      <c r="Q39"/>
    </row>
    <row r="40" spans="1:54" ht="18.75" customHeight="1" x14ac:dyDescent="0.45">
      <c r="H40" s="25"/>
      <c r="Q40"/>
    </row>
    <row r="41" spans="1:54" ht="18.75" customHeight="1" x14ac:dyDescent="0.45">
      <c r="H41" s="25"/>
      <c r="Q41"/>
    </row>
    <row r="42" spans="1:54" ht="18.75" customHeight="1" x14ac:dyDescent="0.45">
      <c r="H42" s="25"/>
      <c r="Q42"/>
    </row>
    <row r="43" spans="1:54" ht="18.75" customHeight="1" x14ac:dyDescent="0.45">
      <c r="H43" s="25"/>
      <c r="Q43"/>
    </row>
    <row r="44" spans="1:54" ht="18.75" customHeight="1" x14ac:dyDescent="0.45">
      <c r="H44" s="25"/>
      <c r="Q44"/>
    </row>
    <row r="45" spans="1:54" ht="18.75" customHeight="1" x14ac:dyDescent="0.45">
      <c r="H45" s="25"/>
      <c r="Q45"/>
    </row>
    <row r="46" spans="1:54" ht="18.75" customHeight="1" x14ac:dyDescent="0.45">
      <c r="H46" s="25"/>
      <c r="Q46"/>
    </row>
    <row r="47" spans="1:54" ht="18.75" customHeight="1" x14ac:dyDescent="0.45">
      <c r="H47" s="25"/>
      <c r="Q47"/>
    </row>
    <row r="48" spans="1:54" ht="18.75" customHeight="1" x14ac:dyDescent="0.45">
      <c r="H48" s="25"/>
      <c r="Q48"/>
    </row>
    <row r="49" spans="8:17" ht="18.75" customHeight="1" x14ac:dyDescent="0.45">
      <c r="H49" s="25"/>
      <c r="Q49"/>
    </row>
    <row r="50" spans="8:17" ht="18.75" customHeight="1" x14ac:dyDescent="0.45">
      <c r="H50" s="25"/>
      <c r="Q50"/>
    </row>
    <row r="51" spans="8:17" ht="18.75" customHeight="1" x14ac:dyDescent="0.45">
      <c r="H51" s="25"/>
      <c r="Q51"/>
    </row>
    <row r="52" spans="8:17" ht="18.75" customHeight="1" x14ac:dyDescent="0.45">
      <c r="H52" s="25"/>
      <c r="Q52"/>
    </row>
    <row r="53" spans="8:17" ht="18.75" customHeight="1" x14ac:dyDescent="0.45">
      <c r="H53" s="25"/>
      <c r="Q53"/>
    </row>
    <row r="54" spans="8:17" ht="18.75" customHeight="1" x14ac:dyDescent="0.45">
      <c r="H54" s="25"/>
      <c r="Q54"/>
    </row>
    <row r="55" spans="8:17" ht="18.75" customHeight="1" x14ac:dyDescent="0.45">
      <c r="H55" s="25"/>
      <c r="Q55"/>
    </row>
    <row r="56" spans="8:17" ht="18.75" customHeight="1" x14ac:dyDescent="0.45">
      <c r="H56" s="25"/>
      <c r="Q56"/>
    </row>
    <row r="57" spans="8:17" ht="18.75" customHeight="1" x14ac:dyDescent="0.45">
      <c r="H57" s="25"/>
      <c r="Q57"/>
    </row>
    <row r="58" spans="8:17" ht="18.75" customHeight="1" x14ac:dyDescent="0.45">
      <c r="H58" s="25"/>
      <c r="Q58"/>
    </row>
    <row r="59" spans="8:17" ht="18.75" customHeight="1" x14ac:dyDescent="0.45">
      <c r="H59" s="25"/>
      <c r="Q59"/>
    </row>
    <row r="60" spans="8:17" ht="18.75" customHeight="1" x14ac:dyDescent="0.45">
      <c r="H60" s="25"/>
      <c r="Q60"/>
    </row>
    <row r="61" spans="8:17" ht="18.75" customHeight="1" x14ac:dyDescent="0.45">
      <c r="H61" s="25"/>
      <c r="Q61"/>
    </row>
    <row r="62" spans="8:17" ht="18.75" customHeight="1" x14ac:dyDescent="0.45">
      <c r="H62" s="25"/>
      <c r="Q62"/>
    </row>
    <row r="63" spans="8:17" ht="18.75" customHeight="1" x14ac:dyDescent="0.45">
      <c r="H63" s="25"/>
      <c r="Q63"/>
    </row>
    <row r="64" spans="8:17" ht="18.75" customHeight="1" x14ac:dyDescent="0.45">
      <c r="H64" s="25"/>
      <c r="Q64"/>
    </row>
    <row r="65" spans="8:17" ht="18.75" customHeight="1" x14ac:dyDescent="0.45">
      <c r="H65" s="25"/>
      <c r="Q65"/>
    </row>
    <row r="66" spans="8:17" ht="18.75" customHeight="1" x14ac:dyDescent="0.45">
      <c r="H66" s="25"/>
      <c r="Q66"/>
    </row>
    <row r="67" spans="8:17" ht="18.75" customHeight="1" x14ac:dyDescent="0.45">
      <c r="H67" s="25"/>
      <c r="Q67"/>
    </row>
    <row r="68" spans="8:17" ht="18.75" customHeight="1" x14ac:dyDescent="0.45">
      <c r="H68" s="25"/>
      <c r="Q68"/>
    </row>
    <row r="69" spans="8:17" ht="18.75" customHeight="1" x14ac:dyDescent="0.45">
      <c r="H69" s="25"/>
      <c r="Q69"/>
    </row>
    <row r="70" spans="8:17" ht="18.75" customHeight="1" x14ac:dyDescent="0.45">
      <c r="H70" s="25"/>
      <c r="Q70"/>
    </row>
    <row r="71" spans="8:17" ht="18.75" customHeight="1" x14ac:dyDescent="0.45">
      <c r="H71" s="25"/>
      <c r="Q71"/>
    </row>
    <row r="72" spans="8:17" ht="18.75" customHeight="1" x14ac:dyDescent="0.45">
      <c r="H72" s="25"/>
      <c r="Q72"/>
    </row>
    <row r="73" spans="8:17" ht="18.75" customHeight="1" x14ac:dyDescent="0.45">
      <c r="H73" s="25"/>
      <c r="Q73"/>
    </row>
    <row r="74" spans="8:17" ht="18.75" customHeight="1" x14ac:dyDescent="0.45">
      <c r="H74" s="25"/>
      <c r="Q74"/>
    </row>
    <row r="75" spans="8:17" ht="18.75" customHeight="1" x14ac:dyDescent="0.45">
      <c r="H75" s="25"/>
      <c r="Q75"/>
    </row>
    <row r="76" spans="8:17" ht="18.75" customHeight="1" x14ac:dyDescent="0.45">
      <c r="H76" s="25"/>
      <c r="Q76"/>
    </row>
    <row r="77" spans="8:17" ht="18.75" customHeight="1" x14ac:dyDescent="0.45">
      <c r="H77" s="25"/>
      <c r="Q77"/>
    </row>
    <row r="78" spans="8:17" ht="18.75" customHeight="1" x14ac:dyDescent="0.45">
      <c r="H78" s="25"/>
      <c r="Q78"/>
    </row>
    <row r="79" spans="8:17" ht="18.75" customHeight="1" x14ac:dyDescent="0.45">
      <c r="H79" s="25"/>
      <c r="Q79"/>
    </row>
    <row r="80" spans="8:17" ht="18.75" customHeight="1" x14ac:dyDescent="0.45">
      <c r="H80" s="25"/>
      <c r="Q80"/>
    </row>
    <row r="81" spans="8:17" ht="18.75" customHeight="1" x14ac:dyDescent="0.45">
      <c r="H81" s="25"/>
      <c r="Q81"/>
    </row>
    <row r="82" spans="8:17" ht="18.75" customHeight="1" x14ac:dyDescent="0.45">
      <c r="H82" s="25"/>
      <c r="Q82"/>
    </row>
    <row r="83" spans="8:17" ht="18.75" customHeight="1" x14ac:dyDescent="0.45">
      <c r="H83" s="25"/>
      <c r="Q83"/>
    </row>
    <row r="84" spans="8:17" ht="18.75" customHeight="1" x14ac:dyDescent="0.45">
      <c r="H84" s="25"/>
      <c r="Q84"/>
    </row>
    <row r="85" spans="8:17" ht="18.75" customHeight="1" x14ac:dyDescent="0.45">
      <c r="H85" s="25"/>
      <c r="Q85"/>
    </row>
    <row r="86" spans="8:17" ht="18.75" customHeight="1" x14ac:dyDescent="0.45">
      <c r="H86" s="25"/>
      <c r="Q86"/>
    </row>
    <row r="87" spans="8:17" ht="18.75" customHeight="1" x14ac:dyDescent="0.45">
      <c r="H87" s="25"/>
      <c r="Q87"/>
    </row>
    <row r="88" spans="8:17" ht="18.75" customHeight="1" x14ac:dyDescent="0.45"/>
    <row r="89" spans="8:17" ht="18.75" customHeight="1" x14ac:dyDescent="0.45"/>
    <row r="90" spans="8:17" ht="18.75" customHeight="1" x14ac:dyDescent="0.45"/>
    <row r="91" spans="8:17" ht="18.75" customHeight="1" x14ac:dyDescent="0.45"/>
    <row r="92" spans="8:17" ht="18.75" customHeight="1" x14ac:dyDescent="0.45"/>
    <row r="93" spans="8:17" ht="18.75" customHeight="1" x14ac:dyDescent="0.45"/>
    <row r="94" spans="8:17" ht="18.75" customHeight="1" x14ac:dyDescent="0.45"/>
    <row r="95" spans="8:17" ht="18.75" customHeight="1" x14ac:dyDescent="0.45"/>
    <row r="96" spans="8:17" ht="18.75" customHeight="1" x14ac:dyDescent="0.45"/>
    <row r="97" ht="18.75" customHeight="1" x14ac:dyDescent="0.45"/>
    <row r="98" ht="18.75" customHeight="1" x14ac:dyDescent="0.45"/>
    <row r="99" ht="18.75" customHeight="1" x14ac:dyDescent="0.45"/>
    <row r="100" ht="18.75" customHeight="1" x14ac:dyDescent="0.45"/>
    <row r="101" ht="18.75" customHeight="1" x14ac:dyDescent="0.45"/>
    <row r="102" ht="18.75" customHeight="1" x14ac:dyDescent="0.45"/>
    <row r="103" ht="18.75" customHeight="1" x14ac:dyDescent="0.45"/>
    <row r="104" ht="18.75" customHeight="1" x14ac:dyDescent="0.45"/>
    <row r="105" ht="18.75" customHeight="1" x14ac:dyDescent="0.45"/>
    <row r="106" ht="18.75" customHeight="1" x14ac:dyDescent="0.45"/>
    <row r="107" ht="18.75" customHeight="1" x14ac:dyDescent="0.45"/>
    <row r="108" ht="18.75" customHeight="1" x14ac:dyDescent="0.45"/>
    <row r="109" ht="18.75" customHeight="1" x14ac:dyDescent="0.45"/>
    <row r="110" ht="18.75" customHeight="1" x14ac:dyDescent="0.45"/>
    <row r="111" ht="18.75" customHeight="1" x14ac:dyDescent="0.45"/>
    <row r="112" ht="18.75" customHeight="1" x14ac:dyDescent="0.45"/>
    <row r="113" ht="18.75" customHeight="1" x14ac:dyDescent="0.45"/>
    <row r="114" ht="18.75" customHeight="1" x14ac:dyDescent="0.45"/>
    <row r="115" ht="18.75" customHeight="1" x14ac:dyDescent="0.45"/>
    <row r="116" ht="18.75" customHeight="1" x14ac:dyDescent="0.45"/>
    <row r="117" ht="18.75" customHeight="1" x14ac:dyDescent="0.45"/>
    <row r="118" ht="18.75" customHeight="1" x14ac:dyDescent="0.45"/>
    <row r="119" ht="18.75" customHeight="1" x14ac:dyDescent="0.45"/>
    <row r="120" ht="18.75" customHeight="1" x14ac:dyDescent="0.45"/>
    <row r="121" ht="18.75" customHeight="1" x14ac:dyDescent="0.45"/>
    <row r="122" ht="18.75" customHeight="1" x14ac:dyDescent="0.45"/>
    <row r="123" ht="18.75" customHeight="1" x14ac:dyDescent="0.45"/>
    <row r="124" ht="18.75" customHeight="1" x14ac:dyDescent="0.45"/>
    <row r="125" ht="18.75" customHeight="1" x14ac:dyDescent="0.45"/>
    <row r="126" ht="18.75" customHeight="1" x14ac:dyDescent="0.45"/>
    <row r="127" ht="18.75" customHeight="1" x14ac:dyDescent="0.45"/>
    <row r="128" ht="18.75" customHeight="1" x14ac:dyDescent="0.45"/>
    <row r="129" ht="18.75" customHeight="1" x14ac:dyDescent="0.45"/>
    <row r="130" ht="18.75" customHeight="1" x14ac:dyDescent="0.45"/>
    <row r="131" ht="18.75" customHeight="1" x14ac:dyDescent="0.45"/>
    <row r="132" ht="18.75" customHeight="1" x14ac:dyDescent="0.45"/>
    <row r="133" ht="18.75" customHeight="1" x14ac:dyDescent="0.45"/>
    <row r="134" ht="18.75" customHeight="1" x14ac:dyDescent="0.45"/>
    <row r="135" ht="18.75" customHeight="1" x14ac:dyDescent="0.45"/>
    <row r="136" ht="18.75" customHeight="1" x14ac:dyDescent="0.45"/>
    <row r="137" ht="18.75" customHeight="1" x14ac:dyDescent="0.45"/>
    <row r="138" ht="18.75" customHeight="1" x14ac:dyDescent="0.45"/>
    <row r="139" ht="18.75" customHeight="1" x14ac:dyDescent="0.45"/>
    <row r="140" ht="18.75" customHeight="1" x14ac:dyDescent="0.45"/>
    <row r="141" ht="18.75" customHeight="1" x14ac:dyDescent="0.45"/>
    <row r="142" ht="18.75" customHeight="1" x14ac:dyDescent="0.45"/>
    <row r="143" ht="18.75" customHeight="1" x14ac:dyDescent="0.45"/>
    <row r="144" ht="18.75" customHeight="1" x14ac:dyDescent="0.45"/>
    <row r="145" ht="18.75" customHeight="1" x14ac:dyDescent="0.45"/>
    <row r="146" ht="18.75" customHeight="1" x14ac:dyDescent="0.45"/>
    <row r="147" ht="18.75" customHeight="1" x14ac:dyDescent="0.45"/>
    <row r="148" ht="18.75" customHeight="1" x14ac:dyDescent="0.45"/>
    <row r="149" ht="18.75" customHeight="1" x14ac:dyDescent="0.45"/>
    <row r="150" ht="18.75" customHeight="1" x14ac:dyDescent="0.45"/>
    <row r="151" ht="18.75" customHeight="1" x14ac:dyDescent="0.45"/>
    <row r="152" ht="18.75" customHeight="1" x14ac:dyDescent="0.45"/>
    <row r="153" ht="18.75" customHeight="1" x14ac:dyDescent="0.45"/>
    <row r="154" ht="18.75" customHeight="1" x14ac:dyDescent="0.45"/>
    <row r="155" ht="18.75" customHeight="1" x14ac:dyDescent="0.45"/>
    <row r="156" ht="18.75" customHeight="1" x14ac:dyDescent="0.45"/>
    <row r="157" ht="18.75" customHeight="1" x14ac:dyDescent="0.45"/>
    <row r="158" ht="18.75" customHeight="1" x14ac:dyDescent="0.45"/>
    <row r="159" ht="18.75" customHeight="1" x14ac:dyDescent="0.45"/>
    <row r="160" ht="18.75" customHeight="1" x14ac:dyDescent="0.45"/>
    <row r="161" ht="18.75" customHeight="1" x14ac:dyDescent="0.45"/>
    <row r="162" ht="18.75" customHeight="1" x14ac:dyDescent="0.45"/>
    <row r="163" ht="18.75" customHeight="1" x14ac:dyDescent="0.45"/>
    <row r="164" ht="18.75" customHeight="1" x14ac:dyDescent="0.45"/>
    <row r="165" ht="18.75" customHeight="1" x14ac:dyDescent="0.45"/>
    <row r="166" ht="18.75" customHeight="1" x14ac:dyDescent="0.45"/>
    <row r="167" ht="18.75" customHeight="1" x14ac:dyDescent="0.45"/>
    <row r="168" ht="18.75" customHeight="1" x14ac:dyDescent="0.45"/>
    <row r="169" ht="18.75" customHeight="1" x14ac:dyDescent="0.45"/>
    <row r="170" ht="18.75" customHeight="1" x14ac:dyDescent="0.45"/>
    <row r="171" ht="18.75" customHeight="1" x14ac:dyDescent="0.45"/>
    <row r="172" ht="18.75" customHeight="1" x14ac:dyDescent="0.45"/>
    <row r="173" ht="18.75" customHeight="1" x14ac:dyDescent="0.45"/>
    <row r="174" ht="18.75" customHeight="1" x14ac:dyDescent="0.45"/>
    <row r="175" ht="18.75" customHeight="1" x14ac:dyDescent="0.45"/>
    <row r="176" ht="18.75" customHeight="1" x14ac:dyDescent="0.45"/>
    <row r="177" ht="18.75" customHeight="1" x14ac:dyDescent="0.45"/>
    <row r="178" ht="18.75" customHeight="1" x14ac:dyDescent="0.45"/>
    <row r="179" ht="18.75" customHeight="1" x14ac:dyDescent="0.45"/>
    <row r="180" ht="18.75" customHeight="1" x14ac:dyDescent="0.45"/>
    <row r="181" ht="18.75" customHeight="1" x14ac:dyDescent="0.45"/>
    <row r="182" ht="18.75" customHeight="1" x14ac:dyDescent="0.45"/>
    <row r="183" ht="18.75" customHeight="1" x14ac:dyDescent="0.45"/>
    <row r="184" ht="18.75" customHeight="1" x14ac:dyDescent="0.45"/>
    <row r="185" ht="18.75" customHeight="1" x14ac:dyDescent="0.45"/>
    <row r="186" ht="18.75" customHeight="1" x14ac:dyDescent="0.45"/>
    <row r="187" ht="18.75" customHeight="1" x14ac:dyDescent="0.45"/>
    <row r="188" ht="18.75" customHeight="1" x14ac:dyDescent="0.45"/>
    <row r="189" ht="18.75" customHeight="1" x14ac:dyDescent="0.45"/>
    <row r="190" ht="18.75" customHeight="1" x14ac:dyDescent="0.45"/>
    <row r="191" ht="18.75" customHeight="1" x14ac:dyDescent="0.45"/>
    <row r="192" ht="18.75" customHeight="1" x14ac:dyDescent="0.45"/>
    <row r="193" ht="18.75" customHeight="1" x14ac:dyDescent="0.45"/>
    <row r="194" ht="18.75" customHeight="1" x14ac:dyDescent="0.45"/>
    <row r="195" ht="18.75" customHeight="1" x14ac:dyDescent="0.45"/>
    <row r="196" ht="18.75" customHeight="1" x14ac:dyDescent="0.45"/>
    <row r="197" ht="18.75" customHeight="1" x14ac:dyDescent="0.45"/>
    <row r="198" ht="18.75" customHeight="1" x14ac:dyDescent="0.45"/>
    <row r="199" ht="18.75" customHeight="1" x14ac:dyDescent="0.45"/>
    <row r="200" ht="18.75" customHeight="1" x14ac:dyDescent="0.45"/>
    <row r="201" ht="18.75" customHeight="1" x14ac:dyDescent="0.45"/>
    <row r="202" ht="18.75" customHeight="1" x14ac:dyDescent="0.45"/>
    <row r="203" ht="18.75" customHeight="1" x14ac:dyDescent="0.45"/>
    <row r="204" ht="18.75" customHeight="1" x14ac:dyDescent="0.45"/>
    <row r="205" ht="18.75" customHeight="1" x14ac:dyDescent="0.45"/>
    <row r="206" ht="18.75" customHeight="1" x14ac:dyDescent="0.45"/>
    <row r="207" ht="18.75" customHeight="1" x14ac:dyDescent="0.45"/>
    <row r="208" ht="18.75" customHeight="1" x14ac:dyDescent="0.45"/>
    <row r="209" ht="18.75" customHeight="1" x14ac:dyDescent="0.45"/>
    <row r="210" ht="18.75" customHeight="1" x14ac:dyDescent="0.45"/>
    <row r="211" ht="18.75" customHeight="1" x14ac:dyDescent="0.45"/>
    <row r="212" ht="18.75" customHeight="1" x14ac:dyDescent="0.45"/>
    <row r="213" ht="18.75" customHeight="1" x14ac:dyDescent="0.45"/>
    <row r="214" ht="18.75" customHeight="1" x14ac:dyDescent="0.45"/>
    <row r="215" ht="18.75" customHeight="1" x14ac:dyDescent="0.45"/>
    <row r="216" ht="18.75" customHeight="1" x14ac:dyDescent="0.45"/>
    <row r="217" ht="18.75" customHeight="1" x14ac:dyDescent="0.45"/>
    <row r="218" ht="18.75" customHeight="1" x14ac:dyDescent="0.45"/>
    <row r="219" ht="18.75" customHeight="1" x14ac:dyDescent="0.45"/>
    <row r="220" ht="18.75" customHeight="1" x14ac:dyDescent="0.45"/>
    <row r="221" ht="18.75" customHeight="1" x14ac:dyDescent="0.45"/>
    <row r="222" ht="18.75" customHeight="1" x14ac:dyDescent="0.45"/>
    <row r="223" ht="18.75" customHeight="1" x14ac:dyDescent="0.45"/>
    <row r="224" ht="18.75" customHeight="1" x14ac:dyDescent="0.45"/>
    <row r="225" ht="18.75" customHeight="1" x14ac:dyDescent="0.45"/>
    <row r="226" ht="18.75" customHeight="1" x14ac:dyDescent="0.45"/>
    <row r="227" ht="18.75" customHeight="1" x14ac:dyDescent="0.45"/>
    <row r="228" ht="18.75" customHeight="1" x14ac:dyDescent="0.45"/>
    <row r="229" ht="18.75" customHeight="1" x14ac:dyDescent="0.45"/>
    <row r="230" ht="18.75" customHeight="1" x14ac:dyDescent="0.45"/>
    <row r="231" ht="18.75" customHeight="1" x14ac:dyDescent="0.45"/>
    <row r="232" ht="18.75" customHeight="1" x14ac:dyDescent="0.45"/>
    <row r="233" ht="18.75" customHeight="1" x14ac:dyDescent="0.45"/>
    <row r="234" ht="18.75" customHeight="1" x14ac:dyDescent="0.45"/>
    <row r="235" ht="18.75" customHeight="1" x14ac:dyDescent="0.45"/>
    <row r="236" ht="18.75" customHeight="1" x14ac:dyDescent="0.45"/>
    <row r="237" ht="18.75" customHeight="1" x14ac:dyDescent="0.45"/>
    <row r="238" ht="18.75" customHeight="1" x14ac:dyDescent="0.45"/>
    <row r="239" ht="18.75" customHeight="1" x14ac:dyDescent="0.45"/>
    <row r="240" ht="18.75" customHeight="1" x14ac:dyDescent="0.45"/>
    <row r="241" ht="18.75" customHeight="1" x14ac:dyDescent="0.45"/>
    <row r="242" ht="18.75" customHeight="1" x14ac:dyDescent="0.45"/>
    <row r="243" ht="18.75" customHeight="1" x14ac:dyDescent="0.45"/>
    <row r="244" ht="18.75" customHeight="1" x14ac:dyDescent="0.45"/>
    <row r="245" ht="18.75" customHeight="1" x14ac:dyDescent="0.45"/>
    <row r="246" ht="18.75" customHeight="1" x14ac:dyDescent="0.45"/>
    <row r="247" ht="18.75" customHeight="1" x14ac:dyDescent="0.45"/>
    <row r="248" ht="18.75" customHeight="1" x14ac:dyDescent="0.45"/>
    <row r="249" ht="18.75" customHeight="1" x14ac:dyDescent="0.45"/>
    <row r="250" ht="18.75" customHeight="1" x14ac:dyDescent="0.45"/>
    <row r="251" ht="18.75" customHeight="1" x14ac:dyDescent="0.45"/>
    <row r="252" ht="18.75" customHeight="1" x14ac:dyDescent="0.45"/>
    <row r="253" ht="18.75" customHeight="1" x14ac:dyDescent="0.45"/>
    <row r="254" ht="18.75" customHeight="1" x14ac:dyDescent="0.45"/>
    <row r="255" ht="18.75" customHeight="1" x14ac:dyDescent="0.45"/>
    <row r="256" ht="18.75" customHeight="1" x14ac:dyDescent="0.45"/>
    <row r="257" ht="18.75" customHeight="1" x14ac:dyDescent="0.45"/>
    <row r="258" ht="18.75" customHeight="1" x14ac:dyDescent="0.45"/>
    <row r="259" ht="18.75" customHeight="1" x14ac:dyDescent="0.45"/>
    <row r="260" ht="18.75" customHeight="1" x14ac:dyDescent="0.45"/>
    <row r="261" ht="18.75" customHeight="1" x14ac:dyDescent="0.45"/>
    <row r="262" ht="18.75" customHeight="1" x14ac:dyDescent="0.45"/>
    <row r="263" ht="18.75" customHeight="1" x14ac:dyDescent="0.45"/>
    <row r="264" ht="18.75" customHeight="1" x14ac:dyDescent="0.45"/>
    <row r="265" ht="18.75" customHeight="1" x14ac:dyDescent="0.45"/>
    <row r="266" ht="18.75" customHeight="1" x14ac:dyDescent="0.45"/>
    <row r="267" ht="18.75" customHeight="1" x14ac:dyDescent="0.45"/>
    <row r="268" ht="18.75" customHeight="1" x14ac:dyDescent="0.45"/>
    <row r="269" ht="18.75" customHeight="1" x14ac:dyDescent="0.45"/>
    <row r="270" ht="18.75" customHeight="1" x14ac:dyDescent="0.45"/>
    <row r="271" ht="18.75" customHeight="1" x14ac:dyDescent="0.45"/>
    <row r="272" ht="18.75" customHeight="1" x14ac:dyDescent="0.45"/>
    <row r="273" ht="18.75" customHeight="1" x14ac:dyDescent="0.45"/>
    <row r="274" ht="18.75" customHeight="1" x14ac:dyDescent="0.45"/>
    <row r="275" ht="18.75" customHeight="1" x14ac:dyDescent="0.45"/>
    <row r="276" ht="18.75" customHeight="1" x14ac:dyDescent="0.45"/>
    <row r="277" ht="18.75" customHeight="1" x14ac:dyDescent="0.45"/>
    <row r="278" ht="18.75" customHeight="1" x14ac:dyDescent="0.45"/>
    <row r="279" ht="18.75" customHeight="1" x14ac:dyDescent="0.45"/>
    <row r="280" ht="18.75" customHeight="1" x14ac:dyDescent="0.45"/>
    <row r="281" ht="18.75" customHeight="1" x14ac:dyDescent="0.45"/>
    <row r="282" ht="18.75" customHeight="1" x14ac:dyDescent="0.45"/>
    <row r="283" ht="18.75" customHeight="1" x14ac:dyDescent="0.45"/>
    <row r="284" ht="18.75" customHeight="1" x14ac:dyDescent="0.45"/>
    <row r="285" ht="18.75" customHeight="1" x14ac:dyDescent="0.45"/>
    <row r="286" ht="18.75" customHeight="1" x14ac:dyDescent="0.45"/>
    <row r="287" ht="18.75" customHeight="1" x14ac:dyDescent="0.45"/>
    <row r="288" ht="18.75" customHeight="1" x14ac:dyDescent="0.45"/>
    <row r="289" ht="18.75" customHeight="1" x14ac:dyDescent="0.45"/>
    <row r="290" ht="18.75" customHeight="1" x14ac:dyDescent="0.45"/>
    <row r="291" ht="18.75" customHeight="1" x14ac:dyDescent="0.45"/>
    <row r="292" ht="18.75" customHeight="1" x14ac:dyDescent="0.45"/>
    <row r="293" ht="18.75" customHeight="1" x14ac:dyDescent="0.45"/>
    <row r="294" ht="18.75" customHeight="1" x14ac:dyDescent="0.45"/>
    <row r="295" ht="18.75" customHeight="1" x14ac:dyDescent="0.45"/>
    <row r="296" ht="18.75" customHeight="1" x14ac:dyDescent="0.45"/>
    <row r="297" ht="18.75" customHeight="1" x14ac:dyDescent="0.45"/>
    <row r="298" ht="18.75" customHeight="1" x14ac:dyDescent="0.45"/>
    <row r="299" ht="18.75" customHeight="1" x14ac:dyDescent="0.45"/>
    <row r="300" ht="18.75" customHeight="1" x14ac:dyDescent="0.45"/>
    <row r="301" ht="18.75" customHeight="1" x14ac:dyDescent="0.45"/>
    <row r="302" ht="18.75" customHeight="1" x14ac:dyDescent="0.45"/>
    <row r="303" ht="18.75" customHeight="1" x14ac:dyDescent="0.45"/>
    <row r="304" ht="18.75" customHeight="1" x14ac:dyDescent="0.45"/>
    <row r="305" ht="18.75" customHeight="1" x14ac:dyDescent="0.45"/>
    <row r="306" ht="18.75" customHeight="1" x14ac:dyDescent="0.45"/>
    <row r="307" ht="18.75" customHeight="1" x14ac:dyDescent="0.45"/>
    <row r="308" ht="18.75" customHeight="1" x14ac:dyDescent="0.45"/>
    <row r="309" ht="18.75" customHeight="1" x14ac:dyDescent="0.45"/>
    <row r="310" ht="18.75" customHeight="1" x14ac:dyDescent="0.45"/>
    <row r="311" ht="18.75" customHeight="1" x14ac:dyDescent="0.45"/>
    <row r="312" ht="18.75" customHeight="1" x14ac:dyDescent="0.45"/>
    <row r="313" ht="18.75" customHeight="1" x14ac:dyDescent="0.45"/>
    <row r="314" ht="18.75" customHeight="1" x14ac:dyDescent="0.45"/>
    <row r="315" ht="18.75" customHeight="1" x14ac:dyDescent="0.45"/>
    <row r="316" ht="18.75" customHeight="1" x14ac:dyDescent="0.45"/>
    <row r="317" ht="18.75" customHeight="1" x14ac:dyDescent="0.45"/>
    <row r="318" ht="18.75" customHeight="1" x14ac:dyDescent="0.45"/>
    <row r="319" ht="18.75" customHeight="1" x14ac:dyDescent="0.45"/>
    <row r="320" ht="18.75" customHeight="1" x14ac:dyDescent="0.45"/>
    <row r="321" ht="18.75" customHeight="1" x14ac:dyDescent="0.45"/>
    <row r="322" ht="18.75" customHeight="1" x14ac:dyDescent="0.45"/>
    <row r="323" ht="18.75" customHeight="1" x14ac:dyDescent="0.45"/>
    <row r="324" ht="18.75" customHeight="1" x14ac:dyDescent="0.45"/>
    <row r="325" ht="18.75" customHeight="1" x14ac:dyDescent="0.45"/>
    <row r="326" ht="18.75" customHeight="1" x14ac:dyDescent="0.45"/>
    <row r="327" ht="18.75" customHeight="1" x14ac:dyDescent="0.45"/>
    <row r="328" ht="18.75" customHeight="1" x14ac:dyDescent="0.45"/>
    <row r="329" ht="18.75" customHeight="1" x14ac:dyDescent="0.45"/>
    <row r="330" ht="18.75" customHeight="1" x14ac:dyDescent="0.45"/>
    <row r="331" ht="18.75" customHeight="1" x14ac:dyDescent="0.45"/>
    <row r="332" ht="18.75" customHeight="1" x14ac:dyDescent="0.45"/>
    <row r="333" ht="18.75" customHeight="1" x14ac:dyDescent="0.45"/>
    <row r="334" ht="18.75" customHeight="1" x14ac:dyDescent="0.45"/>
    <row r="335" ht="18.75" customHeight="1" x14ac:dyDescent="0.45"/>
    <row r="336" ht="18.75" customHeight="1" x14ac:dyDescent="0.45"/>
    <row r="337" ht="18.75" customHeight="1" x14ac:dyDescent="0.45"/>
    <row r="338" ht="18.75" customHeight="1" x14ac:dyDescent="0.45"/>
    <row r="339" ht="18.75" customHeight="1" x14ac:dyDescent="0.45"/>
    <row r="340" ht="18.75" customHeight="1" x14ac:dyDescent="0.45"/>
    <row r="341" ht="18.75" customHeight="1" x14ac:dyDescent="0.45"/>
    <row r="342" ht="18.75" customHeight="1" x14ac:dyDescent="0.45"/>
    <row r="343" ht="18.75" customHeight="1" x14ac:dyDescent="0.45"/>
    <row r="344" ht="18.75" customHeight="1" x14ac:dyDescent="0.45"/>
    <row r="345" ht="18.75" customHeight="1" x14ac:dyDescent="0.45"/>
    <row r="346" ht="18.75" customHeight="1" x14ac:dyDescent="0.45"/>
    <row r="347" ht="18.75" customHeight="1" x14ac:dyDescent="0.45"/>
    <row r="348" ht="18.75" customHeight="1" x14ac:dyDescent="0.45"/>
    <row r="349" ht="18.75" customHeight="1" x14ac:dyDescent="0.45"/>
    <row r="350" ht="18.75" customHeight="1" x14ac:dyDescent="0.45"/>
    <row r="351" ht="18.75" customHeight="1" x14ac:dyDescent="0.45"/>
    <row r="352" ht="18.75" customHeight="1" x14ac:dyDescent="0.45"/>
    <row r="353" ht="18.75" customHeight="1" x14ac:dyDescent="0.45"/>
    <row r="354" ht="18.75" customHeight="1" x14ac:dyDescent="0.45"/>
    <row r="355" ht="18.75" customHeight="1" x14ac:dyDescent="0.45"/>
    <row r="356" ht="18.75" customHeight="1" x14ac:dyDescent="0.45"/>
    <row r="357" ht="18.75" customHeight="1" x14ac:dyDescent="0.45"/>
    <row r="358" ht="18.75" customHeight="1" x14ac:dyDescent="0.45"/>
    <row r="359" ht="18.75" customHeight="1" x14ac:dyDescent="0.45"/>
    <row r="360" ht="18.75" customHeight="1" x14ac:dyDescent="0.45"/>
    <row r="361" ht="18.75" customHeight="1" x14ac:dyDescent="0.45"/>
    <row r="362" ht="18.75" customHeight="1" x14ac:dyDescent="0.45"/>
    <row r="363" ht="18.75" customHeight="1" x14ac:dyDescent="0.45"/>
    <row r="364" ht="18.75" customHeight="1" x14ac:dyDescent="0.45"/>
    <row r="365" ht="18.75" customHeight="1" x14ac:dyDescent="0.45"/>
    <row r="366" ht="18.75" customHeight="1" x14ac:dyDescent="0.45"/>
    <row r="367" ht="18.75" customHeight="1" x14ac:dyDescent="0.45"/>
    <row r="368" ht="18.75" customHeight="1" x14ac:dyDescent="0.45"/>
    <row r="369" ht="18.75" customHeight="1" x14ac:dyDescent="0.45"/>
    <row r="370" ht="18.75" customHeight="1" x14ac:dyDescent="0.45"/>
    <row r="371" ht="18.75" customHeight="1" x14ac:dyDescent="0.45"/>
    <row r="372" ht="18.75" customHeight="1" x14ac:dyDescent="0.45"/>
    <row r="373" ht="18.75" customHeight="1" x14ac:dyDescent="0.45"/>
    <row r="374" ht="18.75" customHeight="1" x14ac:dyDescent="0.45"/>
    <row r="375" ht="18.75" customHeight="1" x14ac:dyDescent="0.45"/>
    <row r="376" ht="18.75" customHeight="1" x14ac:dyDescent="0.45"/>
    <row r="377" ht="18.75" customHeight="1" x14ac:dyDescent="0.45"/>
    <row r="378" ht="18.75" customHeight="1" x14ac:dyDescent="0.45"/>
    <row r="379" ht="18.75" customHeight="1" x14ac:dyDescent="0.45"/>
    <row r="380" ht="18.75" customHeight="1" x14ac:dyDescent="0.45"/>
    <row r="381" ht="18.75" customHeight="1" x14ac:dyDescent="0.45"/>
    <row r="382" ht="18.75" customHeight="1" x14ac:dyDescent="0.45"/>
    <row r="383" ht="18.75" customHeight="1" x14ac:dyDescent="0.45"/>
    <row r="384" ht="18.75" customHeight="1" x14ac:dyDescent="0.45"/>
    <row r="385" ht="18.75" customHeight="1" x14ac:dyDescent="0.45"/>
    <row r="386" ht="18.75" customHeight="1" x14ac:dyDescent="0.45"/>
    <row r="387" ht="18.75" customHeight="1" x14ac:dyDescent="0.45"/>
    <row r="388" ht="18.75" customHeight="1" x14ac:dyDescent="0.45"/>
    <row r="389" ht="18.75" customHeight="1" x14ac:dyDescent="0.45"/>
    <row r="390" ht="18.75" customHeight="1" x14ac:dyDescent="0.45"/>
    <row r="391" ht="18.75" customHeight="1" x14ac:dyDescent="0.45"/>
    <row r="392" ht="18.75" customHeight="1" x14ac:dyDescent="0.45"/>
    <row r="393" ht="18.75" customHeight="1" x14ac:dyDescent="0.45"/>
    <row r="394" ht="18.75" customHeight="1" x14ac:dyDescent="0.45"/>
    <row r="395" ht="18.75" customHeight="1" x14ac:dyDescent="0.45"/>
    <row r="396" ht="18.75" customHeight="1" x14ac:dyDescent="0.45"/>
    <row r="397" ht="18.75" customHeight="1" x14ac:dyDescent="0.45"/>
    <row r="398" ht="18.75" customHeight="1" x14ac:dyDescent="0.45"/>
    <row r="399" ht="18.75" customHeight="1" x14ac:dyDescent="0.45"/>
    <row r="400" ht="18.75" customHeight="1" x14ac:dyDescent="0.45"/>
    <row r="401" ht="18.75" customHeight="1" x14ac:dyDescent="0.45"/>
    <row r="402" ht="18.75" customHeight="1" x14ac:dyDescent="0.45"/>
    <row r="403" ht="18.75" customHeight="1" x14ac:dyDescent="0.45"/>
    <row r="404" ht="18.75" customHeight="1" x14ac:dyDescent="0.45"/>
    <row r="405" ht="18.75" customHeight="1" x14ac:dyDescent="0.45"/>
    <row r="406" ht="18.75" customHeight="1" x14ac:dyDescent="0.45"/>
    <row r="407" ht="18.75" customHeight="1" x14ac:dyDescent="0.45"/>
    <row r="408" ht="18.75" customHeight="1" x14ac:dyDescent="0.45"/>
    <row r="409" ht="18.75" customHeight="1" x14ac:dyDescent="0.45"/>
    <row r="410" ht="18.75" customHeight="1" x14ac:dyDescent="0.45"/>
    <row r="411" ht="18.75" customHeight="1" x14ac:dyDescent="0.45"/>
    <row r="412" ht="18.75" customHeight="1" x14ac:dyDescent="0.45"/>
    <row r="413" ht="18.75" customHeight="1" x14ac:dyDescent="0.45"/>
    <row r="414" ht="18.75" customHeight="1" x14ac:dyDescent="0.45"/>
    <row r="415" ht="18.75" customHeight="1" x14ac:dyDescent="0.45"/>
    <row r="416" ht="18.75" customHeight="1" x14ac:dyDescent="0.45"/>
    <row r="417" ht="18.75" customHeight="1" x14ac:dyDescent="0.45"/>
    <row r="418" ht="18.75" customHeight="1" x14ac:dyDescent="0.45"/>
    <row r="419" ht="18.75" customHeight="1" x14ac:dyDescent="0.45"/>
    <row r="420" ht="18.75" customHeight="1" x14ac:dyDescent="0.45"/>
    <row r="421" ht="18.75" customHeight="1" x14ac:dyDescent="0.45"/>
    <row r="422" ht="18.75" customHeight="1" x14ac:dyDescent="0.45"/>
    <row r="423" ht="18.75" customHeight="1" x14ac:dyDescent="0.45"/>
    <row r="424" ht="18.75" customHeight="1" x14ac:dyDescent="0.45"/>
    <row r="425" ht="18.75" customHeight="1" x14ac:dyDescent="0.45"/>
    <row r="426" ht="18.75" customHeight="1" x14ac:dyDescent="0.45"/>
    <row r="427" ht="18.75" customHeight="1" x14ac:dyDescent="0.45"/>
    <row r="428" ht="18.75" customHeight="1" x14ac:dyDescent="0.45"/>
    <row r="429" ht="18.75" customHeight="1" x14ac:dyDescent="0.45"/>
    <row r="430" ht="18.75" customHeight="1" x14ac:dyDescent="0.45"/>
    <row r="431" ht="18.75" customHeight="1" x14ac:dyDescent="0.45"/>
    <row r="432" ht="18.75" customHeight="1" x14ac:dyDescent="0.45"/>
    <row r="433" ht="18.75" customHeight="1" x14ac:dyDescent="0.45"/>
    <row r="434" ht="18.75" customHeight="1" x14ac:dyDescent="0.45"/>
    <row r="435" ht="18.75" customHeight="1" x14ac:dyDescent="0.45"/>
    <row r="436" ht="18.75" customHeight="1" x14ac:dyDescent="0.45"/>
    <row r="437" ht="18.75" customHeight="1" x14ac:dyDescent="0.45"/>
    <row r="438" ht="18.75" customHeight="1" x14ac:dyDescent="0.45"/>
    <row r="439" ht="18.75" customHeight="1" x14ac:dyDescent="0.45"/>
    <row r="440" ht="18.75" customHeight="1" x14ac:dyDescent="0.45"/>
    <row r="441" ht="18.75" customHeight="1" x14ac:dyDescent="0.45"/>
    <row r="442" ht="18.75" customHeight="1" x14ac:dyDescent="0.45"/>
    <row r="443" ht="18.75" customHeight="1" x14ac:dyDescent="0.45"/>
    <row r="444" ht="18.75" customHeight="1" x14ac:dyDescent="0.45"/>
    <row r="445" ht="18.75" customHeight="1" x14ac:dyDescent="0.45"/>
    <row r="446" ht="18.75" customHeight="1" x14ac:dyDescent="0.45"/>
    <row r="447" ht="18.75" customHeight="1" x14ac:dyDescent="0.45"/>
    <row r="448" ht="18.75" customHeight="1" x14ac:dyDescent="0.45"/>
    <row r="449" ht="18.75" customHeight="1" x14ac:dyDescent="0.45"/>
    <row r="450" ht="18.75" customHeight="1" x14ac:dyDescent="0.45"/>
    <row r="451" ht="18.75" customHeight="1" x14ac:dyDescent="0.45"/>
    <row r="452" ht="18.75" customHeight="1" x14ac:dyDescent="0.45"/>
    <row r="453" ht="18.75" customHeight="1" x14ac:dyDescent="0.45"/>
    <row r="454" ht="18.75" customHeight="1" x14ac:dyDescent="0.45"/>
    <row r="455" ht="18.75" customHeight="1" x14ac:dyDescent="0.45"/>
    <row r="456" ht="18.75" customHeight="1" x14ac:dyDescent="0.45"/>
    <row r="457" ht="18.75" customHeight="1" x14ac:dyDescent="0.45"/>
    <row r="458" ht="18.75" customHeight="1" x14ac:dyDescent="0.45"/>
    <row r="459" ht="18.75" customHeight="1" x14ac:dyDescent="0.45"/>
    <row r="460" ht="18.75" customHeight="1" x14ac:dyDescent="0.45"/>
    <row r="461" ht="18.75" customHeight="1" x14ac:dyDescent="0.45"/>
    <row r="462" ht="18.75" customHeight="1" x14ac:dyDescent="0.45"/>
    <row r="463" ht="18.75" customHeight="1" x14ac:dyDescent="0.45"/>
    <row r="464" ht="18.75" customHeight="1" x14ac:dyDescent="0.45"/>
    <row r="465" ht="18.75" customHeight="1" x14ac:dyDescent="0.45"/>
    <row r="466" ht="18.75" customHeight="1" x14ac:dyDescent="0.45"/>
    <row r="467" ht="18.75" customHeight="1" x14ac:dyDescent="0.45"/>
    <row r="468" ht="18.75" customHeight="1" x14ac:dyDescent="0.45"/>
    <row r="469" ht="18.75" customHeight="1" x14ac:dyDescent="0.45"/>
    <row r="470" ht="18.75" customHeight="1" x14ac:dyDescent="0.45"/>
    <row r="471" ht="18.75" customHeight="1" x14ac:dyDescent="0.45"/>
    <row r="472" ht="18.75" customHeight="1" x14ac:dyDescent="0.45"/>
    <row r="473" ht="18.75" customHeight="1" x14ac:dyDescent="0.45"/>
    <row r="474" ht="18.75" customHeight="1" x14ac:dyDescent="0.45"/>
    <row r="475" ht="18.75" customHeight="1" x14ac:dyDescent="0.45"/>
    <row r="476" ht="18.75" customHeight="1" x14ac:dyDescent="0.45"/>
    <row r="477" ht="18.75" customHeight="1" x14ac:dyDescent="0.45"/>
    <row r="478" ht="18.75" customHeight="1" x14ac:dyDescent="0.45"/>
    <row r="479" ht="18.75" customHeight="1" x14ac:dyDescent="0.45"/>
    <row r="480" ht="18.75" customHeight="1" x14ac:dyDescent="0.45"/>
    <row r="481" ht="18.75" customHeight="1" x14ac:dyDescent="0.45"/>
    <row r="482" ht="18.75" customHeight="1" x14ac:dyDescent="0.45"/>
    <row r="483" ht="18.75" customHeight="1" x14ac:dyDescent="0.45"/>
    <row r="484" ht="18.75" customHeight="1" x14ac:dyDescent="0.45"/>
    <row r="485" ht="18.75" customHeight="1" x14ac:dyDescent="0.45"/>
    <row r="486" ht="18.75" customHeight="1" x14ac:dyDescent="0.45"/>
    <row r="487" ht="18.75" customHeight="1" x14ac:dyDescent="0.45"/>
    <row r="488" ht="18.75" customHeight="1" x14ac:dyDescent="0.45"/>
    <row r="489" ht="18.75" customHeight="1" x14ac:dyDescent="0.45"/>
    <row r="490" ht="18.75" customHeight="1" x14ac:dyDescent="0.45"/>
    <row r="491" ht="18.75" customHeight="1" x14ac:dyDescent="0.45"/>
    <row r="492" ht="18.75" customHeight="1" x14ac:dyDescent="0.45"/>
    <row r="493" ht="18.75" customHeight="1" x14ac:dyDescent="0.45"/>
    <row r="494" ht="18.75" customHeight="1" x14ac:dyDescent="0.45"/>
    <row r="495" ht="18.75" customHeight="1" x14ac:dyDescent="0.45"/>
    <row r="496" ht="18.75" customHeight="1" x14ac:dyDescent="0.45"/>
    <row r="497" ht="18.75" customHeight="1" x14ac:dyDescent="0.45"/>
    <row r="498" ht="18.75" customHeight="1" x14ac:dyDescent="0.45"/>
    <row r="499" ht="18.75" customHeight="1" x14ac:dyDescent="0.45"/>
    <row r="500" ht="18.75" customHeight="1" x14ac:dyDescent="0.45"/>
    <row r="501" ht="18.75" customHeight="1" x14ac:dyDescent="0.45"/>
    <row r="502" ht="18.75" customHeight="1" x14ac:dyDescent="0.45"/>
    <row r="503" ht="18.75" customHeight="1" x14ac:dyDescent="0.45"/>
    <row r="504" ht="18.75" customHeight="1" x14ac:dyDescent="0.45"/>
    <row r="505" ht="18.75" customHeight="1" x14ac:dyDescent="0.45"/>
    <row r="506" ht="18.75" customHeight="1" x14ac:dyDescent="0.45"/>
    <row r="507" ht="18.75" customHeight="1" x14ac:dyDescent="0.45"/>
    <row r="508" ht="18.75" customHeight="1" x14ac:dyDescent="0.45"/>
    <row r="509" ht="18.75" customHeight="1" x14ac:dyDescent="0.45"/>
    <row r="510" ht="18.75" customHeight="1" x14ac:dyDescent="0.45"/>
    <row r="511" ht="18.75" customHeight="1" x14ac:dyDescent="0.45"/>
    <row r="512" ht="18.75" customHeight="1" x14ac:dyDescent="0.45"/>
    <row r="513" ht="18.75" customHeight="1" x14ac:dyDescent="0.45"/>
    <row r="514" ht="18.75" customHeight="1" x14ac:dyDescent="0.45"/>
    <row r="515" ht="18.75" customHeight="1" x14ac:dyDescent="0.45"/>
    <row r="516" ht="18.75" customHeight="1" x14ac:dyDescent="0.45"/>
    <row r="517" ht="18.75" customHeight="1" x14ac:dyDescent="0.45"/>
    <row r="518" ht="18.75" customHeight="1" x14ac:dyDescent="0.45"/>
    <row r="519" ht="18.75" customHeight="1" x14ac:dyDescent="0.45"/>
    <row r="520" ht="18.75" customHeight="1" x14ac:dyDescent="0.45"/>
    <row r="521" ht="18.75" customHeight="1" x14ac:dyDescent="0.45"/>
    <row r="522" ht="18.75" customHeight="1" x14ac:dyDescent="0.45"/>
    <row r="523" ht="18.75" customHeight="1" x14ac:dyDescent="0.45"/>
    <row r="524" ht="18.75" customHeight="1" x14ac:dyDescent="0.45"/>
    <row r="525" ht="18.75" customHeight="1" x14ac:dyDescent="0.45"/>
    <row r="526" ht="18.75" customHeight="1" x14ac:dyDescent="0.45"/>
    <row r="527" ht="18.75" customHeight="1" x14ac:dyDescent="0.45"/>
    <row r="528" ht="18.75" customHeight="1" x14ac:dyDescent="0.45"/>
    <row r="529" ht="18.75" customHeight="1" x14ac:dyDescent="0.45"/>
    <row r="530" ht="18.75" customHeight="1" x14ac:dyDescent="0.45"/>
    <row r="531" ht="18.75" customHeight="1" x14ac:dyDescent="0.45"/>
    <row r="532" ht="18.75" customHeight="1" x14ac:dyDescent="0.45"/>
    <row r="533" ht="18.75" customHeight="1" x14ac:dyDescent="0.45"/>
    <row r="534" ht="18.75" customHeight="1" x14ac:dyDescent="0.45"/>
    <row r="535" ht="18.75" customHeight="1" x14ac:dyDescent="0.45"/>
    <row r="536" ht="18.75" customHeight="1" x14ac:dyDescent="0.45"/>
    <row r="537" ht="18.75" customHeight="1" x14ac:dyDescent="0.45"/>
    <row r="538" ht="18.75" customHeight="1" x14ac:dyDescent="0.45"/>
    <row r="539" ht="18.75" customHeight="1" x14ac:dyDescent="0.45"/>
    <row r="540" ht="18.75" customHeight="1" x14ac:dyDescent="0.45"/>
    <row r="541" ht="18.75" customHeight="1" x14ac:dyDescent="0.45"/>
    <row r="542" ht="18.75" customHeight="1" x14ac:dyDescent="0.45"/>
    <row r="543" ht="18.75" customHeight="1" x14ac:dyDescent="0.45"/>
    <row r="544" ht="18.75" customHeight="1" x14ac:dyDescent="0.45"/>
    <row r="545" ht="18.75" customHeight="1" x14ac:dyDescent="0.45"/>
    <row r="546" ht="18.75" customHeight="1" x14ac:dyDescent="0.45"/>
    <row r="547" ht="18.75" customHeight="1" x14ac:dyDescent="0.45"/>
    <row r="548" ht="18.75" customHeight="1" x14ac:dyDescent="0.45"/>
    <row r="549" ht="18.75" customHeight="1" x14ac:dyDescent="0.45"/>
    <row r="550" ht="18.75" customHeight="1" x14ac:dyDescent="0.45"/>
    <row r="551" ht="18.75" customHeight="1" x14ac:dyDescent="0.45"/>
    <row r="552" ht="18.75" customHeight="1" x14ac:dyDescent="0.45"/>
    <row r="553" ht="18.75" customHeight="1" x14ac:dyDescent="0.45"/>
    <row r="554" ht="18.75" customHeight="1" x14ac:dyDescent="0.45"/>
    <row r="555" ht="18.75" customHeight="1" x14ac:dyDescent="0.45"/>
    <row r="556" ht="18.75" customHeight="1" x14ac:dyDescent="0.45"/>
    <row r="557" ht="18.75" customHeight="1" x14ac:dyDescent="0.45"/>
    <row r="558" ht="18.75" customHeight="1" x14ac:dyDescent="0.45"/>
    <row r="559" ht="18.75" customHeight="1" x14ac:dyDescent="0.45"/>
    <row r="560" ht="18.75" customHeight="1" x14ac:dyDescent="0.45"/>
    <row r="561" ht="18.75" customHeight="1" x14ac:dyDescent="0.45"/>
    <row r="562" ht="18.75" customHeight="1" x14ac:dyDescent="0.45"/>
    <row r="563" ht="18.75" customHeight="1" x14ac:dyDescent="0.45"/>
    <row r="564" ht="18.75" customHeight="1" x14ac:dyDescent="0.45"/>
    <row r="565" ht="18.75" customHeight="1" x14ac:dyDescent="0.45"/>
    <row r="566" ht="18.75" customHeight="1" x14ac:dyDescent="0.45"/>
    <row r="567" ht="18.75" customHeight="1" x14ac:dyDescent="0.45"/>
    <row r="568" ht="18.75" customHeight="1" x14ac:dyDescent="0.45"/>
    <row r="569" ht="18.75" customHeight="1" x14ac:dyDescent="0.45"/>
    <row r="570" ht="18.75" customHeight="1" x14ac:dyDescent="0.45"/>
    <row r="571" ht="18.75" customHeight="1" x14ac:dyDescent="0.45"/>
    <row r="572" ht="18.75" customHeight="1" x14ac:dyDescent="0.45"/>
    <row r="573" ht="18.75" customHeight="1" x14ac:dyDescent="0.45"/>
    <row r="574" ht="18.75" customHeight="1" x14ac:dyDescent="0.45"/>
    <row r="575" ht="18.75" customHeight="1" x14ac:dyDescent="0.45"/>
    <row r="576" ht="18.75" customHeight="1" x14ac:dyDescent="0.45"/>
    <row r="577" ht="18.75" customHeight="1" x14ac:dyDescent="0.45"/>
    <row r="578" ht="18.75" customHeight="1" x14ac:dyDescent="0.45"/>
    <row r="579" ht="18.75" customHeight="1" x14ac:dyDescent="0.45"/>
    <row r="580" ht="18.75" customHeight="1" x14ac:dyDescent="0.45"/>
    <row r="581" ht="18.75" customHeight="1" x14ac:dyDescent="0.45"/>
    <row r="582" ht="18.75" customHeight="1" x14ac:dyDescent="0.45"/>
    <row r="583" ht="18.75" customHeight="1" x14ac:dyDescent="0.45"/>
    <row r="584" ht="18.75" customHeight="1" x14ac:dyDescent="0.45"/>
    <row r="585" ht="18.75" customHeight="1" x14ac:dyDescent="0.45"/>
    <row r="586" ht="18.75" customHeight="1" x14ac:dyDescent="0.45"/>
    <row r="587" ht="18.75" customHeight="1" x14ac:dyDescent="0.45"/>
    <row r="588" ht="18.75" customHeight="1" x14ac:dyDescent="0.45"/>
    <row r="589" ht="18.75" customHeight="1" x14ac:dyDescent="0.45"/>
    <row r="590" ht="18.75" customHeight="1" x14ac:dyDescent="0.45"/>
    <row r="591" ht="18.75" customHeight="1" x14ac:dyDescent="0.45"/>
    <row r="592" ht="18.75" customHeight="1" x14ac:dyDescent="0.45"/>
    <row r="593" ht="18.75" customHeight="1" x14ac:dyDescent="0.45"/>
    <row r="594" ht="18.75" customHeight="1" x14ac:dyDescent="0.45"/>
    <row r="595" ht="18.75" customHeight="1" x14ac:dyDescent="0.45"/>
    <row r="596" ht="18.75" customHeight="1" x14ac:dyDescent="0.45"/>
    <row r="597" ht="18.75" customHeight="1" x14ac:dyDescent="0.45"/>
    <row r="598" ht="18.75" customHeight="1" x14ac:dyDescent="0.45"/>
    <row r="599" ht="18.75" customHeight="1" x14ac:dyDescent="0.45"/>
    <row r="600" ht="18.75" customHeight="1" x14ac:dyDescent="0.45"/>
    <row r="601" ht="18.75" customHeight="1" x14ac:dyDescent="0.45"/>
    <row r="602" ht="18.75" customHeight="1" x14ac:dyDescent="0.45"/>
    <row r="603" ht="18.75" customHeight="1" x14ac:dyDescent="0.45"/>
    <row r="604" ht="18.75" customHeight="1" x14ac:dyDescent="0.45"/>
    <row r="605" ht="18.75" customHeight="1" x14ac:dyDescent="0.45"/>
    <row r="606" ht="18.75" customHeight="1" x14ac:dyDescent="0.45"/>
    <row r="607" ht="18.75" customHeight="1" x14ac:dyDescent="0.45"/>
    <row r="608" ht="18.75" customHeight="1" x14ac:dyDescent="0.45"/>
    <row r="609" ht="18.75" customHeight="1" x14ac:dyDescent="0.45"/>
    <row r="610" ht="18.75" customHeight="1" x14ac:dyDescent="0.45"/>
    <row r="611" ht="18.75" customHeight="1" x14ac:dyDescent="0.45"/>
    <row r="612" ht="18.75" customHeight="1" x14ac:dyDescent="0.45"/>
    <row r="613" ht="18.75" customHeight="1" x14ac:dyDescent="0.45"/>
    <row r="614" ht="18.75" customHeight="1" x14ac:dyDescent="0.45"/>
    <row r="615" ht="18.75" customHeight="1" x14ac:dyDescent="0.45"/>
    <row r="616" ht="18.75" customHeight="1" x14ac:dyDescent="0.45"/>
    <row r="617" ht="18.75" customHeight="1" x14ac:dyDescent="0.45"/>
    <row r="618" ht="18.75" customHeight="1" x14ac:dyDescent="0.45"/>
    <row r="619" ht="18.75" customHeight="1" x14ac:dyDescent="0.45"/>
    <row r="620" ht="18.75" customHeight="1" x14ac:dyDescent="0.45"/>
    <row r="621" ht="18.75" customHeight="1" x14ac:dyDescent="0.45"/>
    <row r="622" ht="18.75" customHeight="1" x14ac:dyDescent="0.45"/>
    <row r="623" ht="18.75" customHeight="1" x14ac:dyDescent="0.45"/>
    <row r="624" ht="18.75" customHeight="1" x14ac:dyDescent="0.45"/>
    <row r="625" ht="18.75" customHeight="1" x14ac:dyDescent="0.45"/>
    <row r="626" ht="18.75" customHeight="1" x14ac:dyDescent="0.45"/>
    <row r="627" ht="18.75" customHeight="1" x14ac:dyDescent="0.45"/>
    <row r="628" ht="18.75" customHeight="1" x14ac:dyDescent="0.45"/>
    <row r="629" ht="18.75" customHeight="1" x14ac:dyDescent="0.45"/>
    <row r="630" ht="18.75" customHeight="1" x14ac:dyDescent="0.45"/>
    <row r="631" ht="18.75" customHeight="1" x14ac:dyDescent="0.45"/>
    <row r="632" ht="18.75" customHeight="1" x14ac:dyDescent="0.45"/>
    <row r="633" ht="18.75" customHeight="1" x14ac:dyDescent="0.45"/>
    <row r="634" ht="18.75" customHeight="1" x14ac:dyDescent="0.45"/>
    <row r="635" ht="18.75" customHeight="1" x14ac:dyDescent="0.45"/>
    <row r="636" ht="18.75" customHeight="1" x14ac:dyDescent="0.45"/>
    <row r="637" ht="18.75" customHeight="1" x14ac:dyDescent="0.45"/>
    <row r="638" ht="18.75" customHeight="1" x14ac:dyDescent="0.45"/>
    <row r="639" ht="18.75" customHeight="1" x14ac:dyDescent="0.45"/>
    <row r="640" ht="18.75" customHeight="1" x14ac:dyDescent="0.45"/>
    <row r="641" ht="18.75" customHeight="1" x14ac:dyDescent="0.45"/>
    <row r="642" ht="18.75" customHeight="1" x14ac:dyDescent="0.45"/>
    <row r="643" ht="18.75" customHeight="1" x14ac:dyDescent="0.45"/>
    <row r="644" ht="18.75" customHeight="1" x14ac:dyDescent="0.45"/>
    <row r="645" ht="18.75" customHeight="1" x14ac:dyDescent="0.45"/>
    <row r="646" ht="18.75" customHeight="1" x14ac:dyDescent="0.45"/>
    <row r="647" ht="18.75" customHeight="1" x14ac:dyDescent="0.45"/>
    <row r="648" ht="18.75" customHeight="1" x14ac:dyDescent="0.45"/>
    <row r="649" ht="18.75" customHeight="1" x14ac:dyDescent="0.45"/>
    <row r="650" ht="18.75" customHeight="1" x14ac:dyDescent="0.45"/>
    <row r="651" ht="18.75" customHeight="1" x14ac:dyDescent="0.45"/>
    <row r="652" ht="18.75" customHeight="1" x14ac:dyDescent="0.45"/>
    <row r="653" ht="18.75" customHeight="1" x14ac:dyDescent="0.45"/>
    <row r="654" ht="18.75" customHeight="1" x14ac:dyDescent="0.45"/>
    <row r="655" ht="18.75" customHeight="1" x14ac:dyDescent="0.45"/>
    <row r="656" ht="18.75" customHeight="1" x14ac:dyDescent="0.45"/>
    <row r="657" ht="18.75" customHeight="1" x14ac:dyDescent="0.45"/>
    <row r="658" ht="18.75" customHeight="1" x14ac:dyDescent="0.45"/>
    <row r="659" ht="18.75" customHeight="1" x14ac:dyDescent="0.45"/>
    <row r="660" ht="18.75" customHeight="1" x14ac:dyDescent="0.45"/>
    <row r="661" ht="18.75" customHeight="1" x14ac:dyDescent="0.45"/>
    <row r="662" ht="18.75" customHeight="1" x14ac:dyDescent="0.45"/>
    <row r="663" ht="18.75" customHeight="1" x14ac:dyDescent="0.45"/>
    <row r="664" ht="18.75" customHeight="1" x14ac:dyDescent="0.45"/>
    <row r="665" ht="18.75" customHeight="1" x14ac:dyDescent="0.45"/>
    <row r="666" ht="18.75" customHeight="1" x14ac:dyDescent="0.45"/>
    <row r="667" ht="18.75" customHeight="1" x14ac:dyDescent="0.45"/>
    <row r="668" ht="18.75" customHeight="1" x14ac:dyDescent="0.45"/>
    <row r="669" ht="18.75" customHeight="1" x14ac:dyDescent="0.45"/>
    <row r="670" ht="18.75" customHeight="1" x14ac:dyDescent="0.45"/>
    <row r="671" ht="18.75" customHeight="1" x14ac:dyDescent="0.45"/>
    <row r="672" ht="18.75" customHeight="1" x14ac:dyDescent="0.45"/>
    <row r="673" ht="18.75" customHeight="1" x14ac:dyDescent="0.45"/>
    <row r="674" ht="18.75" customHeight="1" x14ac:dyDescent="0.45"/>
    <row r="675" ht="18.75" customHeight="1" x14ac:dyDescent="0.45"/>
    <row r="676" ht="18.75" customHeight="1" x14ac:dyDescent="0.45"/>
    <row r="677" ht="18.75" customHeight="1" x14ac:dyDescent="0.45"/>
    <row r="678" ht="18.75" customHeight="1" x14ac:dyDescent="0.45"/>
    <row r="679" ht="18.75" customHeight="1" x14ac:dyDescent="0.45"/>
    <row r="680" ht="18.75" customHeight="1" x14ac:dyDescent="0.45"/>
    <row r="681" ht="18.75" customHeight="1" x14ac:dyDescent="0.45"/>
    <row r="682" ht="18.75" customHeight="1" x14ac:dyDescent="0.45"/>
    <row r="683" ht="18.75" customHeight="1" x14ac:dyDescent="0.45"/>
    <row r="684" ht="18.75" customHeight="1" x14ac:dyDescent="0.45"/>
    <row r="685" ht="18.75" customHeight="1" x14ac:dyDescent="0.45"/>
    <row r="686" ht="18.75" customHeight="1" x14ac:dyDescent="0.45"/>
    <row r="687" ht="18.75" customHeight="1" x14ac:dyDescent="0.45"/>
    <row r="688" ht="18.75" customHeight="1" x14ac:dyDescent="0.45"/>
    <row r="689" ht="18.75" customHeight="1" x14ac:dyDescent="0.45"/>
    <row r="690" ht="18.75" customHeight="1" x14ac:dyDescent="0.45"/>
    <row r="691" ht="18.75" customHeight="1" x14ac:dyDescent="0.45"/>
    <row r="692" ht="18.75" customHeight="1" x14ac:dyDescent="0.45"/>
    <row r="693" ht="18.75" customHeight="1" x14ac:dyDescent="0.45"/>
    <row r="694" ht="18.75" customHeight="1" x14ac:dyDescent="0.45"/>
    <row r="695" ht="18.75" customHeight="1" x14ac:dyDescent="0.45"/>
    <row r="696" ht="18.75" customHeight="1" x14ac:dyDescent="0.45"/>
    <row r="697" ht="18.75" customHeight="1" x14ac:dyDescent="0.45"/>
    <row r="698" ht="18.75" customHeight="1" x14ac:dyDescent="0.45"/>
    <row r="699" ht="18.75" customHeight="1" x14ac:dyDescent="0.45"/>
    <row r="700" ht="18.75" customHeight="1" x14ac:dyDescent="0.45"/>
    <row r="701" ht="18.75" customHeight="1" x14ac:dyDescent="0.45"/>
    <row r="702" ht="18.75" customHeight="1" x14ac:dyDescent="0.45"/>
    <row r="703" ht="18.75" customHeight="1" x14ac:dyDescent="0.45"/>
    <row r="704" ht="18.75" customHeight="1" x14ac:dyDescent="0.45"/>
    <row r="705" ht="18.75" customHeight="1" x14ac:dyDescent="0.45"/>
    <row r="706" ht="18.75" customHeight="1" x14ac:dyDescent="0.45"/>
    <row r="707" ht="18.75" customHeight="1" x14ac:dyDescent="0.45"/>
    <row r="708" ht="18.75" customHeight="1" x14ac:dyDescent="0.45"/>
    <row r="709" ht="18.75" customHeight="1" x14ac:dyDescent="0.45"/>
    <row r="710" ht="18.75" customHeight="1" x14ac:dyDescent="0.45"/>
    <row r="711" ht="18.75" customHeight="1" x14ac:dyDescent="0.45"/>
    <row r="712" ht="18.75" customHeight="1" x14ac:dyDescent="0.45"/>
    <row r="713" ht="18.75" customHeight="1" x14ac:dyDescent="0.45"/>
    <row r="714" ht="18.75" customHeight="1" x14ac:dyDescent="0.45"/>
    <row r="715" ht="18.75" customHeight="1" x14ac:dyDescent="0.45"/>
    <row r="716" ht="18.75" customHeight="1" x14ac:dyDescent="0.45"/>
    <row r="717" ht="18.75" customHeight="1" x14ac:dyDescent="0.45"/>
    <row r="718" ht="18.75" customHeight="1" x14ac:dyDescent="0.45"/>
    <row r="719" ht="18.75" customHeight="1" x14ac:dyDescent="0.45"/>
    <row r="720" ht="18.75" customHeight="1" x14ac:dyDescent="0.45"/>
    <row r="721" ht="18.75" customHeight="1" x14ac:dyDescent="0.45"/>
    <row r="722" ht="18.75" customHeight="1" x14ac:dyDescent="0.45"/>
    <row r="723" ht="18.75" customHeight="1" x14ac:dyDescent="0.45"/>
    <row r="724" ht="18.75" customHeight="1" x14ac:dyDescent="0.45"/>
    <row r="725" ht="18.75" customHeight="1" x14ac:dyDescent="0.45"/>
    <row r="726" ht="18.75" customHeight="1" x14ac:dyDescent="0.45"/>
    <row r="727" ht="18.75" customHeight="1" x14ac:dyDescent="0.45"/>
    <row r="728" ht="18.75" customHeight="1" x14ac:dyDescent="0.45"/>
    <row r="729" ht="18.75" customHeight="1" x14ac:dyDescent="0.45"/>
    <row r="730" ht="18.75" customHeight="1" x14ac:dyDescent="0.45"/>
    <row r="731" ht="18.75" customHeight="1" x14ac:dyDescent="0.45"/>
    <row r="732" ht="18.75" customHeight="1" x14ac:dyDescent="0.45"/>
    <row r="733" ht="18.75" customHeight="1" x14ac:dyDescent="0.45"/>
    <row r="734" ht="18.75" customHeight="1" x14ac:dyDescent="0.45"/>
    <row r="735" ht="18.75" customHeight="1" x14ac:dyDescent="0.45"/>
    <row r="736" ht="18.75" customHeight="1" x14ac:dyDescent="0.45"/>
    <row r="737" ht="18.75" customHeight="1" x14ac:dyDescent="0.45"/>
    <row r="738" ht="18.75" customHeight="1" x14ac:dyDescent="0.45"/>
    <row r="739" ht="18.75" customHeight="1" x14ac:dyDescent="0.45"/>
    <row r="740" ht="18.75" customHeight="1" x14ac:dyDescent="0.45"/>
    <row r="741" ht="18.75" customHeight="1" x14ac:dyDescent="0.45"/>
    <row r="742" ht="18.75" customHeight="1" x14ac:dyDescent="0.45"/>
    <row r="743" ht="18.75" customHeight="1" x14ac:dyDescent="0.45"/>
    <row r="744" ht="18.75" customHeight="1" x14ac:dyDescent="0.45"/>
  </sheetData>
  <phoneticPr fontId="3" type="noConversion"/>
  <conditionalFormatting sqref="C28">
    <cfRule type="duplicateValues" dxfId="18" priority="7"/>
  </conditionalFormatting>
  <conditionalFormatting sqref="C29">
    <cfRule type="duplicateValues" dxfId="17" priority="6"/>
  </conditionalFormatting>
  <conditionalFormatting sqref="C32">
    <cfRule type="duplicateValues" dxfId="16" priority="5"/>
  </conditionalFormatting>
  <conditionalFormatting sqref="C33">
    <cfRule type="duplicateValues" dxfId="15" priority="4"/>
  </conditionalFormatting>
  <conditionalFormatting sqref="C34:C35 C23:C27 C30:C31 C37">
    <cfRule type="duplicateValues" dxfId="14" priority="8"/>
  </conditionalFormatting>
  <conditionalFormatting sqref="C36">
    <cfRule type="duplicateValues" dxfId="13" priority="3"/>
  </conditionalFormatting>
  <conditionalFormatting sqref="C38">
    <cfRule type="duplicateValues" dxfId="12" priority="2"/>
  </conditionalFormatting>
  <conditionalFormatting sqref="C645">
    <cfRule type="duplicateValues" dxfId="11" priority="17"/>
  </conditionalFormatting>
  <conditionalFormatting sqref="C646">
    <cfRule type="duplicateValues" dxfId="10" priority="16"/>
  </conditionalFormatting>
  <conditionalFormatting sqref="C647">
    <cfRule type="duplicateValues" dxfId="9" priority="15"/>
  </conditionalFormatting>
  <conditionalFormatting sqref="C726:C903">
    <cfRule type="duplicateValues" dxfId="8" priority="19"/>
  </conditionalFormatting>
  <conditionalFormatting sqref="C904:C934 C635:C644 C648:C725 C941:C1048576 C1 C88:C631">
    <cfRule type="duplicateValues" dxfId="7" priority="18"/>
  </conditionalFormatting>
  <conditionalFormatting sqref="C935">
    <cfRule type="duplicateValues" dxfId="6" priority="14"/>
  </conditionalFormatting>
  <conditionalFormatting sqref="C936">
    <cfRule type="duplicateValues" dxfId="5" priority="13"/>
  </conditionalFormatting>
  <conditionalFormatting sqref="C937">
    <cfRule type="duplicateValues" dxfId="4" priority="12"/>
  </conditionalFormatting>
  <conditionalFormatting sqref="C938">
    <cfRule type="duplicateValues" dxfId="3" priority="11"/>
  </conditionalFormatting>
  <conditionalFormatting sqref="C939">
    <cfRule type="duplicateValues" dxfId="2" priority="10"/>
  </conditionalFormatting>
  <conditionalFormatting sqref="C940">
    <cfRule type="duplicateValues" dxfId="1" priority="9"/>
  </conditionalFormatting>
  <conditionalFormatting sqref="R1:BB1048576">
    <cfRule type="containsText" dxfId="0" priority="1" operator="containsText" text="Y">
      <formula>NOT(ISERROR(SEARCH("Y",R1)))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so0o52@naver.com</dc:creator>
  <cp:lastModifiedBy>so0o52@naver.com</cp:lastModifiedBy>
  <dcterms:created xsi:type="dcterms:W3CDTF">2026-06-10T05:32:02Z</dcterms:created>
  <dcterms:modified xsi:type="dcterms:W3CDTF">2026-06-10T05:33:48Z</dcterms:modified>
</cp:coreProperties>
</file>