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2507001\Desktop\★기업평가·데이터실\☆ 공공구매\"/>
    </mc:Choice>
  </mc:AlternateContent>
  <bookViews>
    <workbookView xWindow="3600" yWindow="-120" windowWidth="29040" windowHeight="15840"/>
  </bookViews>
  <sheets>
    <sheet name="RAW" sheetId="1" r:id="rId1"/>
    <sheet name="총괄표" sheetId="2" r:id="rId2"/>
    <sheet name="녹색,자활용 목표액" sheetId="8" r:id="rId3"/>
    <sheet name="창업기업리스트(21년 7월 7일자) (1)" sheetId="3" r:id="rId4"/>
    <sheet name="시범구매 선정제품목록" sheetId="6" r:id="rId5"/>
  </sheets>
  <definedNames>
    <definedName name="_xlnm._FilterDatabase" localSheetId="0" hidden="1">RAW!$A$1:$BB$82</definedName>
    <definedName name="_xlnm._FilterDatabase" localSheetId="4" hidden="1">'시범구매 선정제품목록'!$A$5:$AG$432</definedName>
    <definedName name="_xlnm._FilterDatabase" localSheetId="3" hidden="1">'창업기업리스트(21년 7월 7일자) (1)'!$A$1:$J$6062</definedName>
    <definedName name="_xlnm.Print_Area" localSheetId="1">총괄표!$B$1:$N$30</definedName>
    <definedName name="구매구분">RAW!$H:$H</definedName>
    <definedName name="기술개발제품">RAW!$X:$X</definedName>
    <definedName name="물품금액">RAW!$P:$P</definedName>
    <definedName name="사회적기업">RAW!$AE:$AE</definedName>
    <definedName name="사회적협동조합">RAW!$AR:$AR</definedName>
    <definedName name="여성기업제품">RAW!$AD:$AD</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2" l="1"/>
  <c r="F6" i="2"/>
  <c r="Q30" i="1" l="1"/>
  <c r="Q26" i="1"/>
  <c r="Q24" i="1"/>
  <c r="F22" i="2"/>
  <c r="I22" i="2" s="1"/>
  <c r="G9" i="8"/>
  <c r="I9" i="8" s="1"/>
  <c r="J9" i="8" s="1"/>
  <c r="K9" i="8" s="1"/>
  <c r="L9" i="8" s="1"/>
  <c r="M9" i="8" s="1"/>
  <c r="L3" i="8"/>
  <c r="P3" i="8" s="1"/>
  <c r="E3" i="8"/>
  <c r="G3" i="8" s="1"/>
  <c r="M3" i="8" s="1"/>
  <c r="N3" i="8" s="1"/>
  <c r="O3" i="8" s="1"/>
  <c r="G11" i="2" l="1"/>
  <c r="I24" i="2" l="1"/>
  <c r="G19" i="2"/>
  <c r="G17" i="2"/>
  <c r="G16" i="2" l="1"/>
  <c r="G12" i="2" l="1"/>
  <c r="J24" i="2" l="1"/>
  <c r="F25" i="2" l="1"/>
  <c r="G25" i="2"/>
  <c r="K24" i="2"/>
  <c r="G23" i="2"/>
  <c r="I23" i="2" s="1"/>
  <c r="I25" i="2" l="1"/>
  <c r="K23" i="2"/>
  <c r="H23" i="2"/>
  <c r="J22" i="2"/>
  <c r="J23" i="2"/>
  <c r="K25" i="2"/>
  <c r="J25" i="2"/>
  <c r="K22" i="2"/>
  <c r="H22" i="2"/>
  <c r="F20" i="2"/>
  <c r="K20" i="2" l="1"/>
  <c r="J20" i="2"/>
  <c r="F21" i="2"/>
  <c r="G15" i="2" l="1"/>
  <c r="G14" i="2"/>
  <c r="G21" i="2"/>
  <c r="I21" i="2" s="1"/>
  <c r="G18" i="2"/>
  <c r="G13" i="2"/>
  <c r="F11" i="2"/>
  <c r="C6" i="2"/>
  <c r="C5" i="2"/>
  <c r="F13" i="2" s="1"/>
  <c r="G10" i="2"/>
  <c r="I13" i="2" l="1"/>
  <c r="H11" i="2"/>
  <c r="I11" i="2"/>
  <c r="H20" i="2"/>
  <c r="I20" i="2"/>
  <c r="H21" i="2"/>
  <c r="H13" i="2"/>
  <c r="H18" i="2"/>
  <c r="H17" i="2"/>
  <c r="H19" i="2"/>
  <c r="H16" i="2"/>
  <c r="H12" i="2"/>
  <c r="F12" i="2"/>
  <c r="I12" i="2" s="1"/>
  <c r="J21" i="2"/>
  <c r="K21" i="2" l="1"/>
  <c r="F16" i="2" l="1"/>
  <c r="I16" i="2" s="1"/>
  <c r="K16" i="2" l="1"/>
  <c r="J16" i="2"/>
  <c r="F17" i="2"/>
  <c r="I17" i="2" s="1"/>
  <c r="F19" i="2"/>
  <c r="F18" i="2"/>
  <c r="C4" i="2"/>
  <c r="J19" i="2" l="1"/>
  <c r="I19" i="2"/>
  <c r="J18" i="2"/>
  <c r="I18" i="2"/>
  <c r="H14" i="2"/>
  <c r="H10" i="2"/>
  <c r="H15" i="2"/>
  <c r="F15" i="2"/>
  <c r="I15" i="2" s="1"/>
  <c r="F14" i="2"/>
  <c r="F10" i="2"/>
  <c r="I10" i="2" s="1"/>
  <c r="K18" i="2"/>
  <c r="K17" i="2"/>
  <c r="K19" i="2"/>
  <c r="J17" i="2"/>
  <c r="J14" i="2" l="1"/>
  <c r="I14" i="2"/>
  <c r="K10" i="2"/>
  <c r="J10" i="2"/>
  <c r="K13" i="2"/>
  <c r="K15" i="2"/>
  <c r="K14" i="2"/>
  <c r="K11" i="2"/>
  <c r="K12" i="2"/>
  <c r="J15" i="2"/>
  <c r="J11" i="2"/>
  <c r="J12" i="2"/>
  <c r="J13" i="2"/>
  <c r="J28" i="2" l="1"/>
  <c r="C30" i="2"/>
</calcChain>
</file>

<file path=xl/comments1.xml><?xml version="1.0" encoding="utf-8"?>
<comments xmlns="http://schemas.openxmlformats.org/spreadsheetml/2006/main">
  <authors>
    <author>김나영</author>
  </authors>
  <commentList>
    <comment ref="A15" authorId="0" shapeId="0">
      <text>
        <r>
          <rPr>
            <b/>
            <sz val="9"/>
            <color indexed="81"/>
            <rFont val="돋움"/>
            <family val="3"/>
            <charset val="129"/>
          </rPr>
          <t xml:space="preserve">중소기업인지 확인하기
</t>
        </r>
      </text>
    </comment>
  </commentList>
</comments>
</file>

<file path=xl/comments2.xml><?xml version="1.0" encoding="utf-8"?>
<comments xmlns="http://schemas.openxmlformats.org/spreadsheetml/2006/main">
  <authors>
    <author>이희라</author>
  </authors>
  <commentList>
    <comment ref="C22" authorId="0" shapeId="0">
      <text>
        <r>
          <rPr>
            <sz val="9"/>
            <color indexed="81"/>
            <rFont val="돋움"/>
            <family val="3"/>
            <charset val="129"/>
          </rPr>
          <t>NEP는 대상제품 구매가 없는 경우 만점</t>
        </r>
        <r>
          <rPr>
            <sz val="9"/>
            <color indexed="81"/>
            <rFont val="Tahoma"/>
            <family val="2"/>
          </rPr>
          <t xml:space="preserve">
</t>
        </r>
      </text>
    </comment>
  </commentList>
</comments>
</file>

<file path=xl/comments3.xml><?xml version="1.0" encoding="utf-8"?>
<comments xmlns="http://schemas.openxmlformats.org/spreadsheetml/2006/main">
  <authors>
    <author>만든 이</author>
  </authors>
  <commentList>
    <comment ref="F318" authorId="0" shapeId="0">
      <text>
        <r>
          <rPr>
            <b/>
            <sz val="9"/>
            <color indexed="81"/>
            <rFont val="돋움"/>
            <family val="3"/>
            <charset val="129"/>
          </rPr>
          <t>정보변경신청</t>
        </r>
        <r>
          <rPr>
            <b/>
            <sz val="9"/>
            <color indexed="81"/>
            <rFont val="Tahoma"/>
            <family val="2"/>
          </rPr>
          <t xml:space="preserve">(2.25)
</t>
        </r>
        <r>
          <rPr>
            <b/>
            <sz val="9"/>
            <color indexed="81"/>
            <rFont val="돋움"/>
            <family val="3"/>
            <charset val="129"/>
          </rPr>
          <t xml:space="preserve">기간연장
</t>
        </r>
      </text>
    </comment>
    <comment ref="F371" authorId="0" shapeId="0">
      <text>
        <r>
          <rPr>
            <b/>
            <sz val="9"/>
            <color indexed="81"/>
            <rFont val="돋움"/>
            <family val="3"/>
            <charset val="129"/>
          </rPr>
          <t>정보변경</t>
        </r>
        <r>
          <rPr>
            <b/>
            <sz val="9"/>
            <color indexed="81"/>
            <rFont val="Tahoma"/>
            <family val="2"/>
          </rPr>
          <t xml:space="preserve"> </t>
        </r>
        <r>
          <rPr>
            <b/>
            <sz val="9"/>
            <color indexed="81"/>
            <rFont val="돋움"/>
            <family val="3"/>
            <charset val="129"/>
          </rPr>
          <t>신청으로</t>
        </r>
        <r>
          <rPr>
            <b/>
            <sz val="9"/>
            <color indexed="81"/>
            <rFont val="Tahoma"/>
            <family val="2"/>
          </rPr>
          <t xml:space="preserve"> </t>
        </r>
        <r>
          <rPr>
            <b/>
            <sz val="9"/>
            <color indexed="81"/>
            <rFont val="돋움"/>
            <family val="3"/>
            <charset val="129"/>
          </rPr>
          <t>지원기간</t>
        </r>
        <r>
          <rPr>
            <b/>
            <sz val="9"/>
            <color indexed="81"/>
            <rFont val="Tahoma"/>
            <family val="2"/>
          </rPr>
          <t xml:space="preserve"> </t>
        </r>
        <r>
          <rPr>
            <b/>
            <sz val="9"/>
            <color indexed="81"/>
            <rFont val="돋움"/>
            <family val="3"/>
            <charset val="129"/>
          </rPr>
          <t xml:space="preserve">연장
</t>
        </r>
      </text>
    </comment>
    <comment ref="F382" authorId="0" shapeId="0">
      <text>
        <r>
          <rPr>
            <b/>
            <sz val="9"/>
            <color indexed="81"/>
            <rFont val="돋움"/>
            <family val="3"/>
            <charset val="129"/>
          </rPr>
          <t xml:space="preserve">정보변경신청
</t>
        </r>
        <r>
          <rPr>
            <b/>
            <sz val="9"/>
            <color indexed="81"/>
            <rFont val="Tahoma"/>
            <family val="2"/>
          </rPr>
          <t>2019-05-06~2021-07-02</t>
        </r>
      </text>
    </comment>
    <comment ref="F407" authorId="0" shapeId="0">
      <text>
        <r>
          <rPr>
            <b/>
            <sz val="9"/>
            <color indexed="81"/>
            <rFont val="돋움"/>
            <family val="3"/>
            <charset val="129"/>
          </rPr>
          <t>지원기간</t>
        </r>
        <r>
          <rPr>
            <b/>
            <sz val="9"/>
            <color indexed="81"/>
            <rFont val="Tahoma"/>
            <family val="2"/>
          </rPr>
          <t xml:space="preserve"> </t>
        </r>
        <r>
          <rPr>
            <b/>
            <sz val="9"/>
            <color indexed="81"/>
            <rFont val="돋움"/>
            <family val="3"/>
            <charset val="129"/>
          </rPr>
          <t>연장</t>
        </r>
        <r>
          <rPr>
            <b/>
            <sz val="9"/>
            <color indexed="81"/>
            <rFont val="Tahoma"/>
            <family val="2"/>
          </rPr>
          <t xml:space="preserve">(20.06.25)
</t>
        </r>
      </text>
    </comment>
    <comment ref="F412" authorId="0" shapeId="0">
      <text>
        <r>
          <rPr>
            <b/>
            <sz val="9"/>
            <color indexed="81"/>
            <rFont val="돋움"/>
            <family val="3"/>
            <charset val="129"/>
          </rPr>
          <t xml:space="preserve">정보변경신청
</t>
        </r>
        <r>
          <rPr>
            <b/>
            <sz val="9"/>
            <color indexed="81"/>
            <rFont val="Tahoma"/>
            <family val="2"/>
          </rPr>
          <t>2018-11-20 ~ 2022-02-26</t>
        </r>
      </text>
    </comment>
    <comment ref="F414" authorId="0" shapeId="0">
      <text>
        <r>
          <rPr>
            <b/>
            <sz val="9"/>
            <color indexed="81"/>
            <rFont val="돋움"/>
            <family val="3"/>
            <charset val="129"/>
          </rPr>
          <t>지원기간</t>
        </r>
        <r>
          <rPr>
            <b/>
            <sz val="9"/>
            <color indexed="81"/>
            <rFont val="Tahoma"/>
            <family val="2"/>
          </rPr>
          <t xml:space="preserve"> </t>
        </r>
        <r>
          <rPr>
            <b/>
            <sz val="9"/>
            <color indexed="81"/>
            <rFont val="돋움"/>
            <family val="3"/>
            <charset val="129"/>
          </rPr>
          <t>연장</t>
        </r>
        <r>
          <rPr>
            <b/>
            <sz val="9"/>
            <color indexed="81"/>
            <rFont val="Tahoma"/>
            <family val="2"/>
          </rPr>
          <t>(20.07.13)</t>
        </r>
      </text>
    </comment>
    <comment ref="F418" authorId="0" shapeId="0">
      <text>
        <r>
          <rPr>
            <b/>
            <sz val="9"/>
            <color indexed="81"/>
            <rFont val="돋움"/>
            <family val="3"/>
            <charset val="129"/>
          </rPr>
          <t>내부검토</t>
        </r>
        <r>
          <rPr>
            <b/>
            <sz val="9"/>
            <color indexed="81"/>
            <rFont val="Tahoma"/>
            <family val="2"/>
          </rPr>
          <t xml:space="preserve"> </t>
        </r>
        <r>
          <rPr>
            <b/>
            <sz val="9"/>
            <color indexed="81"/>
            <rFont val="돋움"/>
            <family val="3"/>
            <charset val="129"/>
          </rPr>
          <t>후</t>
        </r>
        <r>
          <rPr>
            <b/>
            <sz val="9"/>
            <color indexed="81"/>
            <rFont val="Tahoma"/>
            <family val="2"/>
          </rPr>
          <t xml:space="preserve"> </t>
        </r>
        <r>
          <rPr>
            <b/>
            <sz val="9"/>
            <color indexed="81"/>
            <rFont val="돋움"/>
            <family val="3"/>
            <charset val="129"/>
          </rPr>
          <t>지원기간</t>
        </r>
        <r>
          <rPr>
            <b/>
            <sz val="9"/>
            <color indexed="81"/>
            <rFont val="Tahoma"/>
            <family val="2"/>
          </rPr>
          <t xml:space="preserve"> </t>
        </r>
        <r>
          <rPr>
            <b/>
            <sz val="9"/>
            <color indexed="81"/>
            <rFont val="돋움"/>
            <family val="3"/>
            <charset val="129"/>
          </rPr>
          <t xml:space="preserve">연장
</t>
        </r>
      </text>
    </comment>
  </commentList>
</comments>
</file>

<file path=xl/sharedStrings.xml><?xml version="1.0" encoding="utf-8"?>
<sst xmlns="http://schemas.openxmlformats.org/spreadsheetml/2006/main" count="33847" uniqueCount="20106">
  <si>
    <t>결의번호</t>
  </si>
  <si>
    <t>통제일자</t>
  </si>
  <si>
    <t>적요</t>
  </si>
  <si>
    <t>구매구분</t>
  </si>
  <si>
    <t>부서명</t>
  </si>
  <si>
    <t>MRO여부</t>
  </si>
  <si>
    <t>발주품목코드</t>
  </si>
  <si>
    <t>발주품목명</t>
  </si>
  <si>
    <t>장애인표준사업장여부</t>
  </si>
  <si>
    <t>시범구매여부</t>
  </si>
  <si>
    <t>혁신제품여부</t>
  </si>
  <si>
    <t>사회적기업</t>
  </si>
  <si>
    <t>중소기업</t>
    <phoneticPr fontId="7" type="noConversion"/>
  </si>
  <si>
    <t>물품</t>
    <phoneticPr fontId="7" type="noConversion"/>
  </si>
  <si>
    <t>용역</t>
    <phoneticPr fontId="7" type="noConversion"/>
  </si>
  <si>
    <t>공사</t>
    <phoneticPr fontId="7" type="noConversion"/>
  </si>
  <si>
    <t>여성</t>
    <phoneticPr fontId="7" type="noConversion"/>
  </si>
  <si>
    <t>창업기업</t>
    <phoneticPr fontId="7" type="noConversion"/>
  </si>
  <si>
    <t>장애인</t>
    <phoneticPr fontId="7" type="noConversion"/>
  </si>
  <si>
    <t>장애인기업</t>
    <phoneticPr fontId="7" type="noConversion"/>
  </si>
  <si>
    <t>표준사업장</t>
    <phoneticPr fontId="7" type="noConversion"/>
  </si>
  <si>
    <t>중증장애인</t>
    <phoneticPr fontId="7" type="noConversion"/>
  </si>
  <si>
    <t>사회적</t>
    <phoneticPr fontId="7" type="noConversion"/>
  </si>
  <si>
    <t>사회적기업</t>
    <phoneticPr fontId="7" type="noConversion"/>
  </si>
  <si>
    <t>협동조합</t>
    <phoneticPr fontId="7" type="noConversion"/>
  </si>
  <si>
    <t>기술개발</t>
    <phoneticPr fontId="7" type="noConversion"/>
  </si>
  <si>
    <t>시범구매</t>
    <phoneticPr fontId="7" type="noConversion"/>
  </si>
  <si>
    <t>자활용사촌</t>
    <phoneticPr fontId="7" type="noConversion"/>
  </si>
  <si>
    <t>온누리상품권</t>
    <phoneticPr fontId="7" type="noConversion"/>
  </si>
  <si>
    <t>부서현원</t>
    <phoneticPr fontId="7" type="noConversion"/>
  </si>
  <si>
    <t>공사</t>
    <phoneticPr fontId="7" type="noConversion"/>
  </si>
  <si>
    <t>용역</t>
    <phoneticPr fontId="7" type="noConversion"/>
  </si>
  <si>
    <t>물품</t>
    <phoneticPr fontId="7" type="noConversion"/>
  </si>
  <si>
    <t>점수</t>
    <phoneticPr fontId="7" type="noConversion"/>
  </si>
  <si>
    <t>지출액</t>
    <phoneticPr fontId="7" type="noConversion"/>
  </si>
  <si>
    <t>공공구매 점수</t>
    <phoneticPr fontId="7" type="noConversion"/>
  </si>
  <si>
    <t>(참고)배점</t>
    <phoneticPr fontId="7" type="noConversion"/>
  </si>
  <si>
    <t>총 구매액</t>
    <phoneticPr fontId="7" type="noConversion"/>
  </si>
  <si>
    <t>목표액</t>
    <phoneticPr fontId="7" type="noConversion"/>
  </si>
  <si>
    <t>목표</t>
    <phoneticPr fontId="7" type="noConversion"/>
  </si>
  <si>
    <t>총구매액의</t>
    <phoneticPr fontId="7" type="noConversion"/>
  </si>
  <si>
    <t>물품·용역 총구매액의</t>
    <phoneticPr fontId="7" type="noConversion"/>
  </si>
  <si>
    <t>해당 대상액</t>
    <phoneticPr fontId="7" type="noConversion"/>
  </si>
  <si>
    <t>발의일자</t>
  </si>
  <si>
    <t>출납예정일자</t>
  </si>
  <si>
    <t>예산코드</t>
  </si>
  <si>
    <t>예산명</t>
  </si>
  <si>
    <t>예산금액</t>
  </si>
  <si>
    <t>부서평가 직군</t>
  </si>
  <si>
    <t>채주지급금액</t>
  </si>
  <si>
    <t>물품금액</t>
  </si>
  <si>
    <t>장애인구매(연동)</t>
  </si>
  <si>
    <t>중증장애인대상품목조회</t>
  </si>
  <si>
    <t>중증장애인제품</t>
  </si>
  <si>
    <t>자활용사촌제품</t>
  </si>
  <si>
    <t>용사촌대상 품목코드</t>
  </si>
  <si>
    <t>용사촌대상 품목명</t>
  </si>
  <si>
    <t>기술개발제품대상품목조회</t>
  </si>
  <si>
    <t>친환경제품대상품목조회</t>
  </si>
  <si>
    <t>친환경제품</t>
  </si>
  <si>
    <t>친환경제품 설문 값</t>
  </si>
  <si>
    <t>중소기업제품(연동)</t>
  </si>
  <si>
    <t>여성기업제품(연동)</t>
  </si>
  <si>
    <t>전자조달구매</t>
  </si>
  <si>
    <t>수령인사업자번호</t>
  </si>
  <si>
    <t>수령인사업자명</t>
  </si>
  <si>
    <t>수령인우편번호</t>
  </si>
  <si>
    <t>수령인주소</t>
  </si>
  <si>
    <t>구매실적사업자번호</t>
  </si>
  <si>
    <t>구매실적사업자명</t>
  </si>
  <si>
    <t>구매실적우편번호</t>
  </si>
  <si>
    <t>구매실적주소</t>
  </si>
  <si>
    <t>사회적협동조합제품여부</t>
  </si>
  <si>
    <t>세금구분</t>
  </si>
  <si>
    <t>등록일자</t>
  </si>
  <si>
    <t>우수조달물품</t>
  </si>
  <si>
    <t>주식회사 성운통상</t>
  </si>
  <si>
    <t>성능인증</t>
  </si>
  <si>
    <t>전자상거래 소매업</t>
  </si>
  <si>
    <t>102동 305호</t>
  </si>
  <si>
    <t>서울특별시 성북구 오패산로 46 (하월곡동 월곡두산위브아파트)</t>
  </si>
  <si>
    <t>폴라리스</t>
  </si>
  <si>
    <t>금속 문 창 셔터 및 관련제품 제조업</t>
  </si>
  <si>
    <t>진현시스템</t>
  </si>
  <si>
    <t>경상북도 경산시 장산로24길 35 (삼남동)</t>
  </si>
  <si>
    <t>전라남도 화순군 동면 동농공길 12-4</t>
  </si>
  <si>
    <t>은진기업</t>
  </si>
  <si>
    <t>경영 컨설팅업</t>
  </si>
  <si>
    <t>목동파라곤 107동303호</t>
  </si>
  <si>
    <t>서울특별시 양천구 목동서로 155 (목동)</t>
  </si>
  <si>
    <t>알앤디(R&amp;D)기술인증</t>
  </si>
  <si>
    <t>2층</t>
  </si>
  <si>
    <t>경상남도 창원시 마산회원구 석전동4길 32 (석전동)</t>
  </si>
  <si>
    <t>씨앤엠 매니저</t>
  </si>
  <si>
    <t>응용 소프트웨어 개발 및 공급업</t>
  </si>
  <si>
    <t>14층 1409호</t>
  </si>
  <si>
    <t>서울특별시 강남구 강남대로 364 (역삼동)</t>
  </si>
  <si>
    <t>모운다(MoUnDa)</t>
  </si>
  <si>
    <t>나동. 데일리구제</t>
  </si>
  <si>
    <t>경기도 고양시 일산동구 성현로377번길 34 (문봉동)</t>
  </si>
  <si>
    <t>데일리구제</t>
  </si>
  <si>
    <t>기념품 관광 민예품 및 장식용품 소매업</t>
  </si>
  <si>
    <t>203동 124호(매월종합상가)</t>
  </si>
  <si>
    <t>광주광역시 서구 매월2로15번길 16 (매월동)</t>
  </si>
  <si>
    <t>가나아토</t>
  </si>
  <si>
    <t>생물 살균ㆍ살충제 및 식물보호제 제조업</t>
  </si>
  <si>
    <t>경기도 김포시 통진읍 김포대로2435번길 138-30</t>
  </si>
  <si>
    <t>한국바이러스센터 주식회사</t>
  </si>
  <si>
    <t>1606호</t>
  </si>
  <si>
    <t>경기도 안양시 만안구 안양로 311 (안양동)</t>
  </si>
  <si>
    <t>주식회사 화물과 청년들</t>
  </si>
  <si>
    <t>전시 컨벤션 및 행사 대행업</t>
  </si>
  <si>
    <t>창업보육센터 5018호(공릉동 삼육대학교)</t>
  </si>
  <si>
    <t>서울특별시 노원구 화랑로 815 (공릉동)</t>
  </si>
  <si>
    <t>주식회사 티알큐</t>
  </si>
  <si>
    <t>기타 직물제품 제조업</t>
  </si>
  <si>
    <t>경기도 파주시 파주읍 광탄천로51번길 67</t>
  </si>
  <si>
    <t>주식회사 코리아마스크</t>
  </si>
  <si>
    <t>컴퓨터 프로그래밍 서비스업</t>
  </si>
  <si>
    <t>626호(동국대학교 산학협력관)</t>
  </si>
  <si>
    <t>경기도 고양시 일산동구 동국로 32 (식사동)</t>
  </si>
  <si>
    <t>주식회사 업링크</t>
  </si>
  <si>
    <t>가공 및 정제염 제조업</t>
  </si>
  <si>
    <t>1203호</t>
  </si>
  <si>
    <t>서울특별시 구로구 디지털로30길 28 (구로동)</t>
  </si>
  <si>
    <t>주식회사 스타스테크</t>
  </si>
  <si>
    <t>컴퓨터 및 주변장치 소프트웨어 도매업</t>
  </si>
  <si>
    <t>에이스하이엔드타워 10차 706호</t>
  </si>
  <si>
    <t>서울특별시 금천구 가산디지털1로 30 (가산동)</t>
  </si>
  <si>
    <t>주식회사 블루인텍</t>
  </si>
  <si>
    <t>그 외 기타 분류 안된 섬유제품 제조업</t>
  </si>
  <si>
    <t>충청남도 당진시 신평면 독암길 49</t>
  </si>
  <si>
    <t>주식회사 더이앤</t>
  </si>
  <si>
    <t>상품 종합 중개업</t>
  </si>
  <si>
    <t>302호</t>
  </si>
  <si>
    <t>경상남도 창원시 의창구 읍성로 43 (중동)</t>
  </si>
  <si>
    <t>주식회사 가치키움</t>
  </si>
  <si>
    <t>그 외 기타 특수 목적용 기계 제조업</t>
  </si>
  <si>
    <t>서부발전내</t>
  </si>
  <si>
    <t>인천광역시 서구 장도로 57 (청라동)</t>
  </si>
  <si>
    <t>주식회사 21미터</t>
  </si>
  <si>
    <t>기타 교육지원 서비스업</t>
  </si>
  <si>
    <t>202호</t>
  </si>
  <si>
    <t>충청북도 청주시 흥덕구 예체로167번길 4 (봉명동)</t>
  </si>
  <si>
    <t>언더스텐주식회사</t>
  </si>
  <si>
    <t>모조 귀금속 및 모조 장신용품 제조업</t>
  </si>
  <si>
    <t>401호</t>
  </si>
  <si>
    <t>수담</t>
  </si>
  <si>
    <t>의료 기기 도매업</t>
  </si>
  <si>
    <t>1층</t>
  </si>
  <si>
    <t>경기도 부천시 상이로21번길 8-23 (상동)</t>
  </si>
  <si>
    <t>힐빙케어</t>
  </si>
  <si>
    <t>지반조성 건설업</t>
  </si>
  <si>
    <t>경기도 연천군 연천읍 지혜로 63-2</t>
  </si>
  <si>
    <t>현명</t>
  </si>
  <si>
    <t>여행사업</t>
  </si>
  <si>
    <t>서울특별시 성북구 종암로30길 12 (종암동)</t>
  </si>
  <si>
    <t>타오코퍼레이션</t>
  </si>
  <si>
    <t>그 외 기타 분류 안된 사업 지원 서비스업</t>
  </si>
  <si>
    <t>2층 202호</t>
  </si>
  <si>
    <t>서울특별시 서초구 서초대로 275 (서초동)</t>
  </si>
  <si>
    <t>줌속기사무소</t>
  </si>
  <si>
    <t>그 외 기타 가구 제조업</t>
  </si>
  <si>
    <t>906-4호</t>
  </si>
  <si>
    <t>서울특별시 금천구 가산디지털1로 83 (가산동)</t>
  </si>
  <si>
    <t>인치303</t>
  </si>
  <si>
    <t>그 외 기타 일반 목적용 기계 제조업</t>
  </si>
  <si>
    <t>스마트큐브 801호</t>
  </si>
  <si>
    <t>경기도 평택시 진위면 진위2산단로 15-20</t>
  </si>
  <si>
    <t>이지티(EGT)</t>
  </si>
  <si>
    <t>자연과학 및 공학 융합 연구개발업</t>
  </si>
  <si>
    <t>612호</t>
  </si>
  <si>
    <t>서울특별시 성북구 안암로 25 (안암동4가)</t>
  </si>
  <si>
    <t>스타트업 써니즈</t>
  </si>
  <si>
    <t>전자 감지장치 제조업</t>
  </si>
  <si>
    <t>101호</t>
  </si>
  <si>
    <t>경기도 평택시 동부공원로 34-2 (비전동)</t>
  </si>
  <si>
    <t>세이프테크놀리지</t>
  </si>
  <si>
    <t>전시용 모형 제조업</t>
  </si>
  <si>
    <t>경기도 남양주시 진접읍 금강로1190번길 96-22</t>
  </si>
  <si>
    <t>디자인 봄비</t>
  </si>
  <si>
    <t>205호 (중소기업성장지원센터)</t>
  </si>
  <si>
    <t>대구광역시 달서구 중흥로 20 (송현동)</t>
  </si>
  <si>
    <t>남경소프트</t>
  </si>
  <si>
    <t>그 외 기타 생활용품 도매업</t>
  </si>
  <si>
    <t>3층</t>
  </si>
  <si>
    <t>인천광역시 부평구 평천로 134 (청천동)</t>
  </si>
  <si>
    <t>금호한트레이딩</t>
  </si>
  <si>
    <t>일반용 전기 조명장치 제조업</t>
  </si>
  <si>
    <t>7164호</t>
  </si>
  <si>
    <t>서울특별시 강남구 테헤란로87길 22 (삼성동)</t>
  </si>
  <si>
    <t>한테크</t>
  </si>
  <si>
    <t>화학 살균ㆍ살충제 및 농업용 약제 제조업</t>
  </si>
  <si>
    <t>309호(용봉동농업전문창업보육센터)</t>
  </si>
  <si>
    <t>광주광역시 북구 용봉로 77 (용봉동)</t>
  </si>
  <si>
    <t>주식회사이룸바이오</t>
  </si>
  <si>
    <t>기타 인쇄물 출판업</t>
  </si>
  <si>
    <t>701호</t>
  </si>
  <si>
    <t>경기도 고양시 일산동구 호수로 678 (장항동)</t>
  </si>
  <si>
    <t>주식회사 크리플</t>
  </si>
  <si>
    <t>전자기 측정 시험 및 분석 기구 제조업</t>
  </si>
  <si>
    <t>씨104호</t>
  </si>
  <si>
    <t>경기도 수원시 영통구 광교로 107 (이의동)</t>
  </si>
  <si>
    <t>주식회사 지알이시스템</t>
  </si>
  <si>
    <t>도장 및 기타 피막 처리업</t>
  </si>
  <si>
    <t>배곧로얄펠리스 테크노 1차 216호 217호</t>
  </si>
  <si>
    <t>경기도 시흥시 서울대학로 59-21 (정왕동)</t>
  </si>
  <si>
    <t>주식회사 이노션테크</t>
  </si>
  <si>
    <t>그 외 기타 건축자재 도매업</t>
  </si>
  <si>
    <t>403호</t>
  </si>
  <si>
    <t>대구광역시 수성구 화랑로2길 107 (만촌동)</t>
  </si>
  <si>
    <t>위즈원</t>
  </si>
  <si>
    <t>7층 702-20호</t>
  </si>
  <si>
    <t>경기도 의정부시 청사로 45 (금오동)</t>
  </si>
  <si>
    <t>아이에이치(IH)컴퍼니</t>
  </si>
  <si>
    <t>서울특별시 강남구 학동로20길 19-5 (논현동)</t>
  </si>
  <si>
    <t>아이디아이디 주식회사</t>
  </si>
  <si>
    <t>그 외 기타 광고 관련 서비스업</t>
  </si>
  <si>
    <t>102동 403호</t>
  </si>
  <si>
    <t>경기도 용인시 수지구 성복2로76번길 31 (성복동 푸른마을푸르지오)</t>
  </si>
  <si>
    <t>선진상사</t>
  </si>
  <si>
    <t>216호</t>
  </si>
  <si>
    <t>서울특별시 성동구 왕십리로10길 6 (성수동1가)</t>
  </si>
  <si>
    <t>비지피웍스</t>
  </si>
  <si>
    <t>합성수지 및 기타 플라스틱 물질 제조업</t>
  </si>
  <si>
    <t>1.2동</t>
  </si>
  <si>
    <t>경기도 화성시 마도면 청원로231번길 42-23</t>
  </si>
  <si>
    <t>블로우마켓</t>
  </si>
  <si>
    <t>시스템 소프트웨어 개발 및 공급업</t>
  </si>
  <si>
    <t>4층 411호</t>
  </si>
  <si>
    <t>경기도 고양시 일산동구 정발산로 15 (장항동)</t>
  </si>
  <si>
    <t>보네르</t>
  </si>
  <si>
    <t>액체 여과기 제조업</t>
  </si>
  <si>
    <t>1205호</t>
  </si>
  <si>
    <t>서울특별시 강서구 마곡중앙6로 42 (마곡동)</t>
  </si>
  <si>
    <t>라올바이오</t>
  </si>
  <si>
    <t>전라북도 김제시 황산로 81 (백학동)</t>
  </si>
  <si>
    <t>농업회사법인 주식회사 쉘바이오텍</t>
  </si>
  <si>
    <t>기타 운동 및 경기용구 제조업</t>
  </si>
  <si>
    <t>102호</t>
  </si>
  <si>
    <t>경기도 용인시 처인구 포곡읍 전대로 37 (롯데아파트)</t>
  </si>
  <si>
    <t>네프</t>
  </si>
  <si>
    <t>기타 인문 및 사회과학 연구개발업</t>
  </si>
  <si>
    <t>305-5호</t>
  </si>
  <si>
    <t>전라북도 전주시 완산구 현무2길 25 (경원동3가)</t>
  </si>
  <si>
    <t>글로컬씨엠(GlocalCM)</t>
  </si>
  <si>
    <t>일반 철물 제조업</t>
  </si>
  <si>
    <t>1동</t>
  </si>
  <si>
    <t>경기도 고양시 일산서구 송산로 213 (구산동)</t>
  </si>
  <si>
    <t>(주)먹통</t>
  </si>
  <si>
    <t>육상 금속 골조 구조재 제조업</t>
  </si>
  <si>
    <t>충청북도 청주시 서원구 현도면 죽암도원로 12-28</t>
  </si>
  <si>
    <t>(주)글로벌에스텍</t>
  </si>
  <si>
    <t>그 외 기타 전기장비 제조업</t>
  </si>
  <si>
    <t>3층 301호 위드짚센터 IROCK</t>
  </si>
  <si>
    <t>서울특별시 종로구 종로5길 38-1 (청진동)</t>
  </si>
  <si>
    <t>이록(IROCK)</t>
  </si>
  <si>
    <t>483호</t>
  </si>
  <si>
    <t>서울특별시 서대문구 신촌로 51 (창천동)</t>
  </si>
  <si>
    <t>에이치</t>
  </si>
  <si>
    <t>시각 디자인업</t>
  </si>
  <si>
    <t>1층 1호</t>
  </si>
  <si>
    <t>충청남도 아산시 번영로206번길 21-3 (모종동)</t>
  </si>
  <si>
    <t>디자인오늘</t>
  </si>
  <si>
    <t>물질 검사 측정 및 분석 기구 제조업</t>
  </si>
  <si>
    <t>길산SST지식산업센터 1009호</t>
  </si>
  <si>
    <t>경기도 시흥시 경기과기대로 219 (정왕동)</t>
  </si>
  <si>
    <t>케이엠기술</t>
  </si>
  <si>
    <t>기타 광학 기기 제조업</t>
  </si>
  <si>
    <t>대전광역시 대덕구 상서당1길 52-5 (상서동)</t>
  </si>
  <si>
    <t>이루자</t>
  </si>
  <si>
    <t>경기도 수원시 권선구 당수로48번길 60-12 (금곡동)</t>
  </si>
  <si>
    <t>위디 테크</t>
  </si>
  <si>
    <t>209호(S21-1동 충북대학교 농업전문창업보육센터</t>
  </si>
  <si>
    <t>충청북도 청주시 서원구 충대로 1 (개신동)</t>
  </si>
  <si>
    <t>레드엠에스</t>
  </si>
  <si>
    <t>경기도 안산시 단원구 번영로 6 (성곡동)</t>
  </si>
  <si>
    <t>주식회사 케이스포텍</t>
  </si>
  <si>
    <t>기타 곡물 가공품 제조업</t>
  </si>
  <si>
    <t>서울특별시 강남구 선릉로 313 (역삼동)</t>
  </si>
  <si>
    <t>주식회사 컵풀</t>
  </si>
  <si>
    <t>도배 실내 장식 및 내장 목공사업</t>
  </si>
  <si>
    <t>토월복합상가 308호</t>
  </si>
  <si>
    <t>경상남도 창원시 의창구 신월로 42 (신월동)</t>
  </si>
  <si>
    <t>주식회사 민브라더건설</t>
  </si>
  <si>
    <t>반도체 제조용 기계 제조업</t>
  </si>
  <si>
    <t>경기도 수원시 권선구 일월천로15번길 21-6 (구운동)</t>
  </si>
  <si>
    <t>주식회사 더블유지에스</t>
  </si>
  <si>
    <t>경상남도 양산시 장기터2길 77 (주남동)</t>
  </si>
  <si>
    <t>에스엔피글로벌(주)</t>
  </si>
  <si>
    <t>우성메디피아 9층 닥터김바이오로직</t>
  </si>
  <si>
    <t>경기도 용인시 기흥구 강남로 8 (구갈동)</t>
  </si>
  <si>
    <t>닥터김바이오로직</t>
  </si>
  <si>
    <t>그 외 기타 분류 안된 전문 과학 및 기술 서비스업</t>
  </si>
  <si>
    <t>경기벤처창업지원센터 1109호</t>
  </si>
  <si>
    <t>경기도 안양시 만안구 안양로 111 (안양동)</t>
  </si>
  <si>
    <t>(주)한국에너지산업</t>
  </si>
  <si>
    <t>산업용 송풍기 및 배기장치 제조업</t>
  </si>
  <si>
    <t>비401</t>
  </si>
  <si>
    <t>충청남도 아산시 신창면 순천향로 22</t>
  </si>
  <si>
    <t>(주)한국송풍기엔지니어링</t>
  </si>
  <si>
    <t>그 외 기타 분류 안된 금속 가공제품 제조업</t>
  </si>
  <si>
    <t>(주)하이레이저</t>
  </si>
  <si>
    <t>경기도 광주시 초월읍 현산로385번길 1</t>
  </si>
  <si>
    <t>부동산 감정 평가업</t>
  </si>
  <si>
    <t>충청남도 천안시 동남구 충절로 355 (삼룡동)</t>
  </si>
  <si>
    <t>한국경제감정평가법인(주)</t>
  </si>
  <si>
    <t>침구 및 관련제품 제조업</t>
  </si>
  <si>
    <t>정윤</t>
  </si>
  <si>
    <t>경기도 포천시 소흘읍 호국로 301-20</t>
  </si>
  <si>
    <t>간판 및 광고물 제조업</t>
  </si>
  <si>
    <t>싸인어스</t>
  </si>
  <si>
    <t>경기도 남양주시 진접읍 팔야산단로3번길 17</t>
  </si>
  <si>
    <t>컨베이어 장치 제조업</t>
  </si>
  <si>
    <t>티플렉스 130동 223호</t>
  </si>
  <si>
    <t>부산광역시 강서구 유통단지1로 41 (대저2동)</t>
  </si>
  <si>
    <t>기성테크</t>
  </si>
  <si>
    <t>경기창조경제혁신센터 9층 52호</t>
  </si>
  <si>
    <t>경기도 성남시 분당구 대왕판교로645번길 12 (삼평동)</t>
  </si>
  <si>
    <t>케이에스플래닛</t>
  </si>
  <si>
    <t>구조용 금속 판제품 및 공작물 제조업</t>
  </si>
  <si>
    <t>주식회사 에코로셀</t>
  </si>
  <si>
    <t>경기도 화성시 향남읍 토성로359번길 8</t>
  </si>
  <si>
    <t>광주광역시 동구 중흥로 224 (계림동)</t>
  </si>
  <si>
    <t>주식회사 아이디어플랫폼</t>
  </si>
  <si>
    <t>기타 1차 비철금속 제조업</t>
  </si>
  <si>
    <t>광주광역시 광산구 하남산단7번로 135-16 (오선동)</t>
  </si>
  <si>
    <t>주식회사 씨에스메탈</t>
  </si>
  <si>
    <t>경기도 화성시 양감면 암소고개로 255-13</t>
  </si>
  <si>
    <t>주식회사 세림프로</t>
  </si>
  <si>
    <t>201동 1106호</t>
  </si>
  <si>
    <t>경기도 남양주시 화도읍 경춘로 2102-25 (마석 그랜드힐아파트)</t>
  </si>
  <si>
    <t>에스에이치드림</t>
  </si>
  <si>
    <t>보육동 2층 206호(이의동 경기도경제과학진흥원)</t>
  </si>
  <si>
    <t>리프로텍</t>
  </si>
  <si>
    <t>커피 가공업</t>
  </si>
  <si>
    <t>2층 그느낌</t>
  </si>
  <si>
    <t>전라남도 신안군 압해읍 원신장길 10-1</t>
  </si>
  <si>
    <t>그느낌</t>
  </si>
  <si>
    <t>그 외 기타 전자 부품 제조업</t>
  </si>
  <si>
    <t>435호</t>
  </si>
  <si>
    <t>대전광역시 유성구 테크노3로 65 (관평동)</t>
  </si>
  <si>
    <t>(주)엘센</t>
  </si>
  <si>
    <t>더퍼스트타워2차 803호</t>
  </si>
  <si>
    <t>경기도 화성시 동탄기흥로 614 (영천동)</t>
  </si>
  <si>
    <t>(주)에이웨트</t>
  </si>
  <si>
    <t>204-2106</t>
  </si>
  <si>
    <t>경기도 용인시 기흥구 탑실로 152 (공세동 탑실마을 대주피오레2단지)</t>
  </si>
  <si>
    <t>(주)미디어테라스</t>
  </si>
  <si>
    <t>산학협력관 213호</t>
  </si>
  <si>
    <t>충청남도 당진시 정미면 대학로 1</t>
  </si>
  <si>
    <t>팩트얼라이언스 주식회사</t>
  </si>
  <si>
    <t>커피 및 차류 도매업</t>
  </si>
  <si>
    <t>오피스동 504호</t>
  </si>
  <si>
    <t>경기도 고양시 일산서구 킨텍스로 240 (대화동 킨텍스 꿈에그린)</t>
  </si>
  <si>
    <t>영롱한 비행기</t>
  </si>
  <si>
    <t>서울특별시 서초구 태봉로 114 (우면동)</t>
  </si>
  <si>
    <t>(주)지행아이티</t>
  </si>
  <si>
    <t>5층 514호</t>
  </si>
  <si>
    <t>서울특별시 금천구 가산디지털2로 70 (가산동)</t>
  </si>
  <si>
    <t>(주)에이씨엔에스</t>
  </si>
  <si>
    <t>510호</t>
  </si>
  <si>
    <t>경기도 군포시 군포첨단산업2로22번길 5 (부곡동)</t>
  </si>
  <si>
    <t>훌템</t>
  </si>
  <si>
    <t>인형 및 장난감 제조업</t>
  </si>
  <si>
    <t>판교 스타트업캠퍼스 2동 3층</t>
  </si>
  <si>
    <t>경기도 성남시 분당구 판교로289번길 20 (삼평동)</t>
  </si>
  <si>
    <t>콘크리에이트</t>
  </si>
  <si>
    <t>화장품 제조업</t>
  </si>
  <si>
    <t>강원대학교 보듬관 705호</t>
  </si>
  <si>
    <t>강원도 춘천시 강원대학길 1 (효자동)</t>
  </si>
  <si>
    <t>주식회사 오투네이쳐</t>
  </si>
  <si>
    <t>컴퓨터 제조업</t>
  </si>
  <si>
    <t>A동 213호 B동 1004호 1005호</t>
  </si>
  <si>
    <t>경기도 의왕시 이미로 40 (포일동)</t>
  </si>
  <si>
    <t>사단법인 나너우리</t>
  </si>
  <si>
    <t>화장품 비누 및 방향제 소매업</t>
  </si>
  <si>
    <t>제주특별자치도 서귀포시 태평로 542 (동홍동)</t>
  </si>
  <si>
    <t>주식회사구루파트너스</t>
  </si>
  <si>
    <t>전라남도 나주시 우정로 10 (빛가람동)</t>
  </si>
  <si>
    <t>주식회사 오베네프</t>
  </si>
  <si>
    <t>창업보육센터 글로컬 산학협력관 2019호(죽전동 단국대학교죽전캠퍼스)</t>
  </si>
  <si>
    <t>경기도 용인시 수지구 죽전로 152 (죽전동)</t>
  </si>
  <si>
    <t>주식회사 엘앤에스153</t>
  </si>
  <si>
    <t>그 외 기타 플라스틱 제품 제조업</t>
  </si>
  <si>
    <t>1202호</t>
  </si>
  <si>
    <t>서울특별시 서초구 강남대로 381 (서초동)</t>
  </si>
  <si>
    <t>주식회사 어바웃 케이</t>
  </si>
  <si>
    <t>가죽의복 제조업</t>
  </si>
  <si>
    <t>상가동 2층</t>
  </si>
  <si>
    <t>서울특별시 강동구 고덕로 53 (암사동)</t>
  </si>
  <si>
    <t>주식회사 쏘잉유니언</t>
  </si>
  <si>
    <t>치약 비누 및 기타 세제 제조업</t>
  </si>
  <si>
    <t>충청남도 태안군 원북면 발전로 447-40</t>
  </si>
  <si>
    <t>주식회사 셀바이오</t>
  </si>
  <si>
    <t>데이터베이스 및 온라인 정보 제공업</t>
  </si>
  <si>
    <t>경북대학교 창업보육센터 409호</t>
  </si>
  <si>
    <t>대구광역시 북구 대학로 80 (산격동)</t>
  </si>
  <si>
    <t>올랭귀지 주식회사</t>
  </si>
  <si>
    <t>물리 화학 및 생물학 연구개발업</t>
  </si>
  <si>
    <t>1층 아이디엔지니어링</t>
  </si>
  <si>
    <t>대전광역시 유성구 테크노7로 32-15 (용산동)</t>
  </si>
  <si>
    <t>아이디엔지니어링(유)</t>
  </si>
  <si>
    <t>기타 반도체 소자 제조업</t>
  </si>
  <si>
    <t>마틴프라우트</t>
  </si>
  <si>
    <t>경기도 부천시 산업로7번길 23 (오정동)</t>
  </si>
  <si>
    <t>그 외 기타 분류 안된 화학제품 제조업</t>
  </si>
  <si>
    <t>울산광역시 울주군 웅촌면 곡천동문길 31</t>
  </si>
  <si>
    <t>누리청정</t>
  </si>
  <si>
    <t>부산광역시 사상구 학감대로237번길 50 (감전동)</t>
  </si>
  <si>
    <t>(주)지노글로벌</t>
  </si>
  <si>
    <t>금속류 원료 재생업</t>
  </si>
  <si>
    <t>경상남도 양산시 어곡로 187-1 (어곡동)</t>
  </si>
  <si>
    <t>(주)제이비산업</t>
  </si>
  <si>
    <t>전구 램프 및 조명장치 도매업</t>
  </si>
  <si>
    <t>311호</t>
  </si>
  <si>
    <t>경기도 안산시 단원구 광덕서로 82 (고잔동)</t>
  </si>
  <si>
    <t>(주)디앤에이치홀딩스</t>
  </si>
  <si>
    <t>그 외 기타 의료용 기기 제조업</t>
  </si>
  <si>
    <t>제에이동 5층 515호 (영덕동 힉스유타워)</t>
  </si>
  <si>
    <t>경기도 용인시 기흥구 중부대로 184 (영덕동)</t>
  </si>
  <si>
    <t>지엠이바이오</t>
  </si>
  <si>
    <t>기타 무선 통신장비 제조업</t>
  </si>
  <si>
    <t>4층 H6호(우면동 호반파크 2관)</t>
  </si>
  <si>
    <t>서울특별시 서초구 양재대로2길 18 (우면동)</t>
  </si>
  <si>
    <t>주식회사 쎄슬프라이머스</t>
  </si>
  <si>
    <t>광고 대행업</t>
  </si>
  <si>
    <t>45층 586호</t>
  </si>
  <si>
    <t>경기도 용인시 수지구 수지로342번길 34 (풍덕천동)</t>
  </si>
  <si>
    <t>주식회사 비즈앤솔루션</t>
  </si>
  <si>
    <t>s-cube 408호</t>
  </si>
  <si>
    <t>서울특별시 서대문구 연세로2나길 61 (창천동)</t>
  </si>
  <si>
    <t>에브리틱</t>
  </si>
  <si>
    <t>5층 501-31호</t>
  </si>
  <si>
    <t>경기도 용인시 기흥구 죽현로 8-20 (보정동)</t>
  </si>
  <si>
    <t>알티앤씨 주식회사</t>
  </si>
  <si>
    <t>대전광역시 동구 동서대로1653번길 66 (용전동)</t>
  </si>
  <si>
    <t>서현</t>
  </si>
  <si>
    <t>대전광역시 서구 도산로 458-1 (용문동)</t>
  </si>
  <si>
    <t>누메로</t>
  </si>
  <si>
    <t>전자상거래 소매 중개업</t>
  </si>
  <si>
    <t>316-2호</t>
  </si>
  <si>
    <t>서울특별시 마포구 성암로 330 (상암동)</t>
  </si>
  <si>
    <t>올보이스(주)</t>
  </si>
  <si>
    <t>위험 물품 보관업</t>
  </si>
  <si>
    <t>경기도 평택시 포승읍 포승공단순환로 5</t>
  </si>
  <si>
    <t>로지켐</t>
  </si>
  <si>
    <t>건물용 기계ㆍ장비 설치 공사업</t>
  </si>
  <si>
    <t>한남대학교 창업보육센타 408호</t>
  </si>
  <si>
    <t>대전광역시 대덕구 한남로 70 (오정동)</t>
  </si>
  <si>
    <t>휴하리</t>
  </si>
  <si>
    <t>표면 가공목재 및 특정 목적용 제재목 제조업</t>
  </si>
  <si>
    <t>전라북도 군산시 중가도길 76 (오식도동)</t>
  </si>
  <si>
    <t>허브앤우드</t>
  </si>
  <si>
    <t>그 외 기타 1차 철강 제조업</t>
  </si>
  <si>
    <t>부산티플렉스110동209호</t>
  </si>
  <si>
    <t>케이텍</t>
  </si>
  <si>
    <t>317호</t>
  </si>
  <si>
    <t>경기도 화성시 동탄첨단산업1로 58 (영천동)</t>
  </si>
  <si>
    <t>주식회사 유토코리아</t>
  </si>
  <si>
    <t>교통 신호장치 제조업</t>
  </si>
  <si>
    <t>전라북도 익산시 삼기면 원서두길 64-16</t>
  </si>
  <si>
    <t>유한회사 온성</t>
  </si>
  <si>
    <t>아동</t>
  </si>
  <si>
    <t>경기도 남양주시 오남읍 양지로139번길 17-1</t>
  </si>
  <si>
    <t>에이치제이기획</t>
  </si>
  <si>
    <t>경기도 양주시 백석읍 중앙로 287</t>
  </si>
  <si>
    <t>실드 주식회사</t>
  </si>
  <si>
    <t>일반 제재업</t>
  </si>
  <si>
    <t>208호(아트리파라다이스)</t>
  </si>
  <si>
    <t>경기도 용인시 기흥구 보정로 32 (보정동)</t>
  </si>
  <si>
    <t>세이프라인(주)</t>
  </si>
  <si>
    <t>접착제 및 젤라틴 제조업</t>
  </si>
  <si>
    <t>산학협력관 502호</t>
  </si>
  <si>
    <t>부산광역시 남구 신선로 365 (용당동)</t>
  </si>
  <si>
    <t>링크플릭스</t>
  </si>
  <si>
    <t>전기용품 및 조명장치 소매업</t>
  </si>
  <si>
    <t>경상남도 사천시 용현면 시청3길 44</t>
  </si>
  <si>
    <t>(주)한국미광</t>
  </si>
  <si>
    <t>시화지식산업센터 사무동 101호</t>
  </si>
  <si>
    <t>경기도 안산시 단원구 지원로 107 (성곡동)</t>
  </si>
  <si>
    <t>호자인터내셔널</t>
  </si>
  <si>
    <t>구월테크노밸리 c동 2층 남동구청년창업지원센터 204호</t>
  </si>
  <si>
    <t>인천광역시 남동구 선수촌공원로 5 (구월동)</t>
  </si>
  <si>
    <t>크리디어</t>
  </si>
  <si>
    <t>전시 및 광고용 조명장치 제조업</t>
  </si>
  <si>
    <t>전라북도 익산시 인북로 27 (인화동1가)</t>
  </si>
  <si>
    <t>주식회사엘앤디테크</t>
  </si>
  <si>
    <t>강원도 춘천시 남산면 보매기길 78</t>
  </si>
  <si>
    <t>주식회사 현대파크</t>
  </si>
  <si>
    <t>211호</t>
  </si>
  <si>
    <t>대전광역시 유성구 테크노2로 160 (용산동)</t>
  </si>
  <si>
    <t>주식회사 모쓰</t>
  </si>
  <si>
    <t>순흥빌딩 3층</t>
  </si>
  <si>
    <t>부산광역시 금정구 시실로 11-3 (부곡동)</t>
  </si>
  <si>
    <t>주식회사 글로벌탑넷</t>
  </si>
  <si>
    <t>901호</t>
  </si>
  <si>
    <t>경기도 성남시 분당구 성남대로331번길 8 (정자동)</t>
  </si>
  <si>
    <t>엘큐브</t>
  </si>
  <si>
    <t>삼척창업보육센터 301호</t>
  </si>
  <si>
    <t>강원도 삼척시 중앙로 346 (교동)</t>
  </si>
  <si>
    <t>삼척nnp</t>
  </si>
  <si>
    <t>그 외 기타 의복 액세서리 제조업</t>
  </si>
  <si>
    <t>서울특별시 용산구 청파로 201-17 (문배동 G&amp;P 용산파크)</t>
  </si>
  <si>
    <t>바이마인드</t>
  </si>
  <si>
    <t>그 외 기타 건축 마무리 공사업</t>
  </si>
  <si>
    <t>오케이산업용재백화점 2층 2-101호</t>
  </si>
  <si>
    <t>충청북도 청주시 청원구 2순환로410번길 37 (사천동)</t>
  </si>
  <si>
    <t>모던탑 주식회사</t>
  </si>
  <si>
    <t>6층 601호 (온천동 하이캐슬)</t>
  </si>
  <si>
    <t>부산광역시 동래구 충렬대로86번길 54 (온천동)</t>
  </si>
  <si>
    <t>리베이온(REVEION)</t>
  </si>
  <si>
    <t>일반 서적 출판업</t>
  </si>
  <si>
    <t>1층 199-2호</t>
  </si>
  <si>
    <t>경기도 수원시 영통구 덕영대로1556번길 16 (영통동)</t>
  </si>
  <si>
    <t>담해북스</t>
  </si>
  <si>
    <t>문구용품 회화용품 사무용품 도매업</t>
  </si>
  <si>
    <t>서울특별시 마포구 양화진4길 33-12 (합정동)</t>
  </si>
  <si>
    <t>(주)퍼스템</t>
  </si>
  <si>
    <t>기타 과실ㆍ채소 가공 및 저장 처리업</t>
  </si>
  <si>
    <t>에프비 203호</t>
  </si>
  <si>
    <t>경기도 하남시 조정대로 35 (풍산동)</t>
  </si>
  <si>
    <t>카인즈바이오틱스</t>
  </si>
  <si>
    <t>신발 부분품 제조업</t>
  </si>
  <si>
    <t>김포마스터비즈파크 409호</t>
  </si>
  <si>
    <t>경기도 김포시 태장로795번길 23 (장기동)</t>
  </si>
  <si>
    <t>주식회사 다이도헬스케어</t>
  </si>
  <si>
    <t>산업 처리공정 제어장비 제조업</t>
  </si>
  <si>
    <t>경기도 군포시 공단로 223 (금정동)</t>
  </si>
  <si>
    <t>일품 주식회사</t>
  </si>
  <si>
    <t>의료용품 및 기타 의약 관련제품 제조업</t>
  </si>
  <si>
    <t>서울특별시 금천구 가산디지털1로 196 (가산동)</t>
  </si>
  <si>
    <t>선경트레이딩</t>
  </si>
  <si>
    <t>산업용 로봇 제조업</t>
  </si>
  <si>
    <t>B107-1~3</t>
  </si>
  <si>
    <t>울산광역시 북구 매곡산업로 21 (매곡동)</t>
  </si>
  <si>
    <t>비에이치디오 유한책임회사</t>
  </si>
  <si>
    <t>평화빌딩 1층</t>
  </si>
  <si>
    <t>경기도 의정부시 경의로 95 (의정부동)</t>
  </si>
  <si>
    <t>라온</t>
  </si>
  <si>
    <t>비금속광물 분쇄물 생산업</t>
  </si>
  <si>
    <t>비동 108호(부곡동부산가톨릭대학교)</t>
  </si>
  <si>
    <t>부산광역시 금정구 오륜대로 57 (부곡동)</t>
  </si>
  <si>
    <t>가온텍 주식회사</t>
  </si>
  <si>
    <t>축전지 제조업</t>
  </si>
  <si>
    <t>산학협력관동 3층 5312호</t>
  </si>
  <si>
    <t>부산광역시 사상구 주례로 47 (주례동)</t>
  </si>
  <si>
    <t>AN GROUP(에이앤 그룹)</t>
  </si>
  <si>
    <t>수산물 가공식품 도매업</t>
  </si>
  <si>
    <t>305호</t>
  </si>
  <si>
    <t>전라남도 목포시 교육로 86 (상동)</t>
  </si>
  <si>
    <t>주식회사코리아씨푸드</t>
  </si>
  <si>
    <t>서울특별시 강남구 학동로 212 (논현동)</t>
  </si>
  <si>
    <t>주식회사 알바임</t>
  </si>
  <si>
    <t>기타 건축용 플라스틱 조립제품 제조업</t>
  </si>
  <si>
    <t>경기도 화성시 양감면 초록로 571-12</t>
  </si>
  <si>
    <t>주)퍼넥스이노베이션</t>
  </si>
  <si>
    <t>유한회사 새광산업</t>
  </si>
  <si>
    <t>전라남도 나주시 남평읍 풍림남석길 55-20</t>
  </si>
  <si>
    <t>글로벌창업지원단 3층 315호</t>
  </si>
  <si>
    <t>전라북도 익산시 익산대로 460 (신동)</t>
  </si>
  <si>
    <t>웰리온바이오</t>
  </si>
  <si>
    <t>현대지식산업센터 B동1810-1호</t>
  </si>
  <si>
    <t>서울특별시 금천구 두산로 70 (독산동)</t>
  </si>
  <si>
    <t>엠케이글로벌</t>
  </si>
  <si>
    <t>기타 주변 기기 제조업</t>
  </si>
  <si>
    <t>인터프라자 108호</t>
  </si>
  <si>
    <t>경기도 수원시 영통구 월드컵로 85 (원천동)</t>
  </si>
  <si>
    <t>에스앤에스솔루션</t>
  </si>
  <si>
    <t>인테리어 디자인업</t>
  </si>
  <si>
    <t>대구광역시 수성구 명덕로76길 72-21 (수성동1가 보람빌라)</t>
  </si>
  <si>
    <t>리빌드아이</t>
  </si>
  <si>
    <t>기타 가죽제품 제조업</t>
  </si>
  <si>
    <t>5층 대구창업캠퍼스 B09 랑디</t>
  </si>
  <si>
    <t>대구광역시 북구 옥산로 111 (칠성동2가)</t>
  </si>
  <si>
    <t>랑디(Rang:D)</t>
  </si>
  <si>
    <t>혼성 및 재생 플라스틱 소재 물질 제조업</t>
  </si>
  <si>
    <t>경상북도 김천시 개령면 덕촌2길 17</t>
  </si>
  <si>
    <t>디카본 주식회사</t>
  </si>
  <si>
    <t>1F 아뜰리에윤슬</t>
  </si>
  <si>
    <t>대구광역시 중구 명륜로 97-47 (남산동)</t>
  </si>
  <si>
    <t>디자인윤슬</t>
  </si>
  <si>
    <t>C동 223호 (재)여성기업종합지원센터 대전센터 6호</t>
  </si>
  <si>
    <t>대전광역시 유성구 테크노2로 187 (용산동)</t>
  </si>
  <si>
    <t>디네이처</t>
  </si>
  <si>
    <t>수산동물 건조 및 염장품 제조업</t>
  </si>
  <si>
    <t>강원도 동해시 시장안길 26-1 (발한동)</t>
  </si>
  <si>
    <t>동해식품상사</t>
  </si>
  <si>
    <t>컴퓨터 및 주변장치 소프트웨어 소매업</t>
  </si>
  <si>
    <t>울산광역시 울주군 범서읍 모두박길 2-21</t>
  </si>
  <si>
    <t>네오정보기술</t>
  </si>
  <si>
    <t>4층</t>
  </si>
  <si>
    <t>대전광역시 유성구 테크노중앙로 74 (관평동)</t>
  </si>
  <si>
    <t>가온플랫폼 주식회사</t>
  </si>
  <si>
    <t>B동 405-2호</t>
  </si>
  <si>
    <t>(주) 인포씨드</t>
  </si>
  <si>
    <t>214호</t>
  </si>
  <si>
    <t>경기도 성남시 분당구 야탑로205번길 26 (야탑동)</t>
  </si>
  <si>
    <t>주식회사 진방이엔씨</t>
  </si>
  <si>
    <t>금속 절삭기계 제조업</t>
  </si>
  <si>
    <t>부산광역시 강서구 대저중앙로286번길 106-36 (대저1동)</t>
  </si>
  <si>
    <t>주식회사 진광정밀기계</t>
  </si>
  <si>
    <t>경상대학교 창업보육센터 B동 202호</t>
  </si>
  <si>
    <t>경상남도 진주시 진주대로 501 (가좌동)</t>
  </si>
  <si>
    <t>주식회사 이엠피케이</t>
  </si>
  <si>
    <t>제품 디자인업</t>
  </si>
  <si>
    <t>109-1601</t>
  </si>
  <si>
    <t>경기도 김포시 김포한강2로 11 (장기동 수정마을 쌍용예가아파트)</t>
  </si>
  <si>
    <t>주식회사 아이에이치</t>
  </si>
  <si>
    <t>사무용 기계 및 장비 제조업</t>
  </si>
  <si>
    <t>경기도 김포시 통진읍 대곶북로 356-9</t>
  </si>
  <si>
    <t>주식회사 세돌이</t>
  </si>
  <si>
    <t>10OF07호</t>
  </si>
  <si>
    <t>경기도 하남시 미사강변서로 25 (풍산동)</t>
  </si>
  <si>
    <t>주식회사 모두소프트</t>
  </si>
  <si>
    <t>(주)딜라이트</t>
  </si>
  <si>
    <t>대구광역시 동구 팔공로 9-7 (불로동)</t>
  </si>
  <si>
    <t>주식회사 딜라이트</t>
  </si>
  <si>
    <t>충청북도 청주시 흥덕구 오송읍 상정1길 103-20</t>
  </si>
  <si>
    <t>주식회사 두리번테크</t>
  </si>
  <si>
    <t>가야상가 1층 105호</t>
  </si>
  <si>
    <t>경기도 시흥시 목감초등길 14-22 (조남동)</t>
  </si>
  <si>
    <t>이엔비</t>
  </si>
  <si>
    <t>경기도 화성시 동탄대로 646-4 (영천동)</t>
  </si>
  <si>
    <t>에이투아이 주식회사</t>
  </si>
  <si>
    <t>자전거 및 환자용 차량 제조업</t>
  </si>
  <si>
    <t>강원도 원주시 태장공단길 54-4 (태장동)</t>
  </si>
  <si>
    <t>싸이러스</t>
  </si>
  <si>
    <t>기타 비알코올 음료 제조업</t>
  </si>
  <si>
    <t>2층 숨인</t>
  </si>
  <si>
    <t>강원도 속초시 청대로 347 (교동)</t>
  </si>
  <si>
    <t>숨인(SOOM IN)</t>
  </si>
  <si>
    <t>포털 및 기타 인터넷 정보 매개 서비스업</t>
  </si>
  <si>
    <t>스타트업 캠퍼스 K-ICT본투글로벌센터 3층</t>
  </si>
  <si>
    <t>소프트랜더스(주)</t>
  </si>
  <si>
    <t>전라북도 김제시 백산면 자유무역길 200</t>
  </si>
  <si>
    <t>세인스틸 주식회사</t>
  </si>
  <si>
    <t>기타 목재 가구 제조업</t>
  </si>
  <si>
    <t>경상북도 상주시 함창읍 영동길 9-28</t>
  </si>
  <si>
    <t>사회적협동조합 대광</t>
  </si>
  <si>
    <t>배전반 및 전기 자동제어반 제조업</t>
  </si>
  <si>
    <t>경기도 양주시 광적면 그루고개로 248</t>
  </si>
  <si>
    <t>볼트엔암페어주식회사</t>
  </si>
  <si>
    <t>그 외 기타 정보 서비스업</t>
  </si>
  <si>
    <t>세종대학교 대양에이아이센터 306호</t>
  </si>
  <si>
    <t>서울특별시 광진구 능동로 209 (군자동)</t>
  </si>
  <si>
    <t>보바</t>
  </si>
  <si>
    <t>환동해산업연구원 315호</t>
  </si>
  <si>
    <t>경상북도 울진군 죽변면 해양과학길 22</t>
  </si>
  <si>
    <t>나노테크놀러지</t>
  </si>
  <si>
    <t>서울특별시 강남구 영동대로 738 (청담동)</t>
  </si>
  <si>
    <t>굿애티튜드</t>
  </si>
  <si>
    <t>(주) 케이에스크린텍</t>
  </si>
  <si>
    <t>경기도 포천시 군내면 용두로 60</t>
  </si>
  <si>
    <t>(주)케이에스크린텍</t>
  </si>
  <si>
    <t>전라남도 나주시 건재로 240 (대호동)</t>
  </si>
  <si>
    <t>(주)엘엠피</t>
  </si>
  <si>
    <t>301호</t>
  </si>
  <si>
    <t>경기도 고양시 일산동구 중앙로1261번길 77 (장항동)</t>
  </si>
  <si>
    <t>(주)에이블디자인엔터테인먼트</t>
  </si>
  <si>
    <t>대전광역시 유성구 테크노1로 75 (관평동)</t>
  </si>
  <si>
    <t>(주)스프링온워드</t>
  </si>
  <si>
    <t>경 인쇄업</t>
  </si>
  <si>
    <t>서울특별시 서초구 마방로 16 (양재동)</t>
  </si>
  <si>
    <t>아하디자인</t>
  </si>
  <si>
    <t>동작구 청년창업지원센터 3층 1호실 산타마리아</t>
  </si>
  <si>
    <t>서울특별시 동작구 상도로47아길 44-1 (상도동)</t>
  </si>
  <si>
    <t>산타마리아</t>
  </si>
  <si>
    <t>비디오 및 기타 영상 기기 제조업</t>
  </si>
  <si>
    <t>304호(경기벤처창업지원센터)</t>
  </si>
  <si>
    <t>경기도 김포시 양촌읍 황금로109번길 80</t>
  </si>
  <si>
    <t>누누로</t>
  </si>
  <si>
    <t>천막 텐트 및 유사 제품 제조업</t>
  </si>
  <si>
    <t>강원도 평창군 평창읍 농공단지길 40</t>
  </si>
  <si>
    <t>주식회사 현대엠앤에스</t>
  </si>
  <si>
    <t>기타 신발 제조업</t>
  </si>
  <si>
    <t>145호</t>
  </si>
  <si>
    <t>부산광역시 사상구 새벽시장로45번길 53-9 (감전동)</t>
  </si>
  <si>
    <t>주식회사 지패션코리아</t>
  </si>
  <si>
    <t>기타 구조용 금속제품 제조업</t>
  </si>
  <si>
    <t>경상북도 안동시 퇴계로 162 (신안동)</t>
  </si>
  <si>
    <t>주식회사 이앤에스</t>
  </si>
  <si>
    <t>전기회로 개폐 보호 장치 제조업</t>
  </si>
  <si>
    <t>전라남도 나주시 왕곡면 혁신산단7길 69</t>
  </si>
  <si>
    <t>주식회사 스위코진광</t>
  </si>
  <si>
    <t>요업용 도포제 및 관련제품 제조업</t>
  </si>
  <si>
    <t>경상북도 경산시 강변동로 362 (대평동)</t>
  </si>
  <si>
    <t>주식회사 세라파크</t>
  </si>
  <si>
    <t>2층 브렌티</t>
  </si>
  <si>
    <t>충청북도 청주시 흥덕구 오송읍 오송생명8로 224</t>
  </si>
  <si>
    <t>주식회사 브렌티</t>
  </si>
  <si>
    <t>운송장비 조립용 플라스틱제품 제조업</t>
  </si>
  <si>
    <t>주식회사 두진프라텍</t>
  </si>
  <si>
    <t>경기도 화성시 봉담읍 낭내기길 79-4</t>
  </si>
  <si>
    <t>일반용 도료 및 관련제품 제조업</t>
  </si>
  <si>
    <t>창업보육센터 2관 101호</t>
  </si>
  <si>
    <t>강원도 원주시 흥업면 한라대길 28</t>
  </si>
  <si>
    <t>주식회사 더나은</t>
  </si>
  <si>
    <t>일반 통신 공사업</t>
  </si>
  <si>
    <t>경상북도 성주군 선남면 선노로 737-4</t>
  </si>
  <si>
    <t>주식회사 교림정보통신</t>
  </si>
  <si>
    <t>그 외 기타 금속 가공업</t>
  </si>
  <si>
    <t>1536호</t>
  </si>
  <si>
    <t>서울특별시 금천구 벚꽃로 254 (가산동)</t>
  </si>
  <si>
    <t>주)경희산업</t>
  </si>
  <si>
    <t>조하</t>
  </si>
  <si>
    <t>경기도 포천시 가산면 가산로 218</t>
  </si>
  <si>
    <t>기타 인쇄업</t>
  </si>
  <si>
    <t>울산광역시 중구 성안로 154 (성안동)</t>
  </si>
  <si>
    <t>오케이기획</t>
  </si>
  <si>
    <t>창업지원단 3층 305호</t>
  </si>
  <si>
    <t>에이비</t>
  </si>
  <si>
    <t>1715-1호</t>
  </si>
  <si>
    <t>서울특별시 금천구 가산디지털1로 5 (가산동)</t>
  </si>
  <si>
    <t>쓰리디픽쳐스</t>
  </si>
  <si>
    <t>과자류 및 코코아 제품 제조업</t>
  </si>
  <si>
    <t>제주특별자치도 제주시 중앙로 217 (이도이동)</t>
  </si>
  <si>
    <t>(주)카카오패밀리</t>
  </si>
  <si>
    <t>일반 전기 공사업</t>
  </si>
  <si>
    <t>전남대학교 산학협력2호관 101호</t>
  </si>
  <si>
    <t>(주)썬메이저</t>
  </si>
  <si>
    <t>분사기 및 소화기 제조업</t>
  </si>
  <si>
    <t>충청북도 청주시 청원구 오창읍 중심상업2로 48</t>
  </si>
  <si>
    <t>파이어킴주식회사</t>
  </si>
  <si>
    <t>309호</t>
  </si>
  <si>
    <t>세종특별자치시 한누리대로 312 (나성동)</t>
  </si>
  <si>
    <t>주식회사 콕스랩</t>
  </si>
  <si>
    <t xml:space="preserve">3층  304호 </t>
  </si>
  <si>
    <t>경기도 파주시 회동길 152 (문발동)</t>
  </si>
  <si>
    <t>주식회사 제이씨메이드</t>
  </si>
  <si>
    <t>인천광역시 계양구 봉오대로717번길 6 (작전동)</t>
  </si>
  <si>
    <t>주식회사 에버리치</t>
  </si>
  <si>
    <t>경기도 김포시 대곶면 율마로152번길 135</t>
  </si>
  <si>
    <t>주식회사 레드뷰</t>
  </si>
  <si>
    <t>기기용 자동 측정 및 제어장치 제조업</t>
  </si>
  <si>
    <t>광주광역시 광산구 진곡산단5번로 35 (진곡동)</t>
  </si>
  <si>
    <t>주식회사 동양워시텍</t>
  </si>
  <si>
    <t>오션 공장</t>
  </si>
  <si>
    <t>충청남도 아산시 신정로293번길 62-12 (기산동)</t>
  </si>
  <si>
    <t>오션</t>
  </si>
  <si>
    <t>시설물 유지관리 공사업</t>
  </si>
  <si>
    <t>울산광역시 울주군 범서읍 천상6길 24-12</t>
  </si>
  <si>
    <t>오산건설협동조합</t>
  </si>
  <si>
    <t>수원벤처밸리2 B동 603호</t>
  </si>
  <si>
    <t>경기도 수원시 권선구 산업로156번길 142-10 (고색동)</t>
  </si>
  <si>
    <t>엑시트온(EXIT-ON)</t>
  </si>
  <si>
    <t>경기도 수원시 영통구 월드컵로97번길 34 (원천동)</t>
  </si>
  <si>
    <t>아뮤컨셉 (AMU CONCEPT)</t>
  </si>
  <si>
    <t>무인 항공기 및 무인 비행장치 제조업</t>
  </si>
  <si>
    <t>A동 5층 519호</t>
  </si>
  <si>
    <t>인천광역시 연수구 갯벌로 12 (송도동)</t>
  </si>
  <si>
    <t>비아이앤티</t>
  </si>
  <si>
    <t>경상북도 구미시 해평면 월호3길 45</t>
  </si>
  <si>
    <t>모두산업</t>
  </si>
  <si>
    <t>607호</t>
  </si>
  <si>
    <t>부산광역시 해운대구 센텀동로 57 (우동)</t>
  </si>
  <si>
    <t>더세인 주식회사</t>
  </si>
  <si>
    <t>절삭 가공 및 유사 처리업</t>
  </si>
  <si>
    <t>경상북도 경산시 와촌면 박사강변로 136</t>
  </si>
  <si>
    <t>대성테크</t>
  </si>
  <si>
    <t>울산광역시 남구 정동로6번길 5-16 (삼산동)</t>
  </si>
  <si>
    <t>금오기술</t>
  </si>
  <si>
    <t>7층</t>
  </si>
  <si>
    <t>부산광역시 부산진구 가야대로 715 (당감동)</t>
  </si>
  <si>
    <t>주식회사 알지텍</t>
  </si>
  <si>
    <t>기타 조명장치 제조업</t>
  </si>
  <si>
    <t>진리관 T134호</t>
  </si>
  <si>
    <t>대전광역시 유성구 문지로 193 (문지동)</t>
  </si>
  <si>
    <t>주식회사 쉘파스페이스</t>
  </si>
  <si>
    <t>917호(포레루체오피스텔)</t>
  </si>
  <si>
    <t>전라남도 나주시 그린로 379 (빛가람동)</t>
  </si>
  <si>
    <t>정이디자인</t>
  </si>
  <si>
    <t>철골 및 관련 구조물 공사업</t>
  </si>
  <si>
    <t>테크동519호</t>
  </si>
  <si>
    <t>경상남도 창원시 성산구 완암로 50 (성산동)</t>
  </si>
  <si>
    <t>유창씨앤비</t>
  </si>
  <si>
    <t>컴퓨터시설 관리업</t>
  </si>
  <si>
    <t>205동407호</t>
  </si>
  <si>
    <t>제주특별자치도 제주시 진군1길 3 (노형동 으뜸마을아파트)</t>
  </si>
  <si>
    <t>바농테크</t>
  </si>
  <si>
    <t>그 외 기타 달리 분류되지 않은 제품 제조업</t>
  </si>
  <si>
    <t>경기도 화성시 향남읍 옥천길 18-10</t>
  </si>
  <si>
    <t>디엔피</t>
  </si>
  <si>
    <t>타원타크라5 지식업산업센타401402403호</t>
  </si>
  <si>
    <t>경기도 안산시 단원구 별망로 555 (원시동)</t>
  </si>
  <si>
    <t>(주)유니온마스텍</t>
  </si>
  <si>
    <t>5층 519호</t>
  </si>
  <si>
    <t>서울특별시 금천구 가산디지털2로 173 (가산동)</t>
  </si>
  <si>
    <t>(주)윈솔텍</t>
  </si>
  <si>
    <t>경기도 안양시 만안구 덕천로 108 (안양동)</t>
  </si>
  <si>
    <t>한울기획</t>
  </si>
  <si>
    <t>광주광역시 광산구 하남산단6번로 2 (오선동)</t>
  </si>
  <si>
    <t>주식회사태양신호시스템</t>
  </si>
  <si>
    <t>F804호</t>
  </si>
  <si>
    <t>경기도 하남시 미사강변서로 16 (풍산동)</t>
  </si>
  <si>
    <t>주식회사 타운플러스</t>
  </si>
  <si>
    <t>아이비에스빌딩 23층 ITOUR02호 위라이드</t>
  </si>
  <si>
    <t>인천광역시 연수구 센트럴로 263 (송도동)</t>
  </si>
  <si>
    <t>주식회사 위라이드</t>
  </si>
  <si>
    <t>경기도 오산시 서동로 133-6 (서동)</t>
  </si>
  <si>
    <t>주식회사 시선</t>
  </si>
  <si>
    <t>서울특별시 은평구 통일로89길 11-6 (갈현동)</t>
  </si>
  <si>
    <t>제이더블유컨설팅</t>
  </si>
  <si>
    <t>충청북도 충주시 용탄농공1길 35 (용탄동)</t>
  </si>
  <si>
    <t>자원주식회사</t>
  </si>
  <si>
    <t>B동 2층</t>
  </si>
  <si>
    <t>인천광역시 서구 원창로 32 (원창동)</t>
  </si>
  <si>
    <t>유닛주식회사</t>
  </si>
  <si>
    <t>B동 410호(신내동 신내데시앙플렉스지식산업센터)</t>
  </si>
  <si>
    <t>서울특별시 중랑구 신내역로3길 40-36 (신내동)</t>
  </si>
  <si>
    <t>에스제이(SJ)이노베이션</t>
  </si>
  <si>
    <t>208호</t>
  </si>
  <si>
    <t>서울특별시 광진구 광나루로19길 23 (군자동)</t>
  </si>
  <si>
    <t>스르릉</t>
  </si>
  <si>
    <t>C동 223호</t>
  </si>
  <si>
    <t>말:글</t>
  </si>
  <si>
    <t>서적 잡지 및 기타 인쇄물 도매업</t>
  </si>
  <si>
    <t>현대종합상가 203호</t>
  </si>
  <si>
    <t>서울특별시 서대문구 통일로34길 35 (홍제동)</t>
  </si>
  <si>
    <t>나무기획</t>
  </si>
  <si>
    <t>효성씨앤비</t>
  </si>
  <si>
    <t>서울특별시 영등포구 국회대로 786 (여의도동)</t>
  </si>
  <si>
    <t>지방공기업진흥원</t>
  </si>
  <si>
    <t>제책업</t>
  </si>
  <si>
    <t>D동 1005호</t>
  </si>
  <si>
    <t>인천광역시 연수구 송도미래로 30 (송도동)</t>
  </si>
  <si>
    <t>주식회사 이음디앤피</t>
  </si>
  <si>
    <t>6408호(경복대학교 창업보육센터)</t>
  </si>
  <si>
    <t>경기도 남양주시 진접읍 경복대로 425-80</t>
  </si>
  <si>
    <t>주식회사 엘피아</t>
  </si>
  <si>
    <t>기타 가공식품 도매업</t>
  </si>
  <si>
    <t>15층</t>
  </si>
  <si>
    <t>부산광역시 부산진구 중앙대로 900 (양정동)</t>
  </si>
  <si>
    <t>주식회사 미쁘</t>
  </si>
  <si>
    <t>6동</t>
  </si>
  <si>
    <t>전라북도 군산시 임피면 항쟁로 43-5</t>
  </si>
  <si>
    <t>엠지산업</t>
  </si>
  <si>
    <t>전기회로 접속장치 제조업</t>
  </si>
  <si>
    <t>하나2공장내</t>
  </si>
  <si>
    <t>경상북도 김천시 공단1길 39 (대광동)</t>
  </si>
  <si>
    <t>비디에스</t>
  </si>
  <si>
    <t>라동</t>
  </si>
  <si>
    <t>충청북도 음성군 삼성면 대성로380번길 108-5</t>
  </si>
  <si>
    <t>미래조명</t>
  </si>
  <si>
    <t>동우디지털파크A동311호</t>
  </si>
  <si>
    <t>경기도 시흥시 정왕천로 197 (정왕동)</t>
  </si>
  <si>
    <t>디엔피테크</t>
  </si>
  <si>
    <t>금속 표시판 제조업</t>
  </si>
  <si>
    <t>419호 B140호</t>
  </si>
  <si>
    <t>경기도 화성시 동탄순환대로 830 (영천동)</t>
  </si>
  <si>
    <t>뉴테크원</t>
  </si>
  <si>
    <t>인삼식품 제조업</t>
  </si>
  <si>
    <t>#83</t>
  </si>
  <si>
    <t>충청남도 금산군 금산읍 인삼약초로 24</t>
  </si>
  <si>
    <t>농업회사법인 발칙코리아(주)</t>
  </si>
  <si>
    <t>206호</t>
  </si>
  <si>
    <t>경기도 안산시 단원구 고잔로 55 (고잔동)</t>
  </si>
  <si>
    <t>토비(TOBY)</t>
  </si>
  <si>
    <t>석탄화학계 화합물 및 기타 기초 유기화학 물질 제조업</t>
  </si>
  <si>
    <t>진주지식산업센터 514호</t>
  </si>
  <si>
    <t>경상남도 진주시 망경남길44번길 22 (망경동)</t>
  </si>
  <si>
    <t>지노텍</t>
  </si>
  <si>
    <t>금속 위생용품 제조업</t>
  </si>
  <si>
    <t>경기도 용인시 처인구 이동읍 시미곡로 80-3</t>
  </si>
  <si>
    <t>주)디와이테크놀로지</t>
  </si>
  <si>
    <t>1층 베리굿즈(verygoods)</t>
  </si>
  <si>
    <t>광주광역시 북구 일곡마을로116번길 28 (일곡동)</t>
  </si>
  <si>
    <t>베리굿즈</t>
  </si>
  <si>
    <t>123층</t>
  </si>
  <si>
    <t>서울특별시 종로구 자하문로2길 12 (적선동)</t>
  </si>
  <si>
    <t>링링콤파니</t>
  </si>
  <si>
    <t>패션 섬유류 및 기타 전문 디자인업</t>
  </si>
  <si>
    <t>503호(라온비즈니스센터)</t>
  </si>
  <si>
    <t>대구광역시 북구 대현로9길 58 (산격동)</t>
  </si>
  <si>
    <t>디에이디자인</t>
  </si>
  <si>
    <t>경기도 김포시 통진읍 고정1로 45</t>
  </si>
  <si>
    <t>지음</t>
  </si>
  <si>
    <t>기체 여과기 제조업</t>
  </si>
  <si>
    <t>에이시티</t>
  </si>
  <si>
    <t>부산광역시 강서구 공항로1347번길 98-2 (대저1동)</t>
  </si>
  <si>
    <t>본관동2층</t>
  </si>
  <si>
    <t>울산광역시 중구 종가로 395 (성안동)</t>
  </si>
  <si>
    <t>햇빛드림서비스주식회사</t>
  </si>
  <si>
    <t>미장 타일 및 방수 공사업</t>
  </si>
  <si>
    <t>3층 에스디산업</t>
  </si>
  <si>
    <t>전라남도 여수시 공화북2길 9-1 (공화동)</t>
  </si>
  <si>
    <t>주식회사에스디산업</t>
  </si>
  <si>
    <t>유선 온라인 게임 소프트웨어 개발 및 공급업</t>
  </si>
  <si>
    <t>부산광역시 서구 구덕로214번길 16 (부민동1가)</t>
  </si>
  <si>
    <t>주식회사낫띵베럴</t>
  </si>
  <si>
    <t>406호 407호 408호</t>
  </si>
  <si>
    <t>인천광역시 남동구 남동대로 353 (남촌동)</t>
  </si>
  <si>
    <t>주식회사 펜타게이트</t>
  </si>
  <si>
    <t>플라스틱 필름 제조업</t>
  </si>
  <si>
    <t>충청북도 충주시 엄정면 노실길 28</t>
  </si>
  <si>
    <t>주식회사 태극</t>
  </si>
  <si>
    <t>전라남도 장성군 남면 나노산단1로 58-8</t>
  </si>
  <si>
    <t>주식회사 자스코</t>
  </si>
  <si>
    <t>광주광역시 북구 첨단연신로 18 (연제동)</t>
  </si>
  <si>
    <t>주식회사 인터라이텍</t>
  </si>
  <si>
    <t>경상남도 고성군 고성읍 남해안대로 2525-11</t>
  </si>
  <si>
    <t>주식회사 오케이라이텍</t>
  </si>
  <si>
    <t>체조 육상 및 체력 단련용 장비 제조업</t>
  </si>
  <si>
    <t>주식회사 엔티엠</t>
  </si>
  <si>
    <t>제주특별자치도 제주시 조천읍 함덕남2길 9</t>
  </si>
  <si>
    <t>연구1동 210-2호</t>
  </si>
  <si>
    <t>대구광역시 달서구 성서공단로11길 32 (호림동)</t>
  </si>
  <si>
    <t>주식회사 에이엘텍</t>
  </si>
  <si>
    <t>금속 가구 제조업</t>
  </si>
  <si>
    <t>크란츠테크노 1410호</t>
  </si>
  <si>
    <t>경기도 성남시 중원구 둔촌대로 388 (상대원동)</t>
  </si>
  <si>
    <t>주식회사 로드케어</t>
  </si>
  <si>
    <t>목재 보존 방부처리 도장 및 유사 처리업</t>
  </si>
  <si>
    <t>경기도 포천시 영중면 호국로 3295-31</t>
  </si>
  <si>
    <t>주식회사 두앤비</t>
  </si>
  <si>
    <t>자료 처리업</t>
  </si>
  <si>
    <t>제주벤처마루 707호</t>
  </si>
  <si>
    <t>주식회사 대양정보</t>
  </si>
  <si>
    <t>3바 705호</t>
  </si>
  <si>
    <t>경기도 시흥시 마유로32번길 56 (정왕동)</t>
  </si>
  <si>
    <t>주식회사 다해씨엔씨</t>
  </si>
  <si>
    <t>울산광역시 울주군 상북면 운문로 5-13</t>
  </si>
  <si>
    <t>주식회사 네모엘텍</t>
  </si>
  <si>
    <t>전자 부품 실장기판 제조업</t>
  </si>
  <si>
    <t>인천광역시 계양구 서운산업로 16-2 (서운동)</t>
  </si>
  <si>
    <t>이엔(EN)</t>
  </si>
  <si>
    <t>경상남도 김해시 한림면 가산로 24</t>
  </si>
  <si>
    <t>유진에코텍</t>
  </si>
  <si>
    <t>주방용 전기 기기 제조업</t>
  </si>
  <si>
    <t>대전광역시 유성구 유성대로1689번길 125 (전민동)</t>
  </si>
  <si>
    <t>워터제네시스</t>
  </si>
  <si>
    <t>8층 비즈센터 119호</t>
  </si>
  <si>
    <t>경기도 고양시 일산서구 주엽로 150 (주엽동)</t>
  </si>
  <si>
    <t>우리인터내셔널(주)</t>
  </si>
  <si>
    <t>국민대학교 체육관 105호</t>
  </si>
  <si>
    <t>서울특별시 성북구 정릉로 77 (정릉동)</t>
  </si>
  <si>
    <t>오마쥬파파</t>
  </si>
  <si>
    <t>기타 공학 연구개발업</t>
  </si>
  <si>
    <t>201호</t>
  </si>
  <si>
    <t>서울특별시 중구 마른내로 136 (쌍림동)</t>
  </si>
  <si>
    <t>엘케이 그린</t>
  </si>
  <si>
    <t>경기도 부천시 성곡로 30 (여월동)</t>
  </si>
  <si>
    <t>에코브릿지</t>
  </si>
  <si>
    <t>광고 매체 판매업</t>
  </si>
  <si>
    <t>윙스타워 A동 204호</t>
  </si>
  <si>
    <t>경상남도 진주시 동부로169번길 12 (충무공동)</t>
  </si>
  <si>
    <t>(주)킹콩</t>
  </si>
  <si>
    <t>.</t>
  </si>
  <si>
    <t>세종특별자치시 연동면 응암2길 54</t>
  </si>
  <si>
    <t>(주)주성솔루션</t>
  </si>
  <si>
    <t>충청남도 천안시 동남구 단대로 119 (안서동)</t>
  </si>
  <si>
    <t>한비코리아</t>
  </si>
  <si>
    <t>울산대학교 산학협동관(35호관) 307호</t>
  </si>
  <si>
    <t>울산광역시 남구 대학로 93 (무거동)</t>
  </si>
  <si>
    <t>칸엔지니어링</t>
  </si>
  <si>
    <t>가정용 전기 난방기기 제조업</t>
  </si>
  <si>
    <t>경기도 양주시 은현면 그루고개로466번길 13-60</t>
  </si>
  <si>
    <t>진테크</t>
  </si>
  <si>
    <t>인천광역시 서구 청라에메랄드로149번길 17 (청라동)</t>
  </si>
  <si>
    <t>주식회사 베르덴</t>
  </si>
  <si>
    <t>전기용 기계ㆍ장비 및 관련 기자재 도매업</t>
  </si>
  <si>
    <t>102호 글로리A</t>
  </si>
  <si>
    <t>경기도 광주시 초월읍 현산로 314</t>
  </si>
  <si>
    <t>제이케이이화파워</t>
  </si>
  <si>
    <t>전라북도 군산시 옥구읍 광월길 28-8</t>
  </si>
  <si>
    <t>제이에이치</t>
  </si>
  <si>
    <t>기타 플라스틱 발포 성형제품 제조업</t>
  </si>
  <si>
    <t>102동 501호</t>
  </si>
  <si>
    <t>경상북도 경산시 하양읍 동서2길 35 (베네치아)</t>
  </si>
  <si>
    <t>유한산업</t>
  </si>
  <si>
    <t>205호</t>
  </si>
  <si>
    <t>부산광역시 강서구 생곡로 273 (생곡동)</t>
  </si>
  <si>
    <t>유민테크</t>
  </si>
  <si>
    <t>단미사료 및 기타 사료 제조업</t>
  </si>
  <si>
    <t>스타프라자 407호</t>
  </si>
  <si>
    <t>경기도 남양주시 덕송2로 70-7 (별내동)</t>
  </si>
  <si>
    <t>웰씨드</t>
  </si>
  <si>
    <t>제주특별자치도 서귀포시 대정읍 하모이삼로 8-1</t>
  </si>
  <si>
    <t>엠제이디자인</t>
  </si>
  <si>
    <t>상품 종합 도매업</t>
  </si>
  <si>
    <t>601동 103호</t>
  </si>
  <si>
    <t>경상남도 김해시 계동로 76-56 (대청동 부영아파트6단지)</t>
  </si>
  <si>
    <t>엘케이플루이드</t>
  </si>
  <si>
    <t>씨에스</t>
  </si>
  <si>
    <t>경상북도 경산시 용성면 덕천3길 51-4</t>
  </si>
  <si>
    <t>사무용 가구 및 기기 도매업</t>
  </si>
  <si>
    <t>제주특별자치도 제주시 연화로4길 38 (연동)</t>
  </si>
  <si>
    <t>승아컴퍼니</t>
  </si>
  <si>
    <t>경기도 평택시 청룡길 156-23 (청룡동)</t>
  </si>
  <si>
    <t>셀빛테크 주식회사</t>
  </si>
  <si>
    <t>탭 밸브 및 유사 장치 제조업</t>
  </si>
  <si>
    <t>부산테크노파크 419호</t>
  </si>
  <si>
    <t>부산광역시 사상구 엄궁로 70-16 (엄궁동)</t>
  </si>
  <si>
    <t>세원브이앤이</t>
  </si>
  <si>
    <t>116-7호 2동</t>
  </si>
  <si>
    <t>경기도 파주시 탑삭골2길 64-4 (상지석동)</t>
  </si>
  <si>
    <t>성진웰파크</t>
  </si>
  <si>
    <t>광주광역시 서구 무진대로 583 (유촌동)</t>
  </si>
  <si>
    <t>선명건설 주식회사</t>
  </si>
  <si>
    <t>331호</t>
  </si>
  <si>
    <t>경기도 안산시 단원구 광덕3로 145-5 (고잔동)</t>
  </si>
  <si>
    <t>미래산업기술</t>
  </si>
  <si>
    <t>서관 10층</t>
  </si>
  <si>
    <t>서울특별시 송파구 중대로 135 (가락동)</t>
  </si>
  <si>
    <t>리플라이 주식회사</t>
  </si>
  <si>
    <t>인천광역시 계양구 계양문화로 48 (계산동)</t>
  </si>
  <si>
    <t>라인테크</t>
  </si>
  <si>
    <t>김포마스터비즈파크 407호</t>
  </si>
  <si>
    <t>디오닉(Dionic)</t>
  </si>
  <si>
    <t>101호(낭월동)</t>
  </si>
  <si>
    <t>대전광역시 동구 산내로1257번길 72-33</t>
  </si>
  <si>
    <t>동부라이팅</t>
  </si>
  <si>
    <t>그 외 금속 압형제품 제조업</t>
  </si>
  <si>
    <t>율생리 673</t>
  </si>
  <si>
    <t>경기도 김포시 대곶면 대곶서로 292</t>
  </si>
  <si>
    <t>(주)종합크레인스</t>
  </si>
  <si>
    <t>대구광역시 달성군 옥포읍 간경3길 15</t>
  </si>
  <si>
    <t>(주)아이티에스</t>
  </si>
  <si>
    <t>유니온센터 601호</t>
  </si>
  <si>
    <t>서울특별시 강남구 강남대로 310 (역삼동)</t>
  </si>
  <si>
    <t>투온라인</t>
  </si>
  <si>
    <t>8층 806호</t>
  </si>
  <si>
    <t>경기도 시흥시 포도원로116번길 25 (신천동)</t>
  </si>
  <si>
    <t>태영산업</t>
  </si>
  <si>
    <t>전라남도 무안군 삼향읍 삼향공단길 42-22</t>
  </si>
  <si>
    <t>주식회사 제일건설산업</t>
  </si>
  <si>
    <t>울산광역시 북구 이화5길 29-3 (중산동 이화한라동아아파트)</t>
  </si>
  <si>
    <t>유연솔루션</t>
  </si>
  <si>
    <t>웃고문화사</t>
  </si>
  <si>
    <t>강원도 원주시 배말길 103-2 (봉산동)</t>
  </si>
  <si>
    <t>b동</t>
  </si>
  <si>
    <t>경기도 의왕시 월암길 75-6 (월암동)</t>
  </si>
  <si>
    <t>와이유테크</t>
  </si>
  <si>
    <t>정형 외과용 및 신체 보정용 기기 제조업</t>
  </si>
  <si>
    <t>우남빌딩 3층 302호</t>
  </si>
  <si>
    <t>서울특별시 서초구 방배중앙로 95 (방배동)</t>
  </si>
  <si>
    <t>에코앤리치(Eco&amp;Rich)</t>
  </si>
  <si>
    <t>전기용 탄소제품 및 절연제품 제조업</t>
  </si>
  <si>
    <t>23호관 310호</t>
  </si>
  <si>
    <t>에코스타</t>
  </si>
  <si>
    <t>센텀IS타워 19층 1913호 아이엠씨(IMC)</t>
  </si>
  <si>
    <t>부산광역시 해운대구 센텀북대로 60 (재송동)</t>
  </si>
  <si>
    <t>아이엠씨(IMC)</t>
  </si>
  <si>
    <t>B동 6112호</t>
  </si>
  <si>
    <t>세종특별자치시 갈매로 351 (어진동)</t>
  </si>
  <si>
    <t>소프트아이콘</t>
  </si>
  <si>
    <t>406동 1505호</t>
  </si>
  <si>
    <t>경기도 평택시 신촌5로 56 (칠원동 평택지제역동문굿모닝힐맘시티4단지)</t>
  </si>
  <si>
    <t>벌문</t>
  </si>
  <si>
    <t>충청북도 음성군 감곡면 행군이길 171-47</t>
  </si>
  <si>
    <t>모리스앤코 주식회사</t>
  </si>
  <si>
    <t>로그인</t>
  </si>
  <si>
    <t>단지내상가 210호</t>
  </si>
  <si>
    <t>서울특별시 동작구 만양로 19 (노량진동 신동아리버파크아파트)</t>
  </si>
  <si>
    <t>대양</t>
  </si>
  <si>
    <t>나우에스엔씨(주) 김제공장</t>
  </si>
  <si>
    <t>전라북도 김제시 용지면 황토로 414-42</t>
  </si>
  <si>
    <t>나우에스엔씨 주식회사</t>
  </si>
  <si>
    <t>경상남도 양산시 새목2길 8-4 (어곡동)</t>
  </si>
  <si>
    <t>경남캐노피</t>
  </si>
  <si>
    <t>인천IT타워 1611호</t>
  </si>
  <si>
    <t>인천광역시 미추홀구 경인로 229 (도화동)</t>
  </si>
  <si>
    <t>(주)제드팩토리</t>
  </si>
  <si>
    <t>조경 건설업</t>
  </si>
  <si>
    <t>103호</t>
  </si>
  <si>
    <t>대구광역시 달서구 월곡로47길 63 (상인동)</t>
  </si>
  <si>
    <t>(주)엘엔씨플랜</t>
  </si>
  <si>
    <t>삼창프라자 1208호</t>
  </si>
  <si>
    <t>서울특별시 마포구 마포대로 63-8 (도화동)</t>
  </si>
  <si>
    <t>(주)에스엘플랜</t>
  </si>
  <si>
    <t>선박 구성 부분품 제조업</t>
  </si>
  <si>
    <t>경상북도 경주시 외동읍 제내1공단길 27</t>
  </si>
  <si>
    <t>(주)아진</t>
  </si>
  <si>
    <t>목원대학교 창업진흥센터 O1관 407호</t>
  </si>
  <si>
    <t>대전광역시 서구 도안북로 88 (도안동)</t>
  </si>
  <si>
    <t>프로닉</t>
  </si>
  <si>
    <t>모바일 게임 소프트웨어 개발 및 공급업</t>
  </si>
  <si>
    <t>하루빌딩 3층</t>
  </si>
  <si>
    <t>대구광역시 동구 경대로 62 (신암동)</t>
  </si>
  <si>
    <t>콘텐츠팩토리</t>
  </si>
  <si>
    <t>BI CENTER 1108호</t>
  </si>
  <si>
    <t>제주특별자치도 제주시 한라대학로 38 (노형동)</t>
  </si>
  <si>
    <t>주식회사 호인스컴퍼니</t>
  </si>
  <si>
    <t>기체 펌프 및 압축기 제조업</t>
  </si>
  <si>
    <t>전라북도 부안군 행안면 부안농공단지길 40</t>
  </si>
  <si>
    <t>주식회사 청담</t>
  </si>
  <si>
    <t>308호(리슈빌s)</t>
  </si>
  <si>
    <t>경기도 수원시 팔달구 인계로138번길 8 (인계동)</t>
  </si>
  <si>
    <t>주식회사 조은컴퍼니</t>
  </si>
  <si>
    <t>(주)제이디에이엠</t>
  </si>
  <si>
    <t>충청북도 음성군 금왕읍 행제길55번길 26-11</t>
  </si>
  <si>
    <t>주식회사 제이디에이엠</t>
  </si>
  <si>
    <t>신기술산업지원센터1동 모바일융합센터 403호</t>
  </si>
  <si>
    <t>대구광역시 달서구 성서공단로 46-17 (대천동)</t>
  </si>
  <si>
    <t>주식회사 제나</t>
  </si>
  <si>
    <t>A동 5014호</t>
  </si>
  <si>
    <t>세종특별자치시 갈매로 353 (어진동)</t>
  </si>
  <si>
    <t>주식회사 워터아이즈</t>
  </si>
  <si>
    <t>부산광역시 기장군 정관읍 예림길 3</t>
  </si>
  <si>
    <t>주식회사 우진앤에스피</t>
  </si>
  <si>
    <t>경상남도 김해시 진영읍 하계로 183</t>
  </si>
  <si>
    <t>주식회사 엘리드</t>
  </si>
  <si>
    <t>유선 통신장비 제조업</t>
  </si>
  <si>
    <t>B동 1007호</t>
  </si>
  <si>
    <t>주식회사 에너넷</t>
  </si>
  <si>
    <t>1010-253호</t>
  </si>
  <si>
    <t>서울특별시 금천구 가산디지털2로 123 (가산동)</t>
  </si>
  <si>
    <t>주식회사 씨티바이오</t>
  </si>
  <si>
    <t>건강 기능식품 제조업</t>
  </si>
  <si>
    <t>서울특별시 서초구 서초중앙로 95 (서초동)</t>
  </si>
  <si>
    <t>주식회사 리우에이치</t>
  </si>
  <si>
    <t>전라북도 완주군 봉동읍 완주산단2로 257-29</t>
  </si>
  <si>
    <t>주식회사 더블유에스</t>
  </si>
  <si>
    <t>경기도 안산시 단원구 산단로 107 (원시동)</t>
  </si>
  <si>
    <t>제이와이라이팅 주식회사</t>
  </si>
  <si>
    <t>강원도 춘천시 행촌로 51 (퇴계동)</t>
  </si>
  <si>
    <t>정인기획</t>
  </si>
  <si>
    <t>가동 나동</t>
  </si>
  <si>
    <t>경기도 고양시 일산서구 신덕로 74 (덕이동)</t>
  </si>
  <si>
    <t>옥시즌</t>
  </si>
  <si>
    <t>경상북도 구미시 비산로5길 34-7 (비산동)</t>
  </si>
  <si>
    <t>에이스블루</t>
  </si>
  <si>
    <t>전라북도 정읍시 연지3길 93-6 (연지동)</t>
  </si>
  <si>
    <t>에스에스건설 주식회사</t>
  </si>
  <si>
    <t>디스플레이 제조용 기계 제조업</t>
  </si>
  <si>
    <t>비전IT타워 507호</t>
  </si>
  <si>
    <t>경기도 화성시 동탄대로 677-5 (영천동)</t>
  </si>
  <si>
    <t>에스씨플랫 주식회사</t>
  </si>
  <si>
    <t>이주빌딩 3층 303호</t>
  </si>
  <si>
    <t>서울특별시 강남구 논현로72길 33 (역삼동)</t>
  </si>
  <si>
    <t>아크몹</t>
  </si>
  <si>
    <t>성균관대학교 산학협력센터 85215호</t>
  </si>
  <si>
    <t>경기도 수원시 장안구 서부로 2066 (천천동)</t>
  </si>
  <si>
    <t>솔디아드주식회사</t>
  </si>
  <si>
    <t>지하 1층</t>
  </si>
  <si>
    <t>경기도 안양시 동안구 일동로204번길 22-6 (관양동)</t>
  </si>
  <si>
    <t>비엠씨랩 주식회사</t>
  </si>
  <si>
    <t>기타 가공 공작기계 제조업</t>
  </si>
  <si>
    <t>비에스테크(4층)</t>
  </si>
  <si>
    <t>부산광역시 강서구 낙동남로533번길 71 (녹산동)</t>
  </si>
  <si>
    <t>비에스테크</t>
  </si>
  <si>
    <t>B동 1601호</t>
  </si>
  <si>
    <t>서울특별시 금천구 서부샛길 606 (가산동)</t>
  </si>
  <si>
    <t>마이어스플로우</t>
  </si>
  <si>
    <t>텔레비전 제조업</t>
  </si>
  <si>
    <t>경상북도 김천시 어모면 산업단지3로 63</t>
  </si>
  <si>
    <t>대우써머스주식회사</t>
  </si>
  <si>
    <t>비 및 솔 제조업</t>
  </si>
  <si>
    <t>313호(고양원흥지식산업센터)</t>
  </si>
  <si>
    <t>경기도 고양시 덕양구 삼원로 51 (원흥동)</t>
  </si>
  <si>
    <t>닥터스글로벌</t>
  </si>
  <si>
    <t>경기도 화성시 정남면 서봉로765번길 42</t>
  </si>
  <si>
    <t>SH케미칼</t>
  </si>
  <si>
    <t>생산동 209호</t>
  </si>
  <si>
    <t>광주광역시 북구 첨단과기로 333 (대촌동)</t>
  </si>
  <si>
    <t>(주)유씨랩</t>
  </si>
  <si>
    <t>5층</t>
  </si>
  <si>
    <t>서울특별시 동작구 동작대로5길 9 (사당동)</t>
  </si>
  <si>
    <t>(주)블랙진생코리아</t>
  </si>
  <si>
    <t>가방 및 기타 가죽제품 소매업</t>
  </si>
  <si>
    <t>1402-908호</t>
  </si>
  <si>
    <t>서울특별시 강서구 마곡중앙로 33 (마곡동 마곡엠밸리14단지)</t>
  </si>
  <si>
    <t>(주)다시</t>
  </si>
  <si>
    <t>안산 디지털 파크 2층 20252026호</t>
  </si>
  <si>
    <t>경기도 안산시 단원구 능안로 81 (신길동)</t>
  </si>
  <si>
    <t>(주) 주영이앤씨</t>
  </si>
  <si>
    <t>현민건설기술 주식회사</t>
  </si>
  <si>
    <t>복합비료 및 기타 화학비료 제조업</t>
  </si>
  <si>
    <t>1동 102호</t>
  </si>
  <si>
    <t>부산광역시 강서구 과학산단1로60번길 31 (지사동)</t>
  </si>
  <si>
    <t>토리바텍</t>
  </si>
  <si>
    <t>서울특별시 중랑구 동일로129길 7-12 (중화동)</t>
  </si>
  <si>
    <t>테크나인 주식회사</t>
  </si>
  <si>
    <t>의학 및 약학 연구개발업</t>
  </si>
  <si>
    <t>105호</t>
  </si>
  <si>
    <t>충청북도 청주시 흥덕구 서현중로 53 (강서동)</t>
  </si>
  <si>
    <t>케이원팜 주식회사</t>
  </si>
  <si>
    <t>3층 301호</t>
  </si>
  <si>
    <t>경기도 시흥시 승지로59번길 3 (능곡동)</t>
  </si>
  <si>
    <t>주앤보주식회사</t>
  </si>
  <si>
    <t>경기도 하남시 덕풍북로 28 (덕풍동)</t>
  </si>
  <si>
    <t>주식회사솔루파인</t>
  </si>
  <si>
    <t>용인테크노밸리 씨동603호</t>
  </si>
  <si>
    <t>경기도 용인시 기흥구 구성로 357 (청덕동)</t>
  </si>
  <si>
    <t>주식회사 착한사람들</t>
  </si>
  <si>
    <t>에이호(풍호동)</t>
  </si>
  <si>
    <t>경상남도 창원시 진해구 충장로575번길 24 (풍호동 부길아파트)</t>
  </si>
  <si>
    <t>주식회사 재진로드</t>
  </si>
  <si>
    <t>유압 기기 제조업</t>
  </si>
  <si>
    <t>경상남도 창원시 의창구 의안로55번길 10-8 (소답동)</t>
  </si>
  <si>
    <t>주식회사 쉐카이나</t>
  </si>
  <si>
    <t>대전광역시 동구 산내로1287번길 24 (낭월동)</t>
  </si>
  <si>
    <t>주식회사 선우라이팅</t>
  </si>
  <si>
    <t>수자원연구원2동</t>
  </si>
  <si>
    <t>주식회사 서지텍</t>
  </si>
  <si>
    <t>A동 1013호</t>
  </si>
  <si>
    <t>경기도 성남시 중원구 갈마치로288번길 14 (상대원동)</t>
  </si>
  <si>
    <t>주식회사 리엠</t>
  </si>
  <si>
    <t>636호 (정왕동산학융합관)</t>
  </si>
  <si>
    <t>경기도 시흥시 산기대학로 237 (정왕동)</t>
  </si>
  <si>
    <t>주식회사 리암솔루션</t>
  </si>
  <si>
    <t>(주)다온산업</t>
  </si>
  <si>
    <t>경상북도 성주군 월항면 지산로 171</t>
  </si>
  <si>
    <t>주식회사 다온산업</t>
  </si>
  <si>
    <t>공기 조화장치 제조업</t>
  </si>
  <si>
    <t>제10공학관 317호</t>
  </si>
  <si>
    <t>주)바름테크</t>
  </si>
  <si>
    <t>기타 음향기기 제조업</t>
  </si>
  <si>
    <t>제2동</t>
  </si>
  <si>
    <t>경기도 파주시 광탄면 보광로610번길 13-14</t>
  </si>
  <si>
    <t>이음테크</t>
  </si>
  <si>
    <t>강원도 영월군 영월읍 하송로 91</t>
  </si>
  <si>
    <t>이끌디자인</t>
  </si>
  <si>
    <t>구미첨단의료기술타워 301호</t>
  </si>
  <si>
    <t>경상북도 구미시 산호대로 253 (공단동)</t>
  </si>
  <si>
    <t>웰웍스</t>
  </si>
  <si>
    <t>경기도 화성시 금곡로 231-107 (금곡동)</t>
  </si>
  <si>
    <t>엠티에스주식회사</t>
  </si>
  <si>
    <t>차체 및 특장차 제조업</t>
  </si>
  <si>
    <t>애드밴</t>
  </si>
  <si>
    <t>경기도 화성시 장안면 수정로 110-57</t>
  </si>
  <si>
    <t>C동 509호</t>
  </si>
  <si>
    <t>경기도 용인시 수지구 광교중앙로 338 (상현동)</t>
  </si>
  <si>
    <t>아룸테크 주식회사</t>
  </si>
  <si>
    <t>4층 청년1번가센터 B-10호</t>
  </si>
  <si>
    <t>서울특별시 용산구 서빙고로 17 (한강로3가)</t>
  </si>
  <si>
    <t>스무타트</t>
  </si>
  <si>
    <t>강원도 춘천시 춘주로193번길 5 (퇴계동)</t>
  </si>
  <si>
    <t>베스트원기획</t>
  </si>
  <si>
    <t>522호</t>
  </si>
  <si>
    <t>서울특별시 마포구 마포대로 86 (도화동)</t>
  </si>
  <si>
    <t>메타맵</t>
  </si>
  <si>
    <t>뉴대명빌딩 4층</t>
  </si>
  <si>
    <t>경기도 수원시 장안구 율전로 92 (율전동)</t>
  </si>
  <si>
    <t>레이쳐</t>
  </si>
  <si>
    <t>킹고 스타트업 스페이스</t>
  </si>
  <si>
    <t>서울특별시 종로구 창경궁로35길 38 (혜화동)</t>
  </si>
  <si>
    <t>라온데이터</t>
  </si>
  <si>
    <t>환경산업연구단지 A동 313호</t>
  </si>
  <si>
    <t>인천광역시 서구 정서진로 410 (오류동)</t>
  </si>
  <si>
    <t>두루주</t>
  </si>
  <si>
    <t>대전광역시 서구 도안동로11번길 32 (가수원동)</t>
  </si>
  <si>
    <t>다온종합상사</t>
  </si>
  <si>
    <t>경상남도 김해시 진영읍 서부로378번길 11-1</t>
  </si>
  <si>
    <t>글로벌 베스트</t>
  </si>
  <si>
    <t>어진프라자 1층  112 호 118 호</t>
  </si>
  <si>
    <t>세종특별자치시 도움8로 11-11 (어진동)</t>
  </si>
  <si>
    <t>공간기획</t>
  </si>
  <si>
    <t>지식산업센터동 312호</t>
  </si>
  <si>
    <t>전라남도 순천시 해룡면 율촌산단4로 13</t>
  </si>
  <si>
    <t>(주)제이제이코리아</t>
  </si>
  <si>
    <t>4층 8408호</t>
  </si>
  <si>
    <t>광주광역시 광산구 남부대길 38 (월계동)</t>
  </si>
  <si>
    <t>(주)이커버스</t>
  </si>
  <si>
    <t>전기식 진단 및 요법 기기 제조업</t>
  </si>
  <si>
    <t>2층 (주)이지코어</t>
  </si>
  <si>
    <t>경기도 화성시 남양읍 신남로 204-11</t>
  </si>
  <si>
    <t>(주)이지코어</t>
  </si>
  <si>
    <t>충청남도 논산시 가야곡면 매죽헌로 897</t>
  </si>
  <si>
    <t>(주)에프투비</t>
  </si>
  <si>
    <t>경기도 화성시 송산면 삼존로 266-26</t>
  </si>
  <si>
    <t>(주)쓰리에스리더</t>
  </si>
  <si>
    <t>컴퓨터 모니터 제조업</t>
  </si>
  <si>
    <t>경상북도 구미시 산동읍 첨단기업로 185-11</t>
  </si>
  <si>
    <t>(주)미래테크닉스</t>
  </si>
  <si>
    <t>경기도 시흥시 공단2대로140번길 26 (정왕동)</t>
  </si>
  <si>
    <t>(주)뉴라인텍</t>
  </si>
  <si>
    <t>전기ㆍ전자공학 연구개발업</t>
  </si>
  <si>
    <t>전일빌딩 523호</t>
  </si>
  <si>
    <t>광주광역시 동구 금남로 245 (금남로1가)</t>
  </si>
  <si>
    <t>주식회사헤니코사</t>
  </si>
  <si>
    <t>발광 다이오드 제조업</t>
  </si>
  <si>
    <t>경상북도 구미시 비산로5길 34-9 (비산동)</t>
  </si>
  <si>
    <t>주식회사코비스</t>
  </si>
  <si>
    <t>농업 및 임업용 기계 제조업</t>
  </si>
  <si>
    <t>전라남도 광양시 무등길 25-12 (중동)</t>
  </si>
  <si>
    <t>주식회사 광양만산업개발</t>
  </si>
  <si>
    <t>위례아이파크상가 E동 120호</t>
  </si>
  <si>
    <t>서울특별시 송파구 위례광장로 136 (장지동 위례아이파크)</t>
  </si>
  <si>
    <t>월랩</t>
  </si>
  <si>
    <t>경기도 고양시 일산동구 고봉로 32-19 (장항동)</t>
  </si>
  <si>
    <t>아바뷰티</t>
  </si>
  <si>
    <t>경기도 화성시 금곡로 258 (금곡동)</t>
  </si>
  <si>
    <t>더블에스엠오토메이션</t>
  </si>
  <si>
    <t>경상북도 구미시 옥계2공단로 29 (황상동)</t>
  </si>
  <si>
    <t>한솔메디텍주식회사</t>
  </si>
  <si>
    <t>8층 T-815</t>
  </si>
  <si>
    <t>경기도 용인시 기흥구 서천로201번길 11 (농서동)</t>
  </si>
  <si>
    <t>주식회사기술에미친사람들</t>
  </si>
  <si>
    <t>광교우미뉴브 A동 417호</t>
  </si>
  <si>
    <t>주식회사 티웨어랩</t>
  </si>
  <si>
    <t>7층 707호</t>
  </si>
  <si>
    <t>서울특별시 성동구 아차산로 68 (성수동2가)</t>
  </si>
  <si>
    <t>주식회사 위아컴퍼니</t>
  </si>
  <si>
    <t>본부동 7층 1701호</t>
  </si>
  <si>
    <t>광주광역시 북구 첨단벤처로108번길 9 (월출동)</t>
  </si>
  <si>
    <t>주식회사 아우르다</t>
  </si>
  <si>
    <t>D동 707호</t>
  </si>
  <si>
    <t>주식회사 레메디</t>
  </si>
  <si>
    <t>23층</t>
  </si>
  <si>
    <t>인천광역시 연수구 하모니로35번길 2 (송도동)</t>
  </si>
  <si>
    <t>주식회사 더좋은운동으로</t>
  </si>
  <si>
    <t>주식회사 누비다</t>
  </si>
  <si>
    <t>가죽 및 모피 제품 도매업</t>
  </si>
  <si>
    <t>주식회사 그린앤프로덕트</t>
  </si>
  <si>
    <t>경기도 화성시 양감면 사격장길 61-19</t>
  </si>
  <si>
    <t>제이제이라이팅</t>
  </si>
  <si>
    <t>유방동 222-1번지</t>
  </si>
  <si>
    <t>경기도 용인시 처인구 백옥대로1424번길 5-18 (유방동)</t>
  </si>
  <si>
    <t>에스에이씨지(SACG)</t>
  </si>
  <si>
    <t>B1 02호</t>
  </si>
  <si>
    <t>서울특별시 강남구 봉은사로37길 7-9 (논현동)</t>
  </si>
  <si>
    <t>애프엑스컴퍼니</t>
  </si>
  <si>
    <t>1 2층(어곡동)</t>
  </si>
  <si>
    <t>경상남도 양산시 대동로 58 (어곡동)</t>
  </si>
  <si>
    <t>솔레즈</t>
  </si>
  <si>
    <t>충청남도 예산군 예산읍 예산산업단지로 63</t>
  </si>
  <si>
    <t>삼화그린텍 주식회사</t>
  </si>
  <si>
    <t>520호</t>
  </si>
  <si>
    <t>부산광역시 해운대구 센텀중앙로 90 (재송동)</t>
  </si>
  <si>
    <t>삼보테크놀로지</t>
  </si>
  <si>
    <t>광학 렌즈 및 광학 요소 제조업</t>
  </si>
  <si>
    <t>307호</t>
  </si>
  <si>
    <t>충청남도 아산시 음봉면 연암산로 88</t>
  </si>
  <si>
    <t>브이에스티</t>
  </si>
  <si>
    <t>강원도 원주시 소초면 장수2로 196-23</t>
  </si>
  <si>
    <t>보금주식회사</t>
  </si>
  <si>
    <t>경기도 고양시 일산동구 강촌로12번길 15-4 (백석동)</t>
  </si>
  <si>
    <t>라키움</t>
  </si>
  <si>
    <t>충청남도 공주시 반포면 원전말길 36-7</t>
  </si>
  <si>
    <t>(주)플랜시아</t>
  </si>
  <si>
    <t>4층 401호</t>
  </si>
  <si>
    <t>인천광역시 남동구 호구포로 50 (고잔동)</t>
  </si>
  <si>
    <t>(주)제이엠테크닉스</t>
  </si>
  <si>
    <t>금속선 가공제품 제조업</t>
  </si>
  <si>
    <t>전라남도 순천시 덕정길 4-5 (인월동)</t>
  </si>
  <si>
    <t>(주)에코휀스산업</t>
  </si>
  <si>
    <t>비내화 모르타르 제조업</t>
  </si>
  <si>
    <t>911호</t>
  </si>
  <si>
    <t>서울특별시 송파구 위례광장로 188 (장지동)</t>
  </si>
  <si>
    <t>(주)에코그린웨이</t>
  </si>
  <si>
    <t>서울특별시 중랑구 동일로 869 (묵동)</t>
  </si>
  <si>
    <t>(주)에이원트래픽알앤디</t>
  </si>
  <si>
    <t>1107호1108호(수지인텔리타워)</t>
  </si>
  <si>
    <t>인천광역시 남동구 남동대로765번길 17 (구월동)</t>
  </si>
  <si>
    <t>(주)씨앤아이테크</t>
  </si>
  <si>
    <t>에이스한솔타워 1507호</t>
  </si>
  <si>
    <t>서울특별시 금천구 가산디지털1로 58 (가산동)</t>
  </si>
  <si>
    <t>하스트 주식회사</t>
  </si>
  <si>
    <t>217호</t>
  </si>
  <si>
    <t>서울특별시 광진구 아차산로30길 36 (자양동)</t>
  </si>
  <si>
    <t>핑거스냅</t>
  </si>
  <si>
    <t>경기도 화성시 장안면 장안공단로 194</t>
  </si>
  <si>
    <t>퍼메이드앤아이디</t>
  </si>
  <si>
    <t>1304호</t>
  </si>
  <si>
    <t>서울특별시 강남구 광평로 280 (수서동)</t>
  </si>
  <si>
    <t>클라이막스 주식회사</t>
  </si>
  <si>
    <t>서울특별시 중랑구 동일로109길 11-5 (면목동 미소지움)</t>
  </si>
  <si>
    <t>케이에이씨컨설팅</t>
  </si>
  <si>
    <t>울산광역시 울주군 상북면 우만길 12</t>
  </si>
  <si>
    <t>청구이노베이션주식회사</t>
  </si>
  <si>
    <t>육류 포장육 및 냉동육 가공업(가금류 제외)</t>
  </si>
  <si>
    <t>경기도 용인시 처인구 남사면 아곡리 430-6</t>
  </si>
  <si>
    <t>경기도 용인시 처인구 남사면 남산로 34</t>
  </si>
  <si>
    <t>진설비앤피</t>
  </si>
  <si>
    <t>12층 38호</t>
  </si>
  <si>
    <t>서울특별시 서초구 강남대로 369 (서초동)</t>
  </si>
  <si>
    <t>지제이컨설팅</t>
  </si>
  <si>
    <t>제조업 및 유사 산업용 건물 건설업</t>
  </si>
  <si>
    <t>충청북도 청주시 흥덕구 신성로108번길 9-1 (신성동)</t>
  </si>
  <si>
    <t>주식회사씨티라이프</t>
  </si>
  <si>
    <t>5층 세원빌딩</t>
  </si>
  <si>
    <t>서울특별시 강남구 영동대로 405 (대치동)</t>
  </si>
  <si>
    <t>주식회사썬로이</t>
  </si>
  <si>
    <t>1301호</t>
  </si>
  <si>
    <t>서울특별시 성동구 광나루로 130 (성수동1가)</t>
  </si>
  <si>
    <t>주식회사 트위스트론</t>
  </si>
  <si>
    <t>서울특별시 서초구 서초대로56길 39 (서초동)</t>
  </si>
  <si>
    <t>주식회사 탭잇</t>
  </si>
  <si>
    <t>화장품 및 화장용품 도매업</t>
  </si>
  <si>
    <t>1207호</t>
  </si>
  <si>
    <t>부산광역시 연제구 중앙대로 1130 (연산동 연산동 SK VIEW(2단지))</t>
  </si>
  <si>
    <t>주식회사 키로</t>
  </si>
  <si>
    <t>501-6호</t>
  </si>
  <si>
    <t>서울특별시 금천구 가산디지털1로 84 (가산동)</t>
  </si>
  <si>
    <t>주식회사 코어에스</t>
  </si>
  <si>
    <t>경기도 수원시 팔달구 창룡대로 59 (매향동)</t>
  </si>
  <si>
    <t>주식회사 코러스</t>
  </si>
  <si>
    <t>제2중소기업관 322호 (정왕동 경기과학기술대학 제2캠퍼스)</t>
  </si>
  <si>
    <t>경기도 시흥시 경기과기대로 270 (정왕동)</t>
  </si>
  <si>
    <t>주식회사 케어벳</t>
  </si>
  <si>
    <t>d-1102</t>
  </si>
  <si>
    <t>경기도 부천시 도약로 261 (도당동)</t>
  </si>
  <si>
    <t>주식회사 이오에스</t>
  </si>
  <si>
    <t>JST제물포스마트타운 804호</t>
  </si>
  <si>
    <t>인천광역시 미추홀구 석정로 229 (도화동)</t>
  </si>
  <si>
    <t>주식회사 위더스아이앤티</t>
  </si>
  <si>
    <t>도움공장 201호</t>
  </si>
  <si>
    <t>인천광역시 미추홀구 염전로 336 (주안동)</t>
  </si>
  <si>
    <t>주식회사 엘이디솔루션</t>
  </si>
  <si>
    <t>전라북도 완주군 소양면 망표길 189-7</t>
  </si>
  <si>
    <t>주식회사 엘림컴퍼니</t>
  </si>
  <si>
    <t>박판 합판 및 유사 적층판 제조업</t>
  </si>
  <si>
    <t>가동</t>
  </si>
  <si>
    <t>경기도 안성시 서운면 송죽길 36</t>
  </si>
  <si>
    <t>주식회사 에스지텍</t>
  </si>
  <si>
    <t>1003호</t>
  </si>
  <si>
    <t>경기도 수원시 영통구 창룡대로256번길 91 (이의동)</t>
  </si>
  <si>
    <t>주식회사 에스유아이씨티</t>
  </si>
  <si>
    <t>청사오피스텔 814호</t>
  </si>
  <si>
    <t>대전광역시 서구 청사로 228 (둔산동)</t>
  </si>
  <si>
    <t>주식회사 애드코리아</t>
  </si>
  <si>
    <t>기타 가정용 전기 기기 제조업</t>
  </si>
  <si>
    <t>씨동 211-2호 (계산동하이베라스)</t>
  </si>
  <si>
    <t>인천광역시 계양구 계산새로 71 (계산동)</t>
  </si>
  <si>
    <t>주식회사 아이디티</t>
  </si>
  <si>
    <t>힉스유타워 지식산업센터 에이동 2001-3호</t>
  </si>
  <si>
    <t>주식회사 스토리포유</t>
  </si>
  <si>
    <t>전라북도 진안군 동향면 진성로 2144</t>
  </si>
  <si>
    <t>주식회사 셀코</t>
  </si>
  <si>
    <t>A동 1109-2호</t>
  </si>
  <si>
    <t>주식회사 브이피엠</t>
  </si>
  <si>
    <t>산학연교육연구관 별관308호</t>
  </si>
  <si>
    <t>대전광역시 유성구 대학로 99 (궁동)</t>
  </si>
  <si>
    <t>주식회사 베이비랩</t>
  </si>
  <si>
    <t>서울특별시 광진구 능동로49길 30 (중곡동)</t>
  </si>
  <si>
    <t>주식회사 문구야놀자</t>
  </si>
  <si>
    <t>광주광역시 북구 첨단벤처소로38번길 35 (월출동)</t>
  </si>
  <si>
    <t>주식회사 멤스</t>
  </si>
  <si>
    <t>아이비씨지식산업센터 비동 824호</t>
  </si>
  <si>
    <t>광주광역시 북구 첨단과기로208번길 43-10 (오룡동)</t>
  </si>
  <si>
    <t>주식회사 리얼바이오케어</t>
  </si>
  <si>
    <t>동국대학교 충무로 본관 1009호</t>
  </si>
  <si>
    <t>서울특별시 중구 퇴계로36길 2 (필동2가)</t>
  </si>
  <si>
    <t>주식회사 루트소프트</t>
  </si>
  <si>
    <t>810-40</t>
  </si>
  <si>
    <t>전라북도 군산시 임피면 동군산로 810-40</t>
  </si>
  <si>
    <t>주식회사 더존디자인조명</t>
  </si>
  <si>
    <t>울산광역시 중구 성안4길 29 (성안동)</t>
  </si>
  <si>
    <t>주식회사 더작</t>
  </si>
  <si>
    <t>1112호</t>
  </si>
  <si>
    <t>서울특별시 강남구 테헤란로2길 27 (역삼동)</t>
  </si>
  <si>
    <t>주식회사 그로비</t>
  </si>
  <si>
    <t>전라북도 김제시 만경읍 만경공단1길 82</t>
  </si>
  <si>
    <t>제이앤에스엔지니어링(주)</t>
  </si>
  <si>
    <t>해들마을6단지 609동 앞 상가 2층 A207호</t>
  </si>
  <si>
    <t>세종특별자치시 한누리대로 2236 (대평동)</t>
  </si>
  <si>
    <t>이음기술 주식회사</t>
  </si>
  <si>
    <t>906호 sk v1 center</t>
  </si>
  <si>
    <t>경기도 안양시 동안구 엘에스로116번길 25-32 (호계동)</t>
  </si>
  <si>
    <t>유한책임회사태백넷</t>
  </si>
  <si>
    <t>기타 건축용 나무제품 제조업</t>
  </si>
  <si>
    <t>전라남도 광양시 광양읍 서평8길 23</t>
  </si>
  <si>
    <t>엠에이 주식회사</t>
  </si>
  <si>
    <t>기타 측정 시험 항해 제어 및 정밀 기기 제조업</t>
  </si>
  <si>
    <t>2동</t>
  </si>
  <si>
    <t>경기도 화성시 금곡로 231-19 (금곡동)</t>
  </si>
  <si>
    <t>엠리서치 주식회사</t>
  </si>
  <si>
    <t>캠퍼스컴퍼니 203호</t>
  </si>
  <si>
    <t>충청남도 천안시 동남구 병천면 충절로 1600</t>
  </si>
  <si>
    <t>엔비솔테크</t>
  </si>
  <si>
    <t>2층(성동동)</t>
  </si>
  <si>
    <t>경상북도 경주시 원화로 320 (성동동)</t>
  </si>
  <si>
    <t>에코테크</t>
  </si>
  <si>
    <t>경상북도 김천시 공단1길 51 (대광동)</t>
  </si>
  <si>
    <t>에코라이팅 주식회사</t>
  </si>
  <si>
    <t>221호</t>
  </si>
  <si>
    <t>전라북도 전주시 덕진구 기린대로 945-6 (여의동)</t>
  </si>
  <si>
    <t>에이비(AB) 오토메이션</t>
  </si>
  <si>
    <t>정밀 기기 및 과학 기기 도매업</t>
  </si>
  <si>
    <t>융합기업지원센터 308호</t>
  </si>
  <si>
    <t>대구광역시 서구 국채보상로 136 (중리동)</t>
  </si>
  <si>
    <t>에스알테크</t>
  </si>
  <si>
    <t>경기도 김포시 대곶면 대곶남로 95-16</t>
  </si>
  <si>
    <t>세미</t>
  </si>
  <si>
    <t>경상남도 창원시 마산회원구 봉암공단11길 84 (봉암동)</t>
  </si>
  <si>
    <t>서전이엔티</t>
  </si>
  <si>
    <t>창업보육센터2호관1219호</t>
  </si>
  <si>
    <t>경상북도 영천시 금호읍 대구대길 333</t>
  </si>
  <si>
    <t>브릿지</t>
  </si>
  <si>
    <t>1동 102호(연세원주창업보육센터)</t>
  </si>
  <si>
    <t>강원도 원주시 흥업면 연세대길 1</t>
  </si>
  <si>
    <t>리파인 주식회사</t>
  </si>
  <si>
    <t>인천광역시 서구 도담로 61 (오류동)</t>
  </si>
  <si>
    <t>디에이치산업</t>
  </si>
  <si>
    <t>c동609b호</t>
  </si>
  <si>
    <t>인천광역시 부평구 부평대로 283 (청천동)</t>
  </si>
  <si>
    <t>더메이테크</t>
  </si>
  <si>
    <t>부산광역시 강서구 맥도길474번길 89 (대저2동)</t>
  </si>
  <si>
    <t>글로벌코리아금속 주식회사</t>
  </si>
  <si>
    <t>303호</t>
  </si>
  <si>
    <t>강원도 춘천시 동면 만천로143번길 40</t>
  </si>
  <si>
    <t>그랜드기획</t>
  </si>
  <si>
    <t>경기도 화성시 팔탄면 시청로677번길 85</t>
  </si>
  <si>
    <t>공명</t>
  </si>
  <si>
    <t>1층 고원화학</t>
  </si>
  <si>
    <t>경기도 평택시 서탄면 서탄로 334</t>
  </si>
  <si>
    <t>고원화학</t>
  </si>
  <si>
    <t>2동 1층</t>
  </si>
  <si>
    <t>대전광역시 대덕구 대화로50번길 65 (대화동)</t>
  </si>
  <si>
    <t>가람</t>
  </si>
  <si>
    <t>그 외 기타 전기 통신업</t>
  </si>
  <si>
    <t>308호</t>
  </si>
  <si>
    <t>서울특별시 강남구 봉은사로 129 (논현동)</t>
  </si>
  <si>
    <t>(주)필립이엔씨</t>
  </si>
  <si>
    <t>컴퓨터 시스템 통합 자문 및 구축 서비스업</t>
  </si>
  <si>
    <t>서울특별시 강남구 강남대로78길 30 (역삼동)</t>
  </si>
  <si>
    <t>(주)잇츠비</t>
  </si>
  <si>
    <t>14층</t>
  </si>
  <si>
    <t>서울특별시 강남구 테헤란로 419 (삼성동)</t>
  </si>
  <si>
    <t>(주)이음길에이치알</t>
  </si>
  <si>
    <t>302호 (주)유스콘</t>
  </si>
  <si>
    <t>서울특별시 송파구 백제고분로12길 6 (잠실동)</t>
  </si>
  <si>
    <t>(주)유스콘</t>
  </si>
  <si>
    <t>KT대덕2연구센터 연구3동 301호</t>
  </si>
  <si>
    <t>대전광역시 유성구 유성대로1689번길 70 (전민동)</t>
  </si>
  <si>
    <t>(주)유니브이알</t>
  </si>
  <si>
    <t>506호 보듬관 강원창업보육센터(효자동)</t>
  </si>
  <si>
    <t>(주)알엠사이언스</t>
  </si>
  <si>
    <t>11층</t>
  </si>
  <si>
    <t>경기도 의정부시 신흥로 234 (의정부동)</t>
  </si>
  <si>
    <t>(주)아이디어드림</t>
  </si>
  <si>
    <t>2동 3층 (삼평동)</t>
  </si>
  <si>
    <t>(주)모백스</t>
  </si>
  <si>
    <t>기업지원허브 717호</t>
  </si>
  <si>
    <t>경기도 성남시 수정구 대왕판교로 815 (시흥동)</t>
  </si>
  <si>
    <t>(주)매크로액트</t>
  </si>
  <si>
    <t>국민대학교 창업보육센터 110-2호</t>
  </si>
  <si>
    <t>(주)더그린웨이</t>
  </si>
  <si>
    <t>11동 225호</t>
  </si>
  <si>
    <t>인천광역시 동구 방축로83번길 23 (송림동)</t>
  </si>
  <si>
    <t>하나산업</t>
  </si>
  <si>
    <t>4층  402호</t>
  </si>
  <si>
    <t>경기도 부천시 길주로425번길 109 (도당동)</t>
  </si>
  <si>
    <t>태광데크 주식회사</t>
  </si>
  <si>
    <t>경상북도 고령군 다산면 다산산단1길 39</t>
  </si>
  <si>
    <t>케이원 주식회사</t>
  </si>
  <si>
    <t>1층 102호</t>
  </si>
  <si>
    <t>강원도 원주시 라옹정길 3-20 (관설동)</t>
  </si>
  <si>
    <t>카디스</t>
  </si>
  <si>
    <t>번역 및 통역 서비스업</t>
  </si>
  <si>
    <t>지니글로벌</t>
  </si>
  <si>
    <t>부산광역시 수영구 망미번영로92번길 67 (망미동)</t>
  </si>
  <si>
    <t>주식회사 진안</t>
  </si>
  <si>
    <t>경상북도 경주시 천북면 천북산단로1길 74-20</t>
  </si>
  <si>
    <t>양주테크노시티 4층 인포시즌</t>
  </si>
  <si>
    <t>경기도 양주시 광적면 부흥로 847</t>
  </si>
  <si>
    <t>주식회사 인포시즌</t>
  </si>
  <si>
    <t>315호</t>
  </si>
  <si>
    <t>주식회사 와이제이테크놀로지</t>
  </si>
  <si>
    <t>전원빌딩 201호</t>
  </si>
  <si>
    <t>서울특별시 강남구 강남대로146길 25 (논현동)</t>
  </si>
  <si>
    <t>주식회사 엑스퍼트컴퍼니</t>
  </si>
  <si>
    <t>2층 201호</t>
  </si>
  <si>
    <t>강원도 횡성군 우천면 우천제2농공단지로 55</t>
  </si>
  <si>
    <t>주식회사 에이치엠테크</t>
  </si>
  <si>
    <t>YK퍼스트타워 808호</t>
  </si>
  <si>
    <t>경기도 화성시 동탄기흥로 565 (영천동)</t>
  </si>
  <si>
    <t>주식회사 에이디시스템</t>
  </si>
  <si>
    <t>광주광역시 동구 동계천로 150 (동명동)</t>
  </si>
  <si>
    <t>주식회사 에너밸리</t>
  </si>
  <si>
    <t>10층 1001호</t>
  </si>
  <si>
    <t>서울특별시 서초구 강남대로 331 (서초동)</t>
  </si>
  <si>
    <t>주식회사 수퍼트리</t>
  </si>
  <si>
    <t>울산광역시 울주군 언양읍 반천산업로 113-15</t>
  </si>
  <si>
    <t>주식회사 샐빛</t>
  </si>
  <si>
    <t>제주특별자치도 제주시 첨단로 241 (영평동)</t>
  </si>
  <si>
    <t>주식회사 박스트리</t>
  </si>
  <si>
    <t>골든타워빌딩 1304호</t>
  </si>
  <si>
    <t>서울특별시 서대문구 충정로 53 (충정로2가)</t>
  </si>
  <si>
    <t>주식회사 마이크로텍코리아</t>
  </si>
  <si>
    <t>5층 508 509호(진월동 광주대학교창업보육센터)</t>
  </si>
  <si>
    <t>광주광역시 남구 효덕로 277 (진월동)</t>
  </si>
  <si>
    <t>주식회사 감성</t>
  </si>
  <si>
    <t>비1</t>
  </si>
  <si>
    <t>경기도 성남시 분당구 야탑로 28 (야탑동)</t>
  </si>
  <si>
    <t>주식회사 가드닛</t>
  </si>
  <si>
    <t>경북테크노파크 글로벌벤처동 1층 2102-3 조이랩</t>
  </si>
  <si>
    <t>경상북도 경산시 삼풍로 27 (삼풍동)</t>
  </si>
  <si>
    <t>조이랩</t>
  </si>
  <si>
    <t>D동</t>
  </si>
  <si>
    <t>울산광역시 남구 테크노산업로81번길 40 (두왕동)</t>
  </si>
  <si>
    <t>조은시스템</t>
  </si>
  <si>
    <t>창업진흥센터 316호</t>
  </si>
  <si>
    <t>인플라이</t>
  </si>
  <si>
    <t>레이더 항행용 무선 기기 및 측량 기구 제조업</t>
  </si>
  <si>
    <t>경동미르웰시티 661호</t>
  </si>
  <si>
    <t>경기도 김포시 태장로 741 (장기동)</t>
  </si>
  <si>
    <t>우리항행기술주식회사</t>
  </si>
  <si>
    <t>2호관 423B (호산동 벤처공장)</t>
  </si>
  <si>
    <t>대구광역시 달서구 성서공단로11길 62 (호산동)</t>
  </si>
  <si>
    <t>엔피베버리지</t>
  </si>
  <si>
    <t>302-1호</t>
  </si>
  <si>
    <t>서울특별시 구로구 공원로 47 (구로동)</t>
  </si>
  <si>
    <t>소스체인</t>
  </si>
  <si>
    <t>기타 악기 제조업</t>
  </si>
  <si>
    <t>계명대학교 감부열관204호</t>
  </si>
  <si>
    <t>대구광역시 남구 명덕로 104 (대명동)</t>
  </si>
  <si>
    <t>문화공간라온</t>
  </si>
  <si>
    <t>5층 501호</t>
  </si>
  <si>
    <t>대전광역시 동구 동서대로 1711 (용전동)</t>
  </si>
  <si>
    <t>디씨테크 주식회사</t>
  </si>
  <si>
    <t>146-1305</t>
  </si>
  <si>
    <t>서울특별시 강동구 고덕로 333 (고덕동 고덕그라시움)</t>
  </si>
  <si>
    <t>두(DO)</t>
  </si>
  <si>
    <t>도로 건설업</t>
  </si>
  <si>
    <t>강원도 원주시 소초면 범골길 47-17</t>
  </si>
  <si>
    <t>더원인더스</t>
  </si>
  <si>
    <t>주상가동 2층 213호</t>
  </si>
  <si>
    <t>경기도 시흥시 월곶중앙로70번길 3 (월곶동)</t>
  </si>
  <si>
    <t>(주)유진큐어</t>
  </si>
  <si>
    <t>503호</t>
  </si>
  <si>
    <t>세종특별자치시 한누리대로 2009 (소담동)</t>
  </si>
  <si>
    <t>(주)보티</t>
  </si>
  <si>
    <t>전동기 및 발전기 제조업</t>
  </si>
  <si>
    <t>모아이앤씨</t>
  </si>
  <si>
    <t>경기도 파주시 조리읍 문원길 277-5</t>
  </si>
  <si>
    <t>(주)모아이앤씨</t>
  </si>
  <si>
    <t>플라스틱 창호 제조업</t>
  </si>
  <si>
    <t>경기도 용인시 처인구 모현읍 왕림로50번길 69-39</t>
  </si>
  <si>
    <t>케이제이건축</t>
  </si>
  <si>
    <t>스타킹 및 기타양말 제조업</t>
  </si>
  <si>
    <t>대구광역시 북구 검단동로 27-14 (검단동)</t>
  </si>
  <si>
    <t>비엔에스</t>
  </si>
  <si>
    <t>경상남도 창원시 의창구 충혼로 91 (두대동)</t>
  </si>
  <si>
    <t>박병준전기연구소</t>
  </si>
  <si>
    <t>상가 124동 비102호</t>
  </si>
  <si>
    <t>부산광역시 기장군 정관읍 정관1로 18 (이지 더원1차 아파트)</t>
  </si>
  <si>
    <t>(주)씨아이피</t>
  </si>
  <si>
    <t>시장 조사 및 여론 조사업</t>
  </si>
  <si>
    <t>센트라스153타워 605호</t>
  </si>
  <si>
    <t>서울특별시 성동구 왕십리로 410 (하왕십리동 센트라스)</t>
  </si>
  <si>
    <t>주식회사 한국데이터연구소</t>
  </si>
  <si>
    <t>414호</t>
  </si>
  <si>
    <t>서울특별시 강남구 논현로 507 (역삼동)</t>
  </si>
  <si>
    <t>주식회사 인제니오에이아이</t>
  </si>
  <si>
    <t>강남에이스타워 210호</t>
  </si>
  <si>
    <t>서울특별시 강남구 자곡로 174-10 (자곡동)</t>
  </si>
  <si>
    <t>주식회사 옵티멀이노베이션</t>
  </si>
  <si>
    <t>전라남도 함평군 학교면 동함평산단길 34-39</t>
  </si>
  <si>
    <t>주식회사 아이티시 (ITC)</t>
  </si>
  <si>
    <t>경상북도 영천시 대창면 강회3길 13-63</t>
  </si>
  <si>
    <t>원신그레이팅</t>
  </si>
  <si>
    <t>세종SB플라자 3층</t>
  </si>
  <si>
    <t>세종특별자치시 조치원읍 군청로 93</t>
  </si>
  <si>
    <t>에이테크원(AT1)</t>
  </si>
  <si>
    <t>상가 5A 208</t>
  </si>
  <si>
    <t>경기도 성남시 수정구 위례광장로 34 (창곡동 위례역 푸르지오 5단지)</t>
  </si>
  <si>
    <t>바이브랩</t>
  </si>
  <si>
    <t>유리 및 창호 공사업</t>
  </si>
  <si>
    <t>부산광역시 연제구 과정로 97-1 (연산동)</t>
  </si>
  <si>
    <t>(주)한일디앤씨</t>
  </si>
  <si>
    <t>5층 516호</t>
  </si>
  <si>
    <t>서울특별시 강서구 마곡중앙1로 20 (마곡동)</t>
  </si>
  <si>
    <t>(주)데이터누리</t>
  </si>
  <si>
    <t>302호 (신사동 용원빌딩)</t>
  </si>
  <si>
    <t>서울특별시 강남구 도산대로11길 34 (신사동)</t>
  </si>
  <si>
    <t>한국에코소재주식회사</t>
  </si>
  <si>
    <t>경기도 성남시 분당구 분당내곡로 117 (백현동)</t>
  </si>
  <si>
    <t>팝콘마켓 주식회사</t>
  </si>
  <si>
    <t>그 외 기타 비거주 복지 서비스업</t>
  </si>
  <si>
    <t>경기도 성남시 분당구 판교역로192번길 16 (삼평동)</t>
  </si>
  <si>
    <t>주식회사에쓰브릿지</t>
  </si>
  <si>
    <t>대륭테크노타운 20차 1102호</t>
  </si>
  <si>
    <t>주식회사 후트론</t>
  </si>
  <si>
    <t>서부문화창조센터 501-2호</t>
  </si>
  <si>
    <t>경기도 시흥시 마유로 376 (정왕동)</t>
  </si>
  <si>
    <t>주식회사 페쿠스</t>
  </si>
  <si>
    <t>대구광역시 달성군 유가읍 테크노순환로5길 33</t>
  </si>
  <si>
    <t>주식회사 윈드큐브</t>
  </si>
  <si>
    <t>1204호</t>
  </si>
  <si>
    <t>서울특별시 구로구 디지털로33길 55 (구로동)</t>
  </si>
  <si>
    <t>주식회사 알레아이악타에스트</t>
  </si>
  <si>
    <t>송암II빌딩 718</t>
  </si>
  <si>
    <t>서울특별시 강남구 논현로 509 (역삼동)</t>
  </si>
  <si>
    <t>주식회사 스컬드랩스</t>
  </si>
  <si>
    <t>707A 8호</t>
  </si>
  <si>
    <t>서울특별시 구로구 디지털로31길 41 (구로동)</t>
  </si>
  <si>
    <t>주식회사 메디테리안</t>
  </si>
  <si>
    <t>기타 엔지니어링 서비스업</t>
  </si>
  <si>
    <t>802호</t>
  </si>
  <si>
    <t>서울특별시 서초구 효령로55길 15 (서초동)</t>
  </si>
  <si>
    <t>주식회사 다민로봇</t>
  </si>
  <si>
    <t>경북산학융합본부 410호</t>
  </si>
  <si>
    <t>경상북도 구미시 구미대로 350-27 (신평동)</t>
  </si>
  <si>
    <t>이수전자부품</t>
  </si>
  <si>
    <t>성남SKV1타워 B동1058호</t>
  </si>
  <si>
    <t>엘티바이오주식회사</t>
  </si>
  <si>
    <t>삼성어반타워 606호</t>
  </si>
  <si>
    <t>경기도 화성시 동탄대로 637 (영천동)</t>
  </si>
  <si>
    <t>앤디랩</t>
  </si>
  <si>
    <t>공주대 산학협력관 403호</t>
  </si>
  <si>
    <t>충청남도 천안시 서북구 천안대로 1223-24 (부대동)</t>
  </si>
  <si>
    <t>씨에프씨</t>
  </si>
  <si>
    <t>스페셜메디칼</t>
  </si>
  <si>
    <t>6층</t>
  </si>
  <si>
    <t>서울특별시 서초구 신반포로47길 12 (잠원동)</t>
  </si>
  <si>
    <t>마루아이티 주식회사</t>
  </si>
  <si>
    <t>4층 479호</t>
  </si>
  <si>
    <t>서울특별시 강남구 선릉로92길 28 (삼성동)</t>
  </si>
  <si>
    <t>리얼미</t>
  </si>
  <si>
    <t>음악 및 기타 오디오물 출판업</t>
  </si>
  <si>
    <t>212호</t>
  </si>
  <si>
    <t>서울특별시 서초구 남부순환로 2614 (양재동 한솔로이젠트)</t>
  </si>
  <si>
    <t>라온뮤직</t>
  </si>
  <si>
    <t>422호 (지식정보관)</t>
  </si>
  <si>
    <t>충청남도 천안시 서북구 성환읍 대학로 91</t>
  </si>
  <si>
    <t>골드포그 주식회사</t>
  </si>
  <si>
    <t>성균관대학교 산학협력센터 85-105</t>
  </si>
  <si>
    <t>(주)캐시스</t>
  </si>
  <si>
    <t>배관 및 냉ㆍ난방 공사업</t>
  </si>
  <si>
    <t>서울특별시 구로구 디지털로27가길 17 (구로동)</t>
  </si>
  <si>
    <t>(주)주성지엠피</t>
  </si>
  <si>
    <t>B동 2211호 우림블루나인비즈니스센터</t>
  </si>
  <si>
    <t>서울특별시 강서구 양천로 583 (염창동)</t>
  </si>
  <si>
    <t>(주)인에이블</t>
  </si>
  <si>
    <t>엘케이</t>
  </si>
  <si>
    <t>경기도 안성시 대덕면 여서리길 8-4</t>
  </si>
  <si>
    <t>(주)엘케이</t>
  </si>
  <si>
    <t>그 외 기타 분류 안된 비금속 광물제품 제조업</t>
  </si>
  <si>
    <t>전라북도 전주시 덕진구 비석날로 99 (팔복동2가)</t>
  </si>
  <si>
    <t>(주)엔티아이</t>
  </si>
  <si>
    <t>608호</t>
  </si>
  <si>
    <t>(주)엔트리</t>
  </si>
  <si>
    <t>광주광역시 남구 백양로 57 (백운동)</t>
  </si>
  <si>
    <t>(주)엔서치랩</t>
  </si>
  <si>
    <t>D동 1404호</t>
  </si>
  <si>
    <t>(주)에이펙스이에스씨</t>
  </si>
  <si>
    <t>1210호</t>
  </si>
  <si>
    <t>경기도 화성시 동탄기흥로 557 (영천동)</t>
  </si>
  <si>
    <t>휴모트</t>
  </si>
  <si>
    <t>옥외 및 전시 광고업</t>
  </si>
  <si>
    <t>부산광역시 사상구 학감대로252번길 42 (주례동)</t>
  </si>
  <si>
    <t>태이크</t>
  </si>
  <si>
    <t>기타 물품 취급장비 제조업</t>
  </si>
  <si>
    <t>303호 (한림벤처타운)</t>
  </si>
  <si>
    <t>경기도 군포시 공단로 284 (금정동)</t>
  </si>
  <si>
    <t>태양 ENG</t>
  </si>
  <si>
    <t>전라북도정보산업지원센터 310호</t>
  </si>
  <si>
    <t>콘텐츠밸류</t>
  </si>
  <si>
    <t>전라남도 목포시 영산로844번길 5 (대양동)</t>
  </si>
  <si>
    <t>천사수산질병관리원 / 천사아쿠아푸드</t>
  </si>
  <si>
    <t>3동</t>
  </si>
  <si>
    <t>충청남도 아산시 영인면 장영실로 860</t>
  </si>
  <si>
    <t>지안산업주식회사</t>
  </si>
  <si>
    <t>메트로비즈타워 1003호</t>
  </si>
  <si>
    <t>서울특별시 강서구 마곡중앙2로 5 (마곡동)</t>
  </si>
  <si>
    <t>주식회사오드컴퍼니</t>
  </si>
  <si>
    <t>서울창업디딤터 1층 스테이션 디</t>
  </si>
  <si>
    <t>서울특별시 노원구 동일로174길 27 (공릉동)</t>
  </si>
  <si>
    <t>주식회사 하우스퍼즐</t>
  </si>
  <si>
    <t>테라타워2 B동 1716호</t>
  </si>
  <si>
    <t>서울특별시 송파구 송파대로 201 (문정동)</t>
  </si>
  <si>
    <t>주식회사 티솔루션즈</t>
  </si>
  <si>
    <t>105동 1202호</t>
  </si>
  <si>
    <t>서울특별시 종로구 사직로8길 4 (사직동 광화문 풍림스페이스본)</t>
  </si>
  <si>
    <t>주식회사 인강코어</t>
  </si>
  <si>
    <t>1817호</t>
  </si>
  <si>
    <t>충청북도 청주시 흥덕구 대농로 43 (복대동 신영지웰시티)</t>
  </si>
  <si>
    <t>주식회사 올도완</t>
  </si>
  <si>
    <t>C동 409-1호</t>
  </si>
  <si>
    <t>경기도 성남시 분당구 판교로 744 (야탑동)</t>
  </si>
  <si>
    <t>주식회사 오픈나노</t>
  </si>
  <si>
    <t>그 외 자동차용 신품 부품 제조업</t>
  </si>
  <si>
    <t>표준공장7호동 7층</t>
  </si>
  <si>
    <t>경상남도 창원시 마산회원구 자유무역3길 180 (양덕동)</t>
  </si>
  <si>
    <t>주식회사 엠에스티</t>
  </si>
  <si>
    <t>방송장비 제조업</t>
  </si>
  <si>
    <t>전라북도 익산시 동서로 370 (영등동)</t>
  </si>
  <si>
    <t>주식회사 알투</t>
  </si>
  <si>
    <t>기타 기초 무기화학 물질 제조업</t>
  </si>
  <si>
    <t>제씨동 1104호</t>
  </si>
  <si>
    <t>주식회사 안머터리얼즈</t>
  </si>
  <si>
    <t>101동 1408호 (신동 디지털엠파이어2)</t>
  </si>
  <si>
    <t>경기도 수원시 영통구 신원로 88 (신동)</t>
  </si>
  <si>
    <t>주식회사 아이비</t>
  </si>
  <si>
    <t>메디피아타워 8층 801호</t>
  </si>
  <si>
    <t>경기도 하남시 미사강변중앙로 210 (망월동)</t>
  </si>
  <si>
    <t>주식회사 세명소프트</t>
  </si>
  <si>
    <t>자전거 및 기타 운송장비 도매업</t>
  </si>
  <si>
    <t>813호</t>
  </si>
  <si>
    <t>인천광역시 미추홀구 주염로 58 (주안동)</t>
  </si>
  <si>
    <t>주식회사 분다</t>
  </si>
  <si>
    <t>기타 전문 서비스업</t>
  </si>
  <si>
    <t>키토라이프</t>
  </si>
  <si>
    <t>경기도 평택시 산단로197번길 73 (칠괴동)</t>
  </si>
  <si>
    <t>주식회사 디원</t>
  </si>
  <si>
    <t>화학섬유직물 직조업</t>
  </si>
  <si>
    <t>충청남도 예산군 덕산면 대치광천길 42-4</t>
  </si>
  <si>
    <t>주식회사 대원커머스</t>
  </si>
  <si>
    <t>서울특별시 종로구 새문안로 76 (신문로1가)</t>
  </si>
  <si>
    <t>주식회사 나우코딩</t>
  </si>
  <si>
    <t>창업보육관 216호</t>
  </si>
  <si>
    <t>주식회사 그린시티솔루션</t>
  </si>
  <si>
    <t>충청북도 진천군 덕산읍 대월2길 26</t>
  </si>
  <si>
    <t>좋은사람디자인</t>
  </si>
  <si>
    <t>C715</t>
  </si>
  <si>
    <t>에이테크솔루션</t>
  </si>
  <si>
    <t>광명무역센터 A동 1712호</t>
  </si>
  <si>
    <t>경기도 광명시 일직로 72 (일직동)</t>
  </si>
  <si>
    <t>에이치오코퍼레이션</t>
  </si>
  <si>
    <t>104호</t>
  </si>
  <si>
    <t>전라남도 나주시 한빛로 17 (빛가람동)</t>
  </si>
  <si>
    <t>아이오티플러스 주식회사</t>
  </si>
  <si>
    <t>경기도 군포시 고산로 150 (당정동)</t>
  </si>
  <si>
    <t>몰딘</t>
  </si>
  <si>
    <t>서울특별시 동대문구 망우로10길 37 (휘경동)</t>
  </si>
  <si>
    <t>리얼라이즈데이터</t>
  </si>
  <si>
    <t>경기도 화성시 정남면 동오4길 9-15</t>
  </si>
  <si>
    <t>라미트</t>
  </si>
  <si>
    <t>그 외 기타 종이 및 판지 제품 제조업</t>
  </si>
  <si>
    <t>전라북도 완주군 용진읍 봉서로 257</t>
  </si>
  <si>
    <t>다움상사</t>
  </si>
  <si>
    <t>404호</t>
  </si>
  <si>
    <t>서울특별시 금천구 가산디지털1로 165 (가산동)</t>
  </si>
  <si>
    <t>(주)프로텐</t>
  </si>
  <si>
    <t>기타 전기 변환장치 제조업</t>
  </si>
  <si>
    <t>2층(고색동)</t>
  </si>
  <si>
    <t>경기도 수원시 권선구 산업로156번길 88-21 (고색동)</t>
  </si>
  <si>
    <t>(주)지엔피</t>
  </si>
  <si>
    <t>플라스틱 선 봉 관 및 호스 제조업</t>
  </si>
  <si>
    <t>유일화학</t>
  </si>
  <si>
    <t>경상남도 김해시 한림면 안곡로492번길 48</t>
  </si>
  <si>
    <t>(주)유일화학</t>
  </si>
  <si>
    <t>SKV1 C동 1705호</t>
  </si>
  <si>
    <t>서울특별시 송파구 법원로 128 (문정동)</t>
  </si>
  <si>
    <t>(주)에프엘씨</t>
  </si>
  <si>
    <t>109호</t>
  </si>
  <si>
    <t>광주광역시 광산구 풍영철길로 15 (우산동)</t>
  </si>
  <si>
    <t>(주)에이스하이텍</t>
  </si>
  <si>
    <t>부산광역시 기장군 기장읍 두메로 10-1</t>
  </si>
  <si>
    <t>(주)아이렘기술개발</t>
  </si>
  <si>
    <t>서울특별시 구로구 디지털로 272 (구로동)</t>
  </si>
  <si>
    <t>(주)아워컴즈</t>
  </si>
  <si>
    <t>벤처지원동 304호</t>
  </si>
  <si>
    <t>경상남도 진주시 문산읍 월아산로 991</t>
  </si>
  <si>
    <t>헤르바바이오(주)</t>
  </si>
  <si>
    <t>1117호</t>
  </si>
  <si>
    <t>서울특별시 강서구 마곡중앙로 161-17 (마곡동)</t>
  </si>
  <si>
    <t>한국지식기반기술연구소 주식회사</t>
  </si>
  <si>
    <t>한국잡월드파트너즈 주식회사</t>
  </si>
  <si>
    <t>경기도 성남시 분당구 분당수서로 501 (정자동)</t>
  </si>
  <si>
    <t>한국잡월드파트너즈주식회사</t>
  </si>
  <si>
    <t>안경 및 안경렌즈 제조업</t>
  </si>
  <si>
    <t>주식회사후영</t>
  </si>
  <si>
    <t>인천광역시 서구 장고개로238번길 28 (가좌동)</t>
  </si>
  <si>
    <t>경기도 안양시 동안구 흥안대로456번길 42 (평촌동)</t>
  </si>
  <si>
    <t>주식회사별하</t>
  </si>
  <si>
    <t>주형 및 금형 제조업</t>
  </si>
  <si>
    <t>(주)미강테크</t>
  </si>
  <si>
    <t>부산광역시 강서구 낙동북로76번길 20 (강동동)</t>
  </si>
  <si>
    <t>주식회사미강테크</t>
  </si>
  <si>
    <t>두산더랜드타워 A동 609호</t>
  </si>
  <si>
    <t>서울특별시 강서구 마곡서로 152 (마곡동)</t>
  </si>
  <si>
    <t>주식회사 휴비넷</t>
  </si>
  <si>
    <t>광주광역시 서구 풍암중앙로91번길 4-25 (풍암동)</t>
  </si>
  <si>
    <t>주식회사 후</t>
  </si>
  <si>
    <t>일반 영화 및 비디오물 제작업</t>
  </si>
  <si>
    <t>bs타워 3층 305호</t>
  </si>
  <si>
    <t>서울특별시 관악구 관악로 158 (봉천동)</t>
  </si>
  <si>
    <t>주식회사 플랫가든</t>
  </si>
  <si>
    <t>대전광역시 유성구 가정로 218 (가정동)</t>
  </si>
  <si>
    <t>주식회사 킴스레퍼런스</t>
  </si>
  <si>
    <t>그 외 기타 나무제품 제조업</t>
  </si>
  <si>
    <t>부산광역시 기장군 장안읍 반룡산단3로 70</t>
  </si>
  <si>
    <t>주식회사 짐</t>
  </si>
  <si>
    <t>502호</t>
  </si>
  <si>
    <t>부산광역시 강서구 미음산단5로41번길 71 (미음동)</t>
  </si>
  <si>
    <t>주식회사 지인</t>
  </si>
  <si>
    <t>대전광역시 대덕구 신탄진로744번길 11 (신탄진동)</t>
  </si>
  <si>
    <t>주식회사 제이푸드테크</t>
  </si>
  <si>
    <t>비1 9-95</t>
  </si>
  <si>
    <t>서울특별시 동작구 등용로 38 (상도동 상도동래미안(1차)아파트)</t>
  </si>
  <si>
    <t>주식회사 이노데우스</t>
  </si>
  <si>
    <t>서울특별시 광진구 광나루로 474 (구의동)</t>
  </si>
  <si>
    <t>주식회사 위키즈</t>
  </si>
  <si>
    <t>5층 561-2호</t>
  </si>
  <si>
    <t>광주광역시 서구 상무중앙로 7 (치평동)</t>
  </si>
  <si>
    <t>주식회사 스터디파이</t>
  </si>
  <si>
    <t>A동 102010211022호</t>
  </si>
  <si>
    <t>경기도 하남시 하남대로 947 (풍산동)</t>
  </si>
  <si>
    <t>주식회사 세이프헬스케어(Safe Health Care Co. Ltd)</t>
  </si>
  <si>
    <t>312호 (화양동건국대학교 창의관)</t>
  </si>
  <si>
    <t>서울특별시 광진구 능동로 120 (화양동)</t>
  </si>
  <si>
    <t>주식회사 바이칼에이아이</t>
  </si>
  <si>
    <t>창업보육센터 629호</t>
  </si>
  <si>
    <t>경기도 안산시 상록구 한양대학로 55 (사동)</t>
  </si>
  <si>
    <t>주식회사 마이렌</t>
  </si>
  <si>
    <t>강원도 강릉시 경강로2326번길 4 (포남동)</t>
  </si>
  <si>
    <t>주식회사 로고스커뮤니케이션</t>
  </si>
  <si>
    <t>송도테크노파크IT센터 S동 2804호</t>
  </si>
  <si>
    <t>인천광역시 연수구 송도과학로 32 (송도동)</t>
  </si>
  <si>
    <t>주식회사 더빌드소프트</t>
  </si>
  <si>
    <t>대진대학교 산학협력단 304호</t>
  </si>
  <si>
    <t>경기도 포천시 호국로 1007 (선단동)</t>
  </si>
  <si>
    <t>주식회사 대진바이오워터</t>
  </si>
  <si>
    <t>경기도 고양시 일산동구 중앙로 1036 (백석동)</t>
  </si>
  <si>
    <t>이프렌드 주식회사</t>
  </si>
  <si>
    <t>대구콘텐츠지원센터 401호 유피랩</t>
  </si>
  <si>
    <t>대구광역시 동구 장등로 76 (신천동)</t>
  </si>
  <si>
    <t>유피랩</t>
  </si>
  <si>
    <t>4층 대전소셜벤처캠퍼스 410호</t>
  </si>
  <si>
    <t>대전광역시 중구 중앙로 118 (대흥동)</t>
  </si>
  <si>
    <t>유더블유시스템즈</t>
  </si>
  <si>
    <t>경제 및 경영학 연구개발업</t>
  </si>
  <si>
    <t>722호</t>
  </si>
  <si>
    <t>서울특별시 강서구 공항대로 213 (마곡동)</t>
  </si>
  <si>
    <t>위웨이크주식회사</t>
  </si>
  <si>
    <t>908호</t>
  </si>
  <si>
    <t>경기도 군포시 엘에스로 172 (금정동)</t>
  </si>
  <si>
    <t>엘라보메디 주식회사</t>
  </si>
  <si>
    <t>청년UP플랫폼 103호</t>
  </si>
  <si>
    <t>서울특별시 동대문구 서울시립대로 117 (전농동)</t>
  </si>
  <si>
    <t>엔에이엠랩(NAMLab)</t>
  </si>
  <si>
    <t>경상북도 경주시 강동면 강동산단로 130-41</t>
  </si>
  <si>
    <t>에코블럭(주)</t>
  </si>
  <si>
    <t>경상북도 고령군 쌍림면 쌍림공단길 102</t>
  </si>
  <si>
    <t>에스아이 텍스</t>
  </si>
  <si>
    <t>에이동 1208호</t>
  </si>
  <si>
    <t>씨엠에이치에이아이 주식회사</t>
  </si>
  <si>
    <t>부산광역시 강서구 녹산산단289로 86 (송정동)</t>
  </si>
  <si>
    <t>씨더불유씨</t>
  </si>
  <si>
    <t>304호</t>
  </si>
  <si>
    <t>경기도 안양시 동안구 시민대로327번길 11-41 (관양동)</t>
  </si>
  <si>
    <t>써플</t>
  </si>
  <si>
    <t>3층 301호 신화창조</t>
  </si>
  <si>
    <t>경상남도 김해시 가야로 212 (삼계동)</t>
  </si>
  <si>
    <t>신화창조</t>
  </si>
  <si>
    <t>932호</t>
  </si>
  <si>
    <t>경기도 부천시 부천로3번길 48 (심곡동)</t>
  </si>
  <si>
    <t>센티자인</t>
  </si>
  <si>
    <t>85동 909호</t>
  </si>
  <si>
    <t>서울특별시 관악구 관악로 1 (신림동)</t>
  </si>
  <si>
    <t>베리타스바이오테라퓨틱스</t>
  </si>
  <si>
    <t>전기ㆍ전자 및 정밀 기기 수리업</t>
  </si>
  <si>
    <t>경기도 부천시 삼작로107번길 63 (삼정동)</t>
  </si>
  <si>
    <t>노아주식회사</t>
  </si>
  <si>
    <t>109동 상가b101-772호</t>
  </si>
  <si>
    <t>서울특별시 마포구 독막로28길 10 (신수동 밤섬경남아너스빌)</t>
  </si>
  <si>
    <t>글로벌플러스 주식회사</t>
  </si>
  <si>
    <t>경상남도 창원시 진해구 남영로527번길 88 (남양동)</t>
  </si>
  <si>
    <t>(주)풍왕</t>
  </si>
  <si>
    <t>3.4층</t>
  </si>
  <si>
    <t>인천광역시 남동구 능허대로 735 (고잔동)</t>
  </si>
  <si>
    <t>(주)큐엘</t>
  </si>
  <si>
    <t>전라북도 전주시 완산구 전룡로 74-3 (서신동)</t>
  </si>
  <si>
    <t>(주)코리아엘이디</t>
  </si>
  <si>
    <t>천안밸리 번영관 2310</t>
  </si>
  <si>
    <t>충청남도 천안시 서북구 직산읍 직산로 136</t>
  </si>
  <si>
    <t>(주)켐코바이오</t>
  </si>
  <si>
    <t>경기도 성남시 분당구 황새울로200번길 28 (수내동)</t>
  </si>
  <si>
    <t>(주)유창바이오</t>
  </si>
  <si>
    <t>강원도 춘천시 춘천로64번길 16 (효자동)</t>
  </si>
  <si>
    <t>(주)센트럴시스템</t>
  </si>
  <si>
    <t>고려빌딩 403호</t>
  </si>
  <si>
    <t>서울특별시 용산구 한강대로15길 9-5 (한강로3가)</t>
  </si>
  <si>
    <t>(주)미디어부띠끄</t>
  </si>
  <si>
    <t>704-130호</t>
  </si>
  <si>
    <t>서울특별시 금천구 디지털로9길 47 (가산동)</t>
  </si>
  <si>
    <t>(주) 메디플렉서스</t>
  </si>
  <si>
    <t>광주광역시 북구 저불로73번길 22-3 (용봉동)</t>
  </si>
  <si>
    <t>펜스타일</t>
  </si>
  <si>
    <t>그 외 기타 고무제품 제조업</t>
  </si>
  <si>
    <t>702호</t>
  </si>
  <si>
    <t>경기도 부천시 길주로 284 (중동)</t>
  </si>
  <si>
    <t>주식회사 한국공원체육산업</t>
  </si>
  <si>
    <t>서울특별시 강남구 역삼로 124 (역삼동)</t>
  </si>
  <si>
    <t>주식회사 핀택스</t>
  </si>
  <si>
    <t>대전광역시 대덕구 신일동로 105 (신일동)</t>
  </si>
  <si>
    <t>주식회사 키프로젠</t>
  </si>
  <si>
    <t>6층 케이더봄</t>
  </si>
  <si>
    <t>서울특별시 마포구 서강대길 3 (신수동)</t>
  </si>
  <si>
    <t>주식회사 케이더봄</t>
  </si>
  <si>
    <t>서울특별시 강남구 도산대로 235 (신사동)</t>
  </si>
  <si>
    <t>주식회사 케어풀</t>
  </si>
  <si>
    <t>농림수산학 및 수의학 연구개발업</t>
  </si>
  <si>
    <t>경성대학교 5관 B105호</t>
  </si>
  <si>
    <t>부산광역시 남구 수영로 309 (대연동)</t>
  </si>
  <si>
    <t>주식회사 지바이오</t>
  </si>
  <si>
    <t>지식산업센터 A동 1115호</t>
  </si>
  <si>
    <t>주식회사 자라고</t>
  </si>
  <si>
    <t>비동 10층 3호</t>
  </si>
  <si>
    <t>경기도 성남시 분당구 판교로 253 (삼평동)</t>
  </si>
  <si>
    <t>주식회사 엑시피온</t>
  </si>
  <si>
    <t>더블유동 701702703704호</t>
  </si>
  <si>
    <t>서울특별시 성동구 연무장5가길 7 (성수동2가)</t>
  </si>
  <si>
    <t>주식회사 에이아이스페라</t>
  </si>
  <si>
    <t>경기도 광주시 곤지암읍 경충대로 17</t>
  </si>
  <si>
    <t>주식회사 에스엘테크화이버</t>
  </si>
  <si>
    <t>대구광역시 중구 남산로 85 (남산동)</t>
  </si>
  <si>
    <t>주식회사 시큐어월드</t>
  </si>
  <si>
    <t>경상북도 영주시 대학로35번길 17 (휴천동)</t>
  </si>
  <si>
    <t>주식회사 슈러스</t>
  </si>
  <si>
    <t>경기도 파주시 탄현면 방촌로955번길 34-10</t>
  </si>
  <si>
    <t>주식회사 비엔티</t>
  </si>
  <si>
    <t>5층(역삼동 진성빌딩)</t>
  </si>
  <si>
    <t>서울특별시 강남구 테헤란로26길 6 (역삼동)</t>
  </si>
  <si>
    <t>주식회사 비에스지원</t>
  </si>
  <si>
    <t>대구광역시 서구 서대구로5길 12 (내당동)</t>
  </si>
  <si>
    <t>주식회사 바른신호</t>
  </si>
  <si>
    <t>16층</t>
  </si>
  <si>
    <t>서울특별시 마포구 상암산로 76 (상암동)</t>
  </si>
  <si>
    <t>주식회사 모코코</t>
  </si>
  <si>
    <t>312호(여천동)</t>
  </si>
  <si>
    <t>경상북도 경산시 어봉지길 285-10 (여천동)</t>
  </si>
  <si>
    <t>주식회사 디에이치유메디코스(DHU Medicos Co. Ltd.)</t>
  </si>
  <si>
    <t>경기도 성남시 수정구 청계산로 686 (고등동)</t>
  </si>
  <si>
    <t>젠스웰 주식회사</t>
  </si>
  <si>
    <t>1020호</t>
  </si>
  <si>
    <t>제주특별자치도 제주시 도령로 40 (노형동)</t>
  </si>
  <si>
    <t>제주농바니연구소 주식회사</t>
  </si>
  <si>
    <t>채소작물 재배업</t>
  </si>
  <si>
    <t>제주농바니 농업회사법인 주식회사</t>
  </si>
  <si>
    <t>전라남도 장성군 남면 나노산단5로 60-7</t>
  </si>
  <si>
    <t>제이링커</t>
  </si>
  <si>
    <t>인천광역시 남동구 앵고개로653번길 1 (고잔동)</t>
  </si>
  <si>
    <t>자강정밀 주식회사</t>
  </si>
  <si>
    <t>에이치케이테크</t>
  </si>
  <si>
    <t>환경산업연구단지 B동 214호</t>
  </si>
  <si>
    <t>에스비피 썰택</t>
  </si>
  <si>
    <t>1호(고양 중장년 기술창업센터)</t>
  </si>
  <si>
    <t>액슬로드</t>
  </si>
  <si>
    <t>경기도 포천시 내촌면 내진로 116-2</t>
  </si>
  <si>
    <t>쓰리아이퓨처 주식회사</t>
  </si>
  <si>
    <t>가방 및 기타 보호용 케이스 제조업</t>
  </si>
  <si>
    <t>B동 4층</t>
  </si>
  <si>
    <t>서울특별시 금천구 가산디지털2로 83 (가산동)</t>
  </si>
  <si>
    <t>스카이트립</t>
  </si>
  <si>
    <t>송파테라타워2 B동 510호</t>
  </si>
  <si>
    <t>세라펫바이오 주식회사</t>
  </si>
  <si>
    <t>기타 정보 기술 및 컴퓨터 운영 관련 서비스업</t>
  </si>
  <si>
    <t>서울특별시 서초구 서초중앙로 123 (서초동)</t>
  </si>
  <si>
    <t>뱀부스 주식회사</t>
  </si>
  <si>
    <t>524동 1110호</t>
  </si>
  <si>
    <t>서울특별시 금천구 금하로 816 (시흥동 벽산5단지아파트)</t>
  </si>
  <si>
    <t>동은기프트</t>
  </si>
  <si>
    <t>111-308</t>
  </si>
  <si>
    <t>서울특별시 강서구 강서로47길 108 (내발산동 마곡수명산파크1단지아파트)</t>
  </si>
  <si>
    <t>더쉼패브릭</t>
  </si>
  <si>
    <t>충청북도 음성군 원남면 원남산단로 98</t>
  </si>
  <si>
    <t>대한도로페인트(주)</t>
  </si>
  <si>
    <t>경기도 김포시 대곶면 대곶북로 495</t>
  </si>
  <si>
    <t>대한글로벌개발 주식회사</t>
  </si>
  <si>
    <t>경상북도 영천시 신녕면 관기길 158</t>
  </si>
  <si>
    <t>농업회사법인 주식회사 연정바이오</t>
  </si>
  <si>
    <t>T-725</t>
  </si>
  <si>
    <t>넥스트케이</t>
  </si>
  <si>
    <t>207호(신세대 프라자)</t>
  </si>
  <si>
    <t>서울특별시 중랑구 겸재로49길 18 (면목동)</t>
  </si>
  <si>
    <t>길벗사회적협동조합</t>
  </si>
  <si>
    <t>경상북도 구미시 산호대로 130-16 (공단동)</t>
  </si>
  <si>
    <t>AUI KOREA</t>
  </si>
  <si>
    <t>에이동 1408-1호</t>
  </si>
  <si>
    <t>(주)페이스테그</t>
  </si>
  <si>
    <t>서울특별시 서초구 논현로 133 (양재동)</t>
  </si>
  <si>
    <t>(주)케이앤어스</t>
  </si>
  <si>
    <t>101동207호</t>
  </si>
  <si>
    <t>대구광역시 북구 검단로 135 (검단동)</t>
  </si>
  <si>
    <t>(주)우솔조명</t>
  </si>
  <si>
    <t>충청북도 진천군 진천읍 상신길 110</t>
  </si>
  <si>
    <t>(주)우리엔지니어링</t>
  </si>
  <si>
    <t>판교 이노밸리 B동 804-2호</t>
  </si>
  <si>
    <t>(주)빌드잇</t>
  </si>
  <si>
    <t>4층 (우동 아이피파빌리온)</t>
  </si>
  <si>
    <t>부산광역시 해운대구 센텀동로 49 (우동)</t>
  </si>
  <si>
    <t>(주)바른테크</t>
  </si>
  <si>
    <t>현승기공</t>
  </si>
  <si>
    <t>대구광역시 달성군 구지면 달성2차2로 20</t>
  </si>
  <si>
    <t>가산리334-13334-14</t>
  </si>
  <si>
    <t>경기도 포천시 가산면 정교3길 54-22</t>
  </si>
  <si>
    <t>현민산업</t>
  </si>
  <si>
    <t>기승빌딩 8층 802호</t>
  </si>
  <si>
    <t>서울특별시 중구 을지로 251 (을지로6가)</t>
  </si>
  <si>
    <t>행복프로세스사회적협동조합</t>
  </si>
  <si>
    <t>109-710</t>
  </si>
  <si>
    <t>서울특별시 송파구 토성로 38-6 (풍납동 한강극동아파트)</t>
  </si>
  <si>
    <t>프리다이빙몬스터</t>
  </si>
  <si>
    <t>경상남도 밀양시 시청서길 5 (내이동)</t>
  </si>
  <si>
    <t>페트라산업주식회사</t>
  </si>
  <si>
    <t>112 - 201</t>
  </si>
  <si>
    <t>경기도 성남시 분당구 분당로201번길 17 (서현동 효자촌)</t>
  </si>
  <si>
    <t>툭</t>
  </si>
  <si>
    <t>산업용 냉장 및 냉동장비 제조업</t>
  </si>
  <si>
    <t>울산광역시 울주군 청량읍 군청2길 4-1</t>
  </si>
  <si>
    <t>테라바이오</t>
  </si>
  <si>
    <t>테라릭스</t>
  </si>
  <si>
    <t>전라북도 부안군 하서면 신재생에너지로 28</t>
  </si>
  <si>
    <t>테라릭스 주식회사</t>
  </si>
  <si>
    <t>-1층</t>
  </si>
  <si>
    <t>울산광역시 중구 운곡길 53 (다운동)</t>
  </si>
  <si>
    <t>케이유통</t>
  </si>
  <si>
    <t>부동산 투자 자문업</t>
  </si>
  <si>
    <t>서울특별시 구로구 고척로 89 (개봉동)</t>
  </si>
  <si>
    <t>집비오부동산중개</t>
  </si>
  <si>
    <t>507동 304호</t>
  </si>
  <si>
    <t>경기도 화성시 봉담읍 상리3길 87</t>
  </si>
  <si>
    <t>지앤씨컴퍼니</t>
  </si>
  <si>
    <t>다동 1호</t>
  </si>
  <si>
    <t>경기도 안성시 원곡면 만세로 1182</t>
  </si>
  <si>
    <t>주식회사에이아이네트웍</t>
  </si>
  <si>
    <t>1111-2호</t>
  </si>
  <si>
    <t>서울특별시 금천구 벚꽃로 286 (가산동)</t>
  </si>
  <si>
    <t>주식회사맛앤멋</t>
  </si>
  <si>
    <t>신영빌딩 9층</t>
  </si>
  <si>
    <t>서울특별시 중구 퇴계로 450 (신당동)</t>
  </si>
  <si>
    <t>주식회사디센티오</t>
  </si>
  <si>
    <t>주식회사 휴먼딥</t>
  </si>
  <si>
    <t>케이밸리 609호</t>
  </si>
  <si>
    <t>경기도 화성시 동탄첨단산업1로 14 (영천동)</t>
  </si>
  <si>
    <t>주식회사 파인트리코리아</t>
  </si>
  <si>
    <t>303-4호(로얄프라자)</t>
  </si>
  <si>
    <t>인천광역시 서구 승학로 587 (검암동)</t>
  </si>
  <si>
    <t>주식회사 티월드</t>
  </si>
  <si>
    <t>더 스페이스 타워 1009호</t>
  </si>
  <si>
    <t>서울특별시 성동구 광나루로 144 (성수동1가)</t>
  </si>
  <si>
    <t>주식회사 토트</t>
  </si>
  <si>
    <t>212호(성수동1가 서울숲포휴)</t>
  </si>
  <si>
    <t>서울특별시 성동구 왕십리로 58 (성수동1가)</t>
  </si>
  <si>
    <t>주식회사 코비즈원</t>
  </si>
  <si>
    <t>계명대학교 전문관 614호</t>
  </si>
  <si>
    <t>주식회사 케이센스</t>
  </si>
  <si>
    <t>주식회사 제이케이테크원</t>
  </si>
  <si>
    <t>경상남도 창원시 의창구 평산로70번길 44-20 (팔용동)</t>
  </si>
  <si>
    <t>아주대학교 약학관 B104</t>
  </si>
  <si>
    <t>경기도 수원시 영통구 월드컵로 206 (원천동)</t>
  </si>
  <si>
    <t>주식회사 제이앤제이파머텍</t>
  </si>
  <si>
    <t>울산광역시 울주군 언양읍 남천로 154</t>
  </si>
  <si>
    <t>주식회사 정아랩</t>
  </si>
  <si>
    <t>주식회사 이화건설</t>
  </si>
  <si>
    <t>충청북도 청주시 흥덕구 현암로 17 (현암동)</t>
  </si>
  <si>
    <t>나동 1층</t>
  </si>
  <si>
    <t>대전광역시 대덕구 문평동로48번길 56 (문평동)</t>
  </si>
  <si>
    <t>주식회사 에프씨팩토리</t>
  </si>
  <si>
    <t>402호(이의동 리치프라자2)</t>
  </si>
  <si>
    <t>경기도 수원시 영통구 대학4로 9 (이의동)</t>
  </si>
  <si>
    <t>주식회사 아크칩스</t>
  </si>
  <si>
    <t>상가동 201호</t>
  </si>
  <si>
    <t>제주특별자치도 제주시 오남로 7-13 (도남동 도남1차e편한세상아파트)</t>
  </si>
  <si>
    <t>주식회사 씨웨이테크</t>
  </si>
  <si>
    <t>강남빌딩 3층 시큐어넷</t>
  </si>
  <si>
    <t>서울특별시 서초구 서초대로 396 (서초동)</t>
  </si>
  <si>
    <t>주식회사 시큐어넷</t>
  </si>
  <si>
    <t>상가동 지하층 비09호</t>
  </si>
  <si>
    <t>경기도 고양시 덕양구 소원로 47 (행신동 무원마을6단지아파트)</t>
  </si>
  <si>
    <t>주식회사 스텔라이언</t>
  </si>
  <si>
    <t>연세대학교 공학원 332ABC호</t>
  </si>
  <si>
    <t>서울특별시 서대문구 연세로 50 (신촌동)</t>
  </si>
  <si>
    <t>주식회사 세라트젠</t>
  </si>
  <si>
    <t>사진기 영사기 및 관련 장비 제조업</t>
  </si>
  <si>
    <t>(주)비에스</t>
  </si>
  <si>
    <t>경상북도 포항시 북구 양덕로6번길 52 (양덕동)</t>
  </si>
  <si>
    <t>주식회사 비에스</t>
  </si>
  <si>
    <t>임시 및 일용 인력 공급업</t>
  </si>
  <si>
    <t>부산광역시 연제구 거제천로255번가길 51 (거제동 산호)</t>
  </si>
  <si>
    <t>주식회사 비앤디플랜</t>
  </si>
  <si>
    <t>ICT-문화융합센터 410호</t>
  </si>
  <si>
    <t>주식회사 브레인벤쳐스</t>
  </si>
  <si>
    <t>녹음시설 운영업</t>
  </si>
  <si>
    <t>대원빌딩 4층</t>
  </si>
  <si>
    <t>서울특별시 은평구 진흥로 184-1 (녹번동)</t>
  </si>
  <si>
    <t>주식회사 바벨 에이아이</t>
  </si>
  <si>
    <t>전체</t>
  </si>
  <si>
    <t>경기도 화성시 향남읍 서봉로 594-23</t>
  </si>
  <si>
    <t>주식회사 더블유제이에스</t>
  </si>
  <si>
    <t>나산이엔씨</t>
  </si>
  <si>
    <t>경상북도 구미시 해평면 월호3길 73</t>
  </si>
  <si>
    <t>주식회사 나산이엔씨</t>
  </si>
  <si>
    <t>인덕원it밸리 c동801호</t>
  </si>
  <si>
    <t>주식회사 그인토탈</t>
  </si>
  <si>
    <t>인메딕스</t>
  </si>
  <si>
    <t>부산광역시 연제구 연수로 130 (연산동 연산더샵)</t>
  </si>
  <si>
    <t>이은개발</t>
  </si>
  <si>
    <t>경상북도 영천시 화남면 천문로 1510</t>
  </si>
  <si>
    <t>유스풀제스트</t>
  </si>
  <si>
    <t>경상남도 의령군 의령읍 벽화로 338</t>
  </si>
  <si>
    <t>우드림</t>
  </si>
  <si>
    <t>1층 104호(세종대학교 캠퍼스타운 가온누리1)</t>
  </si>
  <si>
    <t>옵트미어</t>
  </si>
  <si>
    <t>기타 종이 및 판지 제조업</t>
  </si>
  <si>
    <t>경상남도 진주시 남강로 597-1 (남성동)</t>
  </si>
  <si>
    <t>예실한지</t>
  </si>
  <si>
    <t>그 외 기타 상품 전문 도매업</t>
  </si>
  <si>
    <t>경기도 남양주시 진접읍 경복대로512번길 32-39</t>
  </si>
  <si>
    <t>열린</t>
  </si>
  <si>
    <t>경상남도 김해시 진영읍 서부로 231-1</t>
  </si>
  <si>
    <t>에이치앤스틸</t>
  </si>
  <si>
    <t>컴퓨터 프린터 제조업</t>
  </si>
  <si>
    <t>3D프린팅제조혁신센터 305호</t>
  </si>
  <si>
    <t>아이파이브</t>
  </si>
  <si>
    <t>디티비안에스 A-308</t>
  </si>
  <si>
    <t>대전광역시 유성구 테크노중앙로 50 (관평동)</t>
  </si>
  <si>
    <t>아셋케어 주식회사</t>
  </si>
  <si>
    <t>그 외 기타 분류 안된 교육기관</t>
  </si>
  <si>
    <t>서울특별시 동대문구 회기로 111 (회기동)</t>
  </si>
  <si>
    <t>아듀 Aduu</t>
  </si>
  <si>
    <t>부산광역시 강서구 평강로 227-18 (대저1동)</t>
  </si>
  <si>
    <t>씨와이티</t>
  </si>
  <si>
    <t>kwater 연구원내 스타트업허브</t>
  </si>
  <si>
    <t>세종강우</t>
  </si>
  <si>
    <t>전구 및 램프 제조업</t>
  </si>
  <si>
    <t>210호</t>
  </si>
  <si>
    <t>경기도 수원시 권선구 오목천로152번길 40 (고색동)</t>
  </si>
  <si>
    <t>사단법인 장애인한빛</t>
  </si>
  <si>
    <t>인물 사진 및 행사용 영상 촬영업</t>
  </si>
  <si>
    <t>1F 보아크레이티브</t>
  </si>
  <si>
    <t>경상남도 양산시 동면 금오12길 30-11</t>
  </si>
  <si>
    <t>보아 크레이티브</t>
  </si>
  <si>
    <t>사업시설 유지ㆍ관리 서비스업</t>
  </si>
  <si>
    <t>5층-1호</t>
  </si>
  <si>
    <t>서울특별시 은평구 증산로3길 6 (증산동)</t>
  </si>
  <si>
    <t>벌레잡는총각들브랜치 주식회사</t>
  </si>
  <si>
    <t>도장 공사업</t>
  </si>
  <si>
    <t>전라북도 익산시 고봉로20길 12 (영등동)</t>
  </si>
  <si>
    <t>미도산업개발(주)</t>
  </si>
  <si>
    <t>대영 오피스텔 1007호</t>
  </si>
  <si>
    <t>서울특별시 관악구 남부순환로 1799 (봉천동)</t>
  </si>
  <si>
    <t>모노 소프트웨어</t>
  </si>
  <si>
    <t>더스페이스 타워 1306호</t>
  </si>
  <si>
    <t>랑연소프트</t>
  </si>
  <si>
    <t>전주대학교 본관 133호</t>
  </si>
  <si>
    <t>전라북도 전주시 완산구 천잠로 303 (효자동2가)</t>
  </si>
  <si>
    <t>디앤에스(주)</t>
  </si>
  <si>
    <t>1층 2호</t>
  </si>
  <si>
    <t>대구광역시 북구 태암로18길 1 (구암동)</t>
  </si>
  <si>
    <t>드림쇼파</t>
  </si>
  <si>
    <t>3층 305호</t>
  </si>
  <si>
    <t>충청남도 천안시 서북구 두정상가3길 33 (두정동)</t>
  </si>
  <si>
    <t>드리미소프트 주식회사</t>
  </si>
  <si>
    <t>2층 두잇두잇</t>
  </si>
  <si>
    <t>서울특별시 종로구 통일로12길 10-16 (행촌동)</t>
  </si>
  <si>
    <t>두잇두잇</t>
  </si>
  <si>
    <t>대구광역시 북구 팔달북로8길 42 (노원동3가)</t>
  </si>
  <si>
    <t>더 윈(THE WIN)</t>
  </si>
  <si>
    <t>충청북도 청주시 상당구 무심동로 306 (남주동)</t>
  </si>
  <si>
    <t>다산조명</t>
  </si>
  <si>
    <t>경기도 고양시 덕양구 행당로 39 (행신동)</t>
  </si>
  <si>
    <t>농업회사법인곤충킹주식회사</t>
  </si>
  <si>
    <t>B동 834호</t>
  </si>
  <si>
    <t>경기도 성남시 분당구 탄천상로 164 (구미동)</t>
  </si>
  <si>
    <t>노스타일 주식회사</t>
  </si>
  <si>
    <t>3층(봉곡동)</t>
  </si>
  <si>
    <t>경상북도 구미시 야은로 265 (봉곡동)</t>
  </si>
  <si>
    <t>넥스트스토리 주식회사</t>
  </si>
  <si>
    <t>건물 및 토목 엔지니어링 서비스업</t>
  </si>
  <si>
    <t>3층 309호</t>
  </si>
  <si>
    <t>서울특별시 구로구 디지털로26길 123 (구로동)</t>
  </si>
  <si>
    <t>그릿에이트</t>
  </si>
  <si>
    <t>102호(스카이빌딩)</t>
  </si>
  <si>
    <t>충청북도 진천군 덕산읍 대월1길 14</t>
  </si>
  <si>
    <t>경성디자인</t>
  </si>
  <si>
    <t>(주)티엔에이</t>
  </si>
  <si>
    <t>(주)태경테크</t>
  </si>
  <si>
    <t>세종특별자치시 연동면 청연로 442-48</t>
  </si>
  <si>
    <t>5층 503호(명지동 문힐파크타워)</t>
  </si>
  <si>
    <t>부산광역시 강서구 명지국제8로 271 (명지동)</t>
  </si>
  <si>
    <t>(주)쿨링스</t>
  </si>
  <si>
    <t>경기도 평택시 팽성읍 두리길 6</t>
  </si>
  <si>
    <t>(주)카루스웍스</t>
  </si>
  <si>
    <t>C동 701호(우림라이온스밸리)</t>
  </si>
  <si>
    <t>서울특별시 금천구 가산디지털1로 168 (가산동)</t>
  </si>
  <si>
    <t>(주)조은코디스</t>
  </si>
  <si>
    <t>울산광역시 남구 여천로163번길 7 (여천동)</t>
  </si>
  <si>
    <t>(주)제이알이엔지</t>
  </si>
  <si>
    <t>대구혁신도시비젼스퀘어 415호</t>
  </si>
  <si>
    <t>대구광역시 동구 이노밸리로 322 (신서동)</t>
  </si>
  <si>
    <t>(주)정현로드텍</t>
  </si>
  <si>
    <t>407-2호</t>
  </si>
  <si>
    <t>경기도 수원시 영통구 대학4로 17 (이의동)</t>
  </si>
  <si>
    <t>(주)인포지아</t>
  </si>
  <si>
    <t>서울특별시 성동구 성수이로 51 (성수동2가)</t>
  </si>
  <si>
    <t>(주)인튜브</t>
  </si>
  <si>
    <t>5층507호</t>
  </si>
  <si>
    <t>경상북도 김천시 혁신8로 5 (율곡동)</t>
  </si>
  <si>
    <t>(주)유시테크놀로지</t>
  </si>
  <si>
    <t>512호</t>
  </si>
  <si>
    <t>경기도 고양시 덕양구 중앙로 542 (행신동)</t>
  </si>
  <si>
    <t>(주)씨에어허브</t>
  </si>
  <si>
    <t>경상남도 김해시 한림면 명동로4번길 43</t>
  </si>
  <si>
    <t>(주)바이텍알앤디</t>
  </si>
  <si>
    <t>비계 및 형틀 공사업</t>
  </si>
  <si>
    <t>울산광역시 울주군 서생면 해맞이로 1078-68</t>
  </si>
  <si>
    <t>(주)바다플랜트</t>
  </si>
  <si>
    <t>3층 307호</t>
  </si>
  <si>
    <t>경상남도 김해시 주촌면 골든루트로 80-16</t>
  </si>
  <si>
    <t>(주)데크맨</t>
  </si>
  <si>
    <t>고용 알선업</t>
  </si>
  <si>
    <t>2층 헤딩</t>
  </si>
  <si>
    <t>서울특별시 강남구 언주로 630 (논현동)</t>
  </si>
  <si>
    <t>(주)더라이징스타헤딩</t>
  </si>
  <si>
    <t>신국빌딩 2층</t>
  </si>
  <si>
    <t>서울특별시 서초구 서초대로 137 (방배동)</t>
  </si>
  <si>
    <t>(주)다비수디지탈</t>
  </si>
  <si>
    <t>6층 31호실</t>
  </si>
  <si>
    <t>서울특별시 성북구 동소문로 63 (동소문동4가)</t>
  </si>
  <si>
    <t>(주) 쉐어박스</t>
  </si>
  <si>
    <t>1층 103호</t>
  </si>
  <si>
    <t>대전광역시 서구 남선로 39-10 (탄방동)</t>
  </si>
  <si>
    <t>혜윰세이프티</t>
  </si>
  <si>
    <t>조경관리 및 유지 서비스업</t>
  </si>
  <si>
    <t>108동 1101호</t>
  </si>
  <si>
    <t>강원도 원주시 포란재로 36 (태장동 금광포란재아파트1단지)</t>
  </si>
  <si>
    <t>하이조경</t>
  </si>
  <si>
    <t>사무ㆍ상업용 및 공공기관용 건물 건설업</t>
  </si>
  <si>
    <t>서울특별시 강동구 천중로 76 (천호동)</t>
  </si>
  <si>
    <t>주식회사 삼신 아이디</t>
  </si>
  <si>
    <t>무빙테크노관 301호</t>
  </si>
  <si>
    <t>주식회사 다인템</t>
  </si>
  <si>
    <t>직물포대 제조업</t>
  </si>
  <si>
    <t>충청북도 음성군 삼성면 금일로700번길 52-50</t>
  </si>
  <si>
    <t>유한회사희수선욱</t>
  </si>
  <si>
    <t>그 외 기타 기계 및 장비 도매업</t>
  </si>
  <si>
    <t>경기도 고양시 덕양구 독곶이길 162 (주교동)</t>
  </si>
  <si>
    <t>운암산업</t>
  </si>
  <si>
    <t>경기도 고양시 덕양구 용현로53번길 40 (행신동)</t>
  </si>
  <si>
    <t>비욘드뷰티</t>
  </si>
  <si>
    <t>KC대학 유썹센터 1호</t>
  </si>
  <si>
    <t>서울특별시 강서구 공항대로 484-12 (등촌동)</t>
  </si>
  <si>
    <t>벨커스(Valkers)</t>
  </si>
  <si>
    <t>서울특별시 영등포구 의사당대로 83 (여의도동)</t>
  </si>
  <si>
    <t>레빗비마케팅주식회사</t>
  </si>
  <si>
    <t>702동 603호</t>
  </si>
  <si>
    <t>강원도 원주시 시청로 40 (무실동 원주무실7주공아파트)</t>
  </si>
  <si>
    <t>강원개발</t>
  </si>
  <si>
    <t>창업보육센터 412호</t>
  </si>
  <si>
    <t>한국재난안전개발원(주)</t>
  </si>
  <si>
    <t>광명역자이타워 비동 1812호</t>
  </si>
  <si>
    <t>경기도 광명시 새빛공원로 67 (일직동)</t>
  </si>
  <si>
    <t>하비스탕스 주식회사</t>
  </si>
  <si>
    <t>대구광역시 서구 달구벌대로377안길 18 (내당동)</t>
  </si>
  <si>
    <t>티큐소프트</t>
  </si>
  <si>
    <t>3~5층 (역삼동 837타워)</t>
  </si>
  <si>
    <t>서울특별시 강남구 강남대로 318 (역삼동)</t>
  </si>
  <si>
    <t>주식회사엠브레인퍼블릭</t>
  </si>
  <si>
    <t>경상남도 창원시 의창구 대산면 진남로114번길 66</t>
  </si>
  <si>
    <t>주식회사에프엔씨이노베이션</t>
  </si>
  <si>
    <t>4호</t>
  </si>
  <si>
    <t>경상남도 합천군 합천읍 중앙로2길 10 (성우아파트)</t>
  </si>
  <si>
    <t>주식회사 현대스틸</t>
  </si>
  <si>
    <t>경기도 남양주시 진접읍 경복대로바람골길 117-38</t>
  </si>
  <si>
    <t>주식회사 펀스케이프</t>
  </si>
  <si>
    <t>나동</t>
  </si>
  <si>
    <t>경기도 포천시 가산면 시우동길 80-2</t>
  </si>
  <si>
    <t>주식회사 케이이엔씨</t>
  </si>
  <si>
    <t>1303호</t>
  </si>
  <si>
    <t>서울특별시 마포구 매봉산로 37 (상암동)</t>
  </si>
  <si>
    <t>주식회사 지노텍</t>
  </si>
  <si>
    <t>부산광역시 사상구 삼락천로 185 (삼락동)</t>
  </si>
  <si>
    <t>주식회사 주승</t>
  </si>
  <si>
    <t>4층 정보보호클러스터 465호</t>
  </si>
  <si>
    <t>주식회사 제로</t>
  </si>
  <si>
    <t>경성대학교 5사회관 지하1층 111호</t>
  </si>
  <si>
    <t>주식회사 인피아이</t>
  </si>
  <si>
    <t>경상남도 양산시 웅상농공단지길 29 (덕계동)</t>
  </si>
  <si>
    <t>주식회사 유일라이팅</t>
  </si>
  <si>
    <t>조선대학교 창업보육센터 207호</t>
  </si>
  <si>
    <t>광주광역시 동구 필문대로 309 (서석동)</t>
  </si>
  <si>
    <t>주식회사 유니컴퍼니</t>
  </si>
  <si>
    <t>602호</t>
  </si>
  <si>
    <t>주식회사 에이비씨</t>
  </si>
  <si>
    <t>1층 103호(호원대학교 산학협력관)</t>
  </si>
  <si>
    <t>전라북도 군산시 임피면 호원대3길 64</t>
  </si>
  <si>
    <t>주식회사 에스제이시스템</t>
  </si>
  <si>
    <t>804호</t>
  </si>
  <si>
    <t>경기도 의정부시 청사로5번길 20-8 (신곡동)</t>
  </si>
  <si>
    <t>주식회사 에스앤</t>
  </si>
  <si>
    <t>1402호</t>
  </si>
  <si>
    <t>부산광역시 해운대구 센텀서로 30 (우동)</t>
  </si>
  <si>
    <t>에너지 저장장치 제조업</t>
  </si>
  <si>
    <t>광주광역시 북구 추암로 93 (대촌동)</t>
  </si>
  <si>
    <t>주식회사 브레이크더룰스</t>
  </si>
  <si>
    <t>제 6공학관6103-2</t>
  </si>
  <si>
    <t>부산광역시 금정구 부산대학로63번길 2 (장전동)</t>
  </si>
  <si>
    <t>주식회사 벤더스터</t>
  </si>
  <si>
    <t>B동 409호(부평우림라이온스밸리)</t>
  </si>
  <si>
    <t>주식회사 베스트라이프</t>
  </si>
  <si>
    <t>하나빌딩4층</t>
  </si>
  <si>
    <t>서울특별시 강남구 광평로56길 14 (수서동)</t>
  </si>
  <si>
    <t>주식회사 바로에이아이</t>
  </si>
  <si>
    <t>D동 907호</t>
  </si>
  <si>
    <t>경기도 성남시 분당구 판교로 700 (야탑동)</t>
  </si>
  <si>
    <t>주식회사 루멘테크</t>
  </si>
  <si>
    <t>경상북도 영주시 대학로 148 (가흥동)</t>
  </si>
  <si>
    <t>주식회사 듀얼드론텍</t>
  </si>
  <si>
    <t>경기도 김포시 대곶면 소래로 55-1</t>
  </si>
  <si>
    <t>주식회사 동광</t>
  </si>
  <si>
    <t>컴퓨터 및 주변 기기 수리업</t>
  </si>
  <si>
    <t>부라다빌딩 8층</t>
  </si>
  <si>
    <t>부산광역시 부산진구 중앙대로 799-1 (부전동)</t>
  </si>
  <si>
    <t>주식회사 데이터세이브</t>
  </si>
  <si>
    <t>더체크타워</t>
  </si>
  <si>
    <t>서울특별시 강남구 언주로 417 (역삼동)</t>
  </si>
  <si>
    <t>주식회사 더체크</t>
  </si>
  <si>
    <t>경상북도 포항시 남구 희망대로 867 (해도동)</t>
  </si>
  <si>
    <t>주식회사 대도엘이디(LED)</t>
  </si>
  <si>
    <t>충청북도 음성군 대소면 대금로105번길 92-21</t>
  </si>
  <si>
    <t>주식회사 나무이야기</t>
  </si>
  <si>
    <t>강원도 원주시 이화1길 4-6 (단계동)</t>
  </si>
  <si>
    <t>주식회사 강원조경</t>
  </si>
  <si>
    <t>A동 207-1호</t>
  </si>
  <si>
    <t>광주광역시 북구 첨단벤처소로 51 (월출동)</t>
  </si>
  <si>
    <t>제이더블유솔루션</t>
  </si>
  <si>
    <t>704-자호 Biz센터</t>
  </si>
  <si>
    <t>경기도 화성시 동탄대로 635 (영천동)</t>
  </si>
  <si>
    <t>인텔리맥스 주식회사</t>
  </si>
  <si>
    <t>11층 (방이동 현대토픽스)</t>
  </si>
  <si>
    <t>서울특별시 송파구 위례성대로 6 (방이동)</t>
  </si>
  <si>
    <t>인더스트리 엑스퍼트 그룹(주)</t>
  </si>
  <si>
    <t>충청북도 옥천군 군북면 비야대정로 179</t>
  </si>
  <si>
    <t>우진사이언스</t>
  </si>
  <si>
    <t>경기도 광주시 도척면 궁평하천길 26-24</t>
  </si>
  <si>
    <t>엘제이테크</t>
  </si>
  <si>
    <t>대구광역시 수성구 알파시티1로 169 (대흥동)</t>
  </si>
  <si>
    <t>식파마(Sic Parvis Magna)</t>
  </si>
  <si>
    <t>외 1필지</t>
  </si>
  <si>
    <t>경기도 이천시 부발읍 부흥로 92</t>
  </si>
  <si>
    <t>시원</t>
  </si>
  <si>
    <t>운동 및 경기용품 도매업</t>
  </si>
  <si>
    <t>경상남도 김해시 관동로27번길 13 (관동동)</t>
  </si>
  <si>
    <t>스워드스미스 인터네셔널</t>
  </si>
  <si>
    <t>경기도 수원시 권선구 서수원로 99 (오목천동 수원권선 꿈에그린 아파트)</t>
  </si>
  <si>
    <t>소행성99</t>
  </si>
  <si>
    <t>경상북도 칠곡군 왜관읍 공단로13길 77</t>
  </si>
  <si>
    <t>새창산업</t>
  </si>
  <si>
    <t>비아이랜드(주)</t>
  </si>
  <si>
    <t>충청북도 제천시 제2바이오밸리로7길 30 (왕암동)</t>
  </si>
  <si>
    <t>비아이랜드 주식회사</t>
  </si>
  <si>
    <t>1층 모듈링크</t>
  </si>
  <si>
    <t>경상북도 칠곡군 왜관읍 공단로6길 23</t>
  </si>
  <si>
    <t>모듈링크</t>
  </si>
  <si>
    <t>B01호</t>
  </si>
  <si>
    <t>서울특별시 영등포구 선유로28길 6-9 (양평동1가)</t>
  </si>
  <si>
    <t>디지엠유닛원 주식회사</t>
  </si>
  <si>
    <t>601호(더스카이밸리 1차)</t>
  </si>
  <si>
    <t>서울특별시 금천구 가산디지털1로 142 (가산동)</t>
  </si>
  <si>
    <t>더맑음(주)</t>
  </si>
  <si>
    <t>대한계전</t>
  </si>
  <si>
    <t>인천광역시 서구 건지로 45-26 (석남동)</t>
  </si>
  <si>
    <t>대근시스템주식회사</t>
  </si>
  <si>
    <t>경상북도 경산시 진량읍 황제1길 104-9</t>
  </si>
  <si>
    <t>광장프라자 503호</t>
  </si>
  <si>
    <t>경기도 시흥시 승지로60번길 12 (능곡동)</t>
  </si>
  <si>
    <t>내음 사회적협동조합</t>
  </si>
  <si>
    <t>가우스랩 주식회사</t>
  </si>
  <si>
    <t>창업 C동 103호</t>
  </si>
  <si>
    <t>410에듀케이션</t>
  </si>
  <si>
    <t>wework 13-112</t>
  </si>
  <si>
    <t>부산광역시 남구 전포대로 133 (문현동)</t>
  </si>
  <si>
    <t>(주)휴먼밸런스</t>
  </si>
  <si>
    <t>씨동</t>
  </si>
  <si>
    <t>충청북도 청주시 흥덕구 옥산면 옥산산단4로 197</t>
  </si>
  <si>
    <t>(주)한국코윈</t>
  </si>
  <si>
    <t>812호</t>
  </si>
  <si>
    <t>서울특별시 금천구 범안로 1126 (가산동)</t>
  </si>
  <si>
    <t>(주)클라우드앤</t>
  </si>
  <si>
    <t>경상남도 김해시 칠산로 415 (화목동)</t>
  </si>
  <si>
    <t>(주)에스지산업개발</t>
  </si>
  <si>
    <t>1-2층</t>
  </si>
  <si>
    <t>경기도 군포시 농심로 88-13 (당정동)</t>
  </si>
  <si>
    <t>(주)아이브이엔코리아</t>
  </si>
  <si>
    <t>2층 (동국대학교 산학협력관)</t>
  </si>
  <si>
    <t>(주)바이블리오테카</t>
  </si>
  <si>
    <t>(주)로열박스</t>
  </si>
  <si>
    <t>남자용 겉옷 제조업</t>
  </si>
  <si>
    <t>서울특별시 성북구 월곡로 25 (종암동)</t>
  </si>
  <si>
    <t>(주)디엠메디칼(DM medical)</t>
  </si>
  <si>
    <t>충청북도 청주시 흥덕구 옥산면 과학산업4로 203</t>
  </si>
  <si>
    <t>(주)디더블유바이오</t>
  </si>
  <si>
    <t>8층 801호</t>
  </si>
  <si>
    <t>경상남도 김해시 번화1로80번길 15 (대청동)</t>
  </si>
  <si>
    <t>(주)대한이엔씨</t>
  </si>
  <si>
    <t>8층 소셜캠퍼스 온</t>
  </si>
  <si>
    <t>서울특별시 성동구 광나루로 286 (성수동2가)</t>
  </si>
  <si>
    <t>펀데이코리아네트웍스 주식회사</t>
  </si>
  <si>
    <t>26동 2층 12호</t>
  </si>
  <si>
    <t>대구광역시 북구 유통단지로 16 (산격동)</t>
  </si>
  <si>
    <t>큐스타주식회사</t>
  </si>
  <si>
    <t>영남이공대학교 천마스퀘어 7층 709호</t>
  </si>
  <si>
    <t>대구광역시 남구 현충로 170 (대명동)</t>
  </si>
  <si>
    <t>카르시타솔루션</t>
  </si>
  <si>
    <t>312호(연구지원동)</t>
  </si>
  <si>
    <t>경상남도 창원시 마산회원구 내서읍 중리공단로 65</t>
  </si>
  <si>
    <t>지테크</t>
  </si>
  <si>
    <t>907호</t>
  </si>
  <si>
    <t>지쉐어 주식회사</t>
  </si>
  <si>
    <t>환경 관련 엔지니어링 서비스업</t>
  </si>
  <si>
    <t>다동 2층 20호</t>
  </si>
  <si>
    <t>경기도 고양시 일산동구 성현로135번길 82 (성석동)</t>
  </si>
  <si>
    <t>주식회사블루라이온</t>
  </si>
  <si>
    <t>경기도 고양시 일산동구 일산로 227 (마두동)</t>
  </si>
  <si>
    <t>주식회사글래드파크</t>
  </si>
  <si>
    <t>1005호(안양 SK V1 center)</t>
  </si>
  <si>
    <t>주식회사 필드앤필드</t>
  </si>
  <si>
    <t>스타게이트 498호</t>
  </si>
  <si>
    <t>대전광역시 서구 대덕대로 325 (월평동)</t>
  </si>
  <si>
    <t>주식회사 클레스앤피</t>
  </si>
  <si>
    <t>109동 상가 203호</t>
  </si>
  <si>
    <t>부산광역시 부산진구 엄광로248번길 18 (가야동)</t>
  </si>
  <si>
    <t>주식회사 위트리</t>
  </si>
  <si>
    <t>414호(가산동 대성디폴리스지식산업센터)</t>
  </si>
  <si>
    <t>주식회사 오픈소프트랩</t>
  </si>
  <si>
    <t>920호</t>
  </si>
  <si>
    <t>인천광역시 서구 원당대로 628 (당하동 보미 골드리즌빌)</t>
  </si>
  <si>
    <t>주식회사 애드래빗</t>
  </si>
  <si>
    <t>화물 자동차 및 특수 목적용 자동차 제조업</t>
  </si>
  <si>
    <t>전라북도 전주시 덕진구 호남로 2519-21 (성덕동)</t>
  </si>
  <si>
    <t>주식회사 아이버스</t>
  </si>
  <si>
    <t>인천스타트업파크 524호</t>
  </si>
  <si>
    <t>인천광역시 연수구 컨벤시아대로 204 (송도동)</t>
  </si>
  <si>
    <t>주식회사 아쎄따</t>
  </si>
  <si>
    <t>A-1506</t>
  </si>
  <si>
    <t>경기도 안양시 동안구 벌말로 66 (관양동)</t>
  </si>
  <si>
    <t>주식회사 스마트팜센터</t>
  </si>
  <si>
    <t>지역산학협력관 414호</t>
  </si>
  <si>
    <t>경상북도 안동시 경동로 1375 (송천동)</t>
  </si>
  <si>
    <t>주식회사 생존수영교육연구소</t>
  </si>
  <si>
    <t>인천광역시 계양구 임학안로6번길 14 (임학동)</t>
  </si>
  <si>
    <t>주식회사 모텍</t>
  </si>
  <si>
    <t>태영빌딩 5층</t>
  </si>
  <si>
    <t>충청북도 청주시 흥덕구 충대로 4 (복대동)</t>
  </si>
  <si>
    <t>주식회사 레드북커스</t>
  </si>
  <si>
    <t>기타 일반 및 생활 숙박시설 운영업</t>
  </si>
  <si>
    <t>1층 더캡슐</t>
  </si>
  <si>
    <t>서울특별시 중구 퇴계로45길 23 (예관동)</t>
  </si>
  <si>
    <t>주식회사 더캡슐</t>
  </si>
  <si>
    <t>내부 통신배선 공사업</t>
  </si>
  <si>
    <t>402호</t>
  </si>
  <si>
    <t>서울특별시 광진구 천호대로 699 (구의동)</t>
  </si>
  <si>
    <t>주식회사 다온에이치앤에스</t>
  </si>
  <si>
    <t>충청북도 청주시 흥덕구 옥산면 덕촌덕절길 121</t>
  </si>
  <si>
    <t>주식회사 그린제이</t>
  </si>
  <si>
    <t>경상남도 창원시 의창구 차룡로14번길 67 (팔용동)</t>
  </si>
  <si>
    <t>일영산업</t>
  </si>
  <si>
    <t>(유)H&amp;C</t>
  </si>
  <si>
    <t>전라남도 영암군 삼호읍 대불산단1로 65</t>
  </si>
  <si>
    <t>유한회사에이치앤씨</t>
  </si>
  <si>
    <t>경기도 부천시 길주로431번길 20 (춘의동)</t>
  </si>
  <si>
    <t>와이즈터치</t>
  </si>
  <si>
    <t>경상남도 창원시 진해구 웅동로 166 (두동)</t>
  </si>
  <si>
    <t>오렌지스텝</t>
  </si>
  <si>
    <t>인천광역시 부평구 경원대로 1419 (부평동)</t>
  </si>
  <si>
    <t>어메이커스</t>
  </si>
  <si>
    <t>DMMC 2층 203호</t>
  </si>
  <si>
    <t>서울특별시 구로구 중앙로6길 16 (고척동)</t>
  </si>
  <si>
    <t>알롱달롱</t>
  </si>
  <si>
    <t>충청남도 부여군 은산면 충의로622번길 13</t>
  </si>
  <si>
    <t>백제라이팅</t>
  </si>
  <si>
    <t>기타 인쇄관련 산업</t>
  </si>
  <si>
    <t>제주특별자치도 제주시 서광로 214 (삼도일동)</t>
  </si>
  <si>
    <t>디자인북나리</t>
  </si>
  <si>
    <t>경상북도 고령군 개진면 송천길 64</t>
  </si>
  <si>
    <t>대일SR</t>
  </si>
  <si>
    <t>기타 화학 물질 및 화학제품 도매업</t>
  </si>
  <si>
    <t>충청북도 음성군 대소면 오태로116번길 175-29</t>
  </si>
  <si>
    <t>대상에프티(주)</t>
  </si>
  <si>
    <t>에스21-1 202호</t>
  </si>
  <si>
    <t>다산건설산업(주)</t>
  </si>
  <si>
    <t>식초 발효 및 화학 조미료 제조업</t>
  </si>
  <si>
    <t>전라남도 순천시 별량면 죽산길 18</t>
  </si>
  <si>
    <t>농업회사법인효향 주식회사</t>
  </si>
  <si>
    <t>경기도 양평군 양서면 교골길 38-15</t>
  </si>
  <si>
    <t>농업회사법인 주식회사 에그리봇</t>
  </si>
  <si>
    <t>운동 및 경기용품 소매업</t>
  </si>
  <si>
    <t>골프홀릭&amp;커스텀</t>
  </si>
  <si>
    <t>충청북도 음성군 감곡면 중간말길 7-6</t>
  </si>
  <si>
    <t>(주)폴리곤</t>
  </si>
  <si>
    <t>유원빌딩 1512호</t>
  </si>
  <si>
    <t>서울특별시 중구 서소문로 116 (서소문동)</t>
  </si>
  <si>
    <t>(주)팀즈코리아</t>
  </si>
  <si>
    <t>경상북도 구미시 산호대로 154-44 (공단동)</t>
  </si>
  <si>
    <t>(주)타임시스템</t>
  </si>
  <si>
    <t>강원도 원주시 판부면 서곡길 329-3</t>
  </si>
  <si>
    <t>(주)제이앤티케미칼</t>
  </si>
  <si>
    <t>409-1호(디오밸리)</t>
  </si>
  <si>
    <t>경기도 안양시 동안구 엘에스로 76 (호계동)</t>
  </si>
  <si>
    <t>(주)에이엘씨</t>
  </si>
  <si>
    <t>세종특별자치시 조치원읍 세종로 2296</t>
  </si>
  <si>
    <t>(주)브이아이펫</t>
  </si>
  <si>
    <t>경기R&amp;DB센터 518호</t>
  </si>
  <si>
    <t>경기도 수원시 영통구 광교로 105 (이의동)</t>
  </si>
  <si>
    <t>(주)바이오파마</t>
  </si>
  <si>
    <t>한국전자기술연구원 창업보육센터 112호</t>
  </si>
  <si>
    <t>경기도 성남시 분당구 새나리로 25 (야탑동)</t>
  </si>
  <si>
    <t>(주)멤스칩</t>
  </si>
  <si>
    <t>1차 유리제품 유리섬유 및 광학용 유리 제조업</t>
  </si>
  <si>
    <t>(주)립스</t>
  </si>
  <si>
    <t>경상남도 함양군 수동면 산업단지길 100</t>
  </si>
  <si>
    <t>4층 고양중장년기술창업센터 4호실</t>
  </si>
  <si>
    <t>(주)두나우컴퍼니</t>
  </si>
  <si>
    <t>콘크리트 관 및 기타 구조용 콘크리트제품 제조업</t>
  </si>
  <si>
    <t>전라북도 부안군 상서면 상서북로 257</t>
  </si>
  <si>
    <t>주식회사 전일콘크리트</t>
  </si>
  <si>
    <t>트윈렉스2 307호</t>
  </si>
  <si>
    <t>경기도 하남시 덕풍동로 111-50 (덕풍동)</t>
  </si>
  <si>
    <t>주식회사 이엘피</t>
  </si>
  <si>
    <t>서울특별시 강동구 구천면로 233 (천호동)</t>
  </si>
  <si>
    <t>주식회사 메디이미지</t>
  </si>
  <si>
    <t>충청남도 아산시 배방읍 휴대길 153</t>
  </si>
  <si>
    <t>주식회사 강민코퍼레이션</t>
  </si>
  <si>
    <t>경상북도 상주시 경상대로 2878 (개운동)</t>
  </si>
  <si>
    <t>신진테크</t>
  </si>
  <si>
    <t>경기도 오산시 세마역로 95 (세교동)</t>
  </si>
  <si>
    <t>스펙트럼</t>
  </si>
  <si>
    <t>삼백테크놀로지</t>
  </si>
  <si>
    <t>경상북도 칠곡군 북삼읍 북삼로7길 10</t>
  </si>
  <si>
    <t>서울특별시 금천구 탑골로 45-1 (시흥동 둥지)</t>
  </si>
  <si>
    <t>다원마켓</t>
  </si>
  <si>
    <t>307동 1층</t>
  </si>
  <si>
    <t>울산광역시 울주군 언양읍 유니스트길 50</t>
  </si>
  <si>
    <t>트리</t>
  </si>
  <si>
    <t>전라북도 진안군 진안읍 홍삼한방로 21-60</t>
  </si>
  <si>
    <t>투윈테크</t>
  </si>
  <si>
    <t>EK빌딩 5층</t>
  </si>
  <si>
    <t>대구광역시 수성구 화랑로 70 (만촌동)</t>
  </si>
  <si>
    <t>퀘스 (Ques)</t>
  </si>
  <si>
    <t>경기도 부천시 석천로453번길 25 (삼정동)</t>
  </si>
  <si>
    <t>코레드라이팅</t>
  </si>
  <si>
    <t>11호관 203호</t>
  </si>
  <si>
    <t>케이데이터랩(주)</t>
  </si>
  <si>
    <t>7층703호</t>
  </si>
  <si>
    <t>서울특별시 영등포구 양산로 53 (양평동3가)</t>
  </si>
  <si>
    <t>지나인솔루션 주식회사</t>
  </si>
  <si>
    <t>(주)코아람</t>
  </si>
  <si>
    <t>경기도 화성시 남양읍 남양로 248-2</t>
  </si>
  <si>
    <t>주식회사 코아람</t>
  </si>
  <si>
    <t>전라남도 담양군 담양읍 에코산단6로 33</t>
  </si>
  <si>
    <t>주식회사 창의에스텍</t>
  </si>
  <si>
    <t>서울특별시 강남구 언주로130길 23 (논현동)</t>
  </si>
  <si>
    <t>주식회사 지디엠씨</t>
  </si>
  <si>
    <t>202동 10층 4호 (춘의동 춘의테크노파크 2차)</t>
  </si>
  <si>
    <t>경기도 부천시 부천로198번길 18 (춘의동)</t>
  </si>
  <si>
    <t>주식회사 엔에이피에스</t>
  </si>
  <si>
    <t>309호 (관평동 한신에스메카)</t>
  </si>
  <si>
    <t>주식회사 아이자랩</t>
  </si>
  <si>
    <t>솔브</t>
  </si>
  <si>
    <t>경기도 이천시 마장면 덕이로 180-89</t>
  </si>
  <si>
    <t>주식회사 솔브</t>
  </si>
  <si>
    <t>1905호(재송동 센텀아이에스타워)</t>
  </si>
  <si>
    <t>주식회사 룬디자인</t>
  </si>
  <si>
    <t>경상북도 영주시 장수면 장수로220번길 49</t>
  </si>
  <si>
    <t>주식회사 동아</t>
  </si>
  <si>
    <t>재생 섬유 제조업</t>
  </si>
  <si>
    <t>대구광역시 달서구 장기로 364-12 (장기동)</t>
  </si>
  <si>
    <t>주식회사 도트코퍼레이션</t>
  </si>
  <si>
    <t>대금산업안전</t>
  </si>
  <si>
    <t>경상북도 울진군 죽변면 매정1길 87</t>
  </si>
  <si>
    <t>주식회사 대금산업안전</t>
  </si>
  <si>
    <t>4층 2호</t>
  </si>
  <si>
    <t>부산광역시 연제구 온천천남로 128 (연산동)</t>
  </si>
  <si>
    <t>주식회사 다온테크닉스</t>
  </si>
  <si>
    <t>908-2호</t>
  </si>
  <si>
    <t>서울특별시 금천구 가산디지털2로 108 (가산동)</t>
  </si>
  <si>
    <t>주식회사 기창큐브</t>
  </si>
  <si>
    <t>대구광역시 달성군 논공읍 논공로 198</t>
  </si>
  <si>
    <t>에코코</t>
  </si>
  <si>
    <t>서울특별시 마포구 마포대로4다길 18 (마포동)</t>
  </si>
  <si>
    <t>에이티이코리아 주식회사</t>
  </si>
  <si>
    <t>12층</t>
  </si>
  <si>
    <t>서울특별시 마포구 어울마당로 94-14 (서교동)</t>
  </si>
  <si>
    <t>신스타프리젠츠 주식회사</t>
  </si>
  <si>
    <t>선우특수소재</t>
  </si>
  <si>
    <t>경기도 시흥시 신현로 369 (방산동)</t>
  </si>
  <si>
    <t>129-1</t>
  </si>
  <si>
    <t>경기도 남양주시 진접읍 팔야로 127</t>
  </si>
  <si>
    <t>마네킹팩토리</t>
  </si>
  <si>
    <t>경상북도 구미시 형곡로16길 5-14 (형곡동)</t>
  </si>
  <si>
    <t>디블루</t>
  </si>
  <si>
    <t>대구테크노파크 12층 도움주식회사</t>
  </si>
  <si>
    <t>대구광역시 동구 동대구로 475 (신천동)</t>
  </si>
  <si>
    <t>도움 주식회사</t>
  </si>
  <si>
    <t>경상북도 김천시 아포읍 아포공단길 23</t>
  </si>
  <si>
    <t>덕원테크</t>
  </si>
  <si>
    <t>경기도 화성시 마도면 청원로 126-6</t>
  </si>
  <si>
    <t>더드림주식회사</t>
  </si>
  <si>
    <t>청년큐브 303호</t>
  </si>
  <si>
    <t>경기도 안산시 상록구 광덕산안길 20 (월피동)</t>
  </si>
  <si>
    <t>나누(NANU)</t>
  </si>
  <si>
    <t>12층 1848호</t>
  </si>
  <si>
    <t>긱웍스에이아이</t>
  </si>
  <si>
    <t>부산광역시 수영구 망미배산로30번길 15 (망미동)</t>
  </si>
  <si>
    <t>(주)제이라로비</t>
  </si>
  <si>
    <t>동탄비즈타워 813호</t>
  </si>
  <si>
    <t>경기도 화성시 동탄첨단산업1로 63-12 (영천동)</t>
  </si>
  <si>
    <t>(주)오픈코리아</t>
  </si>
  <si>
    <t>대구광역시 북구 학남로3길 39 (학정동)</t>
  </si>
  <si>
    <t>(주)아이솔</t>
  </si>
  <si>
    <t>경상남도 김해시 김해대로2579번길 76-25 (안동)</t>
  </si>
  <si>
    <t>(주)비씨티씨</t>
  </si>
  <si>
    <t>라마다호텔 비즈니스센터 310호</t>
  </si>
  <si>
    <t>서울특별시 강남구 봉은사로 410 (삼성동)</t>
  </si>
  <si>
    <t>(주)라이브커머스</t>
  </si>
  <si>
    <t>제주특별자치도 제주시 오라로18길 11-5 (오라일동)</t>
  </si>
  <si>
    <t>화수</t>
  </si>
  <si>
    <t>2층 4호</t>
  </si>
  <si>
    <t>경기도 부천시 부광로16번길 29 (괴안동)</t>
  </si>
  <si>
    <t>피엠에스[PMS]</t>
  </si>
  <si>
    <t>경북테크노파크 글로벌벤처동303호</t>
  </si>
  <si>
    <t>퐁당</t>
  </si>
  <si>
    <t>산학협력관 303호</t>
  </si>
  <si>
    <t>테크스튜디오</t>
  </si>
  <si>
    <t>제주특별자치도 서귀포시 중정로 86 (서귀동)</t>
  </si>
  <si>
    <t>지슬이노베이션</t>
  </si>
  <si>
    <t>4동 동성이앤지(주) 공장내</t>
  </si>
  <si>
    <t>충청남도 부여군 홍산면 비홍로 31</t>
  </si>
  <si>
    <t>준라이팅</t>
  </si>
  <si>
    <t>(주)용인특장</t>
  </si>
  <si>
    <t>경기도 용인시 처인구 모현읍 백옥대로 2135-8</t>
  </si>
  <si>
    <t>주식회사용인특장</t>
  </si>
  <si>
    <t>기타 선박 건조업</t>
  </si>
  <si>
    <t>해길</t>
  </si>
  <si>
    <t>경상남도 고성군 고성읍 송학고분로 306</t>
  </si>
  <si>
    <t>주식회사 해길</t>
  </si>
  <si>
    <t>한국공항공사 항공지원센터 2층 가꾼 office-G</t>
  </si>
  <si>
    <t>서울특별시 강서구 하늘길 70 (과해동)</t>
  </si>
  <si>
    <t>주식회사 플래틱스</t>
  </si>
  <si>
    <t>1동 301호</t>
  </si>
  <si>
    <t>경기도 군포시 공단로 356-54 (산본동)</t>
  </si>
  <si>
    <t>주식회사 티엔엠즈</t>
  </si>
  <si>
    <t>2003-1호</t>
  </si>
  <si>
    <t>서울특별시 구로구 디지털로 288 (구로동)</t>
  </si>
  <si>
    <t>주식회사 퀀텀에듀솔루션</t>
  </si>
  <si>
    <t>에이동 1706호</t>
  </si>
  <si>
    <t>경기도 수원시 영통구 광교중앙로 170 (하동)</t>
  </si>
  <si>
    <t>주식회사 카인드소프트</t>
  </si>
  <si>
    <t>전라북도 전주시 덕진구 기린대로 452 (덕진동1가)</t>
  </si>
  <si>
    <t>주식회사 청세</t>
  </si>
  <si>
    <t>전라남도 강진군 성전면 강진산단로2길 109</t>
  </si>
  <si>
    <t>주식회사 진성이앤씨</t>
  </si>
  <si>
    <t>전라남도 강진군 성전면 강진산단로2길 103</t>
  </si>
  <si>
    <t>주식회사 진성산업</t>
  </si>
  <si>
    <t>시화공단 2라518호</t>
  </si>
  <si>
    <t>경기도 시흥시 군자천로119번길 39 (정왕동)</t>
  </si>
  <si>
    <t>주식회사 일심산업</t>
  </si>
  <si>
    <t>5011호</t>
  </si>
  <si>
    <t>서울특별시 강남구 선릉로 529 (역삼동)</t>
  </si>
  <si>
    <t>주식회사 인졀미</t>
  </si>
  <si>
    <t>세종특별자치시 한누리대로 350 (어진동)</t>
  </si>
  <si>
    <t>주식회사 이음소프트</t>
  </si>
  <si>
    <t>제주종합비즈니스센터 404호</t>
  </si>
  <si>
    <t>제주특별자치도 제주시 첨단로 213-65 (영평동)</t>
  </si>
  <si>
    <t>주식회사 웨이플러스</t>
  </si>
  <si>
    <t>A동</t>
  </si>
  <si>
    <t>대구광역시 달성군 논공읍 논공중앙로45길 22-9</t>
  </si>
  <si>
    <t>주식회사 예단라이팅</t>
  </si>
  <si>
    <t>비메모리용 및 기타 전자집적회로 제조업</t>
  </si>
  <si>
    <t>606-302</t>
  </si>
  <si>
    <t>서울특별시 마포구 매봉산로 18 (상암동)</t>
  </si>
  <si>
    <t>주식회사 엠피웨이브</t>
  </si>
  <si>
    <t>제주특별자치도 제주시 간월동로 16 (아라이동)</t>
  </si>
  <si>
    <t>주식회사 에코지움</t>
  </si>
  <si>
    <t>서울특별시 강남구 삼성로85길 39 (대치동)</t>
  </si>
  <si>
    <t>주식회사 에이아이스튜디오</t>
  </si>
  <si>
    <t>윈드스톤오피스텔 1912호</t>
  </si>
  <si>
    <t>서울특별시 서초구 논현로 79 (양재동)</t>
  </si>
  <si>
    <t>주식회사 에스투랩</t>
  </si>
  <si>
    <t>부산광역시 남구 자성로 152 (문현동)</t>
  </si>
  <si>
    <t>주식회사 씨에스정보기술</t>
  </si>
  <si>
    <t>동력식 수지 공구 제조업</t>
  </si>
  <si>
    <t>503호(용당동 부경대학교 산학협력관)</t>
  </si>
  <si>
    <t>주식회사 시노팩 (SINNOPAC Inc.)</t>
  </si>
  <si>
    <t>경상북도 경산시 진량읍 보인길8길 25</t>
  </si>
  <si>
    <t>주식회사 수건업</t>
  </si>
  <si>
    <t>6층 601호</t>
  </si>
  <si>
    <t>서울특별시 강남구 테헤란로 123 (역삼동)</t>
  </si>
  <si>
    <t>주식회사 비팩토리</t>
  </si>
  <si>
    <t>충청남도 논산시 연산면 선비로 1011</t>
  </si>
  <si>
    <t>주식회사 부경콘크리트</t>
  </si>
  <si>
    <t>KIST H-1 951AB (하월곡동)</t>
  </si>
  <si>
    <t>서울특별시 성북구 화랑로14길 5 (하월곡동)</t>
  </si>
  <si>
    <t>주식회사 로아이젠</t>
  </si>
  <si>
    <t>서울특별시 금천구 가산디지털1로 225 (가산동)</t>
  </si>
  <si>
    <t>주식회사 라온마인드</t>
  </si>
  <si>
    <t>618 619호</t>
  </si>
  <si>
    <t>경기도 성남시 중원구 둔촌대로 484 (상대원동)</t>
  </si>
  <si>
    <t>주식회사 다리소프트</t>
  </si>
  <si>
    <t>대전광역시 유성구 노은서로80번길 55 (노은동)</t>
  </si>
  <si>
    <t>주식회사 금풍</t>
  </si>
  <si>
    <t>로얄팰리스테크노1차 505호</t>
  </si>
  <si>
    <t>주식회사 고려기술</t>
  </si>
  <si>
    <t>E19동 9층</t>
  </si>
  <si>
    <t>대전광역시 유성구 대학로 291 (구성동)</t>
  </si>
  <si>
    <t>제이제이엔에스</t>
  </si>
  <si>
    <t>540호(영천동 에스에이치스퀘어투)</t>
  </si>
  <si>
    <t>경기도 화성시 동탄대로 683 (영천동)</t>
  </si>
  <si>
    <t>제이원</t>
  </si>
  <si>
    <t>경상남도 진주시 정촌면 산업로 16</t>
  </si>
  <si>
    <t>제이더블유 하이텍</t>
  </si>
  <si>
    <t>서울특별시 종로구 평창24길 18 (평창동 금강하이츠빌라)</t>
  </si>
  <si>
    <t>잡브릿지</t>
  </si>
  <si>
    <t>서울특별시 강남구 선릉로 670 (삼성동)</t>
  </si>
  <si>
    <t>인포보스 주식회사</t>
  </si>
  <si>
    <t>614호</t>
  </si>
  <si>
    <t>서울특별시 구로구 디지털로26길 111 (구로동)</t>
  </si>
  <si>
    <t>이지메타주식회사</t>
  </si>
  <si>
    <t>1F 엠시베딩</t>
  </si>
  <si>
    <t>대구광역시 달서구 갈밭로12길 13 (대곡동)</t>
  </si>
  <si>
    <t>엠시베딩</t>
  </si>
  <si>
    <t>7층718호</t>
  </si>
  <si>
    <t>에이엠알랩스 주식회사</t>
  </si>
  <si>
    <t>부산광역시 강서구 미음국제5로라길 11 (미음동)</t>
  </si>
  <si>
    <t>에이알티</t>
  </si>
  <si>
    <t>609호</t>
  </si>
  <si>
    <t>서울특별시 금천구 디지털로 121 (가산동)</t>
  </si>
  <si>
    <t>에이아이시스</t>
  </si>
  <si>
    <t>메가비즈타워A동 1015호</t>
  </si>
  <si>
    <t>경기도 화성시 동탄대로 646-2 (영천동)</t>
  </si>
  <si>
    <t>앤테크</t>
  </si>
  <si>
    <t>유기 발광 표시장치 제조업</t>
  </si>
  <si>
    <t>부산광역시 사하구 하신중앙로 324 (하단동)</t>
  </si>
  <si>
    <t>알스코(ARSHCO)</t>
  </si>
  <si>
    <t>광주광역시 북구 첨단벤처소로62번길 8 (월출동)</t>
  </si>
  <si>
    <t>아라</t>
  </si>
  <si>
    <t>부산광역시 강서구 녹산화전로 32 (송정동)</t>
  </si>
  <si>
    <t>씨·티</t>
  </si>
  <si>
    <t>서울특별시 용산구 청파로47길 11 (청파동3가)</t>
  </si>
  <si>
    <t>스피치로그(주)</t>
  </si>
  <si>
    <t>경기도 고양시 일산동구 일산로 142 (백석동)</t>
  </si>
  <si>
    <t>성주</t>
  </si>
  <si>
    <t>경상북도 예천군 예천읍 효자로 185</t>
  </si>
  <si>
    <t>빌드업주식회사</t>
  </si>
  <si>
    <t>302호(성주동 리안빌딩)</t>
  </si>
  <si>
    <t>경상남도 창원시 성산구 곰절길9번길 5 (성주동)</t>
  </si>
  <si>
    <t>비원이티에스 주식회사</t>
  </si>
  <si>
    <t>기타 식품 첨가물 제조업</t>
  </si>
  <si>
    <t>918호</t>
  </si>
  <si>
    <t>경기도 군포시 공단로140번길 46 (당정동)</t>
  </si>
  <si>
    <t>리트(Littes)</t>
  </si>
  <si>
    <t>창업보육센터 201호</t>
  </si>
  <si>
    <t>경상북도 구미시 1공단로 144 (공단동)</t>
  </si>
  <si>
    <t>루미나래</t>
  </si>
  <si>
    <t>특수직물 및 기타 직물 직조업</t>
  </si>
  <si>
    <t>경기도 양주시 광적면 광적로 221-8</t>
  </si>
  <si>
    <t>두발로 주식회사</t>
  </si>
  <si>
    <t>대구광역시 수성구 무학로27길 48-21 (지산동)</t>
  </si>
  <si>
    <t>동일바이오텍</t>
  </si>
  <si>
    <t>광명역자이타워 A동 1406호</t>
  </si>
  <si>
    <t>더함비즈 주식회사</t>
  </si>
  <si>
    <t>103동 608호</t>
  </si>
  <si>
    <t>세종특별자치시 연동면 태산로 58 (세종청정아파트)</t>
  </si>
  <si>
    <t>다빌앤</t>
  </si>
  <si>
    <t>103동 202호</t>
  </si>
  <si>
    <t>경기도 용인시 수지구 용구대로 2742 (죽전동 동성1차아파트)</t>
  </si>
  <si>
    <t>뉴크</t>
  </si>
  <si>
    <t>육류 기타 가공 및 저장 처리업(가금류 제외)</t>
  </si>
  <si>
    <t>강원도 횡성군 강림면 월강길 225</t>
  </si>
  <si>
    <t>농업회사법인(주)횡성맑</t>
  </si>
  <si>
    <t>광주광역시 북구 안산로 75 (삼각동)</t>
  </si>
  <si>
    <t>노아랩</t>
  </si>
  <si>
    <t>1008호</t>
  </si>
  <si>
    <t>서울특별시 중구 청계천로 40 (다동)</t>
  </si>
  <si>
    <t>(주)트립클립</t>
  </si>
  <si>
    <t>단독 주택 건설업</t>
  </si>
  <si>
    <t>세종특별자치시 만남로6길 3 (고운동)</t>
  </si>
  <si>
    <t>(주)트라움목조주택</t>
  </si>
  <si>
    <t>3동 306호</t>
  </si>
  <si>
    <t>(주)아이딕션</t>
  </si>
  <si>
    <t>DMC첨단산업센터 401-9</t>
  </si>
  <si>
    <t>(주)리플레이</t>
  </si>
  <si>
    <t>서울특별시 성북구 화랑로 211 (장위동)</t>
  </si>
  <si>
    <t>(주)다음테크</t>
  </si>
  <si>
    <t>136호(소상공인희망센터)</t>
  </si>
  <si>
    <t>(주)다나퓨쳐</t>
  </si>
  <si>
    <t>대전광역시 서구 월평동로26번길 31 (갈마동)</t>
  </si>
  <si>
    <t>(주)건강생활연구소</t>
  </si>
  <si>
    <t>(유)케이앤제이</t>
  </si>
  <si>
    <t>전라남도 영암군 삼호읍 나불로4길 36</t>
  </si>
  <si>
    <t>전라북도 군산시 백릉로 269 (구암동)</t>
  </si>
  <si>
    <t>(유)더원에프엔씨</t>
  </si>
  <si>
    <t>경상북도 구미시 1공단로2길 4 (공단동)</t>
  </si>
  <si>
    <t>더블테크</t>
  </si>
  <si>
    <t>해수면 양식 어업</t>
  </si>
  <si>
    <t>108호(조선대완도창업보육센터)</t>
  </si>
  <si>
    <t>전라남도 완도군 신지면 명사십리61번길 220</t>
  </si>
  <si>
    <t>농업회사법인 주식회사 씨위브</t>
  </si>
  <si>
    <t>233호</t>
  </si>
  <si>
    <t>경기도 김포시 태장로 751 (장기동)</t>
  </si>
  <si>
    <t>주식회사 비아이바이오포토닉스</t>
  </si>
  <si>
    <t>천연 및 혼합 조제 조미료 제조업</t>
  </si>
  <si>
    <t>913914호</t>
  </si>
  <si>
    <t>경기도 성남시 수정구 위례서일로 22 (창곡동)</t>
  </si>
  <si>
    <t>주식회사 둘레쿡스</t>
  </si>
  <si>
    <t>측량업</t>
  </si>
  <si>
    <t>전라북도 남원시 충정로 418 (고죽동)</t>
  </si>
  <si>
    <t>주식회사 도영이앤지</t>
  </si>
  <si>
    <t>티3동 505호 (장항동 웨스턴돔2)</t>
  </si>
  <si>
    <t>경기도 고양시 일산동구 정발산로 24 (장항동)</t>
  </si>
  <si>
    <t>유진바이오소프트 주식회사</t>
  </si>
  <si>
    <t>창업보육센터 510호</t>
  </si>
  <si>
    <t>엔씨에스바이오랩</t>
  </si>
  <si>
    <t>충무로 헤센스마트 B108호B109호</t>
  </si>
  <si>
    <t>서울특별시 중구 서애로1길 11 (충무로5가)</t>
  </si>
  <si>
    <t>피플스헬스</t>
  </si>
  <si>
    <t>제주특별자치도 제주시 열녀길 56 (아라일동)</t>
  </si>
  <si>
    <t>주식회사 홍재전력</t>
  </si>
  <si>
    <t>테라타워 B동 1405호~1407호</t>
  </si>
  <si>
    <t>서울특별시 송파구 송파대로 167 (문정동)</t>
  </si>
  <si>
    <t>주식회사 파티앱젠</t>
  </si>
  <si>
    <t>DMMC</t>
  </si>
  <si>
    <t>주식회사 에이아이온</t>
  </si>
  <si>
    <t>건강 보조용 액화식품 제조업</t>
  </si>
  <si>
    <t>산학관(창업보육센터) 12206호</t>
  </si>
  <si>
    <t>강원도 춘천시 한림대학길 1 (옥천동)</t>
  </si>
  <si>
    <t>주식회사 앨커미</t>
  </si>
  <si>
    <t>902호</t>
  </si>
  <si>
    <t>인천광역시 연수구 송도과학로16번길 13-18 (송도동)</t>
  </si>
  <si>
    <t>주식회사 레이아웃</t>
  </si>
  <si>
    <t>제주특별자치도 서귀포시 516로 452 (상효동)</t>
  </si>
  <si>
    <t>아침조경</t>
  </si>
  <si>
    <t>경기도 부천시 도약로 308 (도당동)</t>
  </si>
  <si>
    <t>스마트아이티(주)</t>
  </si>
  <si>
    <t>보듬관 903호</t>
  </si>
  <si>
    <t>(주)하비메이커스</t>
  </si>
  <si>
    <t>생활용 가구 도매업</t>
  </si>
  <si>
    <t>부산광역시 해운대구 재반로60번길 47 (재송동)</t>
  </si>
  <si>
    <t>해운대OA사무가구</t>
  </si>
  <si>
    <t>기관차 및 기타 철도 차량 제조업</t>
  </si>
  <si>
    <t>대구광역시 달서구 성서서로 175 (갈산동)</t>
  </si>
  <si>
    <t>합동공업</t>
  </si>
  <si>
    <t>부산광역시 사상구 새벽로168번길 22 (감전동)</t>
  </si>
  <si>
    <t>한국기술인증</t>
  </si>
  <si>
    <t>지층</t>
  </si>
  <si>
    <t>서울특별시 성동구 왕십리로14길 19-1 (성수동1가)</t>
  </si>
  <si>
    <t>푸른어스주식회사</t>
  </si>
  <si>
    <t>서울특별시 서초구 남부순환로 2497 (서초동)</t>
  </si>
  <si>
    <t>포스필 주식회사</t>
  </si>
  <si>
    <t>충청남도 아산시 둔포면 아산밸리동로 211</t>
  </si>
  <si>
    <t>티에스테크</t>
  </si>
  <si>
    <t>(녹산동)</t>
  </si>
  <si>
    <t>부산광역시 강서구 낙동남로644번길 15 (녹산동)</t>
  </si>
  <si>
    <t>투와이테크주식회사</t>
  </si>
  <si>
    <t>대구광역시 서구 평리로 314 (내당동)</t>
  </si>
  <si>
    <t>준ENG</t>
  </si>
  <si>
    <t>그 외 기타 달리 분류되지 않은 개인 서비스업</t>
  </si>
  <si>
    <t>3층 314호</t>
  </si>
  <si>
    <t>서울특별시 서초구 양재대로12길 36 (양재동)</t>
  </si>
  <si>
    <t>주식회사통인에이치앤씨</t>
  </si>
  <si>
    <t>5층(서초동현빌딩)</t>
  </si>
  <si>
    <t>서울특별시 서초구 서초중앙로 149-10 (서초동)</t>
  </si>
  <si>
    <t>주식회사모르제</t>
  </si>
  <si>
    <t>주철관 제조업</t>
  </si>
  <si>
    <t>전라남도 나주시 동수농공단지길 100-31 (운곡동)</t>
  </si>
  <si>
    <t>주식회사 현성산업</t>
  </si>
  <si>
    <t>청광빌딩 4층</t>
  </si>
  <si>
    <t>서울특별시 서초구 마방로2길 78 (양재동)</t>
  </si>
  <si>
    <t>주식회사 코너스톤 리테일앤후레쉬</t>
  </si>
  <si>
    <t>윈텍벤처빌딩 4층</t>
  </si>
  <si>
    <t>경기도 의왕시 벌모루앞길 14 (포일동)</t>
  </si>
  <si>
    <t>주식회사 지비</t>
  </si>
  <si>
    <t>202-6호</t>
  </si>
  <si>
    <t>경기도 안양시 동안구 엘에스로91번길 46-24 (호계동)</t>
  </si>
  <si>
    <t>주식회사 엠피가드</t>
  </si>
  <si>
    <t>한국교통대 창업보육센터 11동 108호</t>
  </si>
  <si>
    <t>충청북도 증평군 증평읍 대학로 61</t>
  </si>
  <si>
    <t>주식회사 에이치에이씨</t>
  </si>
  <si>
    <t xml:space="preserve"> 213214호(성남고령친화종합체험관)</t>
  </si>
  <si>
    <t>주식회사 에이치베이스</t>
  </si>
  <si>
    <t>신구대학교 창업관 310호</t>
  </si>
  <si>
    <t>경기도 성남시 중원구 광명로 377 (금광동)</t>
  </si>
  <si>
    <t>주식회사 어썸랩</t>
  </si>
  <si>
    <t>주차장 운영업</t>
  </si>
  <si>
    <t>4층(양재동)</t>
  </si>
  <si>
    <t>주식회사 씨에스모빌리티</t>
  </si>
  <si>
    <t>영화 비디오물 및 방송 프로그램 제작 관련 서비스업</t>
  </si>
  <si>
    <t>202동 1410-2호</t>
  </si>
  <si>
    <t>주식회사 스튜디오브이알</t>
  </si>
  <si>
    <t>표면 광택제 및 실내 가향제 제조업</t>
  </si>
  <si>
    <t>부산광역시 동구 중앙대로296번길 3-3 (초량동)</t>
  </si>
  <si>
    <t>주식회사 센트프로</t>
  </si>
  <si>
    <t>1-3층</t>
  </si>
  <si>
    <t>경기도 안산시 단원구 갖바치로 43 (성곡동)</t>
  </si>
  <si>
    <t>주식회사 삼마제약</t>
  </si>
  <si>
    <t>103호 (남산동2가 열매나눔빌딩)</t>
  </si>
  <si>
    <t>서울특별시 중구 퇴계로20길 37 (남산동2가)</t>
  </si>
  <si>
    <t>주식회사 보티카글로벌</t>
  </si>
  <si>
    <t>그 외 기타 식료품 제조업</t>
  </si>
  <si>
    <t>전라남도 무안군 삼향읍 남악4로 86</t>
  </si>
  <si>
    <t>주식회사 보삼바이오산업</t>
  </si>
  <si>
    <t>서울특별시 동대문구 서울시립대로27길 34 (전농동 포시즌)</t>
  </si>
  <si>
    <t>주식회사 미래공간기술</t>
  </si>
  <si>
    <t>기타 자연과학 연구개발업</t>
  </si>
  <si>
    <t>8동 1402호</t>
  </si>
  <si>
    <t>대전광역시 서구 둔산북로 215 (둔산동 가람아파트)</t>
  </si>
  <si>
    <t>주식회사 라도포스</t>
  </si>
  <si>
    <t>부직포 및 펠트 제조업</t>
  </si>
  <si>
    <t>경상남도 김해시 상동면 동북로473번길 255-35</t>
  </si>
  <si>
    <t>주식회사 디에스첨단소재</t>
  </si>
  <si>
    <t xml:space="preserve"> 331호(서울과학기술대학교 제2창업보육센터)</t>
  </si>
  <si>
    <t>서울특별시 노원구 공릉로 232 (공릉동)</t>
  </si>
  <si>
    <t>주식회사 다해줘테크</t>
  </si>
  <si>
    <t>소독 구충 및 방제 서비스업</t>
  </si>
  <si>
    <t>서울특별시 송파구 중대로 318 (오금동)</t>
  </si>
  <si>
    <t>주식회사 가온아이피엠</t>
  </si>
  <si>
    <t>대구광역시 북구 구리로 20-1 (학정동)</t>
  </si>
  <si>
    <t>정성기프트</t>
  </si>
  <si>
    <t>B7동(신기술창업) 204호(월출동 한국광기술원)</t>
  </si>
  <si>
    <t>광주광역시 북구 첨단벤처소로38번길 20-13 (월출동)</t>
  </si>
  <si>
    <t>일호솔루션 주식회사</t>
  </si>
  <si>
    <t>윤성에스티</t>
  </si>
  <si>
    <t>경기도 포천시 소흘읍 죽엽산로196번길 12</t>
  </si>
  <si>
    <t>광주광역시 광산구 하남산단천변좌로 19 (오선동)</t>
  </si>
  <si>
    <t>위드에너 주식회사</t>
  </si>
  <si>
    <t>803호</t>
  </si>
  <si>
    <t>경기도 성남시 분당구 판교역로 182 (삼평동)</t>
  </si>
  <si>
    <t>오픈시스넷</t>
  </si>
  <si>
    <t>서울특별시 금천구 디지털로10길 78 (가산동)</t>
  </si>
  <si>
    <t>에이치씨아이플러스(주)</t>
  </si>
  <si>
    <t>서울특별시 용산구 청파로 292 (청파동2가)</t>
  </si>
  <si>
    <t>신한기업</t>
  </si>
  <si>
    <t>테라타워2 A동 216호</t>
  </si>
  <si>
    <t>세라노틱스(주)</t>
  </si>
  <si>
    <t>제이트리빌딩 3층 302호</t>
  </si>
  <si>
    <t>서울특별시 용산구 녹사평대로 138 (이태원동)</t>
  </si>
  <si>
    <t>비켄</t>
  </si>
  <si>
    <t>508 (한밭대학교 대덕산학융합캠퍼스)</t>
  </si>
  <si>
    <t>비즈마루</t>
  </si>
  <si>
    <t>탑프라자406호</t>
  </si>
  <si>
    <t>경기도 화성시 효행로 1056 (병점동)</t>
  </si>
  <si>
    <t>블랙워터16</t>
  </si>
  <si>
    <t>청년업플랫폼 302호</t>
  </si>
  <si>
    <t>리더스오브그린소사이어티</t>
  </si>
  <si>
    <t>A동 541호(관평동 디티비안오피스텔)</t>
  </si>
  <si>
    <t>대전광역시 유성구 테크노1로 12-22 (관평동)</t>
  </si>
  <si>
    <t>레드빈소프트 주식회사</t>
  </si>
  <si>
    <t>202동 1203호</t>
  </si>
  <si>
    <t>경기도 이천시 마장면 중앙로 35 (호반베르디움 2차)</t>
  </si>
  <si>
    <t>다이토몽키</t>
  </si>
  <si>
    <t>서울특별시 송파구 올림픽로32길 11 (방이동)</t>
  </si>
  <si>
    <t>노리스페이스(NoriS)</t>
  </si>
  <si>
    <t>강원도 홍천군 내면 가덕길 12-27</t>
  </si>
  <si>
    <t>내나린팜</t>
  </si>
  <si>
    <t>706-1호</t>
  </si>
  <si>
    <t>경기도 성남시 중원구 둔촌대로388번길 24 (상대원동)</t>
  </si>
  <si>
    <t>굿라이프주식회사</t>
  </si>
  <si>
    <t>대전광역시 서구 도안북로93번길 20-5 (도안동)</t>
  </si>
  <si>
    <t>가치솔루션</t>
  </si>
  <si>
    <t>서울특별시 영등포구 당산로49길 28 (당산동6가)</t>
  </si>
  <si>
    <t>(주)트루스트체인</t>
  </si>
  <si>
    <t>703호</t>
  </si>
  <si>
    <t>(주)온페이스</t>
  </si>
  <si>
    <t>1209호</t>
  </si>
  <si>
    <t>(주)마인드트렉</t>
  </si>
  <si>
    <t>1901호(봉명동 동아벤처타워)</t>
  </si>
  <si>
    <t>대전광역시 유성구 온천로 59 (봉명동)</t>
  </si>
  <si>
    <t>(사)성원근로장애인협회</t>
  </si>
  <si>
    <t>상가동 B1층 A-115호</t>
  </si>
  <si>
    <t>트래거</t>
  </si>
  <si>
    <t>서울특별시 성동구 아차산로 103 (성수동2가)</t>
  </si>
  <si>
    <t>주식회사펍스케일파트너스</t>
  </si>
  <si>
    <t>빵류 제조업</t>
  </si>
  <si>
    <t>경상북도 김천시 혁신5로 42 (율곡동)</t>
  </si>
  <si>
    <t>주식회사 투마루</t>
  </si>
  <si>
    <t>강원도 평창군 평창읍 농공단지길 24-10</t>
  </si>
  <si>
    <t>주식회사 비알로비</t>
  </si>
  <si>
    <t>공구 소매업</t>
  </si>
  <si>
    <t>315동 1002호</t>
  </si>
  <si>
    <t>인천광역시 계양구 계양문화로 168 (용종동 초정마을 하나아파트)</t>
  </si>
  <si>
    <t>영구상사</t>
  </si>
  <si>
    <t>기타 산업용 기계 및 장비 도매업</t>
  </si>
  <si>
    <t>전라남도 여수시 소라면 죽림4길 21</t>
  </si>
  <si>
    <t>써니텍주식회사</t>
  </si>
  <si>
    <t>경상북도 의성군 구천면 유산1길 31-6</t>
  </si>
  <si>
    <t>달산 농업회사법인(주)</t>
  </si>
  <si>
    <t>대구광역시 달서구 월배로85길 89 (송현동)</t>
  </si>
  <si>
    <t>나무향기</t>
  </si>
  <si>
    <t>대전광역시 유성구 은구비남로7번길 48-19 (지족동)</t>
  </si>
  <si>
    <t>(주)코뷰랩</t>
  </si>
  <si>
    <t>WeWork_U Space BIFC</t>
  </si>
  <si>
    <t>(주)메디펀</t>
  </si>
  <si>
    <t>1910호</t>
  </si>
  <si>
    <t>(주)라온에이텍</t>
  </si>
  <si>
    <t>부산광역시 기장군 기장읍 차성동로 98-19</t>
  </si>
  <si>
    <t>화랑기획</t>
  </si>
  <si>
    <t>213호</t>
  </si>
  <si>
    <t>헬로우프렌즈</t>
  </si>
  <si>
    <t>2층 203호</t>
  </si>
  <si>
    <t>대구광역시 달서구 학산로7안길 83-25 (본동)</t>
  </si>
  <si>
    <t>한스미디어</t>
  </si>
  <si>
    <t>4층 m동 415호</t>
  </si>
  <si>
    <t>충청남도 천안시 서북구 백석공단1로 10 (백석동)</t>
  </si>
  <si>
    <t>하나네트웍스 주식회사</t>
  </si>
  <si>
    <t>경기도 안산시 상록구 선진로 108 (사동 본오1차아파트)</t>
  </si>
  <si>
    <t>팬바인</t>
  </si>
  <si>
    <t>b01호</t>
  </si>
  <si>
    <t>서울특별시 강동구 구천면로42길 102 (천호동)</t>
  </si>
  <si>
    <t>트유니</t>
  </si>
  <si>
    <t>탐모라종합광고</t>
  </si>
  <si>
    <t>제주특별자치도 제주시 연삼로 232 (오라일동)</t>
  </si>
  <si>
    <t>경기도 양주시 은현면 화합로 869</t>
  </si>
  <si>
    <t>큐브존</t>
  </si>
  <si>
    <t>경기도 화성시 양감면 초록로 349</t>
  </si>
  <si>
    <t>충만산업</t>
  </si>
  <si>
    <t>인천광역시 서구 검단로 441 (왕길동)</t>
  </si>
  <si>
    <t>초록산업주식회사</t>
  </si>
  <si>
    <t>경상남도 김해시 주촌면 서부로1341번길 19</t>
  </si>
  <si>
    <t>창조테크윈</t>
  </si>
  <si>
    <t>창업보육센터 2호관 1212호</t>
  </si>
  <si>
    <t>지오에스(GOS)</t>
  </si>
  <si>
    <t>경기도 남양주시 진접읍 해밀예당1로189번길 21-19</t>
  </si>
  <si>
    <t>지에이시엔지니어링</t>
  </si>
  <si>
    <t>1층101호</t>
  </si>
  <si>
    <t>전라남도 장성군 황룡면 강변로 452-16</t>
  </si>
  <si>
    <t>주식회사팀버</t>
  </si>
  <si>
    <t>경기도 화성시 향남읍 발안로464번길 25-33</t>
  </si>
  <si>
    <t>주식회사매직그레이팅</t>
  </si>
  <si>
    <t>토공사업</t>
  </si>
  <si>
    <t>1층(상동 한양타운)</t>
  </si>
  <si>
    <t>전라북도 정읍시 원상1길 2 (상동)</t>
  </si>
  <si>
    <t>주식회사 해븐</t>
  </si>
  <si>
    <t>직원 훈련기관</t>
  </si>
  <si>
    <t>서울특별시 성북구 장월로1마길 5 (하월곡동)</t>
  </si>
  <si>
    <t>주식회사 퍼블릭에듀</t>
  </si>
  <si>
    <t>경상북도 포항시 북구 기계면 기계로428번길 8</t>
  </si>
  <si>
    <t>주식회사 테크원</t>
  </si>
  <si>
    <t>콜센터 및 텔레마케팅 서비스업</t>
  </si>
  <si>
    <t>무광오피스 1204호</t>
  </si>
  <si>
    <t>경기도 부천시 길주로 276 (중동)</t>
  </si>
  <si>
    <t>주식회사 콜포유</t>
  </si>
  <si>
    <t>지하2층 106호</t>
  </si>
  <si>
    <t>서울특별시 강남구 가로수길 41 (신사동)</t>
  </si>
  <si>
    <t>주식회사 코디너리</t>
  </si>
  <si>
    <t>501호</t>
  </si>
  <si>
    <t>서울특별시 송파구 백제고분로32길 29-2 (삼전동)</t>
  </si>
  <si>
    <t>주식회사 캐스트</t>
  </si>
  <si>
    <t>그 외 기타 개인 및 가정용품 임대업</t>
  </si>
  <si>
    <t>충북대학교 학연산공동기술연구원 506호</t>
  </si>
  <si>
    <t>주식회사 지움</t>
  </si>
  <si>
    <t>부산광역시 강서구 유통단지1로 76 (대저2동)</t>
  </si>
  <si>
    <t>주식회사 중심티엔씨</t>
  </si>
  <si>
    <t>전라남도 장성군 남면 나노산단5로 57</t>
  </si>
  <si>
    <t>주식회사 제이에스바이오</t>
  </si>
  <si>
    <t>충청북도 음성군 금왕읍 행제길55번길 42-13</t>
  </si>
  <si>
    <t>주식회사 이룸그룹</t>
  </si>
  <si>
    <t>1동 (주)엠팸</t>
  </si>
  <si>
    <t>충청남도 천안시 서북구 직산읍 남산2길 114-1</t>
  </si>
  <si>
    <t>주식회사 엠팸</t>
  </si>
  <si>
    <t>보고빌딩 5층</t>
  </si>
  <si>
    <t>서울특별시 강남구 압구정로8길 10 (신사동)</t>
  </si>
  <si>
    <t>주식회사 엔엠파트너스</t>
  </si>
  <si>
    <t>경기도 광명시 하안로 60 (소하동)</t>
  </si>
  <si>
    <t>주식회사 에이펄스테크롤리지</t>
  </si>
  <si>
    <t>경기도 남양주시 진접읍 경복대로512번길 7-8</t>
  </si>
  <si>
    <t>주식회사 에이치엠씨</t>
  </si>
  <si>
    <t>501-57호</t>
  </si>
  <si>
    <t>서울특별시 서초구 남부순환로 2636 (양재동)</t>
  </si>
  <si>
    <t>주식회사 에이비스</t>
  </si>
  <si>
    <t>전라남도 순천시 장평2길 11 (풍덕동)</t>
  </si>
  <si>
    <t>주식회사 에스엠티</t>
  </si>
  <si>
    <t>전라북도 전주시 덕진구 원만성로 106 (팔복동2가)</t>
  </si>
  <si>
    <t>주식회사 에스엠전자</t>
  </si>
  <si>
    <t>알루미늄 압연 압출 및 연신제품 제조업</t>
  </si>
  <si>
    <t>충청남도 부여군 홍산면 비홍로 55</t>
  </si>
  <si>
    <t>주식회사 에스엠산업</t>
  </si>
  <si>
    <t>1층 아트원</t>
  </si>
  <si>
    <t>제주특별자치도 제주시 애월읍 애월로18길 13</t>
  </si>
  <si>
    <t>주식회사 아트원</t>
  </si>
  <si>
    <t>제7층 제엘-7137호</t>
  </si>
  <si>
    <t>서울특별시 송파구 충민로 66 (문정동)</t>
  </si>
  <si>
    <t>주식회사 아이투프럼</t>
  </si>
  <si>
    <t>계유빌딩 4층</t>
  </si>
  <si>
    <t>서울특별시 강남구 논현로 332 (역삼동)</t>
  </si>
  <si>
    <t>주식회사 아이디엔디</t>
  </si>
  <si>
    <t>인천광역시 남동구 선수촌공원로17번길 1 (구월동)</t>
  </si>
  <si>
    <t>주식회사 아소르</t>
  </si>
  <si>
    <t>서울특별시 마포구 양화로8길 38 (서교동)</t>
  </si>
  <si>
    <t>주식회사 씽킹랩</t>
  </si>
  <si>
    <t>서울특별시 송파구 올림픽로35길 123 (신천동)</t>
  </si>
  <si>
    <t>주식회사 쎄이프리</t>
  </si>
  <si>
    <t>유니온센터 1003호</t>
  </si>
  <si>
    <t>주식회사 써머캣</t>
  </si>
  <si>
    <t>1층 스타윙스</t>
  </si>
  <si>
    <t>서울특별시 강남구 언주로135길 29 (논현동)</t>
  </si>
  <si>
    <t>주식회사 스타윙스</t>
  </si>
  <si>
    <t>서울특별시 송파구 중대로 197 (가락동)</t>
  </si>
  <si>
    <t>주식회사 삼일비앤씨</t>
  </si>
  <si>
    <t>창업지원단201호</t>
  </si>
  <si>
    <t>주식회사 비즈링크</t>
  </si>
  <si>
    <t>하우스디스마트밸리 f201</t>
  </si>
  <si>
    <t>주식회사 무한네트웍스</t>
  </si>
  <si>
    <t>지정 외 폐기물 수집 운반업</t>
  </si>
  <si>
    <t>제주특별자치도 제주시 해안마을북길 33 (해안동)</t>
  </si>
  <si>
    <t>주식회사 명보</t>
  </si>
  <si>
    <t>창업보육센터 2417호</t>
  </si>
  <si>
    <t>경상남도 양산시 명곡로 321 (명곡동)</t>
  </si>
  <si>
    <t>주식회사 메텍</t>
  </si>
  <si>
    <t>경상남도 김해시 주촌면 서부로1701번안길 84</t>
  </si>
  <si>
    <t>주식회사 루키31</t>
  </si>
  <si>
    <t>서울특별시 성북구 고려대로 102-2 (안암동5가)</t>
  </si>
  <si>
    <t>주식회사 로보트리</t>
  </si>
  <si>
    <t>양주시청 청년센터</t>
  </si>
  <si>
    <t>경기도 양주시 부흥로 1533 (남방동)</t>
  </si>
  <si>
    <t>주식회사 도레미파</t>
  </si>
  <si>
    <t>금속 성형기계 제조업</t>
  </si>
  <si>
    <t>4동 401호</t>
  </si>
  <si>
    <t>대전광역시 대덕구 대화로32번길 132 (대화동)</t>
  </si>
  <si>
    <t>주식회사 대원테크</t>
  </si>
  <si>
    <t>5408호</t>
  </si>
  <si>
    <t>경기도 성남시 수정구 복정로 76 (복정동)</t>
  </si>
  <si>
    <t>주식회사 노바챔프</t>
  </si>
  <si>
    <t>209호 (우산동 창업벤처관)</t>
  </si>
  <si>
    <t>강원도 원주시 상지대길 83 (우산동)</t>
  </si>
  <si>
    <t>주식회사 네오에이블</t>
  </si>
  <si>
    <t>광주광역시 북구 하서로 215 (양산동)</t>
  </si>
  <si>
    <t>주식회사 나눔세상</t>
  </si>
  <si>
    <t>본사/공장</t>
  </si>
  <si>
    <t>충청북도 청주시 서원구 남이면 남석로 337</t>
  </si>
  <si>
    <t>주식회사 그린팩토리</t>
  </si>
  <si>
    <t>해비치빌딩 801호 802호</t>
  </si>
  <si>
    <t>세종특별자치시 대평로 75 (대평동)</t>
  </si>
  <si>
    <t>주식회사 과학기술전략연구소</t>
  </si>
  <si>
    <t>본관동 302호 강원대학교 창업보육센터</t>
  </si>
  <si>
    <t>유한책임회사 트루비연구소</t>
  </si>
  <si>
    <t>벤처창업관 215호</t>
  </si>
  <si>
    <t>경상북도 구미시 대학로 61 (양호동)</t>
  </si>
  <si>
    <t>유일 랩</t>
  </si>
  <si>
    <t>부산광역시 해운대구 반송로877번길 60 (반송동)</t>
  </si>
  <si>
    <t>올인원진텍</t>
  </si>
  <si>
    <t>그 외 기타 봉제의복 제조업</t>
  </si>
  <si>
    <t>경상북도 영천시 화북면 정각길 71-23</t>
  </si>
  <si>
    <t>오송어패럴</t>
  </si>
  <si>
    <t>경기도 의정부시 호국로1298번길 8 (의정부동)</t>
  </si>
  <si>
    <t>예도산업</t>
  </si>
  <si>
    <t>413호</t>
  </si>
  <si>
    <t>엠에스엘엠 주식회사</t>
  </si>
  <si>
    <t>대우메종리브르 b1-17 엠시티</t>
  </si>
  <si>
    <t>경기도 고양시 일산동구 호수로 672 (장항동)</t>
  </si>
  <si>
    <t>엠시티</t>
  </si>
  <si>
    <t>동국대학교 산학협력관 306호</t>
  </si>
  <si>
    <t>에이파마</t>
  </si>
  <si>
    <t>전라남도 화순군 능주면 능주농공길 45-4</t>
  </si>
  <si>
    <t>에이블</t>
  </si>
  <si>
    <t>교량 터널 및 철도 건설업</t>
  </si>
  <si>
    <t>충청북도 충주시 금제9길 4 (금릉동)</t>
  </si>
  <si>
    <t>에스지주식회사</t>
  </si>
  <si>
    <t>이씨티빌딩 B동 492호</t>
  </si>
  <si>
    <t>경기도 용인시 기흥구 흥덕2로87번길 18 (영덕동)</t>
  </si>
  <si>
    <t>에스아이콘</t>
  </si>
  <si>
    <t>경기도 안성시 원곡면 승량길 52</t>
  </si>
  <si>
    <t>에스머티리얼 주식회사</t>
  </si>
  <si>
    <t>서울창업디딤터 310호</t>
  </si>
  <si>
    <t>써모아이 주식회사</t>
  </si>
  <si>
    <t>우건빌딩 5층 502호</t>
  </si>
  <si>
    <t>서울특별시 강북구 덕릉로 114 (미아동)</t>
  </si>
  <si>
    <t>시월의빛디자인스튜디오 유한회사</t>
  </si>
  <si>
    <t>A동 413호 (문정동 문정역테라타워)</t>
  </si>
  <si>
    <t>스톤엔지니어링 주식회사</t>
  </si>
  <si>
    <t>1611호</t>
  </si>
  <si>
    <t>대전광역시 유성구 대학로 31 (봉명동 한진리조트)</t>
  </si>
  <si>
    <t>스마트GENEsoft</t>
  </si>
  <si>
    <t>스마트테크노타워 B01호</t>
  </si>
  <si>
    <t>인천광역시 서구 백범로 681 (가좌동)</t>
  </si>
  <si>
    <t>세이버팩토리</t>
  </si>
  <si>
    <t>A동 401호</t>
  </si>
  <si>
    <t>서울특별시 도봉구 도봉로109길 105 (쌍문동 한솔드림빌)</t>
  </si>
  <si>
    <t>샤인</t>
  </si>
  <si>
    <t>부산광역시 강서구 화전산단3로 76 (화전동)</t>
  </si>
  <si>
    <t>삼성티앤아이(주)</t>
  </si>
  <si>
    <t>N동 1층 103호(화정동 28청춘창업소)</t>
  </si>
  <si>
    <t>경기도 고양시 덕양구 화중로104번길 33 (화정동)</t>
  </si>
  <si>
    <t>사운드UP</t>
  </si>
  <si>
    <t>14층 5호</t>
  </si>
  <si>
    <t>비즈웨이브</t>
  </si>
  <si>
    <t>경상남도 김해시 한림면 한림로 119-17</t>
  </si>
  <si>
    <t>볼텍코리아</t>
  </si>
  <si>
    <t>삼보테크노타워 440호</t>
  </si>
  <si>
    <t>경기도 부천시 조마루로385번길 122 (춘의동)</t>
  </si>
  <si>
    <t>모멘트</t>
  </si>
  <si>
    <t>서울특별시 서초구 언남7길 4 (양재동)</t>
  </si>
  <si>
    <t>레버티</t>
  </si>
  <si>
    <t>열간 압연 및 압출제품 제조업</t>
  </si>
  <si>
    <t>경상북도 고령군 우곡면 우곡로 1234-10</t>
  </si>
  <si>
    <t>대정철강</t>
  </si>
  <si>
    <t>DMMC 1층</t>
  </si>
  <si>
    <t>달바다</t>
  </si>
  <si>
    <t>직업 재활원 운영업</t>
  </si>
  <si>
    <t>203호(대야동 세화빌딩)</t>
  </si>
  <si>
    <t>경기도 시흥시 은행로 164 (대야동)</t>
  </si>
  <si>
    <t>노리터사회적협동조합</t>
  </si>
  <si>
    <t>제주특별자치도 서귀포시 동홍로 135-3 (동홍동)</t>
  </si>
  <si>
    <t>남도기획디자인</t>
  </si>
  <si>
    <t>강원도 원주시 치악로1570번길 21 (단구동)</t>
  </si>
  <si>
    <t>기프트원주</t>
  </si>
  <si>
    <t>경기도 여주시 청심로 30 (하동)</t>
  </si>
  <si>
    <t>그린엘이디(LED)</t>
  </si>
  <si>
    <t>의료용품 도매업</t>
  </si>
  <si>
    <t>제주특별자치도 제주시 다랑곶4길 38 (노형동)</t>
  </si>
  <si>
    <t>그린메디</t>
  </si>
  <si>
    <t>경기도 평택시 청북읍 토진3길 5</t>
  </si>
  <si>
    <t>CSOA 컬러스토리</t>
  </si>
  <si>
    <t>충청북도 충주시 주덕읍 중원산업1로 66</t>
  </si>
  <si>
    <t>(주)한성철망</t>
  </si>
  <si>
    <t>포장용 플라스틱 성형용기 제조업</t>
  </si>
  <si>
    <t>경기도 수원시 영통구 매영로159번길 19 (원천동)</t>
  </si>
  <si>
    <t>(주)피씨티</t>
  </si>
  <si>
    <t>충청북도 청주시 상당구 산성로49번길 47 (탑동)</t>
  </si>
  <si>
    <t>(주)크로스컨트롤</t>
  </si>
  <si>
    <t>A611</t>
  </si>
  <si>
    <t>서울특별시 강서구 양천로 401 (가양동)</t>
  </si>
  <si>
    <t>(주)인핸즈글로벌</t>
  </si>
  <si>
    <t>(주)이노버전스</t>
  </si>
  <si>
    <t>경기도 광주시 곤지암읍 경충대로312번길 16-21</t>
  </si>
  <si>
    <t>(주)오투오</t>
  </si>
  <si>
    <t>경상남도 창원시 성산구 월림로39번길 19 (신촌동)</t>
  </si>
  <si>
    <t>(주)엘프시스템</t>
  </si>
  <si>
    <t>1109호</t>
  </si>
  <si>
    <t>인천광역시 부평구 부평대로 293 (청천동)</t>
  </si>
  <si>
    <t>(주)엔지아커넥트</t>
  </si>
  <si>
    <t>지질 조사 및 탐사업</t>
  </si>
  <si>
    <t>서울특별시 송파구 새말로 101 (문정동)</t>
  </si>
  <si>
    <t>(주)에이치에스엔지니어링</t>
  </si>
  <si>
    <t>경기기업성장센터 409호</t>
  </si>
  <si>
    <t>경기도 성남시 수정구 창업로 42 (시흥동)</t>
  </si>
  <si>
    <t>(주)에이올코리아</t>
  </si>
  <si>
    <t>대전광역시 유성구 테크노2로 319 (탑립동)</t>
  </si>
  <si>
    <t>(주)씨에스더블유</t>
  </si>
  <si>
    <t>비금속류 원료 재생업</t>
  </si>
  <si>
    <t>경상북도 경주시 강동면 천강로 1026-28</t>
  </si>
  <si>
    <t>(주)삼정알텍</t>
  </si>
  <si>
    <t>부산광역시 해운대구 재반로 82 (재송동)</t>
  </si>
  <si>
    <t>(주)메디칼이노베이션디벨로퍼</t>
  </si>
  <si>
    <t>동탄k밸리 801호</t>
  </si>
  <si>
    <t>(주)렉스피</t>
  </si>
  <si>
    <t>4연구동 3층</t>
  </si>
  <si>
    <t>경상북도 포항시 남구 청암로 67 (효자동)</t>
  </si>
  <si>
    <t>(주)다원화학</t>
  </si>
  <si>
    <t>콘크리트 타일 기와 벽돌 및 블록 제조업</t>
  </si>
  <si>
    <t>인천광역시 계양구 벌말로 612 (하야동)</t>
  </si>
  <si>
    <t>(주)노드코리아</t>
  </si>
  <si>
    <t>823호</t>
  </si>
  <si>
    <t>(주)나노인</t>
  </si>
  <si>
    <t>909호</t>
  </si>
  <si>
    <t>창인에이비에이션</t>
  </si>
  <si>
    <t>직지스타 1027호</t>
  </si>
  <si>
    <t>충청북도 청주시 흥덕구 직지대로436번길 76 (송정동)</t>
  </si>
  <si>
    <t>직지스퀘어주식회사</t>
  </si>
  <si>
    <t>음ㆍ식료품 및 담배 가공기계 제조업</t>
  </si>
  <si>
    <t>파비뇽가동A133호</t>
  </si>
  <si>
    <t>충청북도 청주시 흥덕구 월명로 212 (봉명동)</t>
  </si>
  <si>
    <t>주식회사한빛에프엠</t>
  </si>
  <si>
    <t>시험생산동202호</t>
  </si>
  <si>
    <t>주식회사오스메딕</t>
  </si>
  <si>
    <t>103동 24층 04호</t>
  </si>
  <si>
    <t>경기도 용인시 수지구 성복1로 62 (성복동 KCC스위첸)</t>
  </si>
  <si>
    <t>주식회사 포인트테크놀러지스</t>
  </si>
  <si>
    <t>산학협동관(35호관) 313호</t>
  </si>
  <si>
    <t>주식회사 지메이드</t>
  </si>
  <si>
    <t>(군서리) (주)엠에스테크놀러지</t>
  </si>
  <si>
    <t>충청남도 천안시 서북구 직산읍 군수1길 205</t>
  </si>
  <si>
    <t>주식회사 엠에스테크놀러지</t>
  </si>
  <si>
    <t>일진골프랜드 203호</t>
  </si>
  <si>
    <t>경상남도 창원시 마산합포구 오동동10길 49 (오동동)</t>
  </si>
  <si>
    <t>주식회사 엔더블유</t>
  </si>
  <si>
    <t>가든파이브웍스 7층 에이701호</t>
  </si>
  <si>
    <t>서울특별시 송파구 충민로 52 (문정동)</t>
  </si>
  <si>
    <t>주식회사 성흥티에스</t>
  </si>
  <si>
    <t>공학원 230호</t>
  </si>
  <si>
    <t>주식회사 보아라</t>
  </si>
  <si>
    <t>산학협력관 213호 (신성대학교)</t>
  </si>
  <si>
    <t>2층 사무실</t>
  </si>
  <si>
    <t>대전광역시 대덕구 대화로 213 (대화동)</t>
  </si>
  <si>
    <t>스마트방재시스템(주)</t>
  </si>
  <si>
    <t>경기도 수원시 영통구 매영로238번길 21 (원천동)</t>
  </si>
  <si>
    <t>사단법인 한국사회적일자리개발원</t>
  </si>
  <si>
    <t>대전광역시 유성구 갑동로25번길 53-28 (갑동)</t>
  </si>
  <si>
    <t>베스트 주식회사</t>
  </si>
  <si>
    <t>505호</t>
  </si>
  <si>
    <t>건강한스푼 주식회사</t>
  </si>
  <si>
    <t>경상북도 구미시 장천면 강동로 221-20</t>
  </si>
  <si>
    <t>(주)케이에스엠</t>
  </si>
  <si>
    <t>서울특별시 영등포구 양평로22길 21 (양평동5가)</t>
  </si>
  <si>
    <t>(주)엑슬리트바이오</t>
  </si>
  <si>
    <t>경기도 광주시 오포읍 봉골길134번길 42-48</t>
  </si>
  <si>
    <t>포맥스전자</t>
  </si>
  <si>
    <t>기타 공동 주택 건설업</t>
  </si>
  <si>
    <t>405동 2702호</t>
  </si>
  <si>
    <t>경기도 부천시 양지로 234-26 (옥길동 엘에이치옥길헤일라움)</t>
  </si>
  <si>
    <t>지음엔지니어링</t>
  </si>
  <si>
    <t>창업보육센터 9202호(양산동 한신대학교)</t>
  </si>
  <si>
    <t>경기도 오산시 한신대길 137 (양산동)</t>
  </si>
  <si>
    <t>주식회사 피알비</t>
  </si>
  <si>
    <t>운현빌딩 202호</t>
  </si>
  <si>
    <t>경기도 수원시 영통구 청명로 87 (영통동)</t>
  </si>
  <si>
    <t>주식회사 버스크</t>
  </si>
  <si>
    <t>편조의복 제조업</t>
  </si>
  <si>
    <t>서울특별시 강동구 올림픽로62길 9-15 (성내동 드림피스)</t>
  </si>
  <si>
    <t>위드겟</t>
  </si>
  <si>
    <t>9층 905호</t>
  </si>
  <si>
    <t>서울특별시 마포구 마포대로 38 (도화동)</t>
  </si>
  <si>
    <t>홀로그램</t>
  </si>
  <si>
    <t>가구 소매업</t>
  </si>
  <si>
    <t>지하1호</t>
  </si>
  <si>
    <t>서울특별시 동작구 사당로16아길 44 (사당동)</t>
  </si>
  <si>
    <t>해솔퍼니처</t>
  </si>
  <si>
    <t>양천청년창업허브</t>
  </si>
  <si>
    <t>서울특별시 양천구 신정로7길 75 (신정동 이든채)</t>
  </si>
  <si>
    <t>플레이블 주식회사</t>
  </si>
  <si>
    <t>302호(충남테크노파크 디스플레이센터)</t>
  </si>
  <si>
    <t>펙사 주식회사</t>
  </si>
  <si>
    <t>지하2층 강남구비즈니스센터 3호</t>
  </si>
  <si>
    <t>서울특별시 강남구 학동로 343 (논현동)</t>
  </si>
  <si>
    <t>팔월삼일 주식회사</t>
  </si>
  <si>
    <t>3층 308호</t>
  </si>
  <si>
    <t>대구광역시 중구 종로 45-4 (종로1가)</t>
  </si>
  <si>
    <t>키미앤코</t>
  </si>
  <si>
    <t>광주광역시 북구 자미로66번길 59 (중흥동)</t>
  </si>
  <si>
    <t>캠핑홀릭스</t>
  </si>
  <si>
    <t>구미첨단의료기술타워 502/503호</t>
  </si>
  <si>
    <t>진메디칼</t>
  </si>
  <si>
    <t>서울특별시 중구 청계천로 100 (수표동)</t>
  </si>
  <si>
    <t>주식회사에이쏠컴퍼니</t>
  </si>
  <si>
    <t>미사강변 SK V1 Center  사무동 625호</t>
  </si>
  <si>
    <t>경기도 하남시 미사강변한강로 155 (망월동)</t>
  </si>
  <si>
    <t>주식회사아이워너비</t>
  </si>
  <si>
    <t>편조 원단 제조업</t>
  </si>
  <si>
    <t>주식회사 글로벌티아이</t>
  </si>
  <si>
    <t>경기도 양주시 남면 화합로 394-8</t>
  </si>
  <si>
    <t>주식회사글로벌티아이</t>
  </si>
  <si>
    <t>234호</t>
  </si>
  <si>
    <t>주식회사 히트솔</t>
  </si>
  <si>
    <t>4층 401-3호 (청천동 (주)도움 본사 및 공장)</t>
  </si>
  <si>
    <t>주식회사 홈팩토리</t>
  </si>
  <si>
    <t>601호 602호</t>
  </si>
  <si>
    <t>서울특별시 강서구 양천로 400-12 (가양동)</t>
  </si>
  <si>
    <t>주식회사 하이오스</t>
  </si>
  <si>
    <t>2층 주식회사 피엘비앤비</t>
  </si>
  <si>
    <t>경기도 구리시 벌말로128번길 49-1 (토평동)</t>
  </si>
  <si>
    <t>주식회사 피엘비앤비</t>
  </si>
  <si>
    <t>가정용 비전기식 조리 및 난방 기구 제조업</t>
  </si>
  <si>
    <t>한국프리믹스 2층</t>
  </si>
  <si>
    <t>경기도 부천시 길주로425번길 131 (도당동)</t>
  </si>
  <si>
    <t>주식회사 플린트랩</t>
  </si>
  <si>
    <t>8층 R05호 (삼평동 경기창조경제혁신센터)</t>
  </si>
  <si>
    <t>주식회사 플랙스</t>
  </si>
  <si>
    <t>지식정보관 423호</t>
  </si>
  <si>
    <t>주식회사 파티클</t>
  </si>
  <si>
    <t>시그마빌딩 4층</t>
  </si>
  <si>
    <t>울산광역시 남구 굴화4길 1 (무거동)</t>
  </si>
  <si>
    <t>주식회사 티엔에스(TNS Corp.)</t>
  </si>
  <si>
    <t>21층 2124호</t>
  </si>
  <si>
    <t>서울특별시 중구 남대문로9길 40 (다동)</t>
  </si>
  <si>
    <t>주식회사 코어마인드</t>
  </si>
  <si>
    <t>8층 814-2호</t>
  </si>
  <si>
    <t>서울특별시 강서구 공항대로 209 (마곡동)</t>
  </si>
  <si>
    <t>주식회사 지오시빌엔지니어링(Geocivil engineering Inc.)</t>
  </si>
  <si>
    <t>410호</t>
  </si>
  <si>
    <t>서울특별시 금천구 가산디지털2로 46 (가산동)</t>
  </si>
  <si>
    <t>주식회사 지비위드원</t>
  </si>
  <si>
    <t>경상남도 김해시 번화1로68번길 9 (대청동)</t>
  </si>
  <si>
    <t>주식회사 제이와이코퍼레이션</t>
  </si>
  <si>
    <t>송호빌딩 4층</t>
  </si>
  <si>
    <t>서울특별시 강남구 봉은사로26길 14 (역삼동)</t>
  </si>
  <si>
    <t>주식회사 유니체스트</t>
  </si>
  <si>
    <t>인천광역시 남동구 서창남순환로215번길 35 (서창동)</t>
  </si>
  <si>
    <t>주식회사 위트콘</t>
  </si>
  <si>
    <t>국제관 4층 김포대학교 창업보육센터 417 418호</t>
  </si>
  <si>
    <t>경기도 김포시 월곶면 김포대학로 97</t>
  </si>
  <si>
    <t>주식회사 영일테크</t>
  </si>
  <si>
    <t>인천광역시 남동구 논현고잔로 78 (고잔동)</t>
  </si>
  <si>
    <t>주식회사 엠택코리아</t>
  </si>
  <si>
    <t>203동 223호</t>
  </si>
  <si>
    <t>주식회사 엔아이디</t>
  </si>
  <si>
    <t>대우테크노파크 B동1201호</t>
  </si>
  <si>
    <t>주식회사 에이티씨</t>
  </si>
  <si>
    <t>건축 설계 및 관련 서비스업</t>
  </si>
  <si>
    <t>B동 3층</t>
  </si>
  <si>
    <t>서울특별시 종로구 종로1길 50 (중학동)</t>
  </si>
  <si>
    <t>주식회사 에이치비프로젝트</t>
  </si>
  <si>
    <t>한양빌딩 1104호</t>
  </si>
  <si>
    <t>서울특별시 영등포구 국회대로70길 18 (여의도동)</t>
  </si>
  <si>
    <t>주식회사 에이블테라퓨틱스</t>
  </si>
  <si>
    <t>대구광역시 달성군 옥포읍 시저로 16</t>
  </si>
  <si>
    <t>주식회사 에스에스팀버</t>
  </si>
  <si>
    <t>경상북도 포항시 남구 효자로118번길 30-1 (효자동)</t>
  </si>
  <si>
    <t>주식회사 안전티앤에프</t>
  </si>
  <si>
    <t>신길씨큐리티</t>
  </si>
  <si>
    <t>경기도 고양시 일산동구 성현로93번길 45-1 (성석동)</t>
  </si>
  <si>
    <t>주식회사 신길씨큐리티</t>
  </si>
  <si>
    <t>1712호(가산동 대륭테크노타운20차)</t>
  </si>
  <si>
    <t>주식회사 시큐오션</t>
  </si>
  <si>
    <t>한국전자기술연구원 연구동 403호</t>
  </si>
  <si>
    <t>광주광역시 북구 첨단과기로 226 (오룡동)</t>
  </si>
  <si>
    <t>주식회사 스핀텍</t>
  </si>
  <si>
    <t>서울특별시 강남구 강남대로114길 16 (논현동)</t>
  </si>
  <si>
    <t>주식회사 쉐커</t>
  </si>
  <si>
    <t>D507호</t>
  </si>
  <si>
    <t>대전광역시 유성구 테크노4로 17 (관평동)</t>
  </si>
  <si>
    <t>주식회사 성심소프트</t>
  </si>
  <si>
    <t>동아대학교 산학연구관 419호</t>
  </si>
  <si>
    <t>부산광역시 사하구 낙동대로550번길 37 (하단동)</t>
  </si>
  <si>
    <t>주식회사 비에프씨씨</t>
  </si>
  <si>
    <t>농업전문창업보육센터 102호</t>
  </si>
  <si>
    <t>주식회사 바이오쓰리에스</t>
  </si>
  <si>
    <t>508호</t>
  </si>
  <si>
    <t>주식회사 디어씨앤비</t>
  </si>
  <si>
    <t>604호</t>
  </si>
  <si>
    <t>충청남도 논산시 중앙로410번길 13-5 (취암동)</t>
  </si>
  <si>
    <t>주식회사 다주</t>
  </si>
  <si>
    <t>가금류 도축업</t>
  </si>
  <si>
    <t>주식회사 늘봄식품</t>
  </si>
  <si>
    <t>강원도 춘천시 공단로 49 (후평동)</t>
  </si>
  <si>
    <t>경기도 안성시 삼죽면 서동대로 6021</t>
  </si>
  <si>
    <t>주식회사 금별산업</t>
  </si>
  <si>
    <t>주식회사 가치랩스</t>
  </si>
  <si>
    <t>지하 1F</t>
  </si>
  <si>
    <t>제주특별자치도 제주시 신산로13길 19 (일도이동)</t>
  </si>
  <si>
    <t>제일인쇄출판</t>
  </si>
  <si>
    <t>서울특별시 관악구 남부순환로226길 9 (봉천동)</t>
  </si>
  <si>
    <t>제이비랩</t>
  </si>
  <si>
    <t>306호 골드벤처타워</t>
  </si>
  <si>
    <t>대전광역시 서구 둔산대로117번길 66 (만년동)</t>
  </si>
  <si>
    <t>인포비정보기술</t>
  </si>
  <si>
    <t>이로운디자인</t>
  </si>
  <si>
    <t>부산광역시 강서구 체육공원로6번길 161-25 (대저1동)</t>
  </si>
  <si>
    <t>조선산업지원센터 별관 203호</t>
  </si>
  <si>
    <t>전라남도 영암군 삼호읍 대불주거3로 55</t>
  </si>
  <si>
    <t>유니온테크</t>
  </si>
  <si>
    <t>산학협력관 330호</t>
  </si>
  <si>
    <t>부산광역시 부산진구 엄광로 176 (가야동)</t>
  </si>
  <si>
    <t>위즈브라운</t>
  </si>
  <si>
    <t>애완용 동물 및 관련용품 소매업</t>
  </si>
  <si>
    <t>제주대학교 창업보육센터 2호관 105106호</t>
  </si>
  <si>
    <t>제주특별자치도 제주시 제주대학로 102 (아라일동)</t>
  </si>
  <si>
    <t>오래오랩</t>
  </si>
  <si>
    <t>기타 사무 지원 서비스업</t>
  </si>
  <si>
    <t>1506호</t>
  </si>
  <si>
    <t>서울특별시 강남구 학동로 342 (논현동)</t>
  </si>
  <si>
    <t>연호에이치오</t>
  </si>
  <si>
    <t>이노플렉스 3동 701호</t>
  </si>
  <si>
    <t>경기도 수원시 영통구 신원로 304 (원천동)</t>
  </si>
  <si>
    <t>에스엠  랩</t>
  </si>
  <si>
    <t>서울특별시 서대문구 간호대로 35 (홍제동)</t>
  </si>
  <si>
    <t>어반랩스</t>
  </si>
  <si>
    <t>408호</t>
  </si>
  <si>
    <t>대전광역시 유성구 유성대로736번길 19 (장대동)</t>
  </si>
  <si>
    <t>아이코웍스</t>
  </si>
  <si>
    <t>유기질 비료 및 상토 제조업</t>
  </si>
  <si>
    <t>B1</t>
  </si>
  <si>
    <t>부산광역시 수영구 광일로29번가길 85 (광안동)</t>
  </si>
  <si>
    <t>소일랩</t>
  </si>
  <si>
    <t>부천테크노파크 301동 302호</t>
  </si>
  <si>
    <t>경기도 부천시 석천로 397 (삼정동)</t>
  </si>
  <si>
    <t>세종뉴텍(주)</t>
  </si>
  <si>
    <t>전라남도 여수시 주삼덕양로 168 (주삼동)</t>
  </si>
  <si>
    <t>서진화학산업</t>
  </si>
  <si>
    <t>창업보육센터 벤처창업관 406호</t>
  </si>
  <si>
    <t>부강H&amp;C</t>
  </si>
  <si>
    <t>충청남도 아산시 음봉면 월암로436번길 81-5</t>
  </si>
  <si>
    <t>메타컴포지트</t>
  </si>
  <si>
    <t>항공기용 부품 제조업</t>
  </si>
  <si>
    <t>2층/4층</t>
  </si>
  <si>
    <t>강원도 춘천시 영서로 2265 (퇴계동)</t>
  </si>
  <si>
    <t>디크리에이티브</t>
  </si>
  <si>
    <t>선유도투웨니퍼스트밸리 404호</t>
  </si>
  <si>
    <t>서울특별시 영등포구 양평로 157 (양평동5가)</t>
  </si>
  <si>
    <t>디지털에이아이</t>
  </si>
  <si>
    <t>비동력식 수공구 제조업</t>
  </si>
  <si>
    <t>부산광역시 사상구 모라로 22 (모라동)</t>
  </si>
  <si>
    <t>디에스케이아이 주식회사</t>
  </si>
  <si>
    <t>A동 1419호</t>
  </si>
  <si>
    <t>노바랩 주식회사</t>
  </si>
  <si>
    <t>524호</t>
  </si>
  <si>
    <t>서울특별시 강남구 강남대로 464 (역삼동)</t>
  </si>
  <si>
    <t>공간21</t>
  </si>
  <si>
    <t>국가물산업클러스터 C309호</t>
  </si>
  <si>
    <t>대구광역시 달성군 구지면 국가산단대로40길 20</t>
  </si>
  <si>
    <t>(주)이엔아이씨티</t>
  </si>
  <si>
    <t>전라북도 익산시 춘포면 증보들길 49-6</t>
  </si>
  <si>
    <t>(주)이앤에이에스</t>
  </si>
  <si>
    <t>2층3층</t>
  </si>
  <si>
    <t>대전광역시 중구 계룡로816번길 16 (오류동)</t>
  </si>
  <si>
    <t>(주)위몬</t>
  </si>
  <si>
    <t>(주)우미신호</t>
  </si>
  <si>
    <t>경기도 용인시 처인구 백암면 근곡로107번길 38</t>
  </si>
  <si>
    <t>1128호~1130호</t>
  </si>
  <si>
    <t>(주)에스티에스엔지니어링</t>
  </si>
  <si>
    <t>포장 공사업</t>
  </si>
  <si>
    <t>2층 215호</t>
  </si>
  <si>
    <t>경상북도 문경시 중앙로 87 (점촌동)</t>
  </si>
  <si>
    <t>(주)에스케이이앤씨</t>
  </si>
  <si>
    <t>공장1동 203호(한남대대덕밸리캠퍼스)</t>
  </si>
  <si>
    <t>대전광역시 유성구 유성대로 1646 (전민동)</t>
  </si>
  <si>
    <t>(주)시스너</t>
  </si>
  <si>
    <t>506호</t>
  </si>
  <si>
    <t>경상남도 창원시 마산합포구 3·15대로 298 (서성동)</t>
  </si>
  <si>
    <t>(주)매그나에너지</t>
  </si>
  <si>
    <t>서울특별시 서초구 강남대로91길 16 (잠원동)</t>
  </si>
  <si>
    <t>(주)리서치퍼스트</t>
  </si>
  <si>
    <t>2동302호</t>
  </si>
  <si>
    <t>전라북도 익산시 약촌로8길 20-23 (영등동)</t>
  </si>
  <si>
    <t>(주)그린라이프아이</t>
  </si>
  <si>
    <t>한동대학교 창업보육센터 203호 (주)감소프트</t>
  </si>
  <si>
    <t>경상북도 포항시 북구 흥해읍 한동로 558</t>
  </si>
  <si>
    <t>(주)감소프트</t>
  </si>
  <si>
    <t>섬유제품 기타 정리 및 마무리 가공업</t>
  </si>
  <si>
    <t>부산광역시 사하구 장평로 451 (괴정동)</t>
  </si>
  <si>
    <t>황실타올(주)</t>
  </si>
  <si>
    <t>대구광역시 달서구 문화회관길 165 (장기동)</t>
  </si>
  <si>
    <t>피엠파이브</t>
  </si>
  <si>
    <t>수빌딩 301호</t>
  </si>
  <si>
    <t>서울특별시 영등포구 당산로49길 29 (당산동6가)</t>
  </si>
  <si>
    <t>플래닝 펍</t>
  </si>
  <si>
    <t>대각빌딩6층</t>
  </si>
  <si>
    <t>서울특별시 서초구 서초대로78길 5 (서초동)</t>
  </si>
  <si>
    <t>텐핑</t>
  </si>
  <si>
    <t>경기도 용인시 처인구 모현읍 백옥대로 2135-12</t>
  </si>
  <si>
    <t>주식회사용인특장차량</t>
  </si>
  <si>
    <t>F915호</t>
  </si>
  <si>
    <t>경기도 하남시 조정대로 45 (풍산동)</t>
  </si>
  <si>
    <t>주식회사엘투티</t>
  </si>
  <si>
    <t>서울대학교 의과대학 국제관 203호 일부 219호</t>
  </si>
  <si>
    <t>서울특별시 종로구 이화장길 71 (동숭동)</t>
  </si>
  <si>
    <t>주식회사 파프리카랩</t>
  </si>
  <si>
    <t>판교세븐벤처밸리 1단지 2동 6층</t>
  </si>
  <si>
    <t>경기도 성남시 분당구 판교로228번길 15 (삼평동)</t>
  </si>
  <si>
    <t>주식회사 트루본</t>
  </si>
  <si>
    <t>주식회사 전속력</t>
  </si>
  <si>
    <t>춘의테크노파크3차 709호</t>
  </si>
  <si>
    <t>경기도 부천시 조마루로385번길 80 (원미동)</t>
  </si>
  <si>
    <t>주식회사 이콘</t>
  </si>
  <si>
    <t>경기도 남양주시 진접읍 주곡로 180</t>
  </si>
  <si>
    <t>주식회사 원일아이씨티</t>
  </si>
  <si>
    <t>경기도 파주시 적성면 적성산단1로 4</t>
  </si>
  <si>
    <t>주식회사 와이제이엔텍</t>
  </si>
  <si>
    <t>철도 궤도 전문공사업</t>
  </si>
  <si>
    <t>2층 201~204호</t>
  </si>
  <si>
    <t>인천광역시 서구 보듬7로 3 (오류동)</t>
  </si>
  <si>
    <t>주식회사 엔트켐</t>
  </si>
  <si>
    <t>선유도 코오롱디지털타워 601호</t>
  </si>
  <si>
    <t>주식회사 엑슬리트엣지</t>
  </si>
  <si>
    <t>인천광역시 연수구 송도과학로 56 (송도동)</t>
  </si>
  <si>
    <t>주식회사 에이티엘</t>
  </si>
  <si>
    <t>7층 피부과 실험실</t>
  </si>
  <si>
    <t>서울특별시 성북구 고려대로 73 (안암동5가)</t>
  </si>
  <si>
    <t>주식회사 에이아이투유</t>
  </si>
  <si>
    <t>C동 901호</t>
  </si>
  <si>
    <t>주식회사 에이블아이앤씨</t>
  </si>
  <si>
    <t>세종빌딩 4층 407호</t>
  </si>
  <si>
    <t>경상남도 양산시 양주1길 11 (중부동)</t>
  </si>
  <si>
    <t>주식회사 에너썸</t>
  </si>
  <si>
    <t>1층 B-1호</t>
  </si>
  <si>
    <t>대전광역시 유성구 유성대로1689번길 8-7 (전민동)</t>
  </si>
  <si>
    <t>주식회사 아고스비전</t>
  </si>
  <si>
    <t>강원도 춘천시 신북읍 배후령길 81-10</t>
  </si>
  <si>
    <t>주식회사 솔리메틱스</t>
  </si>
  <si>
    <t>유진빌딩 5층 비앤큐</t>
  </si>
  <si>
    <t>서울특별시 강남구 압구정로30길 70 (신사동)</t>
  </si>
  <si>
    <t>주식회사 비앤큐</t>
  </si>
  <si>
    <t>사업 및 무형 재산권 중개업</t>
  </si>
  <si>
    <t>서울특별시 강남구 테헤란로 146 (역삼동)</t>
  </si>
  <si>
    <t>주식회사 메디라운드</t>
  </si>
  <si>
    <t>그 외 기타 스포츠 서비스업</t>
  </si>
  <si>
    <t>서울특별시 서초구 사평대로55길 33 (반포동)</t>
  </si>
  <si>
    <t>주식회사 꾸내컴퍼니</t>
  </si>
  <si>
    <t>광고 영화 및 비디오물 제작업</t>
  </si>
  <si>
    <t>인천광역시 미추홀구 인주대로496번길 16 (주안동)</t>
  </si>
  <si>
    <t>제이브로스튜디오스</t>
  </si>
  <si>
    <t>이상고 주식회사</t>
  </si>
  <si>
    <t>신우빌딩 지하 1층</t>
  </si>
  <si>
    <t>서울특별시 강남구 압구정로32길 23 (신사동)</t>
  </si>
  <si>
    <t>유에프유헬스(주)</t>
  </si>
  <si>
    <t>온우리가구</t>
  </si>
  <si>
    <t>경기도 포천시 군내면 꽃배산1길 40</t>
  </si>
  <si>
    <t>1005 A-1호</t>
  </si>
  <si>
    <t>에이치아이테크</t>
  </si>
  <si>
    <t>우측</t>
  </si>
  <si>
    <t>강원도 원주시 북원로2246번길 51 (단계동)</t>
  </si>
  <si>
    <t>에스에이치컴퍼니</t>
  </si>
  <si>
    <t>B동 F332호 (평촌역하이필드)</t>
  </si>
  <si>
    <t>에스에스메디케어</t>
  </si>
  <si>
    <t>5층 청년큐브 17호</t>
  </si>
  <si>
    <t>경기도 안산시 단원구 원포공원1로 59 (초지동)</t>
  </si>
  <si>
    <t>아포트레</t>
  </si>
  <si>
    <t>610호 611호</t>
  </si>
  <si>
    <t>세운인터네셔널 주식회사</t>
  </si>
  <si>
    <t>507호</t>
  </si>
  <si>
    <t>경기도 고양시 일산서구 주화로 180 (대화동)</t>
  </si>
  <si>
    <t>비웨이브 주식회사</t>
  </si>
  <si>
    <t>7층 701호</t>
  </si>
  <si>
    <t>충청북도 청주시 청원구 오창읍 중심상업로 32-13</t>
  </si>
  <si>
    <t>비바케어</t>
  </si>
  <si>
    <t>경기도 안양시 만안구 박달우회로 164 (안양동)</t>
  </si>
  <si>
    <t>불과구름이엔지(주)</t>
  </si>
  <si>
    <t>(2층)</t>
  </si>
  <si>
    <t>서울특별시 동작구 동작대로11가길 13 (사당동)</t>
  </si>
  <si>
    <t>보호디자인(BOHO)</t>
  </si>
  <si>
    <t>르마레시티 1330호</t>
  </si>
  <si>
    <t>경기도 오산시 원동로 22 (원동)</t>
  </si>
  <si>
    <t>버프컴퍼니</t>
  </si>
  <si>
    <t>경상남도 창원시 의창구 대산면 주남로434번길 1-10</t>
  </si>
  <si>
    <t>미래산업</t>
  </si>
  <si>
    <t>1401동 901호</t>
  </si>
  <si>
    <t>경기도 용인시 수지구 동천로153번길 6 (동천동 한빛마을 래미안 이스트팰리스 4단지)</t>
  </si>
  <si>
    <t>로이사</t>
  </si>
  <si>
    <t>경기도 이천시 대월면 대월로 940</t>
  </si>
  <si>
    <t>디엘원드론</t>
  </si>
  <si>
    <t>경상남도 창원시 진해구 충장로 357 (경화동 영신아파트)</t>
  </si>
  <si>
    <t>가람이앤씨</t>
  </si>
  <si>
    <t>쌍용3차 301동 303-14호</t>
  </si>
  <si>
    <t>(주)티셀환경소재연구소</t>
  </si>
  <si>
    <t>경상북도 칠곡군 약목면 교8길 16-11</t>
  </si>
  <si>
    <t>(주)태동테크</t>
  </si>
  <si>
    <t>경기도 수원시 권선구 산업로155번길 77 (고색동)</t>
  </si>
  <si>
    <t>(주)이랑텍</t>
  </si>
  <si>
    <t>분당테크노파크 디동 602-1호</t>
  </si>
  <si>
    <t>(주)에피테크</t>
  </si>
  <si>
    <t>귀금속 및 관련제품 제조업</t>
  </si>
  <si>
    <t>서울특별시 강남구 선릉로 818 (청담동)</t>
  </si>
  <si>
    <t>(주)링</t>
  </si>
  <si>
    <t>휘닉스에이엠</t>
  </si>
  <si>
    <t>오른쪽 첫번째 창고 홍스타츠</t>
  </si>
  <si>
    <t>경기도 포천시 소흘읍 송우로 102-63</t>
  </si>
  <si>
    <t>홍스타츠</t>
  </si>
  <si>
    <t>전라북도 남원시 고샘길 13 (금동)</t>
  </si>
  <si>
    <t>한국사이언스포테크</t>
  </si>
  <si>
    <t>대전광역시 유성구 복용북로17번길 16 (복용동)</t>
  </si>
  <si>
    <t>크로사이언스</t>
  </si>
  <si>
    <t>산학협력공장동 자동차 부품혁신센터 201호</t>
  </si>
  <si>
    <t>케이에스텍</t>
  </si>
  <si>
    <t>부산광역시 해운대구 센텀동로 45 (우동)</t>
  </si>
  <si>
    <t>주식회사파운더</t>
  </si>
  <si>
    <t>한국전기연구원 기술창업센터 2층 201호</t>
  </si>
  <si>
    <t>경상남도 창원시 성산구 전기의길 10 (성주동)</t>
  </si>
  <si>
    <t>주식회사지유</t>
  </si>
  <si>
    <t>생물학적 제제 제조업</t>
  </si>
  <si>
    <t>바이오 2동 310호</t>
  </si>
  <si>
    <t>강원도 춘천시 소양강로 32 (후평동)</t>
  </si>
  <si>
    <t>주식회사젠트리바이오</t>
  </si>
  <si>
    <t>대전광역시 유성구 테크노1로 11-8 (관평동)</t>
  </si>
  <si>
    <t>주식회사와이즈컨</t>
  </si>
  <si>
    <t>10층 에이치1008호</t>
  </si>
  <si>
    <t>경기도 부천시 양지로 205 (옥길동)</t>
  </si>
  <si>
    <t>주식회사 휴앤라이트</t>
  </si>
  <si>
    <t>벤처중소기업센터 203호</t>
  </si>
  <si>
    <t>서울특별시 동작구 상도로 369 (상도동)</t>
  </si>
  <si>
    <t>주식회사 해든앰앤씨</t>
  </si>
  <si>
    <t>409호 (월평동 학산빌딩 오피스밸리)</t>
  </si>
  <si>
    <t>대전광역시 서구 월평북로 85 (월평동)</t>
  </si>
  <si>
    <t>주식회사 픽쉐어</t>
  </si>
  <si>
    <t>119동 209호(부산티플렉스 대저2)</t>
  </si>
  <si>
    <t>주식회사 피플소프트</t>
  </si>
  <si>
    <t>제2호</t>
  </si>
  <si>
    <t>경상남도 합천군 야로면 보탑길 33</t>
  </si>
  <si>
    <t>주식회사 프론테크</t>
  </si>
  <si>
    <t>C동 2003호</t>
  </si>
  <si>
    <t>서울특별시 광진구 능동로 18 (자양동 이튼타워리버3차)</t>
  </si>
  <si>
    <t>주식회사 컴퍼니제이</t>
  </si>
  <si>
    <t>경기도 파주시 광탄면 부흥로519번길 52</t>
  </si>
  <si>
    <t>주식회사 청송퍼니처</t>
  </si>
  <si>
    <t>서울특별시 강남구 논현로95길 14 (역삼동)</t>
  </si>
  <si>
    <t>주식회사 원드림웍스</t>
  </si>
  <si>
    <t>에스21-1동 214호</t>
  </si>
  <si>
    <t>주식회사 엠와이씨</t>
  </si>
  <si>
    <t>340호(부산글로벌테크비즈센터)</t>
  </si>
  <si>
    <t>주식회사 에이케이컴즈랩</t>
  </si>
  <si>
    <t>충청남도 천안시 동남구 청수8로 56 (청당동)</t>
  </si>
  <si>
    <t>주식회사 에이치씨랩</t>
  </si>
  <si>
    <t>436호</t>
  </si>
  <si>
    <t>경기도 성남시 분당구 황새울로 224 (수내동 청구블루빌)</t>
  </si>
  <si>
    <t>주식회사 에이릭앤컴퍼니</t>
  </si>
  <si>
    <t>2202호(용산동 미건테크노월드)</t>
  </si>
  <si>
    <t>대전광역시 유성구 테크노2로 199 (용산동)</t>
  </si>
  <si>
    <t>주식회사 에이더블유시스템즈</t>
  </si>
  <si>
    <t>원천관 135(원천동 아주대학교)</t>
  </si>
  <si>
    <t>주식회사 에스앤케이테라퓨틱스</t>
  </si>
  <si>
    <t>사료 도매업</t>
  </si>
  <si>
    <t>제주특별자치도 제주시 제주대학로 29 (아라일동)</t>
  </si>
  <si>
    <t>주식회사 아일랜드독</t>
  </si>
  <si>
    <t>한국건설기술연구원 건설혁신센터 512호</t>
  </si>
  <si>
    <t>경기도 고양시 일산서구 고양대로 283 (대화동)</t>
  </si>
  <si>
    <t>주식회사 아이클롭스</t>
  </si>
  <si>
    <t>2623호</t>
  </si>
  <si>
    <t>경기도 성남시 분당구 수내로 54 (수내동)</t>
  </si>
  <si>
    <t>주식회사 아이네케이</t>
  </si>
  <si>
    <t>스마트업타워 1506호</t>
  </si>
  <si>
    <t>경상남도 창원시 의창구 차룡로48번길 44 (팔용동)</t>
  </si>
  <si>
    <t>주식회사 뷰티퀸</t>
  </si>
  <si>
    <t>동 압연 압출 및 연신제품 제조업</t>
  </si>
  <si>
    <t>충청북도 청주시 흥덕구 강내면 당곡길 63-23</t>
  </si>
  <si>
    <t>주식회사 부경금속</t>
  </si>
  <si>
    <t>경기도 군포시 엘에스로166번길 15-7 (금정동)</t>
  </si>
  <si>
    <t>주식회사 미래안전</t>
  </si>
  <si>
    <t>3층(프로젝트에이)</t>
  </si>
  <si>
    <t>서울특별시 마포구 성미산로22길 18 (연남동)</t>
  </si>
  <si>
    <t>주식회사 몽규</t>
  </si>
  <si>
    <t>인천광역시 계양구 인향로 338 (선주지동)</t>
  </si>
  <si>
    <t>주식회사 라이프코리아</t>
  </si>
  <si>
    <t>두산더랜드타워 B동 910호</t>
  </si>
  <si>
    <t>주식회사 디섹터</t>
  </si>
  <si>
    <t>경기도 군포시 공단로140번길 35 (당정동)</t>
  </si>
  <si>
    <t>주식회사 강동그룹</t>
  </si>
  <si>
    <t>부산광역시 동래구 안남로 80 (안락동)</t>
  </si>
  <si>
    <t>제이케이아이앤씨</t>
  </si>
  <si>
    <t>서울특별시 서초구 샘마을2길 40-7 (내곡동)</t>
  </si>
  <si>
    <t>제네시스블록</t>
  </si>
  <si>
    <t>골판지 제조업</t>
  </si>
  <si>
    <t>경기 김포시 월곶면 고막리 416</t>
  </si>
  <si>
    <t>경기도 김포시 월곶면 용강로 42</t>
  </si>
  <si>
    <t>이음포장산업</t>
  </si>
  <si>
    <t>제이동 18층 1813-5호</t>
  </si>
  <si>
    <t>윤전테크 주식회사</t>
  </si>
  <si>
    <t>마그네슘생산동 사무동 206호</t>
  </si>
  <si>
    <t>전라남도 순천시 해룡면 해룡산단3로 10</t>
  </si>
  <si>
    <t>유진이앤에스</t>
  </si>
  <si>
    <t>1동 107호</t>
  </si>
  <si>
    <t>전라북도 완주군 이서면 콩쥐팥쥐로 1043-7</t>
  </si>
  <si>
    <t>유진바이오</t>
  </si>
  <si>
    <t>대구광역시 서구 서대구로10길 43-1 (내당동)</t>
  </si>
  <si>
    <t>유라클테크놀로지</t>
  </si>
  <si>
    <t>청솔관 2층 15호 (송원대학교 창업보육센터)</t>
  </si>
  <si>
    <t>광주광역시 남구 송암로 73 (송하동)</t>
  </si>
  <si>
    <t>와이테크놀로지</t>
  </si>
  <si>
    <t>23층 7호</t>
  </si>
  <si>
    <t>오즈인터랙티브 주식회사</t>
  </si>
  <si>
    <t>문정헤리움써밋타워 1013호</t>
  </si>
  <si>
    <t>서울특별시 송파구 법원로8길 13 (문정동)</t>
  </si>
  <si>
    <t>엠브레인웍스 주식회사</t>
  </si>
  <si>
    <t>우분투포레스트 1506호</t>
  </si>
  <si>
    <t>서울특별시 구로구 경인로 237 (개봉동 우분투포레스트)</t>
  </si>
  <si>
    <t>에스티앤텍</t>
  </si>
  <si>
    <t>경기도 화성시 동탄대로21길 10 (영천동)</t>
  </si>
  <si>
    <t>어비티주식회사</t>
  </si>
  <si>
    <t>선문대학교 산학협력관 308C 호</t>
  </si>
  <si>
    <t>충청남도 아산시 탕정면 선문로221번길 70</t>
  </si>
  <si>
    <t>썬하이드로젠 주식회사</t>
  </si>
  <si>
    <t>306동 904호</t>
  </si>
  <si>
    <t>경기도 용인시 기흥구 금화로11번길 10 (상갈동 금화마을주공3단지아파트)</t>
  </si>
  <si>
    <t>신화퍼즐게임즈</t>
  </si>
  <si>
    <t>106동 306호</t>
  </si>
  <si>
    <t>부산광역시 북구 대천천길 37 (화명동 경남아너스빌)</t>
  </si>
  <si>
    <t>스포츠 팍 테크</t>
  </si>
  <si>
    <t>두산더랜드타워 B동 1214호</t>
  </si>
  <si>
    <t>솔라메이트 이엔비</t>
  </si>
  <si>
    <t>110호 (지곡연구동)</t>
  </si>
  <si>
    <t>경상북도 포항시 남구 청암로 77 (지곡동)</t>
  </si>
  <si>
    <t>믹앤멕 주식회사</t>
  </si>
  <si>
    <t>기타 기술 및 직업 훈련학원</t>
  </si>
  <si>
    <t>7호관 7416호</t>
  </si>
  <si>
    <t>서울특별시 동대문구 회기로 85 (청량리동)</t>
  </si>
  <si>
    <t>로컬앤라이프</t>
  </si>
  <si>
    <t>하이테크센터 1122</t>
  </si>
  <si>
    <t>라온소프트웨어</t>
  </si>
  <si>
    <t>전라북도 익산시 오산면 오산로 162</t>
  </si>
  <si>
    <t>라미팜 주식회사</t>
  </si>
  <si>
    <t>창업보육센터 406호</t>
  </si>
  <si>
    <t>충청북도 충주시 충원대로 268 (단월동)</t>
  </si>
  <si>
    <t>디엔엘바이오켐</t>
  </si>
  <si>
    <t>5층 503호</t>
  </si>
  <si>
    <t>대전광역시 서구 도산로 450 (용문동)</t>
  </si>
  <si>
    <t>디벨록</t>
  </si>
  <si>
    <t>경기도 성남시 분당구 쇳골로 66 (금곡동)</t>
  </si>
  <si>
    <t>드림박스</t>
  </si>
  <si>
    <t>충청남도 당진시 신평면 원머리로 166-43</t>
  </si>
  <si>
    <t>대호테크 주식회사</t>
  </si>
  <si>
    <t>기타 산업용 농산물 도매업</t>
  </si>
  <si>
    <t>경상북도 경산시 자인면 압독로 399-3</t>
  </si>
  <si>
    <t>담다</t>
  </si>
  <si>
    <t>동도빌딩 3층</t>
  </si>
  <si>
    <t>부산광역시 중구 중앙대로 154-1 (중앙동4가)</t>
  </si>
  <si>
    <t>농업회사법인 한국도시농업 주식회사</t>
  </si>
  <si>
    <t>B2층 FB208호 (풍산동 미사 하우스디엘타워)</t>
  </si>
  <si>
    <t>나눔공동체</t>
  </si>
  <si>
    <t>경상북도 경주시 외동읍 외남로 1704-52</t>
  </si>
  <si>
    <t>기성산업</t>
  </si>
  <si>
    <t>아너스빌 1615호</t>
  </si>
  <si>
    <t>대전광역시 서구 둔산북로 121 (둔산동)</t>
  </si>
  <si>
    <t>글루원</t>
  </si>
  <si>
    <t>세종특별자치시 부강면 오대길 6-1</t>
  </si>
  <si>
    <t>그린세종주식회사</t>
  </si>
  <si>
    <t>공연 기획업</t>
  </si>
  <si>
    <t>상가동 102호</t>
  </si>
  <si>
    <t>제주특별자치도 제주시 과원북2길 12 (노형동 부영아파트)</t>
  </si>
  <si>
    <t>공감도</t>
  </si>
  <si>
    <t>대양ai센터 327호</t>
  </si>
  <si>
    <t>selfin</t>
  </si>
  <si>
    <t>경상북도 구미시 봉곡남로20길 30-14 (봉곡동)</t>
  </si>
  <si>
    <t>24프레임즈</t>
  </si>
  <si>
    <t>CRC빌딩 10층 S08호</t>
  </si>
  <si>
    <t>(주)헬로브이알</t>
  </si>
  <si>
    <t>경상북도 상주시 사벌국면 목가1길 103</t>
  </si>
  <si>
    <t>(주)타이슨</t>
  </si>
  <si>
    <t>(주)클로앤바이오</t>
  </si>
  <si>
    <t>대륭포스트타워5차 1403호</t>
  </si>
  <si>
    <t>서울특별시 금천구 디지털로9길 68 (가산동)</t>
  </si>
  <si>
    <t>(주)코코아플러스</t>
  </si>
  <si>
    <t>가동호</t>
  </si>
  <si>
    <t>(주)케이앤에스테크</t>
  </si>
  <si>
    <t>406호 제1창업보육센터(공릉동서울과학기술대학교)</t>
  </si>
  <si>
    <t>(주)엘파운더</t>
  </si>
  <si>
    <t>경기도 화성시 남양읍 무하로110번길 108-7</t>
  </si>
  <si>
    <t>(주)엔케이피</t>
  </si>
  <si>
    <t>1층 17호(융합의학연구동)</t>
  </si>
  <si>
    <t>부산광역시 서구 구덕로 187 (아미동1가)</t>
  </si>
  <si>
    <t>(주)에스원바이오</t>
  </si>
  <si>
    <t>부산광역시 금정구 범어천로52번길 12 (남산동)</t>
  </si>
  <si>
    <t>(주)에스에이치엠아이</t>
  </si>
  <si>
    <t>경기도 안양시 만안구 만안로 333 (안양동)</t>
  </si>
  <si>
    <t>(주)쓰리디케이피</t>
  </si>
  <si>
    <t>창업보육센터 벤처창업관 202호</t>
  </si>
  <si>
    <t>(주)디엘원</t>
  </si>
  <si>
    <t>103호(김해산업진흥의생명융합재단의 생명센터)</t>
  </si>
  <si>
    <t>경상남도 김해시 주촌면 소망길 88</t>
  </si>
  <si>
    <t>(주)디아이씨연구소</t>
  </si>
  <si>
    <t>목원대학교 창업진흥센터 O1관 211 212호</t>
  </si>
  <si>
    <t>(주)드론디비젼</t>
  </si>
  <si>
    <t>충청북도 진천군 진천읍 문화로 76</t>
  </si>
  <si>
    <t>(주)공평한숲연구소</t>
  </si>
  <si>
    <t>A동 804-1호</t>
  </si>
  <si>
    <t>부산광역시 해운대구 센텀중앙로 97 (재송동)</t>
  </si>
  <si>
    <t>헤이븐</t>
  </si>
  <si>
    <t>엘리트타워 401호</t>
  </si>
  <si>
    <t>대구광역시 수성구 알파시티2로 13 (시지동)</t>
  </si>
  <si>
    <t>한빛일렉트릭</t>
  </si>
  <si>
    <t>석유화학계 기초 화학 물질 제조업</t>
  </si>
  <si>
    <t>창업보육센터208호</t>
  </si>
  <si>
    <t>폴리캠</t>
  </si>
  <si>
    <t>경기도 양평군 양평읍 담소길 8</t>
  </si>
  <si>
    <t>통누비</t>
  </si>
  <si>
    <t>맥아 및 맥주 제조업</t>
  </si>
  <si>
    <t>경기도 김포시 대곶면 대명항로 526</t>
  </si>
  <si>
    <t>크래프트브로스 주식회사</t>
  </si>
  <si>
    <t>대전광역시 동구 동대전로248번길 142 (가양동)</t>
  </si>
  <si>
    <t>창신상사</t>
  </si>
  <si>
    <t>경기도 오산시 독산성로 197-8 (지곶동)</t>
  </si>
  <si>
    <t>참마을</t>
  </si>
  <si>
    <t>통신ㆍ방송장비 및 부품 도매업</t>
  </si>
  <si>
    <t>601호</t>
  </si>
  <si>
    <t>경상남도 창원시 성산구 창이대로663번길 13 (사파동)</t>
  </si>
  <si>
    <t>주식회사헬로네트워크</t>
  </si>
  <si>
    <t>서울특별시 서초구 방배중앙로 114 (방배동)</t>
  </si>
  <si>
    <t>주식회사에프아이티랩</t>
  </si>
  <si>
    <t>주식회사명원전기</t>
  </si>
  <si>
    <t>전라남도 나주시 혁신산단1길 50 (동수동)</t>
  </si>
  <si>
    <t>주식회사 휴론</t>
  </si>
  <si>
    <t>기타 기계ㆍ장비 조립용 플라스틱제품 제조업</t>
  </si>
  <si>
    <t>주식회사 화신폴리텍</t>
  </si>
  <si>
    <t>경상남도 김해시 상동면 상동로 776</t>
  </si>
  <si>
    <t>305-20호</t>
  </si>
  <si>
    <t>경기도 김포시 김포대로 841 (사우동)</t>
  </si>
  <si>
    <t>주식회사 플랜아이</t>
  </si>
  <si>
    <t>서울특별시 은평구 증산로17길 6-35 (신사동)</t>
  </si>
  <si>
    <t>주식회사 페이먼트인앱</t>
  </si>
  <si>
    <t>기타 오락용품 제조업</t>
  </si>
  <si>
    <t>서울특별시 금천구 벚꽃로24길 24 (가산동)</t>
  </si>
  <si>
    <t>주식회사 파티해</t>
  </si>
  <si>
    <t>서울특별시 영등포구 의사당대로 97 (여의도동)</t>
  </si>
  <si>
    <t>주식회사 큐티스의생명연구센터</t>
  </si>
  <si>
    <t>6층 611-5호</t>
  </si>
  <si>
    <t>경기도 고양시 일산서구 중앙로 1542 (대화동)</t>
  </si>
  <si>
    <t>주식회사 큐브솔라</t>
  </si>
  <si>
    <t>지역산학협력관 403호</t>
  </si>
  <si>
    <t>주식회사 퀀타머티리얼스</t>
  </si>
  <si>
    <t>매트리스 및 침대 제조업</t>
  </si>
  <si>
    <t>경기도 성남시 중원구 성남대로997번길 51-20 (여수동)</t>
  </si>
  <si>
    <t>주식회사 코덱트</t>
  </si>
  <si>
    <t>세미양빌딩 D동 KMV9호</t>
  </si>
  <si>
    <t>제주특별자치도 제주시 첨단로 330 (영평동)</t>
  </si>
  <si>
    <t>주식회사 지니</t>
  </si>
  <si>
    <t>주식회사 원스텝</t>
  </si>
  <si>
    <t>23층 ITOUR05호</t>
  </si>
  <si>
    <t>주식회사 왓츠더웨더</t>
  </si>
  <si>
    <t>(주)영남창호산업</t>
  </si>
  <si>
    <t>경상북도 칠곡군 지천면 금호로 148-25</t>
  </si>
  <si>
    <t>주식회사 영남창호산업</t>
  </si>
  <si>
    <t>1113호(산학협력단 알엔디비센터)</t>
  </si>
  <si>
    <t>경상북도 경산시 진량읍 대구대로 201</t>
  </si>
  <si>
    <t>주식회사 에이치엔티시스템</t>
  </si>
  <si>
    <t>전라남도 여수시 쌍봉로 172 (신기동)</t>
  </si>
  <si>
    <t>주식회사 에스에프이음</t>
  </si>
  <si>
    <t>상진빌딩 501호</t>
  </si>
  <si>
    <t>전라북도 전주시 덕진구 오공로 37 (중동)</t>
  </si>
  <si>
    <t>주식회사 어썸피플</t>
  </si>
  <si>
    <t>엘아이지식산업센터 526호</t>
  </si>
  <si>
    <t>주식회사 아이네쓰</t>
  </si>
  <si>
    <t>HLI빌딩 6층</t>
  </si>
  <si>
    <t>서울특별시 강남구 논현로 539 (역삼동)</t>
  </si>
  <si>
    <t>주식회사 아보메드</t>
  </si>
  <si>
    <t>제다동호</t>
  </si>
  <si>
    <t>경기도 고양시 일산동구 고봉로678번길 173 (성석동)</t>
  </si>
  <si>
    <t>주식회사 아미고생활건강</t>
  </si>
  <si>
    <t>건물용 금속 공작물 설치 공사업</t>
  </si>
  <si>
    <t>경기도 양주시 부흥로 1381 (유양동)</t>
  </si>
  <si>
    <t>주식회사 신우이엔씨</t>
  </si>
  <si>
    <t>전라남도 목포시 양을로 116 (산정동)</t>
  </si>
  <si>
    <t>주식회사 스포츠필드</t>
  </si>
  <si>
    <t>전라남도 담양군 담양읍 에코산단3로 78</t>
  </si>
  <si>
    <t>주식회사 선에코</t>
  </si>
  <si>
    <t>삼일리드텍</t>
  </si>
  <si>
    <t>세종특별자치시 전의면 세종로 3883</t>
  </si>
  <si>
    <t>주식회사 삼일리드텍</t>
  </si>
  <si>
    <t>302호 (창천동 캠퍼스타운 에스큐브)</t>
  </si>
  <si>
    <t>주식회사 별따러가자</t>
  </si>
  <si>
    <t>전라남도 영암군 삼호읍 대아로 30</t>
  </si>
  <si>
    <t>주식회사 문성</t>
  </si>
  <si>
    <t>3층 303호</t>
  </si>
  <si>
    <t>전라북도 전주시 덕진구 숲정이1길 10 (진북동 다세대주택)</t>
  </si>
  <si>
    <t>주식회사 무극산업개발</t>
  </si>
  <si>
    <t>충청남도 천안시 동남구 수신면 장산서길 203</t>
  </si>
  <si>
    <t>주식회사 마니차이나</t>
  </si>
  <si>
    <t>경상남도 밀양시 교동로5길 24 (교동)</t>
  </si>
  <si>
    <t>주식회사 루나</t>
  </si>
  <si>
    <t>103동 903904호</t>
  </si>
  <si>
    <t>주식회사 라이트온</t>
  </si>
  <si>
    <t>주안제이타워2차 1003호</t>
  </si>
  <si>
    <t>인천광역시 미추홀구 방축로 312 (주안동)</t>
  </si>
  <si>
    <t>주식회사 라이시스</t>
  </si>
  <si>
    <t>514(성서드림타운)</t>
  </si>
  <si>
    <t>대구광역시 달서구 성서공단남로 37 (월암동)</t>
  </si>
  <si>
    <t>주식회사 라온에이치씨</t>
  </si>
  <si>
    <t>서울특별시 영등포구 영신로34길 10 (영등포동4가)</t>
  </si>
  <si>
    <t>주식회사 대유기획인쇄</t>
  </si>
  <si>
    <t>M동 91009호</t>
  </si>
  <si>
    <t>부산광역시 해운대구 반송순환로 142 (반송동)</t>
  </si>
  <si>
    <t>주식회사 대양바이오랩</t>
  </si>
  <si>
    <t>2층 206호</t>
  </si>
  <si>
    <t>경기도 수원시 팔달구 향교로 160 (중동)</t>
  </si>
  <si>
    <t>주식회사 다함스타일</t>
  </si>
  <si>
    <t>충청남도 천안시 서북구 직산읍 부송1길 48</t>
  </si>
  <si>
    <t>주식회사 다우텍</t>
  </si>
  <si>
    <t>경상북도 경산시 자인면 계남길 73</t>
  </si>
  <si>
    <t>주식회사 경화창호산업</t>
  </si>
  <si>
    <t>경기도 부천시 부천로419번길 89 (내동)</t>
  </si>
  <si>
    <t>주)두성</t>
  </si>
  <si>
    <t>D동 1710호</t>
  </si>
  <si>
    <t>인미디어텍</t>
  </si>
  <si>
    <t>충청남도 서천군 기산면 화출길35번길 69</t>
  </si>
  <si>
    <t>유한회사 서광라이팅</t>
  </si>
  <si>
    <t>205-1101</t>
  </si>
  <si>
    <t>대전광역시 서구 청사로 281 (둔산동 샘머리아파트2단지)</t>
  </si>
  <si>
    <t>월드상사</t>
  </si>
  <si>
    <t>경기도 수원시 장안구 덕영대로425번길 14-1 (율전동)</t>
  </si>
  <si>
    <t>애플</t>
  </si>
  <si>
    <t>대전광역시 동구 대전천동로 574 (중동)</t>
  </si>
  <si>
    <t>시큐솔</t>
  </si>
  <si>
    <t>페인트 창호 및 기타 건설자재 소매업</t>
  </si>
  <si>
    <t>제주특별자치도 서귀포시 대정읍 무릉송당로 82</t>
  </si>
  <si>
    <t>스코리아랜드</t>
  </si>
  <si>
    <t>B-102호</t>
  </si>
  <si>
    <t>서울특별시 금천구 가산디지털1로 24 (가산동)</t>
  </si>
  <si>
    <t>사단법인한국장애인상생복지회</t>
  </si>
  <si>
    <t>군산예술콘텐츠스테이션 2층 202호</t>
  </si>
  <si>
    <t>전라북도 군산시 해망로 146-24 (금암동)</t>
  </si>
  <si>
    <t>블루베리엔터테인먼트 주식회사</t>
  </si>
  <si>
    <t>경상북도 영천시 금호읍 남성길 38</t>
  </si>
  <si>
    <t>백석이앤아이 주식회사</t>
  </si>
  <si>
    <t>101동 911호</t>
  </si>
  <si>
    <t>울산광역시 북구 매곡본길 28 (매곡동 대하그린파크)</t>
  </si>
  <si>
    <t>마무스</t>
  </si>
  <si>
    <t>마구이삼 주식회사</t>
  </si>
  <si>
    <t>b103-2호</t>
  </si>
  <si>
    <t>서울특별시 마포구 굴레방로1길 25 (아현동 애오개아이파크)</t>
  </si>
  <si>
    <t>렛스튜디오</t>
  </si>
  <si>
    <t>9층 68호</t>
  </si>
  <si>
    <t>레시클</t>
  </si>
  <si>
    <t>보험 대리 및 중개업</t>
  </si>
  <si>
    <t>1308호</t>
  </si>
  <si>
    <t>서울특별시 영등포구 양평로21길 26 (양평동5가)</t>
  </si>
  <si>
    <t>디지인</t>
  </si>
  <si>
    <t>3504호</t>
  </si>
  <si>
    <t>부산광역시 해운대구 APEC로 17 (우동)</t>
  </si>
  <si>
    <t>디자인마인드플러스</t>
  </si>
  <si>
    <t>자동차 엔진용 신품 부품 제조업</t>
  </si>
  <si>
    <t>경기도 파주시 월롱면 휴암로 73</t>
  </si>
  <si>
    <t>동양 바이오마그네테크</t>
  </si>
  <si>
    <t>261호 스톰비오피스센터</t>
  </si>
  <si>
    <t>충청북도 청주시 청원구 율봉로159번길 73-1 (율량동)</t>
  </si>
  <si>
    <t>더비(theB)</t>
  </si>
  <si>
    <t>경상북도 경주시 외동읍 제내사일길 59-52</t>
  </si>
  <si>
    <t>대신정밀</t>
  </si>
  <si>
    <t>대박가구</t>
  </si>
  <si>
    <t>경기도 포천시 소흘읍 죽엽산로95번길 32-30</t>
  </si>
  <si>
    <t>306호</t>
  </si>
  <si>
    <t>서울특별시 마포구 월드컵북로 78 (성산동)</t>
  </si>
  <si>
    <t>나루</t>
  </si>
  <si>
    <t>107동 607호</t>
  </si>
  <si>
    <t>경기도 수원시 권선구 덕영대로1217번길 24 (권선동 두산동아아파트)</t>
  </si>
  <si>
    <t>기록보존연구소 자리</t>
  </si>
  <si>
    <t>비료 및 농약 도매업</t>
  </si>
  <si>
    <t>전라북도 완주군 경천면 대둔산로 244-9</t>
  </si>
  <si>
    <t>굿모닝바이오</t>
  </si>
  <si>
    <t>액체 펌프 제조업</t>
  </si>
  <si>
    <t>K-water연구원 2동 스타트업허브</t>
  </si>
  <si>
    <t>(주)펌프케어</t>
  </si>
  <si>
    <t>402호(피엔유 에이벡)</t>
  </si>
  <si>
    <t>부산광역시 금정구 부산대학로50번길 68 (장전동)</t>
  </si>
  <si>
    <t>(주)티허브</t>
  </si>
  <si>
    <t>합금철 제조업</t>
  </si>
  <si>
    <t>711호</t>
  </si>
  <si>
    <t>인천광역시 남동구 남동대로215번길 30 (고잔동)</t>
  </si>
  <si>
    <t>(주)티이</t>
  </si>
  <si>
    <t>인천광역시 부평구 안남로418번길 56 (청천동)</t>
  </si>
  <si>
    <t>(주)젬픽홀딩스</t>
  </si>
  <si>
    <t>경기도 수원시 권선구 오목천로132번길 13 (고색동)</t>
  </si>
  <si>
    <t>(주)저스템</t>
  </si>
  <si>
    <t>부산광역시 금정구 중앙대로 2140 (청룡동)</t>
  </si>
  <si>
    <t>(주)유림환경기술연구소</t>
  </si>
  <si>
    <t>(주)엘존</t>
  </si>
  <si>
    <t>대구광역시 달서구 성서공단남로22길 10 (월암동)</t>
  </si>
  <si>
    <t>STXV타워 1105호</t>
  </si>
  <si>
    <t>서울특별시 금천구 가산디지털1로 128 (가산동)</t>
  </si>
  <si>
    <t>(주)에이티소프트</t>
  </si>
  <si>
    <t>김해창업카페 18호(김해여객터미널 3층)(외동)</t>
  </si>
  <si>
    <t>경상남도 김해시 김해대로 2232 (외동)</t>
  </si>
  <si>
    <t>(주)뮤즐리</t>
  </si>
  <si>
    <t>대구광역시 북구 연암로 40 (산격동)</t>
  </si>
  <si>
    <t>(주)무지개연구소</t>
  </si>
  <si>
    <t>현대아이파크 102동 1602호</t>
  </si>
  <si>
    <t>부산광역시 남구 동명로 26 (용당동)</t>
  </si>
  <si>
    <t>(주)레벤그리다한국문화다양성연구원</t>
  </si>
  <si>
    <t>충청북도 청주시 청원구 오창읍 괴정1길 31</t>
  </si>
  <si>
    <t>(주)디앤드</t>
  </si>
  <si>
    <t>아이에스비즈타워 공장동 405호</t>
  </si>
  <si>
    <t>경기도 안양시 동안구 흥안대로427번길 57-2 (평촌동)</t>
  </si>
  <si>
    <t>(주)디알에스</t>
  </si>
  <si>
    <t>서울특별시 송파구 문정로5길 17-19 (문정동)</t>
  </si>
  <si>
    <t>(주)국제스쿨</t>
  </si>
  <si>
    <t>(주) 지티웨이브</t>
  </si>
  <si>
    <t>경기도 안양시 동안구 벌말로 113-2 (관양동)</t>
  </si>
  <si>
    <t>표준머신비전 주식회사</t>
  </si>
  <si>
    <t>(주) 인지솔루션</t>
  </si>
  <si>
    <t>전라남도 순천시 해룡면 해룡산단5로 51</t>
  </si>
  <si>
    <t>주식회사 인지솔루션</t>
  </si>
  <si>
    <t>경기도 고양시 덕양구 백양로 157 (화정동)</t>
  </si>
  <si>
    <t>주식회사 인유</t>
  </si>
  <si>
    <t>환경설비 건설업</t>
  </si>
  <si>
    <t>전라남도 순천시 해룡면 남가2길 18-2</t>
  </si>
  <si>
    <t>주식회사 이룸</t>
  </si>
  <si>
    <t>3층 스마트스타트업스튜디오 5호점</t>
  </si>
  <si>
    <t>서울특별시 성북구 고려대로 114 (안암동5가)</t>
  </si>
  <si>
    <t>주식회사 이너프유</t>
  </si>
  <si>
    <t>투자 자문업 및 투자 일임업</t>
  </si>
  <si>
    <t>IT 1호관 311호</t>
  </si>
  <si>
    <t>주식회사 에이엘아이</t>
  </si>
  <si>
    <t>강원도 강릉시 경포로15번길 9-3 (지변동)</t>
  </si>
  <si>
    <t>주식회사 신성랩메디컬</t>
  </si>
  <si>
    <t>1411호</t>
  </si>
  <si>
    <t>주식회사 세이프웨이</t>
  </si>
  <si>
    <t>8층 840호</t>
  </si>
  <si>
    <t>경기도 용인시 기흥구 동백중앙로 191 (중동)</t>
  </si>
  <si>
    <t>주식회사 로드이엔지</t>
  </si>
  <si>
    <t>제주특별자치도 제주시 정든로 38 (이도이동)</t>
  </si>
  <si>
    <t>주식회사 디오위드</t>
  </si>
  <si>
    <t>경기도 파주시 광탄면 보광로 1482-55</t>
  </si>
  <si>
    <t>주식회사 고담</t>
  </si>
  <si>
    <t>B동 1117호(마곡동퀀즈파크나인)</t>
  </si>
  <si>
    <t>서울특별시 강서구 공항대로 247 (마곡동)</t>
  </si>
  <si>
    <t>주식회사  엑스피아</t>
  </si>
  <si>
    <t>우성타운상가 3층 304호 일부</t>
  </si>
  <si>
    <t>서울특별시 관악구 관악로30길 12 (봉천동 관악우성아파트)</t>
  </si>
  <si>
    <t>제이씨칸인터네셔널</t>
  </si>
  <si>
    <t>SB플라자 6층 604호</t>
  </si>
  <si>
    <t>이캅스 주식회사</t>
  </si>
  <si>
    <t>점토 벽돌 블록 및 유사 비내화 요업제품 제조업</t>
  </si>
  <si>
    <t>경기도 연천군 청산면 청연로 30-4</t>
  </si>
  <si>
    <t>이레벽돌주식회사</t>
  </si>
  <si>
    <t>엘케이신소재</t>
  </si>
  <si>
    <t>울산광역시 울주군 웅촌면 은현공단1길 11</t>
  </si>
  <si>
    <t>학동빌딩 4층</t>
  </si>
  <si>
    <t>서울특별시 강남구 논현로136길 16 (논현동)</t>
  </si>
  <si>
    <t>에이징타겟</t>
  </si>
  <si>
    <t>702호 S10</t>
  </si>
  <si>
    <t>에스엠텍</t>
  </si>
  <si>
    <t>인천광역시 계양구 임학서로24번길 7-8 (임학동)</t>
  </si>
  <si>
    <t>솔립(soulip)</t>
  </si>
  <si>
    <t>B동 1816호</t>
  </si>
  <si>
    <t>경기도 성남시 중원구 사기막골로45번길 14 (상대원동)</t>
  </si>
  <si>
    <t>세븐스로스터스</t>
  </si>
  <si>
    <t>9층 904-10호(마전동 프라임타워)</t>
  </si>
  <si>
    <t>인천광역시 서구 완정로 144 (마전동)</t>
  </si>
  <si>
    <t>사회적협동조합창익</t>
  </si>
  <si>
    <t>경기도 의정부시 입암로 13 (고산동 한신더휴고산NHF)</t>
  </si>
  <si>
    <t>사람과수목</t>
  </si>
  <si>
    <t>펄프 제조업</t>
  </si>
  <si>
    <t>경상남도 김해시 인제로 197 (어방동)</t>
  </si>
  <si>
    <t>리아씨엔에프</t>
  </si>
  <si>
    <t>굿세라 주식회사</t>
  </si>
  <si>
    <t>전라북도 전주시 완산구 삼천동3가 252-7</t>
  </si>
  <si>
    <t>전라북도 전주시 완산구 중앙반길 33 (삼천동3가)</t>
  </si>
  <si>
    <t>구성</t>
  </si>
  <si>
    <t>경상남도 함안군 칠원읍 야촌강변길 86</t>
  </si>
  <si>
    <t>경남목재산업</t>
  </si>
  <si>
    <t>프로그램 공급업</t>
  </si>
  <si>
    <t>탑빌딩 641호</t>
  </si>
  <si>
    <t>경기도 수원시 영통구 청명로21번길 19 (영통동)</t>
  </si>
  <si>
    <t>(주)페이시스</t>
  </si>
  <si>
    <t>플라스틱 접착처리 제품 제조업</t>
  </si>
  <si>
    <t>경상북도 구미시 산동읍 첨단기업5로 10-69</t>
  </si>
  <si>
    <t>(주)지오모바일</t>
  </si>
  <si>
    <t>(주)지비테크</t>
  </si>
  <si>
    <t>전기 경보 및 신호장치 제조업</t>
  </si>
  <si>
    <t>삼륭인더스파크 403호</t>
  </si>
  <si>
    <t>경기도 부천시 원미로 205 (춘의동)</t>
  </si>
  <si>
    <t>(주)이현</t>
  </si>
  <si>
    <t>경기도 연천군 청산면 순욱길 79-5</t>
  </si>
  <si>
    <t>(주)에코이노텍</t>
  </si>
  <si>
    <t>통정리 1491</t>
  </si>
  <si>
    <t>충청남도 당진시 석문면 산단3로5길 69</t>
  </si>
  <si>
    <t>(주)대호토탈</t>
  </si>
  <si>
    <t>국제빌딩 907-2</t>
  </si>
  <si>
    <t>서울특별시 중구 퇴계로 187 (필동1가)</t>
  </si>
  <si>
    <t>한결엠사회적협동조합</t>
  </si>
  <si>
    <t>101동 101호</t>
  </si>
  <si>
    <t>서울특별시 동대문구 약령시로17길 44-6 (청량리동)</t>
  </si>
  <si>
    <t>하트세이프티</t>
  </si>
  <si>
    <t>생활용 유리ㆍ요업ㆍ목재ㆍ금속 제품 및 날붙이 도매업</t>
  </si>
  <si>
    <t>등촌중학교 등마루관1층 유썹센터3호</t>
  </si>
  <si>
    <t>플라디어스</t>
  </si>
  <si>
    <t>1층 경기벤처센터 104-3호</t>
  </si>
  <si>
    <t>경기도 성남시 분당구 성남대로779번길 6 (이매동)</t>
  </si>
  <si>
    <t>프런티어</t>
  </si>
  <si>
    <t>사무용 기기 소매업</t>
  </si>
  <si>
    <t>울산광역시 남구 삼산중로131번길 42-7 (삼산동)</t>
  </si>
  <si>
    <t>지에스전산</t>
  </si>
  <si>
    <t>비동 411호~412호</t>
  </si>
  <si>
    <t>주식회사아바타테라퓨틱스</t>
  </si>
  <si>
    <t>문화관 3405호</t>
  </si>
  <si>
    <t>경상남도 양산시 주남로 288 (주남동)</t>
  </si>
  <si>
    <t>주식회사씨랩</t>
  </si>
  <si>
    <t>405호</t>
  </si>
  <si>
    <t>경기도 화성시 경기대로 1025-5 (병점동)</t>
  </si>
  <si>
    <t>주식회사 희망세상</t>
  </si>
  <si>
    <t>서울특별시 금천구 벚꽃로 244 (가산동)</t>
  </si>
  <si>
    <t>주식회사 카미소프트</t>
  </si>
  <si>
    <t>바이오 연료 및 혼합물 제조업</t>
  </si>
  <si>
    <t>공구상가 16동 246호</t>
  </si>
  <si>
    <t>대전광역시 대덕구 대화로 160 (대화동)</t>
  </si>
  <si>
    <t>주식회사 체인지컴퍼니</t>
  </si>
  <si>
    <t>경상북도 영천시 도남공단2길 8 (도남동)</t>
  </si>
  <si>
    <t>주식회사 에스제이티앤씨</t>
  </si>
  <si>
    <t>대전광역시 서구 계룡로 566 (괴정동)</t>
  </si>
  <si>
    <t>주식회사 애드</t>
  </si>
  <si>
    <t>6층 603호</t>
  </si>
  <si>
    <t>서울특별시 강남구 역삼로 221 (역삼동)</t>
  </si>
  <si>
    <t>주식회사 스마트웨어솔루션</t>
  </si>
  <si>
    <t>4층 고양중장년기술창업센터 3호</t>
  </si>
  <si>
    <t>주식회사 뽀뇨</t>
  </si>
  <si>
    <t>제주특별자치도 제주시 오라로4길 8-3 (오라삼동)</t>
  </si>
  <si>
    <t>주식회사  제주안전공사</t>
  </si>
  <si>
    <t>생명공학창업보육센터 104</t>
  </si>
  <si>
    <t>장바이오텍</t>
  </si>
  <si>
    <t>영산대학교 코스모스관 3602호</t>
  </si>
  <si>
    <t>이노메카닉스</t>
  </si>
  <si>
    <t>101동 627호</t>
  </si>
  <si>
    <t>서울특별시 종로구 삼일대로 461 (경운동)</t>
  </si>
  <si>
    <t>위데이터랩 주식회사</t>
  </si>
  <si>
    <t>스마트허브1  605호</t>
  </si>
  <si>
    <t>세종특별자치시 한누리대로 2150 (보람동)</t>
  </si>
  <si>
    <t>원모어시큐리티</t>
  </si>
  <si>
    <t>인천광역시 남동구 인주대로 728 (구월동)</t>
  </si>
  <si>
    <t>와이에이치(주)</t>
  </si>
  <si>
    <t>경기도 김포시 통진읍 절골로61번길 9-2</t>
  </si>
  <si>
    <t>성림울타리</t>
  </si>
  <si>
    <t>스크린 인쇄업</t>
  </si>
  <si>
    <t>세종특별자치시 연기면 공단로 184-28</t>
  </si>
  <si>
    <t>사단법인자기고용지원연구소</t>
  </si>
  <si>
    <t>서적 신문 및 잡지류 소매업</t>
  </si>
  <si>
    <t>제주특별자치도 제주시 금월길 81 (아라이동)</t>
  </si>
  <si>
    <t>마크누리</t>
  </si>
  <si>
    <t>디앤테크</t>
  </si>
  <si>
    <t>전라남도 무안군 청계면 청계공단길 125</t>
  </si>
  <si>
    <t>경기도 연천군 전곡읍 전곡로 218</t>
  </si>
  <si>
    <t>대성기계공구</t>
  </si>
  <si>
    <t>경상북도 경산시 와촌면 하양로 471</t>
  </si>
  <si>
    <t>농업회사법인 보경팜테크(주)</t>
  </si>
  <si>
    <t>문정역테라타워 A동 618호</t>
  </si>
  <si>
    <t>(주)하이진바이오컴퍼니</t>
  </si>
  <si>
    <t>효성해링턴타워 A-1801</t>
  </si>
  <si>
    <t>(주)트레블씨투비</t>
  </si>
  <si>
    <t>전라남도 담양군 수북면 미산샛터길 64-7</t>
  </si>
  <si>
    <t>(주)첨단세라믹</t>
  </si>
  <si>
    <t>충청북도 충주시 천변로 229 (교현동)</t>
  </si>
  <si>
    <t>(주)준이앤씨</t>
  </si>
  <si>
    <t>판교제2테크노밸리 기업지원허브 혁신기술존 4층 정보보호클러스터 453호</t>
  </si>
  <si>
    <t>(주)유락</t>
  </si>
  <si>
    <t>서울특별시 서초구 사평대로 335 (반포동)</t>
  </si>
  <si>
    <t>(주)스마투스코리아</t>
  </si>
  <si>
    <t>11층 114호</t>
  </si>
  <si>
    <t>서울특별시 강남구 테헤란로 507 (삼성동)</t>
  </si>
  <si>
    <t>(주)부동산플래닛</t>
  </si>
  <si>
    <t>디지털 적층 성형기계 제조업</t>
  </si>
  <si>
    <t>경희대학교 서울바이오산학협력센터 702호</t>
  </si>
  <si>
    <t>서울특별시 동대문구 경희대로 23 (회기동)</t>
  </si>
  <si>
    <t>(주)바이오프렌즈</t>
  </si>
  <si>
    <t>비즈동 505호</t>
  </si>
  <si>
    <t>경기도 성남시 중원구 사기막골로 124 (상대원동)</t>
  </si>
  <si>
    <t>(주)미래바이오팜</t>
  </si>
  <si>
    <t>서울특별시 관악구 낙성대로 2 (봉천동)</t>
  </si>
  <si>
    <t>(주)랜드오버</t>
  </si>
  <si>
    <t>502호(자작동 경기대진테크노파크)</t>
  </si>
  <si>
    <t>경기도 포천시 자작로 155 (자작동)</t>
  </si>
  <si>
    <t>(주) 제이앤에프기술</t>
  </si>
  <si>
    <t>서울특별시 동대문구 서울시립대로12길 17 (전농동)</t>
  </si>
  <si>
    <t>(주) 나누지오</t>
  </si>
  <si>
    <t>517호</t>
  </si>
  <si>
    <t>서울특별시 영등포구 선유로13길 25 (문래동6가)</t>
  </si>
  <si>
    <t>휴엠스</t>
  </si>
  <si>
    <t>서울특별시 동작구 만양로 40 (노량진동)</t>
  </si>
  <si>
    <t>프라이빗 오퍼레이터</t>
  </si>
  <si>
    <t>대전도시공사 4층 티에이비</t>
  </si>
  <si>
    <t>티에이비</t>
  </si>
  <si>
    <t>테이블컵</t>
  </si>
  <si>
    <t>서울특별시 마포구 동교로9길 92 (망원동)</t>
  </si>
  <si>
    <t>케이디에스(KDS)</t>
  </si>
  <si>
    <t>제이에이치솔루텍</t>
  </si>
  <si>
    <t>경기도 양주시 칠봉산로228번길 145 (봉양동)</t>
  </si>
  <si>
    <t>주식회사제이에이치솔루텍</t>
  </si>
  <si>
    <t>진우빌딩 4층</t>
  </si>
  <si>
    <t>대구광역시 동구 동호로3길 9 (동호동)</t>
  </si>
  <si>
    <t>주식회사미강에스엘산업</t>
  </si>
  <si>
    <t>12층 1518호</t>
  </si>
  <si>
    <t>주식회사 헤세드릿지</t>
  </si>
  <si>
    <t>인천광역시 서구 원창로 61-11 (원창동)</t>
  </si>
  <si>
    <t>주식회사 하누카</t>
  </si>
  <si>
    <t>대전광역시 중구 인창로 13-1 (대흥동)</t>
  </si>
  <si>
    <t>주식회사 피플맥</t>
  </si>
  <si>
    <t>2층 큐브에이 (타이텍스빌딩)</t>
  </si>
  <si>
    <t>서울특별시 강남구 도산대로38길 14 (논현동)</t>
  </si>
  <si>
    <t>주식회사 큐브에이</t>
  </si>
  <si>
    <t>소셜캠퍼스온 대전 411호</t>
  </si>
  <si>
    <t>대전광역시 서구 대덕대로 239 (둔산동)</t>
  </si>
  <si>
    <t>주식회사 청각장애인생애지원센터</t>
  </si>
  <si>
    <t>1층2층</t>
  </si>
  <si>
    <t>경기도 화성시 팔탄면 밤뒤길42번길 70-14</t>
  </si>
  <si>
    <t>주식회사 지에스케이</t>
  </si>
  <si>
    <t>기업지원센터 B동 308호</t>
  </si>
  <si>
    <t>광주광역시 북구 첨단과기로 123 (오룡동)</t>
  </si>
  <si>
    <t>주식회사 인코어드피앤피</t>
  </si>
  <si>
    <t>대구광역시 달성군 다사읍 세천북로 90</t>
  </si>
  <si>
    <t>주식회사 이레드</t>
  </si>
  <si>
    <t>인천광역시 연수구 솔밭로 67 (동춘동)</t>
  </si>
  <si>
    <t>주식회사 위민컴퍼니</t>
  </si>
  <si>
    <t>에이포스페이스빌딩 5층</t>
  </si>
  <si>
    <t>서울특별시 강남구 논현로76길 27 (역삼동)</t>
  </si>
  <si>
    <t>주식회사 엠더블유네트웍스</t>
  </si>
  <si>
    <t>원광대학교 창업보육센터 412호</t>
  </si>
  <si>
    <t>주식회사 에스와이테크</t>
  </si>
  <si>
    <t>서울특별시 마포구 매봉산로2길 68 (상암동)</t>
  </si>
  <si>
    <t>주식회사 아이씨티나인</t>
  </si>
  <si>
    <t>1차 금속제품 도매업</t>
  </si>
  <si>
    <t>서울특별시 마포구 포은로 72 (망원동)</t>
  </si>
  <si>
    <t>주식회사 바로스틸</t>
  </si>
  <si>
    <t>302동 202호</t>
  </si>
  <si>
    <t>경기도 용인시 기흥구 죽현로80번길 38 (보정동 죽전마을스타클래스3차)</t>
  </si>
  <si>
    <t>주식회사 링크투</t>
  </si>
  <si>
    <t>전라남도 나주시 그린로 331 (빛가람동)</t>
  </si>
  <si>
    <t>주식회사 디에이이엔지</t>
  </si>
  <si>
    <t>서울특별시 서초구 서초대로46길 109 (서초동)</t>
  </si>
  <si>
    <t>주식회사 글리덕</t>
  </si>
  <si>
    <t>경기도 이천시 대월면 대평로214번길 98</t>
  </si>
  <si>
    <t>주식회사 가디드라이프</t>
  </si>
  <si>
    <t>충청북도 충주시 대소원면 첨단쉼터4길 4</t>
  </si>
  <si>
    <t>제시하우스(Jesy House)</t>
  </si>
  <si>
    <t>실습동4209호</t>
  </si>
  <si>
    <t>전라북도 전주시 완산구 천잠로 235 (효자동2가)</t>
  </si>
  <si>
    <t>유한회사 우주무인항공산업</t>
  </si>
  <si>
    <t>기타 비주거용 건물 건설업</t>
  </si>
  <si>
    <t>5동 404호</t>
  </si>
  <si>
    <t>인천광역시 계양구 새벌로133번길 7 (효성동 가든아트빌라)</t>
  </si>
  <si>
    <t>유빈전기</t>
  </si>
  <si>
    <t>그 외 기타 유리제품 제조업</t>
  </si>
  <si>
    <t>(주)유니드</t>
  </si>
  <si>
    <t>경기도 안성시 원곡면 산직길 46-14</t>
  </si>
  <si>
    <t>유니드</t>
  </si>
  <si>
    <t>704호</t>
  </si>
  <si>
    <t>경기도 화성시 동탄첨단산업1로 20 (영천동)</t>
  </si>
  <si>
    <t>액티브플러스</t>
  </si>
  <si>
    <t>에이스광교타워2 1006호</t>
  </si>
  <si>
    <t>아크로웰주식회사</t>
  </si>
  <si>
    <t>102동 2403호</t>
  </si>
  <si>
    <t>경기도 고양시 일산동구 중산로 70 (중산동 일산센트럴아이파크)</t>
  </si>
  <si>
    <t>아인투아인</t>
  </si>
  <si>
    <t>상가동212호</t>
  </si>
  <si>
    <t>경기도 수원시 장안구 화산로 263 (율전동 신일아파트)</t>
  </si>
  <si>
    <t>아스코르달악(ASCir Tarak on border &amp; YESS class)</t>
  </si>
  <si>
    <t>9F</t>
  </si>
  <si>
    <t>부산광역시 부산진구 동천로 109 (부전동)</t>
  </si>
  <si>
    <t>씨케이테크</t>
  </si>
  <si>
    <t>강원도 춘천시 후석로 366 (후평동)</t>
  </si>
  <si>
    <t>신유희 기업교육연구소</t>
  </si>
  <si>
    <t>송주산업</t>
  </si>
  <si>
    <t>경기도 김포시 통진읍 마송2로 10-25</t>
  </si>
  <si>
    <t>기타 작물 재배업</t>
  </si>
  <si>
    <t>경상북도 고령군 쌍림면 신곡길 85-16</t>
  </si>
  <si>
    <t>송암표고주식회사농업회사법인</t>
  </si>
  <si>
    <t>서울특별시 동대문구 약령중앙로 30 (제기동)</t>
  </si>
  <si>
    <t>성연허브</t>
  </si>
  <si>
    <t>인덕원아이티밸리 B동 104호</t>
  </si>
  <si>
    <t>미코랩</t>
  </si>
  <si>
    <t>305-A116</t>
  </si>
  <si>
    <t>미르엠컴</t>
  </si>
  <si>
    <t>디자인소담</t>
  </si>
  <si>
    <t>제주특별자치도 제주시 동광로16길 1 (일도이동)</t>
  </si>
  <si>
    <t>3층301호(태안프라자)</t>
  </si>
  <si>
    <t>경기도 화성시 병점1로 216-13 (병점동)</t>
  </si>
  <si>
    <t>디와이산업(주)</t>
  </si>
  <si>
    <t>다옴마스크</t>
  </si>
  <si>
    <t>대구광역시 서구 평리로17길 61 (중리동)</t>
  </si>
  <si>
    <t>전지 및 케이블 도매업</t>
  </si>
  <si>
    <t>경상남도 사천시 향촌5길 38-25 (향촌동)</t>
  </si>
  <si>
    <t>나은시스템</t>
  </si>
  <si>
    <t>화훼류 및 식물 도매업</t>
  </si>
  <si>
    <t>서울특별시 서대문구 충정로 24 (충정로3가)</t>
  </si>
  <si>
    <t>꽃길</t>
  </si>
  <si>
    <t>28청춘창업소</t>
  </si>
  <si>
    <t>그룹짓다</t>
  </si>
  <si>
    <t>경상북도 경주시 동문로 50 (성동동)</t>
  </si>
  <si>
    <t>경상북도사회적기업종합상사협동조합</t>
  </si>
  <si>
    <t>예술품 및 골동품 소매업</t>
  </si>
  <si>
    <t>서울특별시 종로구 사직로1길 52-3 (행촌동)</t>
  </si>
  <si>
    <t>ES JUNG 아트컨설턴트</t>
  </si>
  <si>
    <t>제비동 20층 2009호(가산동 대성디폴리스빌딩)</t>
  </si>
  <si>
    <t>(주)테크온비젼</t>
  </si>
  <si>
    <t>교수학습지원관 1311호</t>
  </si>
  <si>
    <t>(주)정도기술</t>
  </si>
  <si>
    <t>퀸즈파크 12차 414호</t>
  </si>
  <si>
    <t>서울특별시 강서구 공항대로 194 (마곡동)</t>
  </si>
  <si>
    <t>(주)오성일렉코리아</t>
  </si>
  <si>
    <t>대륭테크노타운 13차 908-2호</t>
  </si>
  <si>
    <t>(주)오너스</t>
  </si>
  <si>
    <t>금덕빌딩 2층</t>
  </si>
  <si>
    <t>서울특별시 마포구 양화로15안길 19 (서교동)</t>
  </si>
  <si>
    <t>(주)스마트씨에스</t>
  </si>
  <si>
    <t>기타 절연선 및 케이블 제조업</t>
  </si>
  <si>
    <t>523호 부평제이타워3차 지식산업센터</t>
  </si>
  <si>
    <t>인천광역시 부평구 부평대로 337 (청천동)</t>
  </si>
  <si>
    <t>(주)소닉컴텍</t>
  </si>
  <si>
    <t>대구광역시 동구 입석로1길 112 (입석동)</t>
  </si>
  <si>
    <t>(주)메디프랜</t>
  </si>
  <si>
    <t>건강 보조식품 소매업</t>
  </si>
  <si>
    <t>112동404호</t>
  </si>
  <si>
    <t>경기도 김포시 유현로 200 (풍무동 풍무 푸르지오)</t>
  </si>
  <si>
    <t>힐린 주식회사</t>
  </si>
  <si>
    <t>부산광역시 연제구 월드컵대로153번길 96 (연산동 청우하이빌)</t>
  </si>
  <si>
    <t>클릭에코텍</t>
  </si>
  <si>
    <t>E동</t>
  </si>
  <si>
    <t>충청북도 청주시 서원구 남이면 척산5길 15</t>
  </si>
  <si>
    <t>충북큐비클</t>
  </si>
  <si>
    <t>주식회사 일렘</t>
  </si>
  <si>
    <t>대구광역시 달성군 논공읍 논공로 445-1</t>
  </si>
  <si>
    <t>주식회사일렘</t>
  </si>
  <si>
    <t>제주특별자치도 제주시 구좌읍 행원로13길 84</t>
  </si>
  <si>
    <t>주식회사오앤정라이팅</t>
  </si>
  <si>
    <t>경기도 성남시 수정구 복정로 115 (복정동)</t>
  </si>
  <si>
    <t>주식회사아이로브</t>
  </si>
  <si>
    <t>정보보호클러스터 462호</t>
  </si>
  <si>
    <t>주식회사시큐어시스템즈</t>
  </si>
  <si>
    <t>대전광역시 대덕구 송촌로79번길 16 (송촌동)</t>
  </si>
  <si>
    <t>주식회사세화산업</t>
  </si>
  <si>
    <t>인천광역시 서구 검단로326번길 47 (왕길동)</t>
  </si>
  <si>
    <t>주식회사 화인아이앤씨</t>
  </si>
  <si>
    <t>벽산디지털밸리 5차 1201호</t>
  </si>
  <si>
    <t>주식회사 한국환경안전연구원</t>
  </si>
  <si>
    <t>438호(어진동 푸르지오시티)</t>
  </si>
  <si>
    <t>세종특별자치시 갈매로 364 (어진동)</t>
  </si>
  <si>
    <t>주식회사 태종</t>
  </si>
  <si>
    <t>창업진흥센터 O1-504</t>
  </si>
  <si>
    <t>주식회사 코드라인</t>
  </si>
  <si>
    <t>서초구나루터로75.403호</t>
  </si>
  <si>
    <t>서울특별시 서초구 나루터로 75 (잠원동)</t>
  </si>
  <si>
    <t>주식회사 진영씨엔에스</t>
  </si>
  <si>
    <t>부산광역시 동래구 충렬대로 404 (안락동)</t>
  </si>
  <si>
    <t>주식회사 지엠플랜트</t>
  </si>
  <si>
    <t>경기도 화성시 비봉면 주석로 437-48</t>
  </si>
  <si>
    <t>주식회사 이화팬텍</t>
  </si>
  <si>
    <t>인천광역시 서구 도담로 57 (오류동)</t>
  </si>
  <si>
    <t>주식회사 윈플랜</t>
  </si>
  <si>
    <t>211호(월암동 성서드림타운지식산업센터)</t>
  </si>
  <si>
    <t>주식회사 시우라이팅</t>
  </si>
  <si>
    <t>제주특별자치도 제주시 오광로 70 (이호이동)</t>
  </si>
  <si>
    <t>주식회사 부성건설</t>
  </si>
  <si>
    <t>상가 101호 주식회사 바른</t>
  </si>
  <si>
    <t>충청남도 보령시 대천로 119-7 (죽정동 에덴하우스)</t>
  </si>
  <si>
    <t>주식회사 바른</t>
  </si>
  <si>
    <t>온라인 교육학원</t>
  </si>
  <si>
    <t>전라북도 전주시 완산구 홍산1길 10 (효자동2가)</t>
  </si>
  <si>
    <t>주식회사 미소능력개발센터</t>
  </si>
  <si>
    <t>지층 1호</t>
  </si>
  <si>
    <t>충청남도 천안시 동남구 옛시청길 18 (오룡동)</t>
  </si>
  <si>
    <t>주식회사 몬스타미디어</t>
  </si>
  <si>
    <t>에스케이브이원타워 1353</t>
  </si>
  <si>
    <t>주식회사 마스터</t>
  </si>
  <si>
    <t>산업용재유통상가 11동309호</t>
  </si>
  <si>
    <t>주식회사 대신기술개발</t>
  </si>
  <si>
    <t>액정 표시장치 제조업</t>
  </si>
  <si>
    <t>울산광역시 울주군 범서읍 굴화2길 32-5</t>
  </si>
  <si>
    <t>주식회사 달빛</t>
  </si>
  <si>
    <t>대전광역시 중구 대종로517번길 27 (선화동)</t>
  </si>
  <si>
    <t>주식회사 놀만</t>
  </si>
  <si>
    <t>SK허브수B동827호</t>
  </si>
  <si>
    <t>서울특별시 구로구 구일로10길 27 (구로동)</t>
  </si>
  <si>
    <t>주식회사 나우네버</t>
  </si>
  <si>
    <t>A동3층</t>
  </si>
  <si>
    <t>주식회사 그린베이스</t>
  </si>
  <si>
    <t>충청남도 금산군 추부면 추풍로 202</t>
  </si>
  <si>
    <t>조은철망산업</t>
  </si>
  <si>
    <t>6동 302호</t>
  </si>
  <si>
    <t>경기도 안양시 동안구 엘에스로 92 (호계동)</t>
  </si>
  <si>
    <t>조은오에이</t>
  </si>
  <si>
    <t>107-404</t>
  </si>
  <si>
    <t>경기도 성남시 분당구 하오개로 377 (운중동 운중동 푸르지오하임)</t>
  </si>
  <si>
    <t>제이이 인터네셔널</t>
  </si>
  <si>
    <t>창업관 5413호</t>
  </si>
  <si>
    <t>자락</t>
  </si>
  <si>
    <t>일렉</t>
  </si>
  <si>
    <t>인스비전</t>
  </si>
  <si>
    <t>인천광역시 서구 염곡로14번길 4 (가좌동)</t>
  </si>
  <si>
    <t>이노피 주식회사</t>
  </si>
  <si>
    <t>이동410-디호</t>
  </si>
  <si>
    <t>에코랩스(주)</t>
  </si>
  <si>
    <t>배관 및 냉ㆍ난방장치 도매업</t>
  </si>
  <si>
    <t>9층</t>
  </si>
  <si>
    <t>경상남도 진주시 에나로128번길 26 (충무공동)</t>
  </si>
  <si>
    <t>에스투헤븐</t>
  </si>
  <si>
    <t>1동 202호</t>
  </si>
  <si>
    <t>충청남도 공주시 소학동길 15-33 (소학동 소학원룸)</t>
  </si>
  <si>
    <t>싸이언스랩</t>
  </si>
  <si>
    <t>910호</t>
  </si>
  <si>
    <t>서울특별시 성동구 상원12길 30 (성수동1가)</t>
  </si>
  <si>
    <t>시큐어인공지능 주식회사</t>
  </si>
  <si>
    <t>서울특별시 동대문구 천호대로25길 45 (용두동 승원빌라)</t>
  </si>
  <si>
    <t>스페이스포</t>
  </si>
  <si>
    <t>주안제이타워 919호</t>
  </si>
  <si>
    <t>인천광역시 미추홀구 염전로 330 (주안동)</t>
  </si>
  <si>
    <t>세이프 조인</t>
  </si>
  <si>
    <t>대구광역시 남구 명덕로20길 114 (대명동)</t>
  </si>
  <si>
    <t>세명스포츠</t>
  </si>
  <si>
    <t>1층빅본푸드</t>
  </si>
  <si>
    <t>대구광역시 서구 염색공단천로3길 25 (비산동)</t>
  </si>
  <si>
    <t>빅본푸드</t>
  </si>
  <si>
    <t>미성디앤에스 주식회사</t>
  </si>
  <si>
    <t>대구광역시 달서구 성서동로 127 (월암동)</t>
  </si>
  <si>
    <t>물과미래</t>
  </si>
  <si>
    <t>충청남도 금산군 금성면 금성공단로 5</t>
  </si>
  <si>
    <t>농업회사법인(주)크레타바이오</t>
  </si>
  <si>
    <t>서울특별시 서초구 남부순환로358길 62 (양재동)</t>
  </si>
  <si>
    <t>굿프렌드솔루션주식회사</t>
  </si>
  <si>
    <t>302-3아호</t>
  </si>
  <si>
    <t>경기도 성남시 분당구 매화로 51 (야탑동)</t>
  </si>
  <si>
    <t>(주)플레이에스큐</t>
  </si>
  <si>
    <t>세종마치상가 401호</t>
  </si>
  <si>
    <t>세종특별자치시 도움8로 91 (어진동)</t>
  </si>
  <si>
    <t>(주)초이스디자인</t>
  </si>
  <si>
    <t>서울특별시 강남구 테헤란로8길 22 (역삼동)</t>
  </si>
  <si>
    <t>(주)지식과사업</t>
  </si>
  <si>
    <t>치과용 기기 제조업</t>
  </si>
  <si>
    <t>마곡나루역보타닉비즈타워 403호</t>
  </si>
  <si>
    <t>서울특별시 강서구 마곡중앙5로1길 20 (마곡동)</t>
  </si>
  <si>
    <t>(주)제노임플란트</t>
  </si>
  <si>
    <t>3층 (고잔동)</t>
  </si>
  <si>
    <t>경기도 안산시 단원구 다리간로 14 (고잔동)</t>
  </si>
  <si>
    <t>(주)이지원</t>
  </si>
  <si>
    <t>508호 (안암동5가 고려대학교안암캠퍼스)</t>
  </si>
  <si>
    <t>서울특별시 성북구 안암로 145</t>
  </si>
  <si>
    <t>(주)와이낫엠앤씨</t>
  </si>
  <si>
    <t>SMG KOREA</t>
  </si>
  <si>
    <t>부산광역시 강서구 평강로 263 (대저1동)</t>
  </si>
  <si>
    <t>(주)에스엠지 코리아</t>
  </si>
  <si>
    <t>101-1202</t>
  </si>
  <si>
    <t>경기도 광주시 경안천로 159 (송정동 금강 펜테리움 1단지)</t>
  </si>
  <si>
    <t>(주)에스엠시스템</t>
  </si>
  <si>
    <t>704호(고잔동 엘아이지식산업센터)</t>
  </si>
  <si>
    <t>(주)맥스플랜</t>
  </si>
  <si>
    <t>작물재배 지원 서비스업</t>
  </si>
  <si>
    <t>311호(팔복동2가 한국전자기술연구원-에코창업보육센터)</t>
  </si>
  <si>
    <t>전라북도 전주시 덕진구 반룡로 111 (팔복동2가)</t>
  </si>
  <si>
    <t>(주)마스팜</t>
  </si>
  <si>
    <t>4층 스카이룸</t>
  </si>
  <si>
    <t>(주)레미디</t>
  </si>
  <si>
    <t>서울특별시 용산구 한강대로40길 18 (한강로2가)</t>
  </si>
  <si>
    <t>(주)디엠티랩스</t>
  </si>
  <si>
    <t>경상북도 경산시 남천면 송백2길 35</t>
  </si>
  <si>
    <t>(주)대한에코</t>
  </si>
  <si>
    <t>승강기 제조업</t>
  </si>
  <si>
    <t>충청북도 청주시 청원구 오창읍 원리1길 19</t>
  </si>
  <si>
    <t>(주)다원엘리베이터</t>
  </si>
  <si>
    <t>경기도 김포시 유현로 215 (풍무동 풍무 센트럴 푸르지오)</t>
  </si>
  <si>
    <t>한스세이프티</t>
  </si>
  <si>
    <t>경기도 김포시 통진읍 가현로105번길 150</t>
  </si>
  <si>
    <t>풍경과디자인</t>
  </si>
  <si>
    <t>경기도 화성시 향남읍 장안로 854</t>
  </si>
  <si>
    <t>케이산업</t>
  </si>
  <si>
    <t>지하1층 102호</t>
  </si>
  <si>
    <t>서울특별시 강남구 개포로 508 (개포동)</t>
  </si>
  <si>
    <t>주식회사 테크윌</t>
  </si>
  <si>
    <t>제주특별자치도 제주시 삼성로16길 1 (일도이동)</t>
  </si>
  <si>
    <t>주식회사 천운</t>
  </si>
  <si>
    <t>안산대학교 창업보육센터 402호</t>
  </si>
  <si>
    <t>경기도 안산시 상록구 안산대학로 155 (일동)</t>
  </si>
  <si>
    <t>주식회사 위플로우</t>
  </si>
  <si>
    <t>주식회사 엔와이엘이디</t>
  </si>
  <si>
    <t>경상남도 양산시 동면 석산4길 5-13</t>
  </si>
  <si>
    <t>주식회사 에어웨이</t>
  </si>
  <si>
    <t>504호 (가양동 가양테크노타운)</t>
  </si>
  <si>
    <t>서울특별시 강서구 허준로 217 (가양동)</t>
  </si>
  <si>
    <t>주식회사 아콘텍</t>
  </si>
  <si>
    <t>보타닉파크타워 I 8층 802호</t>
  </si>
  <si>
    <t>주식회사 시대의영웅</t>
  </si>
  <si>
    <t>대구대학교 창업보육센터 2호관 1302호</t>
  </si>
  <si>
    <t>주식회사 블루터들</t>
  </si>
  <si>
    <t>전라북도 전주시 덕진구 아중로 207 (우아동2가)</t>
  </si>
  <si>
    <t>주식회사 로드텍</t>
  </si>
  <si>
    <t>벤처창조융합관 303호</t>
  </si>
  <si>
    <t>충청남도 아산시 배방읍 호서로79번길 20</t>
  </si>
  <si>
    <t>주식회사 디와이씨</t>
  </si>
  <si>
    <t>충청남도 천안시 서북구 직산읍 남산2길 114-40</t>
  </si>
  <si>
    <t>주식회사 교강산업</t>
  </si>
  <si>
    <t>인천광역시 남동구 남동대로 242 (논현동)</t>
  </si>
  <si>
    <t>에어텍아이앤씨(주)</t>
  </si>
  <si>
    <t>경기도 안성시 미양면 신두만곡로 727-17</t>
  </si>
  <si>
    <t>알피엠코퍼레이션</t>
  </si>
  <si>
    <t>부산광역시 사상구 학장로135번길 114 (학장동)</t>
  </si>
  <si>
    <t>비젼알앤디</t>
  </si>
  <si>
    <t>28청춘창업소 S206호</t>
  </si>
  <si>
    <t>본디</t>
  </si>
  <si>
    <t>백제산업</t>
  </si>
  <si>
    <t>전라북도 김제시 상동로 366 (상동동)</t>
  </si>
  <si>
    <t>601(602-2)호</t>
  </si>
  <si>
    <t>림헬스케어(주)</t>
  </si>
  <si>
    <t>센트럴에이스타워 b동 1416호</t>
  </si>
  <si>
    <t>경기도 화성시 동탄기흥로 590 (영천동)</t>
  </si>
  <si>
    <t>라디오비</t>
  </si>
  <si>
    <t>209호 36-7호</t>
  </si>
  <si>
    <t>경기도 안산시 상록구 광덕1로 355 (이동)</t>
  </si>
  <si>
    <t>딤라이트</t>
  </si>
  <si>
    <t>부산이노비즈센터 102호</t>
  </si>
  <si>
    <t>부산광역시 북구 만덕3로16번길 1 (만덕동)</t>
  </si>
  <si>
    <t>더코스코리아</t>
  </si>
  <si>
    <t>전라북도 진안군 진안읍 대광1길 18</t>
  </si>
  <si>
    <t>다향</t>
  </si>
  <si>
    <t>서울특별시 성동구 상원6나길 7-6 (성수동1가)</t>
  </si>
  <si>
    <t>고트(GOAT)</t>
  </si>
  <si>
    <t>가전제품 소매업</t>
  </si>
  <si>
    <t>다온 E41</t>
  </si>
  <si>
    <t>서울특별시 마포구 마포대로4나길 46 (마포동)</t>
  </si>
  <si>
    <t>(주)위듀케어</t>
  </si>
  <si>
    <t>이테크밸리 1305호</t>
  </si>
  <si>
    <t>서울특별시 용산구 원효로 128 (원효로3가)</t>
  </si>
  <si>
    <t>(주)앤디솔루션</t>
  </si>
  <si>
    <t>518호(부산창업지원센터)</t>
  </si>
  <si>
    <t>(주)알아이디</t>
  </si>
  <si>
    <t>324호</t>
  </si>
  <si>
    <t>서울특별시 강남구 영동대로131길 20 (청담동)</t>
  </si>
  <si>
    <t>(주)모션어드바이저</t>
  </si>
  <si>
    <t>산업용 그 외 비경화 고무제품 제조업</t>
  </si>
  <si>
    <t>지하1층  B120호</t>
  </si>
  <si>
    <t>(주)동일테크</t>
  </si>
  <si>
    <t>제주특별자치도 제주시 노형로 321 (노형동)</t>
  </si>
  <si>
    <t>한라섬</t>
  </si>
  <si>
    <t>서울특별시 종로구 종로 382 (숭인동)</t>
  </si>
  <si>
    <t>한국교육시스템(주)</t>
  </si>
  <si>
    <t>미래관동 1층 152호</t>
  </si>
  <si>
    <t>프로세이프바이오</t>
  </si>
  <si>
    <t>크린솔라</t>
  </si>
  <si>
    <t>212동 604호</t>
  </si>
  <si>
    <t>경기도 용인시 수지구 수지로 75 (상현동 심곡마을 광교 힐스테이트)</t>
  </si>
  <si>
    <t>주하스</t>
  </si>
  <si>
    <t>프뤼몰타운 507호</t>
  </si>
  <si>
    <t>광주광역시 광산구 신창로 64 (신창동)</t>
  </si>
  <si>
    <t>주식회사허니</t>
  </si>
  <si>
    <t>상평리 829-2</t>
  </si>
  <si>
    <t>전라북도 군산시 옥구읍 광월안길 32-12</t>
  </si>
  <si>
    <t>주식회사케이디이피씨</t>
  </si>
  <si>
    <t>경상남도 양산시 상북면 수서로 213-5</t>
  </si>
  <si>
    <t>주식회사위너스에어</t>
  </si>
  <si>
    <t>경상남도 창원시 마산합포구 동서북6길 15 (수성동)</t>
  </si>
  <si>
    <t>주식회사 한국테크산업</t>
  </si>
  <si>
    <t>진빌딩 4층</t>
  </si>
  <si>
    <t>서울특별시 서초구 사평대로57길 135 (반포동)</t>
  </si>
  <si>
    <t>주식회사 핀노드</t>
  </si>
  <si>
    <t>전라남도 나주시 정보화길 26 (빛가람동)</t>
  </si>
  <si>
    <t>주식회사 피투제이</t>
  </si>
  <si>
    <t>서울특별시 관악구 봉천로 535 (봉천동)</t>
  </si>
  <si>
    <t>주식회사 테이텀</t>
  </si>
  <si>
    <t>롯데아이티캐슬 1동 1214-1호</t>
  </si>
  <si>
    <t>서울특별시 금천구 가산디지털2로 98 (가산동)</t>
  </si>
  <si>
    <t>주식회사 크레드컴</t>
  </si>
  <si>
    <t>컴퓨터 및 사무용 기계ㆍ장비 임대업</t>
  </si>
  <si>
    <t>현대지식산업센터 한강미사 A7-055호</t>
  </si>
  <si>
    <t>경기도 하남시 미사대로 550 (덕풍동)</t>
  </si>
  <si>
    <t>주식회사 코앤넷</t>
  </si>
  <si>
    <t>경기도 안양시 동안구 벌말로 123 (관양동)</t>
  </si>
  <si>
    <t>주식회사 컴블리</t>
  </si>
  <si>
    <t>놀이터용 장비 제조업</t>
  </si>
  <si>
    <t>경기도 양주시 고읍남로39번길 129-46 (광사동)</t>
  </si>
  <si>
    <t>주식회사 지안조경</t>
  </si>
  <si>
    <t>경기도 화성시 기안말길 72 (기안동)</t>
  </si>
  <si>
    <t>주식회사 제이에스엠테크</t>
  </si>
  <si>
    <t>서울창업허브 804호</t>
  </si>
  <si>
    <t>서울특별시 마포구 백범로31길 21 (공덕동)</t>
  </si>
  <si>
    <t>주식회사 자버</t>
  </si>
  <si>
    <t>경기도 용인시 기흥구 흥덕중앙로 120 (영덕동)</t>
  </si>
  <si>
    <t>주식회사 이티아이</t>
  </si>
  <si>
    <t>서울특별시 동대문구 왕산로28길 55 (용두동)</t>
  </si>
  <si>
    <t>주식회사 엠팩플러스</t>
  </si>
  <si>
    <t>광주광역시 동구 천변우로 339 (수기동)</t>
  </si>
  <si>
    <t>주식회사 엘라스틱랩</t>
  </si>
  <si>
    <t>서울특별시 강남구 역삼로 542 (대치동)</t>
  </si>
  <si>
    <t>주식회사 엑소스피어 랩스</t>
  </si>
  <si>
    <t>대원빌딩 3층 301호</t>
  </si>
  <si>
    <t>경기도 안산시 단원구 중앙대로 951 (고잔동)</t>
  </si>
  <si>
    <t>주식회사 에코케미칼</t>
  </si>
  <si>
    <t>에코리치</t>
  </si>
  <si>
    <t>전라남도 담양군 담양읍 에코산단1로 31</t>
  </si>
  <si>
    <t>주식회사 에코리치</t>
  </si>
  <si>
    <t>자동차용 신품 전기장치 제조업</t>
  </si>
  <si>
    <t>강원도 춘천시 신동면 한치로 958-32</t>
  </si>
  <si>
    <t>주식회사 아킴스토리</t>
  </si>
  <si>
    <t>에이스비즈포레 10층 1020호</t>
  </si>
  <si>
    <t>주식회사 아이씨엠인증원</t>
  </si>
  <si>
    <t>603호</t>
  </si>
  <si>
    <t>서울특별시 강동구 올림픽로 660 (천호동 천호엘크루주상복합)</t>
  </si>
  <si>
    <t>주식회사 비즈인카</t>
  </si>
  <si>
    <t>경기도 수원시 팔달구 장다리로172번길 2 (인계동)</t>
  </si>
  <si>
    <t>주식회사 바구반소프트</t>
  </si>
  <si>
    <t>경기도 김포시 통진읍 고정로 295</t>
  </si>
  <si>
    <t>주식회사 로담이엔씨</t>
  </si>
  <si>
    <t>F층</t>
  </si>
  <si>
    <t>서울특별시 강동구 올림픽로 796 (암사동)</t>
  </si>
  <si>
    <t>주식회사 노바트로스</t>
  </si>
  <si>
    <t>서울특별시 중구 장충단로 247 (을지로6가)</t>
  </si>
  <si>
    <t>주식회사 골라라</t>
  </si>
  <si>
    <t>1507호</t>
  </si>
  <si>
    <t>부산광역시 북구 학사로 140 (화명동)</t>
  </si>
  <si>
    <t>주식회사 경연</t>
  </si>
  <si>
    <t>인천광역시 서구 보듬로 158 (오류동)</t>
  </si>
  <si>
    <t>주식회사 건승</t>
  </si>
  <si>
    <t>경기도 의정부시 추동로108번길 14-1 (신곡동)</t>
  </si>
  <si>
    <t>유니크 컴퍼니</t>
  </si>
  <si>
    <t>207호</t>
  </si>
  <si>
    <t>웰로(Wello)</t>
  </si>
  <si>
    <t>뉴티캐슬 908-1호</t>
  </si>
  <si>
    <t>올웨이브텍(주)</t>
  </si>
  <si>
    <t>대구광역시 달서구 장기로65길 1 (장기동)</t>
  </si>
  <si>
    <t>에이스전산</t>
  </si>
  <si>
    <t>경남대학교 창업보육관 302호</t>
  </si>
  <si>
    <t>에스비(SB)테크</t>
  </si>
  <si>
    <t>화훼작물 재배업</t>
  </si>
  <si>
    <t>경상남도 산청군 생초면 새실로60번길 6-11</t>
  </si>
  <si>
    <t>어울림</t>
  </si>
  <si>
    <t>가죄테크피아 D동102호 씨엠컴퍼니</t>
  </si>
  <si>
    <t>인천광역시 서구 백범로910번길 19 (가좌동)</t>
  </si>
  <si>
    <t>씨엠컴퍼니</t>
  </si>
  <si>
    <t>전라남도 목포시 옥암로124번길 23 (옥암동)</t>
  </si>
  <si>
    <t>수현건설 주식회사</t>
  </si>
  <si>
    <t>서울특별시 광진구 긴고랑로 93 (중곡동)</t>
  </si>
  <si>
    <t>본플러스디자인</t>
  </si>
  <si>
    <t>강원도 춘천시 공지로 305 (효자동)</t>
  </si>
  <si>
    <t>벤처창업진흥협동조합</t>
  </si>
  <si>
    <t>백앹원</t>
  </si>
  <si>
    <t>성환빌딩303호</t>
  </si>
  <si>
    <t>서울특별시 강남구 강남대로152길 14 (신사동)</t>
  </si>
  <si>
    <t>마샬캡코리아 주식회사</t>
  </si>
  <si>
    <t>부산광역시 강서구 미음산단5로41번길 21 (미음동)</t>
  </si>
  <si>
    <t>노아소리 주식회사</t>
  </si>
  <si>
    <t>경기도 김포시 하성면 원산로 36</t>
  </si>
  <si>
    <t>금강</t>
  </si>
  <si>
    <t>박물관 운영업</t>
  </si>
  <si>
    <t>경기도 수원시 영통구 웰빙타운로36번길 46-248 (이의동)</t>
  </si>
  <si>
    <t>광교천문대</t>
  </si>
  <si>
    <t>강산ENG</t>
  </si>
  <si>
    <t>전라남도 장성군 동화면 농공단지길 49</t>
  </si>
  <si>
    <t>서울특별시 강남구 논현로135길 29 (논현동)</t>
  </si>
  <si>
    <t>(주)피큐레잇</t>
  </si>
  <si>
    <t>예성빌딩 6층 퍼블릭에이아이</t>
  </si>
  <si>
    <t>서울특별시 서초구 서초중앙로 87 (서초동)</t>
  </si>
  <si>
    <t>(주)퍼블릭에이아이</t>
  </si>
  <si>
    <t>101동 1007호 1008호</t>
  </si>
  <si>
    <t>(주)세이프텍</t>
  </si>
  <si>
    <t>부산이노비즈센터 402호</t>
  </si>
  <si>
    <t>(주)비아이씨티</t>
  </si>
  <si>
    <t>경상북도 경주시 서면 대경로 3191-17</t>
  </si>
  <si>
    <t>(주)대호데크</t>
  </si>
  <si>
    <t>서울특별시 서대문구 신촌로 177 (대현동)</t>
  </si>
  <si>
    <t>(주)뉴트리아이</t>
  </si>
  <si>
    <t>한맥건설</t>
  </si>
  <si>
    <t>대전광역시 대덕구 신탄진로750번길 40 (신탄진동)</t>
  </si>
  <si>
    <t>(주) 한맥건설</t>
  </si>
  <si>
    <t>시멘트 제조업</t>
  </si>
  <si>
    <t>강릉원주대학교 창업보육센터 113호</t>
  </si>
  <si>
    <t>강원도 강릉시 죽헌길 7 (지변동)</t>
  </si>
  <si>
    <t>주식회사 호원이앤씨</t>
  </si>
  <si>
    <t>와이지테크</t>
  </si>
  <si>
    <t>충청남도 아산시 음봉면 월산로 192-184</t>
  </si>
  <si>
    <t>경기도 오산시 수청로50번길 14-16 (내삼미동)</t>
  </si>
  <si>
    <t>상생트레이더스</t>
  </si>
  <si>
    <t>미도산업</t>
  </si>
  <si>
    <t>경기도 양주시 율정로165번길 98 (율정동)</t>
  </si>
  <si>
    <t>한다헬스케어</t>
  </si>
  <si>
    <t>울산광역시 남구 월평로 218 (달동)</t>
  </si>
  <si>
    <t>한그루필름</t>
  </si>
  <si>
    <t>기타 편조 의복 액세서리 제조업</t>
  </si>
  <si>
    <t>경기도 양주시 은현면 화합로1080번길 314</t>
  </si>
  <si>
    <t>하나 제조업</t>
  </si>
  <si>
    <t>에이팩시티 1004호</t>
  </si>
  <si>
    <t>경기도 화성시 동탄순환대로 823 (영천동)</t>
  </si>
  <si>
    <t>프로토팹 주식회사</t>
  </si>
  <si>
    <t>전라북도 김제시 백구면 금백로 1137</t>
  </si>
  <si>
    <t>평장ENG</t>
  </si>
  <si>
    <t>사이언스파크 103호</t>
  </si>
  <si>
    <t>페인트팜(주)</t>
  </si>
  <si>
    <t>투와이주식회사</t>
  </si>
  <si>
    <t>B동 323호</t>
  </si>
  <si>
    <t>충청북도 청주시 청원구 오창읍 양청4길 45</t>
  </si>
  <si>
    <t>톰스</t>
  </si>
  <si>
    <t>마그네슘생산동분석실 203호</t>
  </si>
  <si>
    <t>토탈산업주식회사</t>
  </si>
  <si>
    <t>3층 제 315호</t>
  </si>
  <si>
    <t>서울특별시 마포구 마포대로 73 (도화동)</t>
  </si>
  <si>
    <t>타우데이타 주식회사</t>
  </si>
  <si>
    <t>609관 경기벤처센터 2층 204-1</t>
  </si>
  <si>
    <t>경기도 안성시 대덕면 서동대로 4726</t>
  </si>
  <si>
    <t>크레쎈</t>
  </si>
  <si>
    <t>코리아플랫폼레볼루션</t>
  </si>
  <si>
    <t>기타 식사용 가공처리 조리식품 제조업</t>
  </si>
  <si>
    <t>충청북도 진천군 덕산읍 산수산단로 232</t>
  </si>
  <si>
    <t>집밥푸드</t>
  </si>
  <si>
    <t>강원도 춘천시 퇴계공단길 62 (퇴계동)</t>
  </si>
  <si>
    <t>주식회사창대</t>
  </si>
  <si>
    <t>경기도 평택시 서동대로 3826 (소사동)</t>
  </si>
  <si>
    <t>주식회사성일인더스트리</t>
  </si>
  <si>
    <t>경기도 화성시 우정읍 배미길 115</t>
  </si>
  <si>
    <t>주식회사 호현테크</t>
  </si>
  <si>
    <t>경상남도 진주시 남강로 1089 (상평동)</t>
  </si>
  <si>
    <t>주식회사 한진솔라</t>
  </si>
  <si>
    <t>서울특별시 중랑구 동일로109길 17 (면목동)</t>
  </si>
  <si>
    <t>주식회사 필덤</t>
  </si>
  <si>
    <t>15층 피트메디</t>
  </si>
  <si>
    <t>서울특별시 마포구 마포대로 122 (공덕동)</t>
  </si>
  <si>
    <t>주식회사 피트메디</t>
  </si>
  <si>
    <t>전라남도 광양시 옥곡면 신금산단5길 107</t>
  </si>
  <si>
    <t>주식회사 플러스</t>
  </si>
  <si>
    <t>충청남도 홍성군 홍성읍 도청대로 84</t>
  </si>
  <si>
    <t>주식회사 판도라</t>
  </si>
  <si>
    <t>502호(양재동 한수빌딩)</t>
  </si>
  <si>
    <t>서울특별시 서초구 강남대로10길 13 (양재동)</t>
  </si>
  <si>
    <t>주식회사 코젠아이</t>
  </si>
  <si>
    <t>충무빌딩903호</t>
  </si>
  <si>
    <t>서울특별시 영등포구 여의대방로69길 7 (여의도동)</t>
  </si>
  <si>
    <t>주식회사 인트브리지</t>
  </si>
  <si>
    <t>서울특별시 영등포구 국회대로70길 15-1 (여의도동)</t>
  </si>
  <si>
    <t>주식회사 이롬컴퍼니</t>
  </si>
  <si>
    <t>충청북도 충주시 동량면 동산로 345-16</t>
  </si>
  <si>
    <t>주식회사 윤스틸</t>
  </si>
  <si>
    <t>주식회사 유피체인</t>
  </si>
  <si>
    <t>경기도 고양시 일산동구 문원길170번길 44-25 (설문동)</t>
  </si>
  <si>
    <t>주식회사 와글코퍼레이션</t>
  </si>
  <si>
    <t>상가동 304호</t>
  </si>
  <si>
    <t>부산광역시 연제구 월드컵대로 343 (거제동 대우그린타워아파트)</t>
  </si>
  <si>
    <t>주식회사 옥수산업</t>
  </si>
  <si>
    <t>306307308309호</t>
  </si>
  <si>
    <t>주식회사 엠케이탑</t>
  </si>
  <si>
    <t>경기도 파주시 책향기로 824 (와동동)</t>
  </si>
  <si>
    <t>주식회사 엑트</t>
  </si>
  <si>
    <t>서울특별시 서초구 고무래로 6-5 (반포동)</t>
  </si>
  <si>
    <t>주식회사 에스엘엠지바이오</t>
  </si>
  <si>
    <t>충청남도 천안시 서북구 서부14길 62 (성정동)</t>
  </si>
  <si>
    <t>주식회사 아토이</t>
  </si>
  <si>
    <t>강원도 춘천시 퇴계공단1길 51 (퇴계동)</t>
  </si>
  <si>
    <t>주식회사 삼우산업</t>
  </si>
  <si>
    <t>대덕비즈센터 씨206호</t>
  </si>
  <si>
    <t>주식회사 보노아이씨티</t>
  </si>
  <si>
    <t>산학연클러스터지원센터 504 505호</t>
  </si>
  <si>
    <t>세종특별자치시 집현중앙7로 3 (집현동)</t>
  </si>
  <si>
    <t>주식회사 맥클린코스메틱</t>
  </si>
  <si>
    <t>경상남도 창원시 마산회원구 양덕동2길 123 (양덕동)</t>
  </si>
  <si>
    <t>주식회사 락켐</t>
  </si>
  <si>
    <t>제주특별자치도 서귀포시 동홍로 38 (동홍동)</t>
  </si>
  <si>
    <t>주식회사 국보전력</t>
  </si>
  <si>
    <t>코르크 및 조물 제품 제조업</t>
  </si>
  <si>
    <t>102-1호</t>
  </si>
  <si>
    <t>충청남도 공주시 송선농공단지길 46 (송선동)</t>
  </si>
  <si>
    <t>주식회사 곰나루둘레길</t>
  </si>
  <si>
    <t>충청북도 충주시 노은면 연화2길 88</t>
  </si>
  <si>
    <t>주식회사 강온</t>
  </si>
  <si>
    <t>충청남도 천안시 동남구 풍세면 통미2길 51</t>
  </si>
  <si>
    <t>이연쏠라스톤 주식회사</t>
  </si>
  <si>
    <t>경기도 양평군 양서면 국수새터말길 93</t>
  </si>
  <si>
    <t>이루다협동조합</t>
  </si>
  <si>
    <t>917호</t>
  </si>
  <si>
    <t>서울특별시 종로구 삼일대로30길 21 (낙원동 종로오피스텔)</t>
  </si>
  <si>
    <t>위챔버 주식회사</t>
  </si>
  <si>
    <t>경상남도 김해시 호계로452번길 23-8 (부원동)</t>
  </si>
  <si>
    <t>월드라이팅</t>
  </si>
  <si>
    <t>16층 102호</t>
  </si>
  <si>
    <t>서울특별시 강남구 선릉로 428 (대치동)</t>
  </si>
  <si>
    <t>온잇코리아(주)</t>
  </si>
  <si>
    <t>경기도 안성시 미양면 갈전길 51</t>
  </si>
  <si>
    <t>오투이엔지(주)</t>
  </si>
  <si>
    <t>대전광역시 동구 한밭대로 1297 (용전동)</t>
  </si>
  <si>
    <t>오에이비지니스솔루션</t>
  </si>
  <si>
    <t>벤처기업육성센터 207호</t>
  </si>
  <si>
    <t>대전광역시 유성구 문지로 105 (문지동)</t>
  </si>
  <si>
    <t>슈어데이터랩 주식회사</t>
  </si>
  <si>
    <t>케이힐스 1106호</t>
  </si>
  <si>
    <t>경기도 파주시 심학산로 628 (야당동)</t>
  </si>
  <si>
    <t>수콘(sucon)</t>
  </si>
  <si>
    <t>경기도 안양시 동안구 관악대로 222 (비산동)</t>
  </si>
  <si>
    <t>세현인더스트리</t>
  </si>
  <si>
    <t>인쇄 및 제책용 기계 제조업</t>
  </si>
  <si>
    <t>서울테크원(주)</t>
  </si>
  <si>
    <t>기타 통신 판매업</t>
  </si>
  <si>
    <t>하우스타 302호하우스타 302호</t>
  </si>
  <si>
    <t>경기도 용인시 기흥구 동백죽전대로527번길 100-27 (중동)</t>
  </si>
  <si>
    <t>브랜드커뮤니티</t>
  </si>
  <si>
    <t>대성실업 F동(정왕동)</t>
  </si>
  <si>
    <t>경기도 시흥시 엠티브이북로 127 (정왕동)</t>
  </si>
  <si>
    <t>미강엔지니어링(주)</t>
  </si>
  <si>
    <t>비사관 6층 청년창업사관학교</t>
  </si>
  <si>
    <t>동동</t>
  </si>
  <si>
    <t>울산광역시 남구 중앙로198번길 7 (신정동)</t>
  </si>
  <si>
    <t>(주)행복바라기</t>
  </si>
  <si>
    <t>부경대학교 용당캠퍼스 산학협력관 518호</t>
  </si>
  <si>
    <t>(주)프로그레시브</t>
  </si>
  <si>
    <t>근무복 작업복 및 유사 의복 제조업</t>
  </si>
  <si>
    <t>서울특별시 강남구 강남대로140길 18 (논현동)</t>
  </si>
  <si>
    <t>(주)코리안프렌즈</t>
  </si>
  <si>
    <t>수중 공사업</t>
  </si>
  <si>
    <t>충청남도 당진시 원당로 77 (원당동)</t>
  </si>
  <si>
    <t>(주)진양이엔지</t>
  </si>
  <si>
    <t>여성기업종합지원센터 303호</t>
  </si>
  <si>
    <t>(주)지오랩</t>
  </si>
  <si>
    <t>경기도 수원시 영통구 창룡대로 260 (이의동)</t>
  </si>
  <si>
    <t>(주)지비유데이터링크스</t>
  </si>
  <si>
    <t>공장사무실</t>
  </si>
  <si>
    <t>경상남도 하동군 적량면 한옥정길 36-35</t>
  </si>
  <si>
    <t>(주)지리산황토예술촌</t>
  </si>
  <si>
    <t>(미평동)</t>
  </si>
  <si>
    <t>충청북도 청주시 서원구 궁뜰로33번길 91-11 (미평동)</t>
  </si>
  <si>
    <t>(주)제이와이티</t>
  </si>
  <si>
    <t>대구광역시 북구 검단동로4길 9-4 (검단동)</t>
  </si>
  <si>
    <t>(주)은평조명</t>
  </si>
  <si>
    <t>경기도 성남시 분당구 황새울로335번길 8 (서현동)</t>
  </si>
  <si>
    <t>(주)에이아이솔루션</t>
  </si>
  <si>
    <t>에이스하이엔드10차 1110호</t>
  </si>
  <si>
    <t>(주)알파알람텍</t>
  </si>
  <si>
    <t>경기도 화성시 봉담읍 와우안길 17 수원대학교 고운첨단과학기술원 1016호</t>
  </si>
  <si>
    <t>경기도 화성시 봉담읍 와우안길 17</t>
  </si>
  <si>
    <t>(주)아이앤비코퍼레이션</t>
  </si>
  <si>
    <t>울산광역시 울주군 언양읍 반천산업로 219-14</t>
  </si>
  <si>
    <t>(주)썬로드</t>
  </si>
  <si>
    <t>속도계 및 적산계기 제조업</t>
  </si>
  <si>
    <t>가동1층나동2층3등다동1층</t>
  </si>
  <si>
    <t>경기도 김포시 양촌읍 황금로89번길 100</t>
  </si>
  <si>
    <t>(주)대한계전</t>
  </si>
  <si>
    <t>경기도 고양시 일산동구 식사로8번길 5 (식사동)</t>
  </si>
  <si>
    <t>(주)다원에프씨</t>
  </si>
  <si>
    <t>첨단산업지원센터 107호</t>
  </si>
  <si>
    <t>대구광역시 달서구 달구벌대로 1053 (호산동)</t>
  </si>
  <si>
    <t>(주)경동이앤에스</t>
  </si>
  <si>
    <t>경상남도 양산시 어곡공단로 137 (어곡동)</t>
  </si>
  <si>
    <t>폴리테크 주식회사</t>
  </si>
  <si>
    <t>상인빌딩3층</t>
  </si>
  <si>
    <t>팝인브리지</t>
  </si>
  <si>
    <t>인천광역시 서구 도곡로 247 (대곡동)</t>
  </si>
  <si>
    <t>파워인더스트리</t>
  </si>
  <si>
    <t>강원도 고성군 죽왕면 송지호로 15-30</t>
  </si>
  <si>
    <t>티에스푸드</t>
  </si>
  <si>
    <t>경기도 평택시 진위면 진위2산단로 31-17</t>
  </si>
  <si>
    <t>크라이오에이치앤아이(주)</t>
  </si>
  <si>
    <t>목재 도구 및 주방용 나무제품 제조업</t>
  </si>
  <si>
    <t>집사연구소</t>
  </si>
  <si>
    <t>경기도 화성시 봉담읍 새말안길 33</t>
  </si>
  <si>
    <t>경기도 성남시 분당구 성남대로343번길 10-6 (정자동)</t>
  </si>
  <si>
    <t>준커머스</t>
  </si>
  <si>
    <t>제주특별자치도 제주시 구좌읍 행원로13길 100</t>
  </si>
  <si>
    <t>주식회사제주철망</t>
  </si>
  <si>
    <t>509호</t>
  </si>
  <si>
    <t>경기도 양주시 옥정로 204 (옥정동)</t>
  </si>
  <si>
    <t>주식회사 플랜비</t>
  </si>
  <si>
    <t>주식회사 케이엔조명</t>
  </si>
  <si>
    <t>경기도 용인시 기흥구 신구로 55 (신갈동)</t>
  </si>
  <si>
    <t>주식회사 조이필드</t>
  </si>
  <si>
    <t>301동 328호</t>
  </si>
  <si>
    <t>경기도 안산시 단원구 풍전로 37-9 (원곡동)</t>
  </si>
  <si>
    <t>주식회사 정석산업</t>
  </si>
  <si>
    <t>4208호(비전대 실습동)</t>
  </si>
  <si>
    <t>주식회사 온누리산전</t>
  </si>
  <si>
    <t>801호</t>
  </si>
  <si>
    <t>주식회사 엘렉시</t>
  </si>
  <si>
    <t>경기도 광주시 초월읍 숯골길 17-30</t>
  </si>
  <si>
    <t>주식회사 에스앤와이시스템</t>
  </si>
  <si>
    <t>608호(수내동 오너스타워)</t>
  </si>
  <si>
    <t>주식회사 아보나로</t>
  </si>
  <si>
    <t>안양창업지원센터 713호</t>
  </si>
  <si>
    <t>주식회사 씨앤알테크</t>
  </si>
  <si>
    <t>경기도 양주시 백석읍 중앙로109번길 31</t>
  </si>
  <si>
    <t>주식회사 새로운길</t>
  </si>
  <si>
    <t>인천IT타워 1106호</t>
  </si>
  <si>
    <t>주식회사 브릿지</t>
  </si>
  <si>
    <t>보부빌딩 3층</t>
  </si>
  <si>
    <t>서울특별시 마포구 와우산로 9 (상수동)</t>
  </si>
  <si>
    <t>주식회사 부커스</t>
  </si>
  <si>
    <t>상가동 3층.4층</t>
  </si>
  <si>
    <t>경상남도 하동군 진교면 들포길 40</t>
  </si>
  <si>
    <t>주식회사 드론고</t>
  </si>
  <si>
    <t>대전광역시 대덕구 대전로 1271 (대화동)</t>
  </si>
  <si>
    <t>주식회사 두리라이팅</t>
  </si>
  <si>
    <t>제지2층 제204호 (성동AK밸리)</t>
  </si>
  <si>
    <t>서울특별시 성동구 연무장길 76 (성수동2가)</t>
  </si>
  <si>
    <t>주식회사 꼬따꼬뜨</t>
  </si>
  <si>
    <t>충청남도 서산시 고북면 고수관로 17-39</t>
  </si>
  <si>
    <t>주식회사 거북이</t>
  </si>
  <si>
    <t>사진 처리업</t>
  </si>
  <si>
    <t>울산광역시 남구 대학로76번길 7-20 (무거동)</t>
  </si>
  <si>
    <t>제이와이프로덕션</t>
  </si>
  <si>
    <t>의약품 및 의료용품 소매업</t>
  </si>
  <si>
    <t>비1-117 랩2호 (덕성여대 캠퍼스타운)</t>
  </si>
  <si>
    <t>서울특별시 도봉구 우이천로 381 (쌍문동)</t>
  </si>
  <si>
    <t>와이앤에볼루션(YN EVOLUTION)</t>
  </si>
  <si>
    <t>경상북도 경산시 남산면 하남로 56-1</t>
  </si>
  <si>
    <t>와이비코리아(주)</t>
  </si>
  <si>
    <t>충청북도 청주시 청원구 오창읍 두릉유리로 1323-25</t>
  </si>
  <si>
    <t>엠에이라이팅</t>
  </si>
  <si>
    <t>경기도 김포시 통진읍 김포대로1951번길 244-1</t>
  </si>
  <si>
    <t>엘이디탑</t>
  </si>
  <si>
    <t>1층 경기벤처창업지원센타 (이매동 kt빌딩)</t>
  </si>
  <si>
    <t>엑스퍼아이(주)</t>
  </si>
  <si>
    <t>제너렉스 501호</t>
  </si>
  <si>
    <t>경기도 부천시 산업로8번길 42-7 (오정동)</t>
  </si>
  <si>
    <t>엄브레러</t>
  </si>
  <si>
    <t>부산 해운대구 센텀동로 25 (우동) 대우월드마크센텀아파트</t>
  </si>
  <si>
    <t>부산광역시 해운대구 해운대로767번길 15 (중동 청목마리안아파트)</t>
  </si>
  <si>
    <t>서버나디자인</t>
  </si>
  <si>
    <t>물질 성분 검사 및 분석업</t>
  </si>
  <si>
    <t>D동 11호(오류동 환경산업연구단지)</t>
  </si>
  <si>
    <t>베스트알</t>
  </si>
  <si>
    <t>직물 편조 원단 및 의복류 염색 가공업</t>
  </si>
  <si>
    <t>경상북도 영천시 청통면 보성공단길 29</t>
  </si>
  <si>
    <t>동방글로벌 주식회사</t>
  </si>
  <si>
    <t>비동 704호  용인테크노밸리</t>
  </si>
  <si>
    <t>대현콘크리트 주식회사</t>
  </si>
  <si>
    <t>라동 2층 26호</t>
  </si>
  <si>
    <t>경상남도 창원시 성산구 외동반림로126번길 50 (중앙동)</t>
  </si>
  <si>
    <t>대산테크</t>
  </si>
  <si>
    <t>대전광역시 유성구 학하복용로 96 (복용동)</t>
  </si>
  <si>
    <t>넥스탑(nextop)</t>
  </si>
  <si>
    <t>나우기술</t>
  </si>
  <si>
    <t>도시 계획 및 조경 설계 서비스업</t>
  </si>
  <si>
    <t>경기도 포천시 이동면 장암1길 36-1</t>
  </si>
  <si>
    <t>그린디자인 그루</t>
  </si>
  <si>
    <t>인하대 인하드림센터 1관 203호</t>
  </si>
  <si>
    <t>인천광역시 미추홀구 인하로 100 (용현동)</t>
  </si>
  <si>
    <t>(주)큐헷지</t>
  </si>
  <si>
    <t>기타 석제품 제조업</t>
  </si>
  <si>
    <t>경기도 포천시 창수면 금화봉길 229</t>
  </si>
  <si>
    <t>(주)주춧돌</t>
  </si>
  <si>
    <t>로드랜드이지타워 802호</t>
  </si>
  <si>
    <t>경기도 성남시 분당구 성남대로 69 (구미동)</t>
  </si>
  <si>
    <t>(주)스펙스테크</t>
  </si>
  <si>
    <t>비 109호(당동 아이밸리군포)</t>
  </si>
  <si>
    <t>경기도 군포시 공단로 149 (당동)</t>
  </si>
  <si>
    <t>(주)마이스베로</t>
  </si>
  <si>
    <t>서울특별시 동대문구 천호대로 57 (용두동)</t>
  </si>
  <si>
    <t>(주)라온케이디</t>
  </si>
  <si>
    <t>충청북도 음성군 맹동면 태정1길 5</t>
  </si>
  <si>
    <t>화신문화</t>
  </si>
  <si>
    <t>경상북도 경산시 남산면 하남로 54</t>
  </si>
  <si>
    <t>한시스템 주식회사</t>
  </si>
  <si>
    <t>사무 및 회화용품 제조업</t>
  </si>
  <si>
    <t>광주경제고용진흥원 701호</t>
  </si>
  <si>
    <t>광주광역시 광산구 하남산단8번로 177 (도천동)</t>
  </si>
  <si>
    <t>포파스코리아</t>
  </si>
  <si>
    <t>경상북도 포항시 북구 흥해읍 성곡길182번길 66-13</t>
  </si>
  <si>
    <t>주식회사 호암이노텍</t>
  </si>
  <si>
    <t>(주)하이픈코팅</t>
  </si>
  <si>
    <t>충청북도 음성군 대소면 한삼로251번길 18</t>
  </si>
  <si>
    <t>주식회사 하이픈코팅</t>
  </si>
  <si>
    <t>대전광역시 유성구 유성대로 1307 (장동)</t>
  </si>
  <si>
    <t>주식회사 트위니</t>
  </si>
  <si>
    <t>에어가전혁신센터 210호(한국전자기술연구원)</t>
  </si>
  <si>
    <t>주식회사 템트리</t>
  </si>
  <si>
    <t>전라북도 군산시 가도로 76 (오식도동)</t>
  </si>
  <si>
    <t>주식회사 태평양</t>
  </si>
  <si>
    <t>가동 105호</t>
  </si>
  <si>
    <t>강원도 춘천시 퇴계공단1길 5 (퇴계동)</t>
  </si>
  <si>
    <t>주식회사 청송산업</t>
  </si>
  <si>
    <t>수원대학교 고운첨단과학기술연구원 402-1</t>
  </si>
  <si>
    <t>주식회사 일루미네이터</t>
  </si>
  <si>
    <t>정보보호 클러스터 4층</t>
  </si>
  <si>
    <t>주식회사 이지시큐</t>
  </si>
  <si>
    <t>충청북도 청주시 청원구 내수읍 풍정3길 94</t>
  </si>
  <si>
    <t>주식회사 이상기술</t>
  </si>
  <si>
    <t>경기도 의정부시 의정로 164 (가능동)</t>
  </si>
  <si>
    <t>주식회사 유래텍</t>
  </si>
  <si>
    <t>경기도 고양시 일산서구 덕이로172번길 36 (덕이동)</t>
  </si>
  <si>
    <t>주식회사 엠아이솔루션</t>
  </si>
  <si>
    <t>기타 토목 시설물 건설업</t>
  </si>
  <si>
    <t>인천광역시 강화군 강화읍 동문안길20번길 5</t>
  </si>
  <si>
    <t>주식회사 아이에스알</t>
  </si>
  <si>
    <t>콘크리트 및 철근 공사업</t>
  </si>
  <si>
    <t>대구광역시 동구 화랑로80길 8 (방촌동 우방강촌마을)</t>
  </si>
  <si>
    <t>주식회사 세진이앤씨</t>
  </si>
  <si>
    <t>사무동 2층 주식회사 비비도</t>
  </si>
  <si>
    <t>경상남도 김해시 주촌면 골든루트로 157-22</t>
  </si>
  <si>
    <t>주식회사 비비도</t>
  </si>
  <si>
    <t>1동 5층 아이오티 인큐베이터2 에이치실</t>
  </si>
  <si>
    <t>주식회사 랩피스</t>
  </si>
  <si>
    <t>음악학원</t>
  </si>
  <si>
    <t>1701동 1층 (주)더이음</t>
  </si>
  <si>
    <t>경기도 평택시 고덕면 고덕여염로 20 (평택고덕엘에이치17단지)</t>
  </si>
  <si>
    <t>주식회사 더이음</t>
  </si>
  <si>
    <t>주시회사 자이로블</t>
  </si>
  <si>
    <t>통신 재판매업</t>
  </si>
  <si>
    <t>M동 1304-6호</t>
  </si>
  <si>
    <t>정시스템</t>
  </si>
  <si>
    <t>오산빌딩 6층</t>
  </si>
  <si>
    <t>부산광역시 연제구 토곡로 35 (연산동)</t>
  </si>
  <si>
    <t>이채라이팅</t>
  </si>
  <si>
    <t>세종특별자치시 전동면 송성리37-12</t>
  </si>
  <si>
    <t>세종특별자치시 전동면 신송로 217</t>
  </si>
  <si>
    <t>유씨엠 코리아</t>
  </si>
  <si>
    <t>기타 표시장치 제조업</t>
  </si>
  <si>
    <t>경기도 고양시 일산동구 백석로108번길 59-15 (백석동)</t>
  </si>
  <si>
    <t>유비컨트롤(주)</t>
  </si>
  <si>
    <t>광주광역시 광산구 평동산단로 239-41 (옥동)</t>
  </si>
  <si>
    <t>유림가구</t>
  </si>
  <si>
    <t>706호</t>
  </si>
  <si>
    <t>서울특별시 구로구 디지털로31길 19 (구로동)</t>
  </si>
  <si>
    <t>위더스컴퓨터(주)</t>
  </si>
  <si>
    <t>708호</t>
  </si>
  <si>
    <t>우리전력주식회사</t>
  </si>
  <si>
    <t>경기기업성장센터 927호</t>
  </si>
  <si>
    <t>엠피온 주식회사</t>
  </si>
  <si>
    <t>서울특별시 마포구 어울마당로5길 29 (서교동)</t>
  </si>
  <si>
    <t>에스프레스토 주식회사</t>
  </si>
  <si>
    <t>304호(나성동 노블비즈니스타운)</t>
  </si>
  <si>
    <t>신세종광고</t>
  </si>
  <si>
    <t>충청북도 옥천군 동이면 옥천로 2182</t>
  </si>
  <si>
    <t>스카이산업(주)</t>
  </si>
  <si>
    <t>경상북도 김천시 남면 영남대로 2905</t>
  </si>
  <si>
    <t>수피아주식회사</t>
  </si>
  <si>
    <t>423호</t>
  </si>
  <si>
    <t>서울특별시 금천구 서부샛길 534 (가산동)</t>
  </si>
  <si>
    <t>상상파이터주식회사</t>
  </si>
  <si>
    <t>전라북도 군산시 임피면 동군산로 810-19</t>
  </si>
  <si>
    <t>맥스웰테크 주식회사</t>
  </si>
  <si>
    <t>경상북도 영천시 청통면 송천공단길 23</t>
  </si>
  <si>
    <t>두정</t>
  </si>
  <si>
    <t>A동 주식회사 더바이오</t>
  </si>
  <si>
    <t>경기도 고양시 일산동구 마골길 93-1 (성석동)</t>
  </si>
  <si>
    <t>더바이오</t>
  </si>
  <si>
    <t>벤처오피스 507호</t>
  </si>
  <si>
    <t>대구광역시 북구 호암로 51 (침산동)</t>
  </si>
  <si>
    <t>뉴론웍스</t>
  </si>
  <si>
    <t>탁주 및 약주 제조업</t>
  </si>
  <si>
    <t>경상북도 예천군 용궁면 월오길 17</t>
  </si>
  <si>
    <t>농업회사법인 예천양조 주식회사</t>
  </si>
  <si>
    <t>네이쳐홀릭주식회사</t>
  </si>
  <si>
    <t>인천광역시 강화군 양도면 강화남로1002번길 114-1</t>
  </si>
  <si>
    <t>구미산업</t>
  </si>
  <si>
    <t>경상북도 구미시 인동52길 33-59 (구평동)</t>
  </si>
  <si>
    <t>구미산업 주식회사</t>
  </si>
  <si>
    <t>공생가 주식회사</t>
  </si>
  <si>
    <t>소파 및 기타 내장 가구 제조업</t>
  </si>
  <si>
    <t>(신탄진동)</t>
  </si>
  <si>
    <t>대전광역시 대덕구 신탄진동로7번안길 51 (신탄진동)</t>
  </si>
  <si>
    <t>공간퍼니처</t>
  </si>
  <si>
    <t>경상북도 구미시 옥계2공단로 73 (황상동)</t>
  </si>
  <si>
    <t>(주)형제파트너</t>
  </si>
  <si>
    <t>경상남도 김해시 진영읍 하계로240번길 2</t>
  </si>
  <si>
    <t>(주)한국레저산업개발</t>
  </si>
  <si>
    <t>(주)피노스토리</t>
  </si>
  <si>
    <t>대전광역시 서구 용문로 47 (괴정동)</t>
  </si>
  <si>
    <t>(주)파츠너</t>
  </si>
  <si>
    <t>스마트벤처타워203호</t>
  </si>
  <si>
    <t>경기도 구리시 갈매순환로204번길 65 (갈매동)</t>
  </si>
  <si>
    <t>(주)파라곤웍스</t>
  </si>
  <si>
    <t>경기도 김포시 통진읍 가현로149번길 62-32</t>
  </si>
  <si>
    <t>(주)탄탄도로</t>
  </si>
  <si>
    <t>경상남도 거제시 장승로 68-2 (장승포동)</t>
  </si>
  <si>
    <t>(주)청년의꿈</t>
  </si>
  <si>
    <t>울산광역시 울주군 웅촌면 고연로 97-2</t>
  </si>
  <si>
    <t>(주)지엘에스</t>
  </si>
  <si>
    <t>H비지니스파크 B동 501호</t>
  </si>
  <si>
    <t>서울특별시 송파구 법원로11길 25 (문정동)</t>
  </si>
  <si>
    <t>(주)인컴</t>
  </si>
  <si>
    <t>2동5층</t>
  </si>
  <si>
    <t>(주)알고씽</t>
  </si>
  <si>
    <t>22층 2202호</t>
  </si>
  <si>
    <t>(주)아이알컴퍼니</t>
  </si>
  <si>
    <t>성남센트럴비즈타워1차 1125호</t>
  </si>
  <si>
    <t>경기도 성남시 중원구 갈마치로 314 (상대원동)</t>
  </si>
  <si>
    <t>(주)아이뷰테크놀로지</t>
  </si>
  <si>
    <t>전라남도 나주시 동수농공단지길 99-21 (동수동)</t>
  </si>
  <si>
    <t>(주)신성기업</t>
  </si>
  <si>
    <t>B동</t>
  </si>
  <si>
    <t>강원도 춘천시 신동면 삼포길 97</t>
  </si>
  <si>
    <t>(주)스마트바이오탑</t>
  </si>
  <si>
    <t>녹산표준형공장 B동 4호</t>
  </si>
  <si>
    <t>부산광역시 강서구 녹산산단261로74번길 41 (송정동)</t>
  </si>
  <si>
    <t>(주)수</t>
  </si>
  <si>
    <t>전라북도 김제시 순동산단1길 28-35 (순동)</t>
  </si>
  <si>
    <t>(주)상봉모터스</t>
  </si>
  <si>
    <t>기타 수상 운송 지원 서비스업</t>
  </si>
  <si>
    <t>호림빌딩 601호</t>
  </si>
  <si>
    <t>부산광역시 동구 조방로49번길 29 (범일동)</t>
  </si>
  <si>
    <t>(주)디마린서비스</t>
  </si>
  <si>
    <t>부산광역시 금정구 개좌로 158-17 (회동동)</t>
  </si>
  <si>
    <t>(주)남강</t>
  </si>
  <si>
    <t>경상남도 사천시 사천읍 두량로 394-17</t>
  </si>
  <si>
    <t>(주)그린테크</t>
  </si>
  <si>
    <t>전라북도 군산시 임피면 동군산로 810-46</t>
  </si>
  <si>
    <t>(유)화인애드</t>
  </si>
  <si>
    <t>전라남도 목포시 대양산단로97번길 72 (대양동)</t>
  </si>
  <si>
    <t>(유) 건영크린텍</t>
  </si>
  <si>
    <t>산학연구관 504</t>
  </si>
  <si>
    <t>전라남도 여수시 대학로 50 (둔덕동)</t>
  </si>
  <si>
    <t>혜성L&amp;C</t>
  </si>
  <si>
    <t>경상남도 창원시 의창구 북면 신촌본포로 12-15</t>
  </si>
  <si>
    <t>현대에스엠</t>
  </si>
  <si>
    <t>서울특별시 강남구 영동대로 602 (삼성동 삼성동 미켈란 107)</t>
  </si>
  <si>
    <t>퓨처센스 주식회사</t>
  </si>
  <si>
    <t>부산광역시 부산진구 성지로 31 (연지동)</t>
  </si>
  <si>
    <t>팀스티어</t>
  </si>
  <si>
    <t>204/701</t>
  </si>
  <si>
    <t>경상북도 포항시 남구 오천읍 남원로 83 (1차부영아파트)</t>
  </si>
  <si>
    <t>코바</t>
  </si>
  <si>
    <t>경기벤처창업지원센터 4층 428호</t>
  </si>
  <si>
    <t>캣츠</t>
  </si>
  <si>
    <t>서울특별시 광진구 광나루로19길 44-1 (군자동)</t>
  </si>
  <si>
    <t>진영상사</t>
  </si>
  <si>
    <t>(주)티푸드</t>
  </si>
  <si>
    <t>경기도 포천시 가산면 우현로 102</t>
  </si>
  <si>
    <t>주식회사 티푸드</t>
  </si>
  <si>
    <t>경기도 화성시 양감면 초록로693번길 3-13</t>
  </si>
  <si>
    <t>주식회사 테솔루션</t>
  </si>
  <si>
    <t>충청북도 청주시 청원구 오창읍 두릉유리로 47-3</t>
  </si>
  <si>
    <t>주식회사 제이에이치켐</t>
  </si>
  <si>
    <t>전자 축전기 제조업</t>
  </si>
  <si>
    <t>경기도 화성시 봉담읍 동화길 51</t>
  </si>
  <si>
    <t>주식회사 윤강기술</t>
  </si>
  <si>
    <t>강원도 영월군 영월읍 팔괴로 130-70</t>
  </si>
  <si>
    <t>주식회사 엠테크</t>
  </si>
  <si>
    <t>엘케이건설</t>
  </si>
  <si>
    <t>경기도 양주시 만송로330번길 30-9 (만송동)</t>
  </si>
  <si>
    <t>주식회사 엘케이건설</t>
  </si>
  <si>
    <t>서강대학교 떼이야르관 409호</t>
  </si>
  <si>
    <t>서울특별시 마포구 백범로 35 (신수동)</t>
  </si>
  <si>
    <t>주식회사 액스콘</t>
  </si>
  <si>
    <t>204호</t>
  </si>
  <si>
    <t>충청남도 천안시 서북구 월봉7길 49 (쌍용동 효명리츠빌)</t>
  </si>
  <si>
    <t>주식회사 아주기업</t>
  </si>
  <si>
    <t>리더스타워 9층</t>
  </si>
  <si>
    <t>경기도 용인시 기흥구 원고매로 12 (고매동)</t>
  </si>
  <si>
    <t>주식회사 쉐어라이트</t>
  </si>
  <si>
    <t>날붙이 제조업</t>
  </si>
  <si>
    <t>송내테크노밸리 b07b호</t>
  </si>
  <si>
    <t>경기도 부천시 송내대로30번길 13 (송내동)</t>
  </si>
  <si>
    <t>주식회사 성광테크</t>
  </si>
  <si>
    <t>경기도 의정부시 호국로 1343 (의정부동)</t>
  </si>
  <si>
    <t>주식회사 브이엠</t>
  </si>
  <si>
    <t>에이동 1011호</t>
  </si>
  <si>
    <t>서울특별시 강서구 마곡중앙로 161-8 (마곡동)</t>
  </si>
  <si>
    <t>주식회사 바운스코드</t>
  </si>
  <si>
    <t>대전광역시 중구 문화로 266 (문화동)</t>
  </si>
  <si>
    <t>주식회사 미토스테라퓨틱스</t>
  </si>
  <si>
    <t>1218호(대구대학교 창업보육센터 2호관)</t>
  </si>
  <si>
    <t>주식회사 레드99</t>
  </si>
  <si>
    <t>서울특별시 서초구 신반포로 311 (잠원동)</t>
  </si>
  <si>
    <t>주식회사 듣는</t>
  </si>
  <si>
    <t>더 스페이스 타워 5층 502호</t>
  </si>
  <si>
    <t>주식회사 공공</t>
  </si>
  <si>
    <t>충청북도 음성군 원남면 보덕로 355</t>
  </si>
  <si>
    <t>이엘피씨주식회사</t>
  </si>
  <si>
    <t>유한회사 새만금라이팅</t>
  </si>
  <si>
    <t>b동 202호</t>
  </si>
  <si>
    <t>서울특별시 은평구 은평로2길 6-19 (신사동)</t>
  </si>
  <si>
    <t>오션디앤피</t>
  </si>
  <si>
    <t>경기도 구리시 동구릉로459번길 167 (사노동)</t>
  </si>
  <si>
    <t>오디 주식회사</t>
  </si>
  <si>
    <t>자동차용 신품 조향장치 및 현가장치 제조업</t>
  </si>
  <si>
    <t>경상북도 경주시 외동읍 개곡공단길 70-16</t>
  </si>
  <si>
    <t>에이스테크(주)</t>
  </si>
  <si>
    <t>창업지원센터 성장관 303호</t>
  </si>
  <si>
    <t>경기도 수원시 팔달구 행궁로 98 (교동)</t>
  </si>
  <si>
    <t>에스에스씨라이팅 주식회사</t>
  </si>
  <si>
    <t>충청북도 제천시 금성면 양월로 46-34</t>
  </si>
  <si>
    <t>아트테크</t>
  </si>
  <si>
    <t>서울특별시 동대문구 휘경로 20 (이문동)</t>
  </si>
  <si>
    <t>십일리터(11L)</t>
  </si>
  <si>
    <t>비 1층 109-63호</t>
  </si>
  <si>
    <t>서울특별시 서초구 강남대로51길 10 (서초동)</t>
  </si>
  <si>
    <t>시나몬랩스</t>
  </si>
  <si>
    <t>경상남도 거창군 위천면 화리골길 55</t>
  </si>
  <si>
    <t>스톤 아이 앤 에스</t>
  </si>
  <si>
    <t>판유리 제조업</t>
  </si>
  <si>
    <t>박병재의숯커피</t>
  </si>
  <si>
    <t>경상남도 진주시 도동로240번길 20-1 (하대동)</t>
  </si>
  <si>
    <t>충청남도 천안시 서북구 봉정로 201 (성정동)</t>
  </si>
  <si>
    <t>달 콘텐츠 제작소</t>
  </si>
  <si>
    <t>경상남도 양산시 소노길 73 (산막동)</t>
  </si>
  <si>
    <t>(주)현대산업전기</t>
  </si>
  <si>
    <t>16층 1601호</t>
  </si>
  <si>
    <t>경기도 고양시 일산동구 태극로 60 (장항동)</t>
  </si>
  <si>
    <t>(주)테크빌리지</t>
  </si>
  <si>
    <t>충청북도 제천시 내토로1길 85-15 (신동)</t>
  </si>
  <si>
    <t>(주)천지테크</t>
  </si>
  <si>
    <t>부평테크시티 901호</t>
  </si>
  <si>
    <t>(주)인터랙트</t>
  </si>
  <si>
    <t>603호604호605호</t>
  </si>
  <si>
    <t>(주)에스에이텍</t>
  </si>
  <si>
    <t>(주)어스열융합기술</t>
  </si>
  <si>
    <t>충청남도 천안시 서북구 성환읍 천안대로 2146</t>
  </si>
  <si>
    <t>구로대명벨리온 409호</t>
  </si>
  <si>
    <t>서울특별시 구로구 경인로53가길 10 (구로동)</t>
  </si>
  <si>
    <t>(주)신일테크</t>
  </si>
  <si>
    <t>(주)순양전자</t>
  </si>
  <si>
    <t>경상북도 경주시 내남면 내외로 1078-6</t>
  </si>
  <si>
    <t>삼은파트너스</t>
  </si>
  <si>
    <t>경기도 파주시 교하로 961-19 (신촌동)</t>
  </si>
  <si>
    <t>(주)삼은파트너스</t>
  </si>
  <si>
    <t>가동1층나동1층다동2층</t>
  </si>
  <si>
    <t>(주)대한스마트미터</t>
  </si>
  <si>
    <t>911호(에이스하이테크시티군포)</t>
  </si>
  <si>
    <t>경기도 군포시 공단로140번길 52 (당정동)</t>
  </si>
  <si>
    <t>(주)다솔</t>
  </si>
  <si>
    <t>충청북도 청주시 상당구 호미로165번길 33-2 (용암동)</t>
  </si>
  <si>
    <t>(주)F/L tech</t>
  </si>
  <si>
    <t>퍼스트코리아빌딩 929호</t>
  </si>
  <si>
    <t>화인티앤티</t>
  </si>
  <si>
    <t>강원도 양구군 양구읍 농공단지길 79</t>
  </si>
  <si>
    <t>합자회사 매트나라</t>
  </si>
  <si>
    <t>스마트스타트업 스튜디오 3호점 피트내비</t>
  </si>
  <si>
    <t>서울특별시 성북구 고려대로27길 4 (안암동5가)</t>
  </si>
  <si>
    <t>피트내비</t>
  </si>
  <si>
    <t>창업보육센터(정보융합센터영상관) 306호 PF테크 ((재)) 충남테크노파크 천안밸리</t>
  </si>
  <si>
    <t>피에프(PF)테크</t>
  </si>
  <si>
    <t>501동 비101호</t>
  </si>
  <si>
    <t>경기도 안성시 미양면 안성맞춤대로 475 (경동메르빌)</t>
  </si>
  <si>
    <t>태광씨티 주식회사</t>
  </si>
  <si>
    <t>경기도 고양시 덕양구 동헌로 125-27 (관산동)</t>
  </si>
  <si>
    <t>케이세이프</t>
  </si>
  <si>
    <t>701동 205호</t>
  </si>
  <si>
    <t>인천광역시 서구 마전로99번길 8 (마전동 대주파크빌아파트)</t>
  </si>
  <si>
    <t>지에스티</t>
  </si>
  <si>
    <t>경기도 화성시 남양읍 신남로 405</t>
  </si>
  <si>
    <t>주식회사플랜제로인더스트리</t>
  </si>
  <si>
    <t>제주특별자치도 제주시 중앙로19길 1 (이도일동)</t>
  </si>
  <si>
    <t>주식회사 활자의명수</t>
  </si>
  <si>
    <t>경기도 광주시 곤지암읍 광여로 157</t>
  </si>
  <si>
    <t>주식회사 탑이앤씨</t>
  </si>
  <si>
    <t>주식회사 클레프이노베이션</t>
  </si>
  <si>
    <t>경기도 고양시 덕양구 무원로6번길 61 (행신동)</t>
  </si>
  <si>
    <t>주식회사 컴윈테크</t>
  </si>
  <si>
    <t>916호 917호</t>
  </si>
  <si>
    <t>주식회사 제이에스솔루션</t>
  </si>
  <si>
    <t>12층 1201호</t>
  </si>
  <si>
    <t>서울특별시 서초구 강남대로 527 (반포동)</t>
  </si>
  <si>
    <t>주식회사 위더팀 (WEtheTEAM Inc.)</t>
  </si>
  <si>
    <t>부산광역시 강서구 울만로 23 (대저2동)</t>
  </si>
  <si>
    <t>주식회사 우미산업</t>
  </si>
  <si>
    <t>제주특별자치도 제주시 진군2길 1-5 (노형동)</t>
  </si>
  <si>
    <t>주식회사 에이원테크</t>
  </si>
  <si>
    <t>1702동 1005호</t>
  </si>
  <si>
    <t>서울특별시 도봉구 덕릉로66길 17 (창동 주공17단지아파트)</t>
  </si>
  <si>
    <t>주식회사 아이끌레</t>
  </si>
  <si>
    <t>울산광역시 울주군 웅촌면 부채골길 17</t>
  </si>
  <si>
    <t>주식회사 상승</t>
  </si>
  <si>
    <t>주식회사 삼도환경</t>
  </si>
  <si>
    <t>연세창업보육센터 103호</t>
  </si>
  <si>
    <t>주식회사 벡트로우</t>
  </si>
  <si>
    <t>전라남도 순천시 팔마1길 9-19 (연향동)</t>
  </si>
  <si>
    <t>주식회사 미라클뮤지엄</t>
  </si>
  <si>
    <t>벤처창업관 105호</t>
  </si>
  <si>
    <t>주식회사 모스터일렉</t>
  </si>
  <si>
    <t>가천대 창업보육센터 B203호</t>
  </si>
  <si>
    <t>경기도 성남시 수정구 성남대로 1342 (복정동)</t>
  </si>
  <si>
    <t>주식회사 레이젠</t>
  </si>
  <si>
    <t>자수제품 및 자수용 재료 제조업</t>
  </si>
  <si>
    <t>1층 2층</t>
  </si>
  <si>
    <t>경기도 수원시 권선구 서호로 134 (서둔동)</t>
  </si>
  <si>
    <t>주식회사 디오디</t>
  </si>
  <si>
    <t>406호</t>
  </si>
  <si>
    <t>주식회사 데카사이트</t>
  </si>
  <si>
    <t>경기도 시흥시 목감3길 3-2 (목감동)</t>
  </si>
  <si>
    <t>주식회사 금와이엔씨</t>
  </si>
  <si>
    <t>경기도 김포시 대곶면 상마신기로 103-6</t>
  </si>
  <si>
    <t>주식회사 가연인더스</t>
  </si>
  <si>
    <t>지층 464호</t>
  </si>
  <si>
    <t>서울특별시 마포구 성지길 25-11 (합정동)</t>
  </si>
  <si>
    <t>제이엠씨</t>
  </si>
  <si>
    <t>전라남도 무안군 청계면 청계공단1길 105-23</t>
  </si>
  <si>
    <t>유한회사 피에스우드</t>
  </si>
  <si>
    <t>경상남도 김해시 진영읍 본산로219번길 76-5</t>
  </si>
  <si>
    <t>에이치아이파티션</t>
  </si>
  <si>
    <t>유정리619-1</t>
  </si>
  <si>
    <t>경기도 광주시 도척면 도척로 830</t>
  </si>
  <si>
    <t>아리스포츠주식회사</t>
  </si>
  <si>
    <t>628호</t>
  </si>
  <si>
    <t>아리스테크 주식회사</t>
  </si>
  <si>
    <t>대전광역시 유성구 테크노11로 41-7 (탑립동)</t>
  </si>
  <si>
    <t>세종솔루텍 주식회사</t>
  </si>
  <si>
    <t>선도기술</t>
  </si>
  <si>
    <t>경상남도 김해시 주촌면 서부로1637번안길 30-1</t>
  </si>
  <si>
    <t>제주특별자치도 서귀포시 안덕면 화순해안로 113</t>
  </si>
  <si>
    <t>뿌리깊은나무</t>
  </si>
  <si>
    <t>마딘</t>
  </si>
  <si>
    <t>경상북도 포항시 북구 청하면 용산길 154</t>
  </si>
  <si>
    <t>덕영산업 주식회사</t>
  </si>
  <si>
    <t>전라남도 목포시 입암로20번길 18-3 (상동)</t>
  </si>
  <si>
    <t>대길</t>
  </si>
  <si>
    <t>1동 111호</t>
  </si>
  <si>
    <t>경기도 수원시 영통구 신원로 306 (원천동)</t>
  </si>
  <si>
    <t>다한테크</t>
  </si>
  <si>
    <t>채소류 서류 및 향신작물류 도매업</t>
  </si>
  <si>
    <t>개미와베짱이</t>
  </si>
  <si>
    <t>전라남도 나주시 노안면 금산로 33</t>
  </si>
  <si>
    <t>농업회사법인 주식회사 개미와베짱이</t>
  </si>
  <si>
    <t>충청북도 청주시 청원구 율량로48번길 6-21 (주중동)</t>
  </si>
  <si>
    <t>나무특별시</t>
  </si>
  <si>
    <t>충청북도 영동군 영동읍 동정로 180</t>
  </si>
  <si>
    <t>국제스톤산업</t>
  </si>
  <si>
    <t>design911</t>
  </si>
  <si>
    <t>한라시그마밸리 307 308호</t>
  </si>
  <si>
    <t>(주)이끌레오</t>
  </si>
  <si>
    <t>섬유 원단 실 및 기타 섬유제품 소매업</t>
  </si>
  <si>
    <t>1층 우진섬유</t>
  </si>
  <si>
    <t>경기도 광주시 초월읍 산수로 717-21</t>
  </si>
  <si>
    <t>(주)우진텍스텍</t>
  </si>
  <si>
    <t>동탄엠타워 403호</t>
  </si>
  <si>
    <t>경기도 화성시 동탄첨단산업1로 51-9 (영천동)</t>
  </si>
  <si>
    <t>(주)씨티씨엠</t>
  </si>
  <si>
    <t>경상북도 포항시 북구 흥해읍 도음로856번길 7</t>
  </si>
  <si>
    <t>(주)드림씨앤씨</t>
  </si>
  <si>
    <t>경상북도 경산시 용성면 오산길 16-5</t>
  </si>
  <si>
    <t>(주)대림매트</t>
  </si>
  <si>
    <t>경상남도 합천군 야로면 야로공단길 25</t>
  </si>
  <si>
    <t>(주)가은메탈</t>
  </si>
  <si>
    <t>전라남도 담양군 가사문학면 독수정길 9</t>
  </si>
  <si>
    <t>유한회사 하경메탈</t>
  </si>
  <si>
    <t>경기도 군포시 고산로 571 (산본동)</t>
  </si>
  <si>
    <t>유진텍</t>
  </si>
  <si>
    <t>부산광역시 서구 충무대로 56 (암남동 송도탑스빌)</t>
  </si>
  <si>
    <t>밝히는 사람들</t>
  </si>
  <si>
    <t>주안스마트테크노타워 가동  406호</t>
  </si>
  <si>
    <t>까멜리아</t>
  </si>
  <si>
    <t>현대강관(주)</t>
  </si>
  <si>
    <t>강원도 횡성군 우천면 우천산업단지로 38-20</t>
  </si>
  <si>
    <t>3층 F334호</t>
  </si>
  <si>
    <t>퓨어오투</t>
  </si>
  <si>
    <t>인쇄용 및 필기용 원지 제조업</t>
  </si>
  <si>
    <t>B동 614호</t>
  </si>
  <si>
    <t>주식회사지안포레스트</t>
  </si>
  <si>
    <t>충청북도 청주시 상당구 가덕면 행정노동길 38-39</t>
  </si>
  <si>
    <t>주식회사대주</t>
  </si>
  <si>
    <t>전라북도 전주시 덕진구 신흥마을길 143 (고랑동)</t>
  </si>
  <si>
    <t>주식회사 휴먼텍</t>
  </si>
  <si>
    <t>경기도 김포시 하성면 월하로775번길 36</t>
  </si>
  <si>
    <t>주식회사 화이어솔루션</t>
  </si>
  <si>
    <t>부산광역시 사하구 두송로 232 (구평동)</t>
  </si>
  <si>
    <t>주식회사 해원</t>
  </si>
  <si>
    <t>서울특별시 광진구 천호대로 571 (중곡동)</t>
  </si>
  <si>
    <t>주식회사 한솔아이오티</t>
  </si>
  <si>
    <t>전라북도 고창군 흥덕면 선운대로 3619-68</t>
  </si>
  <si>
    <t>주식회사 한성파트너스</t>
  </si>
  <si>
    <t>1367호</t>
  </si>
  <si>
    <t>서울특별시 마포구 새창로 11 (도화동)</t>
  </si>
  <si>
    <t>주식회사 프라임테크</t>
  </si>
  <si>
    <t>1층 (주)크리진블루</t>
  </si>
  <si>
    <t>대구광역시 달서구 성서로 37 (대천동)</t>
  </si>
  <si>
    <t>주식회사 크리진블루</t>
  </si>
  <si>
    <t>용운동 대전대학교 창업보육센터 205호</t>
  </si>
  <si>
    <t>대전광역시 동구 대학로 62 (용운동)</t>
  </si>
  <si>
    <t>주식회사 엠에스코스팜</t>
  </si>
  <si>
    <t>경기도 수원시 권선구 정조로613번길 15-17 (세류동)</t>
  </si>
  <si>
    <t>주식회사 엔지엘</t>
  </si>
  <si>
    <t>알루미늄 주물 주조업</t>
  </si>
  <si>
    <t>경기도 포천시 가산면 너배기1길 31</t>
  </si>
  <si>
    <t>주식회사 에스알텍</t>
  </si>
  <si>
    <t>대구광역시 달서구 달서대로 555 (신당동)</t>
  </si>
  <si>
    <t>주식회사 샘틀</t>
  </si>
  <si>
    <t>충청남도 청양군 정산면 충의로 1183-19</t>
  </si>
  <si>
    <t>주식회사 뉴콘</t>
  </si>
  <si>
    <t>하남테크노밸리U1센터 C동 1302호</t>
  </si>
  <si>
    <t>에이치이켐</t>
  </si>
  <si>
    <t>엘지빌1차 102호</t>
  </si>
  <si>
    <t>경기도 오산시 남부대로441번길 11-1 (고현동)</t>
  </si>
  <si>
    <t>승진비앤에프</t>
  </si>
  <si>
    <t>경기도 군포시 당정로 14 (당정동)</t>
  </si>
  <si>
    <t>더로드아이앤씨 주식회사</t>
  </si>
  <si>
    <t>강원도 춘천시 동산면 원무동길 160</t>
  </si>
  <si>
    <t>대진목재</t>
  </si>
  <si>
    <t>627호 르호봇죽전비즈니스센터</t>
  </si>
  <si>
    <t>경기도 용인시 기흥구 죽전로 29 (보정동)</t>
  </si>
  <si>
    <t>단플</t>
  </si>
  <si>
    <t>맘씨몰 2층</t>
  </si>
  <si>
    <t>부산광역시 북구 금곡대로 282-10 (화명동)</t>
  </si>
  <si>
    <t>(주)맘씨생활건강</t>
  </si>
  <si>
    <t>(주)린크스</t>
  </si>
  <si>
    <t>경기도 양주시 광적면 광적로 201-34</t>
  </si>
  <si>
    <t>A동 208호</t>
  </si>
  <si>
    <t>(주)건호엔지니어링</t>
  </si>
  <si>
    <t>강원도 원주시 관설안길 19-2 (관설동)</t>
  </si>
  <si>
    <t>포시즌</t>
  </si>
  <si>
    <t>기억 장치 제조업</t>
  </si>
  <si>
    <t>창업보육센터 208호</t>
  </si>
  <si>
    <t>택트레이서</t>
  </si>
  <si>
    <t>8층 820호(마곡나루역프라이빗타워 1차)</t>
  </si>
  <si>
    <t>서울특별시 강서구 마곡중앙로 165 (마곡동)</t>
  </si>
  <si>
    <t>책읽는다락방</t>
  </si>
  <si>
    <t>C구역 다열 11호</t>
  </si>
  <si>
    <t>대전광역시 중구 중앙로 지하 145 (은행동)</t>
  </si>
  <si>
    <t>책과향기</t>
  </si>
  <si>
    <t>경기도 의정부시 범골로35번길 56 (호원동)</t>
  </si>
  <si>
    <t>주식회사파브미디어</t>
  </si>
  <si>
    <t>기타 옥외 시설물 축조관련 전문공사업</t>
  </si>
  <si>
    <t>(주)장천기술</t>
  </si>
  <si>
    <t>충청북도 충주시 금가면 문산신대1길 37</t>
  </si>
  <si>
    <t>주식회사장천기술</t>
  </si>
  <si>
    <t>강원도 양구군 양구읍 농공단지길 45</t>
  </si>
  <si>
    <t>주식회사성운</t>
  </si>
  <si>
    <t>WeWork 여의도 5F</t>
  </si>
  <si>
    <t>주식회사더스팟</t>
  </si>
  <si>
    <t>경기도 화성시 봉담읍 마당바위로 174</t>
  </si>
  <si>
    <t>주식회사 호미소프트</t>
  </si>
  <si>
    <t>경상남도 김해시 상동면 동북로1007번길 58-2</t>
  </si>
  <si>
    <t>주식회사 플레이두두</t>
  </si>
  <si>
    <t>경기도 김포시 통진읍 월하로301번길 176</t>
  </si>
  <si>
    <t>주식회사 청수이엔씨</t>
  </si>
  <si>
    <t>농업전문창업보육센터 201호</t>
  </si>
  <si>
    <t>주식회사 인바이러스테크</t>
  </si>
  <si>
    <t>청야빌딩 502호</t>
  </si>
  <si>
    <t>전라북도 전주시 덕진구 오공로 49 (중동)</t>
  </si>
  <si>
    <t>주식회사 이큐미디어</t>
  </si>
  <si>
    <t>경기도 파주시 월롱면 홀작로 70-90</t>
  </si>
  <si>
    <t>주식회사 이알티</t>
  </si>
  <si>
    <t>제주특별자치도 제주시 번영로 51 (화북이동)</t>
  </si>
  <si>
    <t>주식회사 우서기업</t>
  </si>
  <si>
    <t>주식회사 에코</t>
  </si>
  <si>
    <t>경상북도 칠곡군 가산면 학신로 165-37</t>
  </si>
  <si>
    <t>주식회사 시에스테크</t>
  </si>
  <si>
    <t>흥덕아리티밸리P0151호</t>
  </si>
  <si>
    <t>경기도 용인시 기흥구 흥덕1로 13 (영덕동)</t>
  </si>
  <si>
    <t>주식회사 세이프인</t>
  </si>
  <si>
    <t>경기도 평택시 안중읍 용성길 176-8</t>
  </si>
  <si>
    <t>주식회사 성원산업</t>
  </si>
  <si>
    <t>주식회사보금테크휀스</t>
  </si>
  <si>
    <t>충청남도 아산시 둔포면 봉신로 258-64</t>
  </si>
  <si>
    <t>주식회사 보금테크휀스</t>
  </si>
  <si>
    <t>109동</t>
  </si>
  <si>
    <t>경기도 안산시 단원구 산단로19번길 180 (목내동)</t>
  </si>
  <si>
    <t>주식회사 버드엠</t>
  </si>
  <si>
    <t>카펫 마루덮개 및 유사 제품 제조업</t>
  </si>
  <si>
    <t>경상남도 거창군 마리면 거안로 732</t>
  </si>
  <si>
    <t>주식회사 도담</t>
  </si>
  <si>
    <t>대구광역시 달성군 구지면 달성2차동1로 195</t>
  </si>
  <si>
    <t>주식회사 가경이앤씨</t>
  </si>
  <si>
    <t>624호</t>
  </si>
  <si>
    <t>경기도 고양시 일산동구 중앙로 1193 (장항동)</t>
  </si>
  <si>
    <t>제이티펀 모션 캠퍼스</t>
  </si>
  <si>
    <t>경기도 수원시 팔달구 세지로174번길 32-2 (인계동)</t>
  </si>
  <si>
    <t>우인미디어테크</t>
  </si>
  <si>
    <t>경기도 김포시 하성면 원통로28번길 47</t>
  </si>
  <si>
    <t>에이치테크</t>
  </si>
  <si>
    <t>E동 1313호</t>
  </si>
  <si>
    <t>에스지컴테크 주식회사</t>
  </si>
  <si>
    <t>서울특별시 성북구 보국문로8가길 26-2 (정릉동)</t>
  </si>
  <si>
    <t>언타이틀 플랜트(untitled plant)</t>
  </si>
  <si>
    <t>627호</t>
  </si>
  <si>
    <t>더밴테크</t>
  </si>
  <si>
    <t>제주특별자치도 서귀포시 신중남로 1 (강정동)</t>
  </si>
  <si>
    <t>네이처월드(주)</t>
  </si>
  <si>
    <t>강원도 원주시 태장공단길 54-2 (태장동)</t>
  </si>
  <si>
    <t>(주)진텍</t>
  </si>
  <si>
    <t>대전광역시 서구 월평로 77 (월평동)</t>
  </si>
  <si>
    <t>(주)인퓨쳐</t>
  </si>
  <si>
    <t>인제대학교 창조관 408호</t>
  </si>
  <si>
    <t>(주)영운글로벌</t>
  </si>
  <si>
    <t>효성ICT 207호</t>
  </si>
  <si>
    <t>경기도 화성시 동탄대로 677-12 (영천동)</t>
  </si>
  <si>
    <t>(주)에스디코웍스</t>
  </si>
  <si>
    <t>경기도 수원시 권선구 당진로15번길 49 (당수동)</t>
  </si>
  <si>
    <t>(주)에스디에스</t>
  </si>
  <si>
    <t>경기도 구리시 이문안로 31 (교문동)</t>
  </si>
  <si>
    <t>(주)아름환경개발</t>
  </si>
  <si>
    <t>기타 비철금속 주조업</t>
  </si>
  <si>
    <t>양우내안애클래스568 507호</t>
  </si>
  <si>
    <t>경기도 이천시 애련정로 67-39 (안흥동)</t>
  </si>
  <si>
    <t>(주)가야외장</t>
  </si>
  <si>
    <t>건축물 일반 청소업</t>
  </si>
  <si>
    <t>경기도 화성시 봉담읍 기배로 9-11</t>
  </si>
  <si>
    <t>한얼사회적협동조합</t>
  </si>
  <si>
    <t>경상남도 김해시 주촌면 서부로1631번길 50</t>
  </si>
  <si>
    <t>천우메탈(주)</t>
  </si>
  <si>
    <t>경상남도 진주시 진성면 동부로1259번길 25-19</t>
  </si>
  <si>
    <t>주식회사 호산</t>
  </si>
  <si>
    <t>O1관 414호</t>
  </si>
  <si>
    <t>주식회사 피피소프트</t>
  </si>
  <si>
    <t>전라북도 김제시 백구면 석담4길 155</t>
  </si>
  <si>
    <t>주식회사 태백</t>
  </si>
  <si>
    <t>충청남도 아산시 신창면 행목로 11-19</t>
  </si>
  <si>
    <t>주식회사 정코스메틱</t>
  </si>
  <si>
    <t>전자코일 변성기 및 기타 전자 유도자 제조업</t>
  </si>
  <si>
    <t>인천광역시 서구 백범로630번길 16 (가좌동)</t>
  </si>
  <si>
    <t>주식회사 이해전자</t>
  </si>
  <si>
    <t>스타트업캠퍼스 8층 5호 (1동)</t>
  </si>
  <si>
    <t>주식회사 웨이브온</t>
  </si>
  <si>
    <t>B동 181318141815호(일직동 광명역 자이타워)</t>
  </si>
  <si>
    <t>주식회사 월드씨엔에스</t>
  </si>
  <si>
    <t>경기도 파주시 소라지로 138-53 (연다산동)</t>
  </si>
  <si>
    <t>주식회사 보돌에프엔비</t>
  </si>
  <si>
    <t>경기도 수원시 권선구 하탑로53번길 16 (탑동)</t>
  </si>
  <si>
    <t>주식회사 디에스씨알</t>
  </si>
  <si>
    <t>에이동 비동</t>
  </si>
  <si>
    <t>경기도 용인시 처인구 모현읍 외개일로21번길 8</t>
  </si>
  <si>
    <t>주식회사 더히어로</t>
  </si>
  <si>
    <t>경남로봇랜드재단714호</t>
  </si>
  <si>
    <t>경상남도 창원시 마산회원구 내서읍 광려천남로 59</t>
  </si>
  <si>
    <t>위팩트(WIFECT)</t>
  </si>
  <si>
    <t>인천광역시 옹진군 영흥면 영흥서로26번길 42-9</t>
  </si>
  <si>
    <t>영흥상사</t>
  </si>
  <si>
    <t>5동 602호</t>
  </si>
  <si>
    <t>경상남도 창원시 마산회원구 봉암북7길 21 (봉암동)</t>
  </si>
  <si>
    <t>에이지로보틱스 주식회사</t>
  </si>
  <si>
    <t>경기도 부천시 신흥로470번길 73 (오정동)</t>
  </si>
  <si>
    <t>에스투컴퍼니(S2 COMPANY)</t>
  </si>
  <si>
    <t>울산광역시 울주군 청량읍 상남길 9-1</t>
  </si>
  <si>
    <t>알트코리아(주)</t>
  </si>
  <si>
    <t>신우엔지니어링(주)</t>
  </si>
  <si>
    <t>전라남도 순천시 해룡면 해룡산단6로 90</t>
  </si>
  <si>
    <t>수산동물 훈제 조리 및 유사 조제식품 제조업</t>
  </si>
  <si>
    <t>1층 맛있는수다</t>
  </si>
  <si>
    <t>광주광역시 광산구 신창로105번길 34-8 (신창동)</t>
  </si>
  <si>
    <t>수다협동조합</t>
  </si>
  <si>
    <t>2층 202호(방배동)</t>
  </si>
  <si>
    <t>서울특별시 서초구 동광로3길 41 (방배동)</t>
  </si>
  <si>
    <t>사단법인 한국장애인산업협회</t>
  </si>
  <si>
    <t>1206호</t>
  </si>
  <si>
    <t>범 코리아</t>
  </si>
  <si>
    <t>대원빌딩203호</t>
  </si>
  <si>
    <t>서울특별시 동대문구 천호대로 126 (용두동)</t>
  </si>
  <si>
    <t>디에스</t>
  </si>
  <si>
    <t>경상북도 구미시 고아읍 농공단지길 35-23</t>
  </si>
  <si>
    <t>니온팀버</t>
  </si>
  <si>
    <t>경기도 광주시 도척면 사기소길 12</t>
  </si>
  <si>
    <t>꿈동산장애인표준사업장 주식회사</t>
  </si>
  <si>
    <t>(주)피엠텍</t>
  </si>
  <si>
    <t>전라북도 임실군 오수면 금암1길 47</t>
  </si>
  <si>
    <t>인천광역시 계양구 까치말로 19 (작전동)</t>
  </si>
  <si>
    <t>(주)펜타드</t>
  </si>
  <si>
    <t>서울특별시 송파구 송이로14길 9 (가락동)</t>
  </si>
  <si>
    <t>(주)트로피안테크</t>
  </si>
  <si>
    <t>서울특별시 강서구 공항대로 220 (마곡동)</t>
  </si>
  <si>
    <t>(주)씨엘클라우드</t>
  </si>
  <si>
    <t>문구용 종이제품 제조업</t>
  </si>
  <si>
    <t>플레이에듀랩주식회사</t>
  </si>
  <si>
    <t>경기도 이천시 대월면 대평로 195-62</t>
  </si>
  <si>
    <t>주식회사오투스코리아</t>
  </si>
  <si>
    <t>목재 문 및 관련제품 제조업</t>
  </si>
  <si>
    <t>충청북도 청주시 흥덕구 강내면 황탄리길 35</t>
  </si>
  <si>
    <t>주식회사 해성우드</t>
  </si>
  <si>
    <t>안산대학교 창업보육센터 304호</t>
  </si>
  <si>
    <t>주식회사 테크인</t>
  </si>
  <si>
    <t>401-2호</t>
  </si>
  <si>
    <t>충청북도 청주시 청원구 오창읍 중심상업로 20</t>
  </si>
  <si>
    <t>주식회사 케이투헬스케어</t>
  </si>
  <si>
    <t>103동 1007호</t>
  </si>
  <si>
    <t>서울특별시 영등포구 국회대로50길 20 (영등포동7가 포레나 영등포)</t>
  </si>
  <si>
    <t>주식회사 커넥터즈</t>
  </si>
  <si>
    <t>2층 주식회사 채가</t>
  </si>
  <si>
    <t>인천광역시 미추홀구 동주길120번길 63 (주안동)</t>
  </si>
  <si>
    <t>주식회사 채가</t>
  </si>
  <si>
    <t>서울특별시 용산구 한강대로 329 (갈월동)</t>
  </si>
  <si>
    <t>주식회사 잡앤피플연구소</t>
  </si>
  <si>
    <t>벽 및 바닥 피복용 플라스틱 제품 제조업</t>
  </si>
  <si>
    <t>부산광역시 기장군 정관읍 양수길 7-8</t>
  </si>
  <si>
    <t>주식회사 우성엘아이디</t>
  </si>
  <si>
    <t>비동 4층 421호 동탄센트럴에이스타워</t>
  </si>
  <si>
    <t>주식회사 에이아이큐브</t>
  </si>
  <si>
    <t>2층 (고잔동)</t>
  </si>
  <si>
    <t>인천광역시 남동구 호구포로120번길 54 (고잔동)</t>
  </si>
  <si>
    <t>주식회사 에어스토리</t>
  </si>
  <si>
    <t>서울특별시 성동구 아차산로 49 (성수동1가)</t>
  </si>
  <si>
    <t>주식회사 에스앤씨얼라이언스 (SNC alliance)</t>
  </si>
  <si>
    <t>B동 913-1호</t>
  </si>
  <si>
    <t>주식회사 아스팔트아트</t>
  </si>
  <si>
    <t>경기도 동두천시 평화로 3014 (상봉암동)</t>
  </si>
  <si>
    <t>경상남도 사천시 향촌2길 27-3 (향촌동)</t>
  </si>
  <si>
    <t>주식회사 더원엔지니어링</t>
  </si>
  <si>
    <t>창업보육센타 COO3</t>
  </si>
  <si>
    <t>주식회사 대한방수</t>
  </si>
  <si>
    <t>AB동</t>
  </si>
  <si>
    <t>경기도 평택시 진위면 경기대로 1791-9</t>
  </si>
  <si>
    <t>주식회사 다산퍼스</t>
  </si>
  <si>
    <t>1023호</t>
  </si>
  <si>
    <t>주식회사 누리나루</t>
  </si>
  <si>
    <t>경기도 김포시 대곶면 천호로116번길 23-24</t>
  </si>
  <si>
    <t>주식회사 나무</t>
  </si>
  <si>
    <t>대전광역시 동구 은어송로 26 (가오동)</t>
  </si>
  <si>
    <t>주식회사 계룡전기</t>
  </si>
  <si>
    <t>이쎌 복합건물</t>
  </si>
  <si>
    <t>경기도 파주시 상지석길 404-50 (상지석동)</t>
  </si>
  <si>
    <t>이쎌 주식회사</t>
  </si>
  <si>
    <t>금속 단조제품 제조업</t>
  </si>
  <si>
    <t>전주시 덕진구 화전동 71-5</t>
  </si>
  <si>
    <t>전라북도 전주시 덕진구 원화전1길 57-55 (화전동)</t>
  </si>
  <si>
    <t>유한회사 믿음공조시스템</t>
  </si>
  <si>
    <t>ant빌딩 3층 327호</t>
  </si>
  <si>
    <t>서울특별시 마포구 월드컵북로4길 77 (동교동)</t>
  </si>
  <si>
    <t>오름마케팅앤컴퍼니</t>
  </si>
  <si>
    <t>힉스유타워 지식산업센터 A동 321호</t>
  </si>
  <si>
    <t>알텍</t>
  </si>
  <si>
    <t>B동 509호</t>
  </si>
  <si>
    <t>심플레이</t>
  </si>
  <si>
    <t>강관 제조업</t>
  </si>
  <si>
    <t>충청북도 진천군 진천읍 송두4길 56-33</t>
  </si>
  <si>
    <t>성은종합철강(주)</t>
  </si>
  <si>
    <t>경기도 안성시 삼죽면 국사봉로 379-15</t>
  </si>
  <si>
    <t>성안콘크리트</t>
  </si>
  <si>
    <t>대전광역시 중구 계백로1603번길 16-4 (유천동)</t>
  </si>
  <si>
    <t>문화상사</t>
  </si>
  <si>
    <t>skn테크노파크 비즈동 916호</t>
  </si>
  <si>
    <t>리셋컴퍼니주식회사</t>
  </si>
  <si>
    <t>디에스엠씨(주)</t>
  </si>
  <si>
    <t>경상남도 김해시 주촌면 서부로1631번길 52</t>
  </si>
  <si>
    <t>충청북도 청주시 흥덕구 옥산면 옥산산단1로 103-1</t>
  </si>
  <si>
    <t>대림스포츠산업</t>
  </si>
  <si>
    <t>서울특별시 광진구 구의로16길 88-4 (구의동)</t>
  </si>
  <si>
    <t>광진유통</t>
  </si>
  <si>
    <t>인천광역시 부평구 평천로 386 (삼산동)</t>
  </si>
  <si>
    <t>가온샘 주식회사</t>
  </si>
  <si>
    <t>고려빌딩 913호</t>
  </si>
  <si>
    <t>서울특별시 종로구 새문안로 91 (신문로1가)</t>
  </si>
  <si>
    <t>(주)필이엔지</t>
  </si>
  <si>
    <t>대구광역시 달서구 성서서로48길 23 (갈산동)</t>
  </si>
  <si>
    <t>(주)케이로드</t>
  </si>
  <si>
    <t>인천광역시 부평구 평천로 336-1 (갈산동)</t>
  </si>
  <si>
    <t>(주)제이엔엠</t>
  </si>
  <si>
    <t>전라남도 여수시 해산3길 9 (해산동)</t>
  </si>
  <si>
    <t>(주)이에스</t>
  </si>
  <si>
    <t>23F</t>
  </si>
  <si>
    <t>경상남도 양산시 상북면 소토로 101</t>
  </si>
  <si>
    <t>(주)이앤티</t>
  </si>
  <si>
    <t>강관 가공품 및 관 연결구류 제조업</t>
  </si>
  <si>
    <t>상가동 에프201호</t>
  </si>
  <si>
    <t>경기도 남양주시 화도읍 경춘로1842번길 36-1 (삼신아파트)</t>
  </si>
  <si>
    <t>(주)에스피조은</t>
  </si>
  <si>
    <t>충청북도 청주시 흥덕구 옥산면 과학산업4로 9</t>
  </si>
  <si>
    <t>(주)씨앤씨케미칼</t>
  </si>
  <si>
    <t>사동 백신</t>
  </si>
  <si>
    <t>(주)백신</t>
  </si>
  <si>
    <t>충효관 6505호</t>
  </si>
  <si>
    <t>(주)미리클</t>
  </si>
  <si>
    <t>대전광역시 유성구 왕가봉로24번길 20 (노은동)</t>
  </si>
  <si>
    <t>(주)리뉴한마루</t>
  </si>
  <si>
    <t>경상남도 함안군 칠원읍 용산2길 63</t>
  </si>
  <si>
    <t>(주)디자인시공사</t>
  </si>
  <si>
    <t>경상남도 창원시 의창구 대산면 가술산남로 16</t>
  </si>
  <si>
    <t>(주)더원테크</t>
  </si>
  <si>
    <t>경상북도 성주군 선남면 유서리길 145-9</t>
  </si>
  <si>
    <t>(주)가나이엔지</t>
  </si>
  <si>
    <t>경상남도 양산시 상북면 율리길 34</t>
  </si>
  <si>
    <t>효은전기 주식회사</t>
  </si>
  <si>
    <t>5동 1호</t>
  </si>
  <si>
    <t>충청남도 금산군 금산읍 인삼약초로 45</t>
  </si>
  <si>
    <t>파마코푸드 주식회사</t>
  </si>
  <si>
    <t>714호</t>
  </si>
  <si>
    <t>토포로그</t>
  </si>
  <si>
    <t>볼트 및 너트류 제조업</t>
  </si>
  <si>
    <t>센텀IS타워 711호</t>
  </si>
  <si>
    <t>키스트</t>
  </si>
  <si>
    <t>울산광역시 남구 옥현로 129 (무거동)</t>
  </si>
  <si>
    <t>지아이에프코리아 주식회사</t>
  </si>
  <si>
    <t>453호</t>
  </si>
  <si>
    <t>주식회사소노위즈</t>
  </si>
  <si>
    <t>도금업</t>
  </si>
  <si>
    <t>경기도 안산시 단원구 산단로67번길 101 (목내동)</t>
  </si>
  <si>
    <t>주식회사 피앤아이</t>
  </si>
  <si>
    <t>비동</t>
  </si>
  <si>
    <t>광주광역시 광산구 하남산단3번로 33 (장덕동)</t>
  </si>
  <si>
    <t>주식회사 찬슬</t>
  </si>
  <si>
    <t>충청남도 공주시 금학동길 9 (금학동)</t>
  </si>
  <si>
    <t>주식회사 정인</t>
  </si>
  <si>
    <t>씨동 308호</t>
  </si>
  <si>
    <t>주식회사 오션솔라라이팅</t>
  </si>
  <si>
    <t>웹스빌딩 306호</t>
  </si>
  <si>
    <t>주식회사 에코마린</t>
  </si>
  <si>
    <t>경상북도 경주시 현곡면 용담로 583-35</t>
  </si>
  <si>
    <t>주식회사 신라병가</t>
  </si>
  <si>
    <t>가동104호</t>
  </si>
  <si>
    <t>주식회사 세이프텍</t>
  </si>
  <si>
    <t>(주)코맥스 비동 3층</t>
  </si>
  <si>
    <t>경기도 성남시 중원구 둔촌대로 494 (상대원동)</t>
  </si>
  <si>
    <t>주식회사 맥스컴</t>
  </si>
  <si>
    <t>(주)마이크로크린</t>
  </si>
  <si>
    <t>경기도 평택시 청북읍 청북산단로 156</t>
  </si>
  <si>
    <t>주식회사 마이크로크린</t>
  </si>
  <si>
    <t>(신엄리)</t>
  </si>
  <si>
    <t>제주특별자치도 제주시 애월읍 신엄7길 31</t>
  </si>
  <si>
    <t>주식회사 대한시스템</t>
  </si>
  <si>
    <t>부산광역시 수영구 수미로35번길 9 (망미동 디아이하우스)</t>
  </si>
  <si>
    <t>재강전력주식회사</t>
  </si>
  <si>
    <t>경기도 고양시 일산서구 송포로425번길 68 (가좌동)</t>
  </si>
  <si>
    <t>일산전기 주식회사</t>
  </si>
  <si>
    <t>굉교비즈니스센터 307</t>
  </si>
  <si>
    <t>경기도 수원시 영통구 광교로 156 (이의동)</t>
  </si>
  <si>
    <t>이온어스(주)</t>
  </si>
  <si>
    <t>전라남도 순천시 하인제길 9-2 (남정동)</t>
  </si>
  <si>
    <t>월드테크 주식회사</t>
  </si>
  <si>
    <t>경기도 용인시 기흥구 덕영대로2077번길 77 (영덕동)</t>
  </si>
  <si>
    <t>예담산업</t>
  </si>
  <si>
    <t>시화공단 2바 602호</t>
  </si>
  <si>
    <t>경기도 시흥시 군자천로31번길 37 (정왕동)</t>
  </si>
  <si>
    <t>엠에스철강 주식회사</t>
  </si>
  <si>
    <t>원목 및 건축관련 목제품 도매업</t>
  </si>
  <si>
    <t>경상남도 양산시 유산공단4길 47-28 (유산동)</t>
  </si>
  <si>
    <t>에이스팀버 주식회사</t>
  </si>
  <si>
    <t>인천광역시 옹진군 영흥면 영흥남로 170</t>
  </si>
  <si>
    <t>에스제이종합상사</t>
  </si>
  <si>
    <t>204호(성수동2가 풍림테크원)</t>
  </si>
  <si>
    <t>서울특별시 성동구 성수이로18길 31 (성수동2가)</t>
  </si>
  <si>
    <t>에스엔아이인스티튜트(주)</t>
  </si>
  <si>
    <t>씨앤씨메디랩</t>
  </si>
  <si>
    <t>경기도 파주시 월롱면 정문로 304</t>
  </si>
  <si>
    <t>씨앤씨메디랩주식회사</t>
  </si>
  <si>
    <t>충청남도 천안시 서북구 성거읍 봉주로 292</t>
  </si>
  <si>
    <t>스크린승마주식회사</t>
  </si>
  <si>
    <t>서울특별시 마포구 월드컵북로7길 61 (서교동)</t>
  </si>
  <si>
    <t>전라남도 영광군 홍농읍 상단길 403</t>
  </si>
  <si>
    <t>삼일건설</t>
  </si>
  <si>
    <t>이원빌딩 4층</t>
  </si>
  <si>
    <t>경기도 부천시 옥산로251번길 29 (도당동)</t>
  </si>
  <si>
    <t>비츠엘이디</t>
  </si>
  <si>
    <t>그 외 기타 분류 안된 상품 전문 소매업</t>
  </si>
  <si>
    <t>경상남도 창원시 성산구 마디미로9번길 7 (상남동)</t>
  </si>
  <si>
    <t>보라테크</t>
  </si>
  <si>
    <t>602동 208호</t>
  </si>
  <si>
    <t>전라북도 전주시 완산구 당산로 11 (서신동 쌍용서신아파트)</t>
  </si>
  <si>
    <t>라이언넷(주)</t>
  </si>
  <si>
    <t>대전광역시 동구 대자양4길 18 (대동)</t>
  </si>
  <si>
    <t>다정한작업실</t>
  </si>
  <si>
    <t>전라남도 순천시 팔마로 148 (덕암동)</t>
  </si>
  <si>
    <t>농업회사법인 순천만 누룽지 주식회사</t>
  </si>
  <si>
    <t>경상북도 칠곡군 왜관읍 아곡7길 16-23</t>
  </si>
  <si>
    <t>(주)태영피앤엑스</t>
  </si>
  <si>
    <t>하남테크노밸리 U1센터 A동 1010호</t>
  </si>
  <si>
    <t>(주)캠프리본</t>
  </si>
  <si>
    <t>부산광역시 연제구 여고로 80 (거제동)</t>
  </si>
  <si>
    <t>(주)제이엘나노</t>
  </si>
  <si>
    <t>전라남도 광양시 금호로 187-12 (금호동)</t>
  </si>
  <si>
    <t>(주)인코돈바이오코스메틱</t>
  </si>
  <si>
    <t>서울특별시 구로구 경인로 662 (신도림동 디큐브시티)</t>
  </si>
  <si>
    <t>(주)이비즈인사이드</t>
  </si>
  <si>
    <t>6층 615호</t>
  </si>
  <si>
    <t>서울특별시 서초구 서초대로 398 (서초동)</t>
  </si>
  <si>
    <t>(주)위드데이터</t>
  </si>
  <si>
    <t>(주)옴니스타일</t>
  </si>
  <si>
    <t>공장동 416호</t>
  </si>
  <si>
    <t>경기도 고양시 일산동구 일산로 138 (백석동)</t>
  </si>
  <si>
    <t>(주)엠솔</t>
  </si>
  <si>
    <t>광주광역시 서구 무진대로 571-1 (덕흥동)</t>
  </si>
  <si>
    <t>(주)에이스에너지</t>
  </si>
  <si>
    <t>인천산업용품유통센터 15동 205호</t>
  </si>
  <si>
    <t>(주)에스앤케이텍</t>
  </si>
  <si>
    <t>301동 707호(삼정동 부천테크노파크쌍용3차)</t>
  </si>
  <si>
    <t>(주)세이프티코리아</t>
  </si>
  <si>
    <t>경상북도 예천군 보문면 산단길 14-12</t>
  </si>
  <si>
    <t>(주)성지산업조명</t>
  </si>
  <si>
    <t>1층 (주)부창산업</t>
  </si>
  <si>
    <t>경상북도 포항시 북구 양학천로 16-1 (죽도동)</t>
  </si>
  <si>
    <t>(주)부창산업</t>
  </si>
  <si>
    <t>경상남도 합천군 초계면 동부로 1049</t>
  </si>
  <si>
    <t>(주)라파클린텍</t>
  </si>
  <si>
    <t>부천테크노파크 403동 602호</t>
  </si>
  <si>
    <t>경기도 부천시 평천로 655 (약대동)</t>
  </si>
  <si>
    <t>(주)뉴콤시스</t>
  </si>
  <si>
    <t>광주광역시 동구 금남로 193-22 (금남로4가)</t>
  </si>
  <si>
    <t>(주) 에이버츄얼</t>
  </si>
  <si>
    <t>주식회사 하나조경</t>
  </si>
  <si>
    <t>경기도 안양시 동안구 전파로104번길 54 (호계동)</t>
  </si>
  <si>
    <t>주식회사 큐어텍</t>
  </si>
  <si>
    <t>경상북도 김천시 농공단지2길 71 (신음동)</t>
  </si>
  <si>
    <t>주식회사 우주정밀</t>
  </si>
  <si>
    <t>경기도 군포시 삼성로20번길 12-7 (부곡동)</t>
  </si>
  <si>
    <t>주식회사 에이원플러스</t>
  </si>
  <si>
    <t>부산광역시 부산진구 동천로108번길 30 (전포동)</t>
  </si>
  <si>
    <t>주식회사 비엔애드</t>
  </si>
  <si>
    <t>경상남도 김해시 진례면 고모로180번길 104</t>
  </si>
  <si>
    <t>주식회사 비마린</t>
  </si>
  <si>
    <t>연성대학교벤처센터 11층 GBSA A02</t>
  </si>
  <si>
    <t>이노젬</t>
  </si>
  <si>
    <t>효성ICT타워304호</t>
  </si>
  <si>
    <t>옐레드 꿀꺽</t>
  </si>
  <si>
    <t>20호</t>
  </si>
  <si>
    <t>서울특별시 서초구 서초중앙로8길 89-2 (서초동)</t>
  </si>
  <si>
    <t>아이투에스</t>
  </si>
  <si>
    <t>서울특별시 강남구 봉은사로 115 (논현동)</t>
  </si>
  <si>
    <t>씨벤티지 주식회사</t>
  </si>
  <si>
    <t>대구광역시 달성군 구지면 달성2차6로 7</t>
  </si>
  <si>
    <t>선린머트리얼</t>
  </si>
  <si>
    <t>-</t>
  </si>
  <si>
    <t>인천광역시 강화군 불은면 불은남로 123</t>
  </si>
  <si>
    <t>서정적공간</t>
  </si>
  <si>
    <t>울산광역시 남구 대학로145번길 54-6 (무거동)</t>
  </si>
  <si>
    <t>더난교육</t>
  </si>
  <si>
    <t>2층 67블럭 3로트(고잔동)</t>
  </si>
  <si>
    <t>인천광역시 남동구 남동대로215번길 81 (고잔동)</t>
  </si>
  <si>
    <t>뉴엠코리아(주)</t>
  </si>
  <si>
    <t>경상남도 양산시 장기터2길 18-4 (주남동)</t>
  </si>
  <si>
    <t>농업회사법인 주)시루정</t>
  </si>
  <si>
    <t>경기도 화성시 향남읍 발안로 548-4</t>
  </si>
  <si>
    <t>경도계전 주식회사</t>
  </si>
  <si>
    <t>퍼스트코리아 지하2층 213호</t>
  </si>
  <si>
    <t>건창테크</t>
  </si>
  <si>
    <t>상상큐브 A107호(삼선동2가)</t>
  </si>
  <si>
    <t>서울특별시 성북구 삼선교로16길 116 (삼선동2가)</t>
  </si>
  <si>
    <t>개구리전기(주)</t>
  </si>
  <si>
    <t>건설ㆍ광업용 기계 및 장비 수리업</t>
  </si>
  <si>
    <t>경기도 양주시 칠봉산로227번길 40-9 (봉양동)</t>
  </si>
  <si>
    <t>JS모터스</t>
  </si>
  <si>
    <t>610호</t>
  </si>
  <si>
    <t>경상남도 창원시 성산구 중앙대로 33 (중앙동)</t>
  </si>
  <si>
    <t>(주)충호에스엔티</t>
  </si>
  <si>
    <t>방사선 장치 제조업</t>
  </si>
  <si>
    <t>사무동 2층 201호</t>
  </si>
  <si>
    <t>대전광역시 대덕구 대덕대로1284번길 17 (신일동)</t>
  </si>
  <si>
    <t>(주)엠원인터내셔널</t>
  </si>
  <si>
    <t>314호(장기동)</t>
  </si>
  <si>
    <t>(주)비엔피창호</t>
  </si>
  <si>
    <t>경상북도 성주군 성주읍 성주순환로 268</t>
  </si>
  <si>
    <t>(주)필드라인</t>
  </si>
  <si>
    <t>722호(창강빌딩)</t>
  </si>
  <si>
    <t>휴스테이션</t>
  </si>
  <si>
    <t>남녀용 겉옷 및 셔츠 도매업</t>
  </si>
  <si>
    <t>티끌모아</t>
  </si>
  <si>
    <t>대구광역시 서구 와룡로70길 42 (중리동)</t>
  </si>
  <si>
    <t>대륭테크노타운8차 209호</t>
  </si>
  <si>
    <t>서울특별시 금천구 가마산로 96 (가산동)</t>
  </si>
  <si>
    <t>케이투에스시스템 주식회사</t>
  </si>
  <si>
    <t>경기도 평택시 고덕면 새악길 66</t>
  </si>
  <si>
    <t>청정</t>
  </si>
  <si>
    <t>(구월동 네이쳐프라자 405호)</t>
  </si>
  <si>
    <t>인천광역시 남동구 선수촌공원로23번길 11 (구월동)</t>
  </si>
  <si>
    <t>주식회사초성물산</t>
  </si>
  <si>
    <t>인천광역시 서구 중봉대로612번길 10-12 (청라동)</t>
  </si>
  <si>
    <t>주식회사 큐네스</t>
  </si>
  <si>
    <t>312호</t>
  </si>
  <si>
    <t>경기도 용인시 기흥구 용구대로2469번길 164 (보정동)</t>
  </si>
  <si>
    <t>주식회사 청솔조경</t>
  </si>
  <si>
    <t>경기도 수원시 권선구 장다리로 131 (권선동 그랜드 스위트)</t>
  </si>
  <si>
    <t>주식회사 지셔터</t>
  </si>
  <si>
    <t>주식회사 지라이팅</t>
  </si>
  <si>
    <t>설치용 및 위생용 플라스틱제품 제조업</t>
  </si>
  <si>
    <t>부산광역시 강서구 식만로85번길 28 (죽림동)</t>
  </si>
  <si>
    <t>주식회사 제이케이(J.K.Co.Ltd.)</t>
  </si>
  <si>
    <t>대전광역시 서구 괴정로166번길 47 (가장동)</t>
  </si>
  <si>
    <t>주식회사 제이엠푸루스</t>
  </si>
  <si>
    <t>B동 802호</t>
  </si>
  <si>
    <t>경기도 군포시 고산로148번길 17 (당정동)</t>
  </si>
  <si>
    <t>주식회사 원스케이프</t>
  </si>
  <si>
    <t>11층(수표동 시그니쳐타워)</t>
  </si>
  <si>
    <t>주식회사 오픈메이트온</t>
  </si>
  <si>
    <t>2층 여명라이팅</t>
  </si>
  <si>
    <t>경상남도 창원시 의창구 평산로70번길 44-14 (팔용동)</t>
  </si>
  <si>
    <t>주식회사 여명라이팅</t>
  </si>
  <si>
    <t>본부동 디216호</t>
  </si>
  <si>
    <t>주식회사 엘스텍엔바이런먼트</t>
  </si>
  <si>
    <t>경상남도 김해시 한림면 안곡로 546</t>
  </si>
  <si>
    <t>주식회사 에코에스티</t>
  </si>
  <si>
    <t>서울특별시 금천구 가산디지털1로 145 (가산동)</t>
  </si>
  <si>
    <t>주식회사 에스제이소프트</t>
  </si>
  <si>
    <t>경기도 파주시 방촌로348번길 21-25 (맥금동)</t>
  </si>
  <si>
    <t>주식회사 아이제이산업</t>
  </si>
  <si>
    <t>계면활성제 제조업</t>
  </si>
  <si>
    <t>광주광역시 북구 하서로 508 (본촌동)</t>
  </si>
  <si>
    <t>주식회사 브레인포커스</t>
  </si>
  <si>
    <t>929 930호</t>
  </si>
  <si>
    <t>주식회사 미래인</t>
  </si>
  <si>
    <t>충청북도 청주시 서원구 남이면 가마길 17</t>
  </si>
  <si>
    <t>주식회사 대성무선</t>
  </si>
  <si>
    <t>에이스하이엔드타워3차 1207-1호</t>
  </si>
  <si>
    <t>주식회사 다온아카이브웍스</t>
  </si>
  <si>
    <t>경기도 화성시 팔탄면 언창길 52-33</t>
  </si>
  <si>
    <t>주식회사 나경산업</t>
  </si>
  <si>
    <t>단국대학교 창업보육센터 206호</t>
  </si>
  <si>
    <t>웰니스</t>
  </si>
  <si>
    <t>경기도 안성시 계동1길 22 (계동)</t>
  </si>
  <si>
    <t>늘해랑(주)</t>
  </si>
  <si>
    <t>서울특별시 도봉구 마들로 750 (도봉동)</t>
  </si>
  <si>
    <t>노웨어솔루션주식회사</t>
  </si>
  <si>
    <t>부산광역시 사하구 다대로1066번길 56 (장림동)</t>
  </si>
  <si>
    <t>그랜드테크</t>
  </si>
  <si>
    <t>B21동 918호</t>
  </si>
  <si>
    <t>부산광역시 남구 용소로 45 (대연동)</t>
  </si>
  <si>
    <t>AH머티리얼즈</t>
  </si>
  <si>
    <t>효원산학협동관 406호</t>
  </si>
  <si>
    <t>(주)지에이치이노텍</t>
  </si>
  <si>
    <t>경상북도 경주시 현곡면 용담로 583-4</t>
  </si>
  <si>
    <t>(주)에스지엠</t>
  </si>
  <si>
    <t>(주)멘퍼스</t>
  </si>
  <si>
    <t>광주광역시 광산구 평동산단로 239-10 (옥동)</t>
  </si>
  <si>
    <t>건설용 석제품 제조업</t>
  </si>
  <si>
    <t>제주특별자치도 제주시 조천읍 일주동로 1346</t>
  </si>
  <si>
    <t>주식회사혜주산업</t>
  </si>
  <si>
    <t>창업보육센터 1관 6호</t>
  </si>
  <si>
    <t>주식회사 티에스케이제약</t>
  </si>
  <si>
    <t>주식회사 케이엠도담</t>
  </si>
  <si>
    <t>경상남도 고성군 고성읍 남해안대로 3045</t>
  </si>
  <si>
    <t>문정현대지식산업센터 C동 414호</t>
  </si>
  <si>
    <t>서울특별시 송파구 법원로11길 7 (문정동)</t>
  </si>
  <si>
    <t>주식회사 이니씽크</t>
  </si>
  <si>
    <t>경기도 포천시 내촌면 금강로 2480-56</t>
  </si>
  <si>
    <t>주식회사 엘케이인더스트리</t>
  </si>
  <si>
    <t>주식회사 엔젠에프에이</t>
  </si>
  <si>
    <t>2층 215호 B17</t>
  </si>
  <si>
    <t>경기도 용인시 기흥구 동백5로 22 (중동)</t>
  </si>
  <si>
    <t>주식회사 내길</t>
  </si>
  <si>
    <t>서울특별시 강남구 역삼로12길 18-3 (역삼동)</t>
  </si>
  <si>
    <t>이도전략컨설팅</t>
  </si>
  <si>
    <t>101호(고은빌)</t>
  </si>
  <si>
    <t>경기도 남양주시 화도읍 비룡로99번길 28-2</t>
  </si>
  <si>
    <t>용현라이팅</t>
  </si>
  <si>
    <t>스타트업스튜디오 8호점</t>
  </si>
  <si>
    <t>서울특별시 성북구 개운사1길 13 (안암동5가)</t>
  </si>
  <si>
    <t>엠엔피</t>
  </si>
  <si>
    <t>11층 스마트오피스</t>
  </si>
  <si>
    <t>엠에이커뮤니케이션</t>
  </si>
  <si>
    <t>광주광역시 북구 송해로 10-7 (삼각동)</t>
  </si>
  <si>
    <t>시에스템</t>
  </si>
  <si>
    <t>7층 716호</t>
  </si>
  <si>
    <t>경기도 시흥시 공단1대로 341 (정왕동)</t>
  </si>
  <si>
    <t>사회적협동조합 어우리</t>
  </si>
  <si>
    <t>더스타일 601호</t>
  </si>
  <si>
    <t>서울특별시 은평구 가좌로10길 16 (응암동 더스타일)</t>
  </si>
  <si>
    <t>비일비재</t>
  </si>
  <si>
    <t>802호 608호</t>
  </si>
  <si>
    <t>서울특별시 성동구 성수일로12길 20 (성수동2가)</t>
  </si>
  <si>
    <t>라이트비전 주식회사</t>
  </si>
  <si>
    <t>금속광물 도매업</t>
  </si>
  <si>
    <t>대건패널 주식회사</t>
  </si>
  <si>
    <t>전라남도 순천시 고지6길 20 (가곡동)</t>
  </si>
  <si>
    <t>대건패널(주)</t>
  </si>
  <si>
    <t>경기도 파주시 운정2길 25 (상지석동)</t>
  </si>
  <si>
    <t>노바글로우</t>
  </si>
  <si>
    <t>티엠이엔지</t>
  </si>
  <si>
    <t>경기도 김포시 대곶면 율마로 193-23</t>
  </si>
  <si>
    <t>(주)티엠이엔지</t>
  </si>
  <si>
    <t>서울특별시 마포구 월드컵북로5나길 9-6 (서교동)</t>
  </si>
  <si>
    <t>(주)컬쳐미디어랩</t>
  </si>
  <si>
    <t>경기도 용인시 처인구 한터로275번길 29 (고림동)</t>
  </si>
  <si>
    <t>(주)제이에스벤처스</t>
  </si>
  <si>
    <t>대전광역시 동구 하소중로 36 (하소동)</t>
  </si>
  <si>
    <t>(주)에코앤시스템</t>
  </si>
  <si>
    <t>경상북도 문경시 마성면 마성공단길 136</t>
  </si>
  <si>
    <t>(주)에스제이산업개발</t>
  </si>
  <si>
    <t>D617</t>
  </si>
  <si>
    <t>(주)시정</t>
  </si>
  <si>
    <t>내부 전기배선 공사업</t>
  </si>
  <si>
    <t>전라남도 목포시 후광대로 110 (옥암동)</t>
  </si>
  <si>
    <t>(주)명진이앤씨</t>
  </si>
  <si>
    <t>경상북도 영천시 영천아이시로 106-90 (봉동)</t>
  </si>
  <si>
    <t>(주)디에이치씨</t>
  </si>
  <si>
    <t>전라남도 순천시 호남길 81 (영동)</t>
  </si>
  <si>
    <t>(주)꿈꾸는사람들</t>
  </si>
  <si>
    <t>경기도 남양주시 화도읍 가곡로88번길 29-3</t>
  </si>
  <si>
    <t>하나건업</t>
  </si>
  <si>
    <t>경상남도 김해시 삼안로60번길 15-13 (지내동)</t>
  </si>
  <si>
    <t>티티전자(주)</t>
  </si>
  <si>
    <t>산학협력관 418-2호</t>
  </si>
  <si>
    <t>경기도 안성시 중앙로 327 (석정동)</t>
  </si>
  <si>
    <t>토프코스메틱스</t>
  </si>
  <si>
    <t>3층 3379호</t>
  </si>
  <si>
    <t>서울특별시 송파구 오금로15길 5-12 (방이동)</t>
  </si>
  <si>
    <t>테라테크 주식회사</t>
  </si>
  <si>
    <t>경기도 화성시 정남면 신새말길 20</t>
  </si>
  <si>
    <t>청우이엔지 주식회사</t>
  </si>
  <si>
    <t>건물전체</t>
  </si>
  <si>
    <t>경기도 광주시 초월읍 지월로16번길 69</t>
  </si>
  <si>
    <t>지노테크</t>
  </si>
  <si>
    <t>광주광역시 남구 송암로 60 (송하동)</t>
  </si>
  <si>
    <t>주식회사퍼니브라운</t>
  </si>
  <si>
    <t>401호(내덕동 청주대학교 미래창조관)</t>
  </si>
  <si>
    <t>충청북도 청주시 청원구 안덕벌로104번길 28 (내덕동)</t>
  </si>
  <si>
    <t>주식회사 한걸음</t>
  </si>
  <si>
    <t>경기도중소기업지원센터 보육동 401호</t>
  </si>
  <si>
    <t>주식회사 핀텔</t>
  </si>
  <si>
    <t>충청북도 청주시 흥덕구 가로수로 1251 (복대동)</t>
  </si>
  <si>
    <t>주식회사 충청</t>
  </si>
  <si>
    <t>4동5동</t>
  </si>
  <si>
    <t>충청남도 당진시 구봉로 12-40 (원당동)</t>
  </si>
  <si>
    <t>주식회사 초록에서 농업회사법인</t>
  </si>
  <si>
    <t>전라남도 무안군 삼향읍 삼향공단길 56-25</t>
  </si>
  <si>
    <t>주식회사 창해엘앤씨</t>
  </si>
  <si>
    <t>충청북도 제천시 금성면 청풍호로24길 8</t>
  </si>
  <si>
    <t>주식회사 주영</t>
  </si>
  <si>
    <t>경기도 부천시 상동로 105 (상동)</t>
  </si>
  <si>
    <t>주식회사 일원기술</t>
  </si>
  <si>
    <t>서울특별시 서초구 서초대로 118 (방배동)</t>
  </si>
  <si>
    <t>주식회사 이노플릭</t>
  </si>
  <si>
    <t>부산광역시 영도구 해양로 435-1 (동삼동)</t>
  </si>
  <si>
    <t>주식회사 엠투코리아</t>
  </si>
  <si>
    <t>경상남도 사천시 사남면 도동안길 13</t>
  </si>
  <si>
    <t>주식회사 에스에이치전력</t>
  </si>
  <si>
    <t>광주광역시 북구 첨단벤처소로38번길 19 (월출동)</t>
  </si>
  <si>
    <t>주식회사 에스아이티</t>
  </si>
  <si>
    <t>1027호 1028호(블루웨일 지식산업센터 1차)</t>
  </si>
  <si>
    <t>경기도 남양주시 다산중앙로19번길 21 (다산동)</t>
  </si>
  <si>
    <t>주식회사 아이티앤</t>
  </si>
  <si>
    <t>애니메이션 영화 및 비디오물 제작업</t>
  </si>
  <si>
    <t>경기도 용인시 기흥구 구성로 25 (마북동)</t>
  </si>
  <si>
    <t>주식회사 썬픽처스</t>
  </si>
  <si>
    <t>지하1층지상1층</t>
  </si>
  <si>
    <t>서울특별시 노원구 동일로176길 19-20 (공릉동)</t>
  </si>
  <si>
    <t>주식회사 삼환실업</t>
  </si>
  <si>
    <t>10층 1010호(상암동 누리꿈스퀘어 연구개발타워)</t>
  </si>
  <si>
    <t>서울특별시 마포구 월드컵북로 396 (상암동)</t>
  </si>
  <si>
    <t>주식회사 벤타브이알</t>
  </si>
  <si>
    <t>110호</t>
  </si>
  <si>
    <t>울산광역시 북구 신천로 55-22 (신천동)</t>
  </si>
  <si>
    <t>주식회사 바구스</t>
  </si>
  <si>
    <t>트레일러 및 세미 트레일러 제조업</t>
  </si>
  <si>
    <t>1동  주식회사 모두모빌</t>
  </si>
  <si>
    <t>경기도 파주시 법원읍 술이홀로704번길 8</t>
  </si>
  <si>
    <t>주식회사 모두모빌</t>
  </si>
  <si>
    <t>전라북도 순창군 인계면 담순로 1519</t>
  </si>
  <si>
    <t>주식회사 모던테크</t>
  </si>
  <si>
    <t>경기도 파주시 가람로116번길 107 (와동동)</t>
  </si>
  <si>
    <t>주식회사 리얼테크</t>
  </si>
  <si>
    <t>서울특별시 강남구 학동로7길 5 (논현동)</t>
  </si>
  <si>
    <t>주식회사 뉴플로이</t>
  </si>
  <si>
    <t>513호 (더블스카이)</t>
  </si>
  <si>
    <t>경기도 용인시 기흥구 서천로127번길 11-6 (서천동)</t>
  </si>
  <si>
    <t>자연과미래 주식회사</t>
  </si>
  <si>
    <t>인천광역시 부평구 주부토로 279 (갈산동)</t>
  </si>
  <si>
    <t>이오이오</t>
  </si>
  <si>
    <t>(재)전남테크노파크 신소재센터 2층204호</t>
  </si>
  <si>
    <t>전라남도 순천시 해룡면 율촌산단1로 50</t>
  </si>
  <si>
    <t>에코비엠주식회사</t>
  </si>
  <si>
    <t>제2호 3층</t>
  </si>
  <si>
    <t>인천광역시 부평구 경원대로 1420 (부평동)</t>
  </si>
  <si>
    <t>에스디 유한책임회사</t>
  </si>
  <si>
    <t>(백호리)</t>
  </si>
  <si>
    <t>전라남도 함평군 대동면 동함평산단길 19-135</t>
  </si>
  <si>
    <t>안개핀조경 주식회사</t>
  </si>
  <si>
    <t>망포빌딩</t>
  </si>
  <si>
    <t>경기도 수원시 영통구 신원로 105 (신동)</t>
  </si>
  <si>
    <t>신한기술그룹 주식회사</t>
  </si>
  <si>
    <t>팩토리월드 지하 302호</t>
  </si>
  <si>
    <t>경기도 수원시 영통구 삼성로 274 (원천동)</t>
  </si>
  <si>
    <t>솔라로주식회사</t>
  </si>
  <si>
    <t>대구광역시 북구 태암로 60 (구암동)</t>
  </si>
  <si>
    <t>성심인쇄사</t>
  </si>
  <si>
    <t>부산광역시 서구 보수대로 99 (부민동1가)</t>
  </si>
  <si>
    <t>비즈테크컨설팅</t>
  </si>
  <si>
    <t>이노시티빌딩 120호</t>
  </si>
  <si>
    <t>충청북도 음성군 맹동면 이수로 76</t>
  </si>
  <si>
    <t>디샤플래닝</t>
  </si>
  <si>
    <t>더사가</t>
  </si>
  <si>
    <t>경상북도 경산시 자인면 자인공단로 60</t>
  </si>
  <si>
    <t>질소 화합물 질소ㆍ인산 및 칼리질 화학비료 제조업</t>
  </si>
  <si>
    <t>(주)한국친환경</t>
  </si>
  <si>
    <t>경기도 안성시 서운면 솔뫼로 27</t>
  </si>
  <si>
    <t>인덕원 IT밸리 B동 506호</t>
  </si>
  <si>
    <t>(주)클린일렉스</t>
  </si>
  <si>
    <t>넥스센타동 306호</t>
  </si>
  <si>
    <t>(주)제이앤에스</t>
  </si>
  <si>
    <t>경상대학교 창업보육센터 A동 209호</t>
  </si>
  <si>
    <t>(주)아이피캠프</t>
  </si>
  <si>
    <t>(주)스마티미</t>
  </si>
  <si>
    <t>한국전기연구원 창원 기술창업센터 204호</t>
  </si>
  <si>
    <t>(주)상영마그네트</t>
  </si>
  <si>
    <t>광주광역시 북구 자동차로 62-1 (신안동)</t>
  </si>
  <si>
    <t>희망을꿈꾸는일터사회적협동조합</t>
  </si>
  <si>
    <t>경상남도 거창군 웅양면 왕암길 158-44</t>
  </si>
  <si>
    <t>형광 이노텍</t>
  </si>
  <si>
    <t>5층 알598호</t>
  </si>
  <si>
    <t>세종특별자치시 나성북1로 22 (나성동)</t>
  </si>
  <si>
    <t>한국마이스서비스</t>
  </si>
  <si>
    <t>수동식 식품 가공 기기 및 금속 주방용기 제조업</t>
  </si>
  <si>
    <t>경기도 광주시 초월읍 동막골길 84-14</t>
  </si>
  <si>
    <t>테오주식회사</t>
  </si>
  <si>
    <t>태성이엔지</t>
  </si>
  <si>
    <t>경기도 화성시 남양읍 현대기아로 239-28</t>
  </si>
  <si>
    <t>경기도 여주시 가남읍 여주남로 781</t>
  </si>
  <si>
    <t>천우푸드기계</t>
  </si>
  <si>
    <t>배재대학교 산학협력관 N217호</t>
  </si>
  <si>
    <t>대전광역시 유성구 테크노1로 11-3 (관평동)</t>
  </si>
  <si>
    <t>주식회사나우리플러스</t>
  </si>
  <si>
    <t>경기도 용인시 처인구 이동읍 덕성산단1로 60</t>
  </si>
  <si>
    <t>주식회사 휴먼아이테크</t>
  </si>
  <si>
    <t>주식회사 행복무지개 마을</t>
  </si>
  <si>
    <t>가전제품 및 부품 도매업</t>
  </si>
  <si>
    <t>206-11호</t>
  </si>
  <si>
    <t>서울특별시 양천구 목동로23길 34 (신정동 양천시장주상복합)</t>
  </si>
  <si>
    <t>주식회사 한결시스템</t>
  </si>
  <si>
    <t>제주특별자치도 제주시 애월읍 애월로1길 16</t>
  </si>
  <si>
    <t>주식회사 플러스랩</t>
  </si>
  <si>
    <t>용탄동</t>
  </si>
  <si>
    <t>충청북도 충주시 용탄농공1길 35-1 (용탄동)</t>
  </si>
  <si>
    <t>주식회사 태양광솔루션</t>
  </si>
  <si>
    <t>탄소섬유 제조업</t>
  </si>
  <si>
    <t>주식회사 카본엑트</t>
  </si>
  <si>
    <t>충청북도 음성군 대소면 한삼로 108-96</t>
  </si>
  <si>
    <t>주식회사 청명개발</t>
  </si>
  <si>
    <t>충청남도 서산시 공림4로 20 (예천동)</t>
  </si>
  <si>
    <t>주식회사 이음이에스</t>
  </si>
  <si>
    <t>대전광역시 서구 도산로403번길 21 (탄방동)</t>
  </si>
  <si>
    <t>주식회사 오토시스텍</t>
  </si>
  <si>
    <t>금속 탱크 및 저장 용기 제조업</t>
  </si>
  <si>
    <t>경상북도 상주시 함창읍 영동길 9-98</t>
  </si>
  <si>
    <t>주식회사 수</t>
  </si>
  <si>
    <t>전라남도 장성군 삼서면 영장로 1930-21</t>
  </si>
  <si>
    <t>주식회사 송운시스템</t>
  </si>
  <si>
    <t>브이원타워 1층 109호</t>
  </si>
  <si>
    <t>부산광역시 금정구 개좌로 273-20 (회동동)</t>
  </si>
  <si>
    <t>주식회사 비오시스</t>
  </si>
  <si>
    <t>경기도 부천시 신흥로 338 (도당동)</t>
  </si>
  <si>
    <t>주식회사 블루기업</t>
  </si>
  <si>
    <t>부광빌딩</t>
  </si>
  <si>
    <t>제주특별자치도 제주시 거로남8길 21-21 (화북이동)</t>
  </si>
  <si>
    <t>주식회사 부광하이텍</t>
  </si>
  <si>
    <t>경기도 화성시 우정읍 매바위로237번길 46-209</t>
  </si>
  <si>
    <t>주식회사 더준디자인</t>
  </si>
  <si>
    <t>상가동 2층 82호</t>
  </si>
  <si>
    <t>경기도 고양시 일산서구 중앙로 1371 (주엽동 강선마을13단지아파트)</t>
  </si>
  <si>
    <t>주식회사 더좋은생각</t>
  </si>
  <si>
    <t>A동 1402호 (문정동 문정현대지식산업센터1-1)</t>
  </si>
  <si>
    <t>서울특별시 송파구 법원로11길 11 (문정동)</t>
  </si>
  <si>
    <t>주식회사 다윈전략컨설팅</t>
  </si>
  <si>
    <t>3층 (천안에스비플라자 공유오피스)</t>
  </si>
  <si>
    <t>충청남도 천안시 서북구 직산읍 직산로 110</t>
  </si>
  <si>
    <t>주식회사 넥스팟솔루션</t>
  </si>
  <si>
    <t>전라남도 나주시 동수농공단지길 137-9 (동수동)</t>
  </si>
  <si>
    <t>주식회사 금하테크</t>
  </si>
  <si>
    <t>식용 정제유 및 가공유 제조업</t>
  </si>
  <si>
    <t>경기도 용인시 처인구 원삼면 미평로 98</t>
  </si>
  <si>
    <t>주식회사 글로브</t>
  </si>
  <si>
    <t>전라남도 나주시 왕곡면 혁신산단5길 31-5</t>
  </si>
  <si>
    <t>제이에코주식회사</t>
  </si>
  <si>
    <t>203호</t>
  </si>
  <si>
    <t>전라북도 전주시 완산구 효자로 161 (효자동3가)</t>
  </si>
  <si>
    <t>유한회사랜선하우스부동산투어</t>
  </si>
  <si>
    <t>광주광역시 광산구 소촌로 143 (소촌동)</t>
  </si>
  <si>
    <t>유한회사 엠탑코리아</t>
  </si>
  <si>
    <t>오토시스텍</t>
  </si>
  <si>
    <t>3층 12 호</t>
  </si>
  <si>
    <t>대구광역시 동구 팔공로51길 15-13 (봉무동)</t>
  </si>
  <si>
    <t>오리엔트</t>
  </si>
  <si>
    <t>전라북도 군산시 동팔마길 16 (대명동)</t>
  </si>
  <si>
    <t>에프에이치엘 주식회사</t>
  </si>
  <si>
    <t>플라스틱 시트 및 판 제조업</t>
  </si>
  <si>
    <t>충청남도 천안시 동남구 동면 동산광덕길 54</t>
  </si>
  <si>
    <t>에이치에스테크</t>
  </si>
  <si>
    <t>의약용 화합물 및 항생물질 제조업</t>
  </si>
  <si>
    <t>에이에이치허니 주식회사</t>
  </si>
  <si>
    <t>치과의원</t>
  </si>
  <si>
    <t>경기도 안성시 아양1로 73 (옥산동)</t>
  </si>
  <si>
    <t>안성이맞춤 치과</t>
  </si>
  <si>
    <t>101동 1404호</t>
  </si>
  <si>
    <t>광주광역시 동구 화산로 352 (용산동 용산동한국아파트)</t>
  </si>
  <si>
    <t>아이티벨리</t>
  </si>
  <si>
    <t>203동 801호</t>
  </si>
  <si>
    <t>경기도 수원시 장안구 장안로 211 (정자동 동신아파트)</t>
  </si>
  <si>
    <t>수아이엠씨</t>
  </si>
  <si>
    <t>대전광역시 대덕구 신탄진로778번길 21 (신탄진동)</t>
  </si>
  <si>
    <t>수 이엔지</t>
  </si>
  <si>
    <t>C동</t>
  </si>
  <si>
    <t>경상남도 함안군 군북면 함안산단3길 20</t>
  </si>
  <si>
    <t>성신파워텍</t>
  </si>
  <si>
    <t>일반 저울 제조업</t>
  </si>
  <si>
    <t>701-1호</t>
  </si>
  <si>
    <t>서울특별시 금천구 서부샛길 648 (가산동)</t>
  </si>
  <si>
    <t>삼한기술홀딩스(주)</t>
  </si>
  <si>
    <t>충청북도 청주시 청원구 북이면 장양2길 20</t>
  </si>
  <si>
    <t>사람과기술</t>
  </si>
  <si>
    <t>B1 서울미디어랩 오픈오피스 4호</t>
  </si>
  <si>
    <t>서울특별시 성북구 길음로7길 20 (길음동)</t>
  </si>
  <si>
    <t>믹스비전 주식회사</t>
  </si>
  <si>
    <t>IGC B1106</t>
  </si>
  <si>
    <t>인천광역시 연수구 송도문화로 119 (송도동)</t>
  </si>
  <si>
    <t>리보 주식회사</t>
  </si>
  <si>
    <t>충청남도 태안군 안면읍 수로길 207-2</t>
  </si>
  <si>
    <t>드론인공지능연구소 주식회사</t>
  </si>
  <si>
    <t>전라북도 군산시 월명로 345 (서흥남동)</t>
  </si>
  <si>
    <t>다온이엔지</t>
  </si>
  <si>
    <t>대구광역시 북구 구암로16길 10 (태전동)</t>
  </si>
  <si>
    <t>뉴원소프트</t>
  </si>
  <si>
    <t>106호</t>
  </si>
  <si>
    <t>제주특별자치도 제주시 중앙로14길 21 (삼도이동)</t>
  </si>
  <si>
    <t>농업회사법인 주식회사 유프레시</t>
  </si>
  <si>
    <t>용인테크노밸리 A동 216호</t>
  </si>
  <si>
    <t>나비랩주식회사</t>
  </si>
  <si>
    <t>경상북도 안동시 남후면 큰광음길 183-7</t>
  </si>
  <si>
    <t>고려산업 주식회사</t>
  </si>
  <si>
    <t>그 외 기타 콘크리트 제품 및 유사 제품 제조업</t>
  </si>
  <si>
    <t>강원도 강릉시 성덕포남로 175 (포남동)</t>
  </si>
  <si>
    <t>(주)해성</t>
  </si>
  <si>
    <t>14층 1403호</t>
  </si>
  <si>
    <t>경기도 부천시 부일로 429 (심곡동 다온하브)</t>
  </si>
  <si>
    <t>(주)한국융합에코기술</t>
  </si>
  <si>
    <t>벤처관 202호</t>
  </si>
  <si>
    <t>(주)핀인사이트</t>
  </si>
  <si>
    <t>경상북도 청도군 풍각면 봉기1길 17</t>
  </si>
  <si>
    <t>(주)티앤제이</t>
  </si>
  <si>
    <t>전라남도 여수시 주삼덕양로 177 (주삼동)</t>
  </si>
  <si>
    <t>(주)토도산업</t>
  </si>
  <si>
    <t>(주)지디코리아에코</t>
  </si>
  <si>
    <t>경상북도 포항시 남구 청림서길10번길 29 (청림동)</t>
  </si>
  <si>
    <t>전라남도 나주시 노안면 노안삼도로 584-10</t>
  </si>
  <si>
    <t>(주)유신피플</t>
  </si>
  <si>
    <t>그 외 기타 종합 소매업</t>
  </si>
  <si>
    <t>서울특별시 마포구 잔다리로 99 (서교동)</t>
  </si>
  <si>
    <t>(주)위드브로코리아</t>
  </si>
  <si>
    <t>(주)예인건업</t>
  </si>
  <si>
    <t>전라북도 전주시 완산구 맏내로 157-5 (평화동2가)</t>
  </si>
  <si>
    <t>(주)엘림엘이디조명</t>
  </si>
  <si>
    <t>914호 (비젼타워)</t>
  </si>
  <si>
    <t>전라남도 나주시 빛가람로 685 (빛가람동)</t>
  </si>
  <si>
    <t>(주)엘룩스</t>
  </si>
  <si>
    <t>홍릉바이오-의료창업센터 307호</t>
  </si>
  <si>
    <t>(주)에이아이노미스</t>
  </si>
  <si>
    <t>3동 304호</t>
  </si>
  <si>
    <t>(주)세컨그라운드</t>
  </si>
  <si>
    <t>D-3호 (주)성원엠엔디</t>
  </si>
  <si>
    <t>강원도 원주시 태장공단길 51 (태장동)</t>
  </si>
  <si>
    <t>(주)성원엠엔디</t>
  </si>
  <si>
    <t>경상남도 거제시 진목1길 85 (옥포동)</t>
  </si>
  <si>
    <t>(주)새활용공예뜰이응</t>
  </si>
  <si>
    <t>제주특별자치도 제주시 조천읍 신조로 164</t>
  </si>
  <si>
    <t>(주)삼일승강기</t>
  </si>
  <si>
    <t>경기도 안산시 단원구 목내로119번길 13 (목내동)</t>
  </si>
  <si>
    <t>(주)디알텍</t>
  </si>
  <si>
    <t>벤처창업관404호</t>
  </si>
  <si>
    <t>(주)디아메디</t>
  </si>
  <si>
    <t>충청북도 청주시 흥덕구 고락로19번길 20 (지동동)</t>
  </si>
  <si>
    <t>(주)동일일렉트릭</t>
  </si>
  <si>
    <t>경기도 수원시 권선구 산업로156번길 125-11 (고색동)</t>
  </si>
  <si>
    <t>(주)더숨</t>
  </si>
  <si>
    <t>211호(영평동제주첨단과학기술단지스마트빌딩)</t>
  </si>
  <si>
    <t>제주특별자치도 제주시 첨단로 213-3 (영평동)</t>
  </si>
  <si>
    <t>(주)나눔에너지</t>
  </si>
  <si>
    <t>인천광역시 서구 정서진5로 16 (오류동)</t>
  </si>
  <si>
    <t>(주)규림테크</t>
  </si>
  <si>
    <t>서울특별시 은평구 증산로 383 (신사동)</t>
  </si>
  <si>
    <t>(주)굿즈영</t>
  </si>
  <si>
    <t>경기중소기업성장지원센터 306호</t>
  </si>
  <si>
    <t>경기도 수원시 권선구 수성로 8 (구운동)</t>
  </si>
  <si>
    <t>프링커코리아 주식회사</t>
  </si>
  <si>
    <t>부산광역시 사상구 백양대로 372-11 (주례동)</t>
  </si>
  <si>
    <t>퍼스트터치 컴퍼니</t>
  </si>
  <si>
    <t>308비호</t>
  </si>
  <si>
    <t>주식회사 힉스코리아</t>
  </si>
  <si>
    <t>세종특별자치시 한누리대로 157 (나성동)</t>
  </si>
  <si>
    <t>주식회사 하이메쉬코리아</t>
  </si>
  <si>
    <t>경기도 안양시 동안구 시민대로 387 (관양동)</t>
  </si>
  <si>
    <t>주식회사 이노싱크컨설팅</t>
  </si>
  <si>
    <t>대구광역시 북구 3공단로 240 (노원동3가)</t>
  </si>
  <si>
    <t>주식회사 연진</t>
  </si>
  <si>
    <t>D동 905호</t>
  </si>
  <si>
    <t>주식회사 에스유</t>
  </si>
  <si>
    <t>글로벌벤처동 3층 308호</t>
  </si>
  <si>
    <t>주식회사 스마트름뱅이</t>
  </si>
  <si>
    <t>609호 에이스테크노타워5차</t>
  </si>
  <si>
    <t>서울특별시 구로구 디지털로31길 20 (구로동)</t>
  </si>
  <si>
    <t>주식회사 블루인텔리전스</t>
  </si>
  <si>
    <t>8층 808호</t>
  </si>
  <si>
    <t>강원도 원주시 지정면 기업도시로 200</t>
  </si>
  <si>
    <t>주식회사 메쥬</t>
  </si>
  <si>
    <t>4층 401호 레전드어스</t>
  </si>
  <si>
    <t>경기도 용인시 수지구 만현로 120 (상현동)</t>
  </si>
  <si>
    <t>주식회사 레전드어스</t>
  </si>
  <si>
    <t>커튼 및 침구용품 도매업</t>
  </si>
  <si>
    <t>효석빌딩 4층</t>
  </si>
  <si>
    <t>경기도 수원시 영통구 대학로 24 (이의동)</t>
  </si>
  <si>
    <t>주식회사 고수맘</t>
  </si>
  <si>
    <t>서울특별시 강북구 도봉로54길 34 (미아동 로얄하이츠)</t>
  </si>
  <si>
    <t>엔플랫 NFLAT</t>
  </si>
  <si>
    <t>1층(신성동)</t>
  </si>
  <si>
    <t>충청북도 청주시 흥덕구 신성로108번길 9-16 (신성동)</t>
  </si>
  <si>
    <t>에스제이데이타(주)</t>
  </si>
  <si>
    <t>경상남도 양산시 웅상농공단지길 6-1 (덕계동)</t>
  </si>
  <si>
    <t>아이에이엠티</t>
  </si>
  <si>
    <t>1층 158호</t>
  </si>
  <si>
    <t>경기도 성남시 분당구 성남대로 51 (구미동)</t>
  </si>
  <si>
    <t>슈가랩</t>
  </si>
  <si>
    <t>b동 1층</t>
  </si>
  <si>
    <t>경기도 화성시 정남면 서봉로869번길 23-6</t>
  </si>
  <si>
    <t>수호프렌즈</t>
  </si>
  <si>
    <t>우림W시티 416호</t>
  </si>
  <si>
    <t>경기도 성남시 분당구 판교로255번길 9-22 (삼평동)</t>
  </si>
  <si>
    <t>블루필 주식회사</t>
  </si>
  <si>
    <t>새천년빌딩 103호</t>
  </si>
  <si>
    <t>울산광역시 중구 종가17길 29 (서동)</t>
  </si>
  <si>
    <t>디자인애이블</t>
  </si>
  <si>
    <t>전라남도 함평군 엄다면 곤재로 326-16</t>
  </si>
  <si>
    <t>농업회사법인주식회사유일식품</t>
  </si>
  <si>
    <t>티-503호</t>
  </si>
  <si>
    <t>골드텍 주식회사</t>
  </si>
  <si>
    <t>605호</t>
  </si>
  <si>
    <t>경기도 화성시 동탄지성로 112 (반송동)</t>
  </si>
  <si>
    <t>(주)코아뷰</t>
  </si>
  <si>
    <t>덕성여대 글로벌교육원 B117-4</t>
  </si>
  <si>
    <t>(주)커마짓이엔티</t>
  </si>
  <si>
    <t>정보산업진흥본부 6동 702-1호</t>
  </si>
  <si>
    <t>(주)글로벌코딩연구소</t>
  </si>
  <si>
    <t>105호106호</t>
  </si>
  <si>
    <t>서울특별시 용산구 청파로 213 (문배동 이안용산프리미어)</t>
  </si>
  <si>
    <t>주식회사 용산집</t>
  </si>
  <si>
    <t>110층</t>
  </si>
  <si>
    <t>인천광역시 연수구 송도과학로16번길 13-25 (송도동)</t>
  </si>
  <si>
    <t>주식회사 숨비</t>
  </si>
  <si>
    <t>부산광역시 부산진구 중앙대로769번길 17 (부전동)</t>
  </si>
  <si>
    <t>주식회사 부산어묵고래사</t>
  </si>
  <si>
    <t>대전광역시 중구 대흥로 117 (대흥동)</t>
  </si>
  <si>
    <t>제이앤제이네이처코스메틱</t>
  </si>
  <si>
    <t>전라북도 익산시 삼기면 산단오룡길 14-12</t>
  </si>
  <si>
    <t>유한회사 네오클</t>
  </si>
  <si>
    <t>경기도 용인시 처인구 모현읍 문현로 348</t>
  </si>
  <si>
    <t>올에세이</t>
  </si>
  <si>
    <t>206호 광양보건대학 창업보육센터</t>
  </si>
  <si>
    <t>전라남도 광양시 광양읍 대학로 85</t>
  </si>
  <si>
    <t>에코그레이팅(주)</t>
  </si>
  <si>
    <t>2동 201호 301호(하얏트상가)</t>
  </si>
  <si>
    <t>부산광역시 남구 전선등로 31 (감만동 하얏트아파트)</t>
  </si>
  <si>
    <t>스피드테크</t>
  </si>
  <si>
    <t>101동 1503호</t>
  </si>
  <si>
    <t>인천광역시 중구 숲쟁이로 12 (운남동 e편한세상 영종하늘도시)</t>
  </si>
  <si>
    <t>물빛</t>
  </si>
  <si>
    <t>부경대학교 용당캠퍼스 종합실습센터 115호</t>
  </si>
  <si>
    <t>다옴</t>
  </si>
  <si>
    <t>전라남도 함평군 대동면 향교길 19-1</t>
  </si>
  <si>
    <t>농업회사법인 주)발효명가</t>
  </si>
  <si>
    <t>본관 308호(로봇산업진흥원)</t>
  </si>
  <si>
    <t>대구광역시 북구 노원로 77 (노원동3가)</t>
  </si>
  <si>
    <t>(주)키네틱스</t>
  </si>
  <si>
    <t>인천광역시 서구 원창로 61-15 (원창동)</t>
  </si>
  <si>
    <t>(주)은성에스엠티</t>
  </si>
  <si>
    <t>부천대우테크노파크 에이동 1009호</t>
  </si>
  <si>
    <t>(주)엘비에스센터</t>
  </si>
  <si>
    <t>경상북도 경주시 천북면 모아동산길 210</t>
  </si>
  <si>
    <t>(주)성심엠에이치</t>
  </si>
  <si>
    <t>학산코스모스텔 501호</t>
  </si>
  <si>
    <t>서울특별시 광진구 아차산로78길 72 (광장동)</t>
  </si>
  <si>
    <t>(주)바이런시스템</t>
  </si>
  <si>
    <t>창업보육센터 505호</t>
  </si>
  <si>
    <t>주식회사 유니캐스트</t>
  </si>
  <si>
    <t>헤이그라운드 203호</t>
  </si>
  <si>
    <t>서울특별시 성동구 뚝섬로1나길 5 (성수동1가)</t>
  </si>
  <si>
    <t>주식회사 안전가옥</t>
  </si>
  <si>
    <t>주식회사 켐폴</t>
  </si>
  <si>
    <t>에이동 주식회사 준테크솔루션</t>
  </si>
  <si>
    <t>경기도 안산시 단원구 엠티브이4로16번길 25 (목내동)</t>
  </si>
  <si>
    <t>주식회사 준테크솔루션</t>
  </si>
  <si>
    <t>연성 및 기타 인쇄회로기판 제조업</t>
  </si>
  <si>
    <t>(주)옥스</t>
  </si>
  <si>
    <t>대전광역시 대덕구 신일서로18번길 2 (신일동)</t>
  </si>
  <si>
    <t>주식회사 옥스</t>
  </si>
  <si>
    <t>제일빌딩 607호</t>
  </si>
  <si>
    <t>충청남도 아산시 시민로440번길 10 (온천동)</t>
  </si>
  <si>
    <t>주식회사 세븐씨티라이팅</t>
  </si>
  <si>
    <t>1층 성운통상</t>
  </si>
  <si>
    <t>경기도 구리시 장자대로1번길 32 (교문동)</t>
  </si>
  <si>
    <t>충청남도 홍성군 구항면 충서로 1067-13</t>
  </si>
  <si>
    <t>주식회사 맑은공기클린에어</t>
  </si>
  <si>
    <t>유영빌딩 2층</t>
  </si>
  <si>
    <t>경기도 부천시 도약로 313 (도당동)</t>
  </si>
  <si>
    <t>주식회사 디엘라이트</t>
  </si>
  <si>
    <t>제주특별자치도 서귀포시 표선면 서성일로 186-30</t>
  </si>
  <si>
    <t>주식회사 간세팩토리</t>
  </si>
  <si>
    <t>3101 3209호</t>
  </si>
  <si>
    <t>경기도 안양시 동안구 시민대로365번길 40 (관양동)</t>
  </si>
  <si>
    <t>이에스피 주식회사</t>
  </si>
  <si>
    <t>서울특별시 성북구 고려대로26길 15 (안암동5가)</t>
  </si>
  <si>
    <t>에이비엠</t>
  </si>
  <si>
    <t>명지대 창업보육센터 18110-6호</t>
  </si>
  <si>
    <t>경기도 용인시 처인구 명지로 116 (남동)</t>
  </si>
  <si>
    <t>복스하우스</t>
  </si>
  <si>
    <t>인천광역시 서구 거북로46번길 20 (석남동)</t>
  </si>
  <si>
    <t>명성테크</t>
  </si>
  <si>
    <t>화초 및 식물 소매업</t>
  </si>
  <si>
    <t>전라북도 전주시 완산구 팔달로 177 (경원동1가)</t>
  </si>
  <si>
    <t>그린웨이브</t>
  </si>
  <si>
    <t>기타 일반 도자기 제조업</t>
  </si>
  <si>
    <t>외 2필지</t>
  </si>
  <si>
    <t>경기도 여주시 북벌로 28 (하거동)</t>
  </si>
  <si>
    <t>고려청자개발연구원</t>
  </si>
  <si>
    <t>전라북도 전주시 완산구 서곡1길 14-1 (효자동3가)</t>
  </si>
  <si>
    <t>(주)코지모텍</t>
  </si>
  <si>
    <t>117호 강남대창조산학관</t>
  </si>
  <si>
    <t>경기도 용인시 기흥구 강남서로 20 (구갈동)</t>
  </si>
  <si>
    <t>(주)엠앤에스텍</t>
  </si>
  <si>
    <t>미래창조관 314호</t>
  </si>
  <si>
    <t>힐링더하우스</t>
  </si>
  <si>
    <t>인천광역시 계양구 아나지로97번길 14 (효성동)</t>
  </si>
  <si>
    <t>함께하는빛과소금 주식회사</t>
  </si>
  <si>
    <t>핸드백 및 지갑 제조업</t>
  </si>
  <si>
    <t>서울특별시 중랑구 봉우재로70길 9 (망우동)</t>
  </si>
  <si>
    <t>피제이에스가파치협동조합</t>
  </si>
  <si>
    <t>서울특별시 강북구 도봉로 369 (수유동)</t>
  </si>
  <si>
    <t>초이전산</t>
  </si>
  <si>
    <t>벤처창조융합관 407호</t>
  </si>
  <si>
    <t>주식회사 현대에이아이티</t>
  </si>
  <si>
    <t>2층  203호</t>
  </si>
  <si>
    <t>대전광역시 대덕구 한남로 85 (오정동)</t>
  </si>
  <si>
    <t>주식회사 하예</t>
  </si>
  <si>
    <t>삼양스마트테크노파크 619호</t>
  </si>
  <si>
    <t>경기도 시흥시 공단1대로 13 (정왕동)</t>
  </si>
  <si>
    <t>주식회사 클린디옥스</t>
  </si>
  <si>
    <t>중소벤처지원센터 304호</t>
  </si>
  <si>
    <t>경기도 고양시 덕양구 항공대학로 76 (화전동)</t>
  </si>
  <si>
    <t>주식회사 케이그린</t>
  </si>
  <si>
    <t>고래곰나비빌딩 5층 501호</t>
  </si>
  <si>
    <t>경기도 파주시 문발로 139 (문발동)</t>
  </si>
  <si>
    <t>주식회사 캘러스</t>
  </si>
  <si>
    <t>203호(신곡동 엘리트타운)</t>
  </si>
  <si>
    <t>경기도 의정부시 장곡로 606 (신곡동)</t>
  </si>
  <si>
    <t>주식회사 유니퍼오에이</t>
  </si>
  <si>
    <t>경기도 안성시 도기5길 13 (도기동)</t>
  </si>
  <si>
    <t>주식회사 에이치와이월드</t>
  </si>
  <si>
    <t>삼오빌딩 2층</t>
  </si>
  <si>
    <t>광주광역시 북구 독립로367번길 35 (중흥동)</t>
  </si>
  <si>
    <t>주식회사 에스존</t>
  </si>
  <si>
    <t>에스시스텍</t>
  </si>
  <si>
    <t>경기도 남양주시 화도읍 폭포로242번안길 40</t>
  </si>
  <si>
    <t>주식회사 에스시스텍</t>
  </si>
  <si>
    <t>주식회사 아롬</t>
  </si>
  <si>
    <t>씨엠</t>
  </si>
  <si>
    <t>경상북도 구미시 4공단로 131 (구포동)</t>
  </si>
  <si>
    <t>주식회사 씨엠</t>
  </si>
  <si>
    <t>삼화빌딩 2층 202호</t>
  </si>
  <si>
    <t>서울특별시 용산구 이태원로 5-1 (한강로1가)</t>
  </si>
  <si>
    <t>주식회사 본네이처</t>
  </si>
  <si>
    <t>무형 재산권 임대업</t>
  </si>
  <si>
    <t>주식회사 뮤펀</t>
  </si>
  <si>
    <t>512 509 510 804호</t>
  </si>
  <si>
    <t>서울특별시 금천구 가산디지털1로 219 (가산동)</t>
  </si>
  <si>
    <t>주식회사 다온텍</t>
  </si>
  <si>
    <t>가동 203호</t>
  </si>
  <si>
    <t>경기도 안성시 원곡면 삼봉로 762</t>
  </si>
  <si>
    <t>주식회사 네오코스</t>
  </si>
  <si>
    <t>골재 벽돌 및 시멘트 도매업</t>
  </si>
  <si>
    <t>경기도 안성시 안성맞춤대로 1504 (사곡동)</t>
  </si>
  <si>
    <t>주식회사 금송산업개발</t>
  </si>
  <si>
    <t>부산광역시 수영구 광안해변로 311 (민락동)</t>
  </si>
  <si>
    <t>제이앤비파트너스 주식회사</t>
  </si>
  <si>
    <t>대전광역시 서구 원도안로179번길 23-12 (도안동)</t>
  </si>
  <si>
    <t>슬로먼트</t>
  </si>
  <si>
    <t>6층 p121</t>
  </si>
  <si>
    <t>사회적협동조합 우선구매24</t>
  </si>
  <si>
    <t>경기도 양평군 양평읍 봉성길 149-25</t>
  </si>
  <si>
    <t>사회적협동조합 나라사랑</t>
  </si>
  <si>
    <t>한식 일반 음식점업</t>
  </si>
  <si>
    <t>경기도 평택시 용죽2로 32-50 (용이동)</t>
  </si>
  <si>
    <t>맘앤맘협동조합</t>
  </si>
  <si>
    <t>2F 더 트리니티</t>
  </si>
  <si>
    <t>서울특별시 용산구 장문로 36 (동빙고동)</t>
  </si>
  <si>
    <t>더 트리니티</t>
  </si>
  <si>
    <t>대림축산</t>
  </si>
  <si>
    <t>경상북도 고령군 다산면 성암로 642-17</t>
  </si>
  <si>
    <t>전라남도 여수시 어항단지로 53-2 (국동)</t>
  </si>
  <si>
    <t>금강하이텍</t>
  </si>
  <si>
    <t>경상북도 영천시 금호읍 금창로 203-15</t>
  </si>
  <si>
    <t>경농기계</t>
  </si>
  <si>
    <t>A동 1307호(충무공동 윙스타워)</t>
  </si>
  <si>
    <t>(주)소프트윙스</t>
  </si>
  <si>
    <t>경북산학융합지구 구미기업연구관 506호</t>
  </si>
  <si>
    <t>주식회사씨엘코어</t>
  </si>
  <si>
    <t>제이케이라이팅</t>
  </si>
  <si>
    <t>경기도 안산시 단원구 성곡로 98 (성곡동)</t>
  </si>
  <si>
    <t>주식회사 제이케이라이팅</t>
  </si>
  <si>
    <t>대명글로벌 비즈스케어 619호</t>
  </si>
  <si>
    <t>경기도 안양시 동안구 시민대로327번길 7 (관양동)</t>
  </si>
  <si>
    <t>주식회사 안전한도로</t>
  </si>
  <si>
    <t>경상북도 포항시 남구 이동로7번길 45 (이동)</t>
  </si>
  <si>
    <t>주식회사 아이애드</t>
  </si>
  <si>
    <t>꿈을담는틀 4층</t>
  </si>
  <si>
    <t>서울특별시 영등포구 당산로50길 3 (당산동6가)</t>
  </si>
  <si>
    <t>주식회사 씨앤엘컨설팅</t>
  </si>
  <si>
    <t>서울특별시 마포구 토정로 112 (상수동)</t>
  </si>
  <si>
    <t>주식회사 송강인터내셔날</t>
  </si>
  <si>
    <t>가동리</t>
  </si>
  <si>
    <t>경상남도 김해시 한림면 장방로 157-59</t>
  </si>
  <si>
    <t>주식회사 서호금속</t>
  </si>
  <si>
    <t>서울특별시 강서구 마곡중앙로 56 (마곡동)</t>
  </si>
  <si>
    <t>주식회사 분팟</t>
  </si>
  <si>
    <t>신관동 4층 404호</t>
  </si>
  <si>
    <t>서울특별시 성북구 종암로 18 (종암동)</t>
  </si>
  <si>
    <t>주식회사 바로메디</t>
  </si>
  <si>
    <t>서울특별시 강서구 마곡중앙6로 21 (마곡동)</t>
  </si>
  <si>
    <t>주식회사 듀잇</t>
  </si>
  <si>
    <t>202동 805호</t>
  </si>
  <si>
    <t>인천광역시 연수구 센트럴로 194 (송도동 더샵 센트럴파크2)</t>
  </si>
  <si>
    <t>주식회사 놀이동산엔터테인먼트</t>
  </si>
  <si>
    <t>충청남도 당진시 면천면 면천로 1131-19</t>
  </si>
  <si>
    <t>장연주식회사</t>
  </si>
  <si>
    <t>10층 1028호</t>
  </si>
  <si>
    <t>경기도 화성시 동탄기흥로 570-6 (영천동)</t>
  </si>
  <si>
    <t>유익인터네셔널</t>
  </si>
  <si>
    <t>이타워 606호</t>
  </si>
  <si>
    <t>경기도 성남시 수정구 위례서일로 12 (창곡동)</t>
  </si>
  <si>
    <t>아이솔루션주식회사</t>
  </si>
  <si>
    <t>상가 1층</t>
  </si>
  <si>
    <t>울산광역시 북구 통샘4길 21 (화봉동)</t>
  </si>
  <si>
    <t>레인보우</t>
  </si>
  <si>
    <t>창업진흥센터 413호</t>
  </si>
  <si>
    <t>라미랩 주식회사</t>
  </si>
  <si>
    <t>굿모닝빌딩 7층 714호</t>
  </si>
  <si>
    <t>경상남도 김해시 번화1로 77 (대청동)</t>
  </si>
  <si>
    <t>네이처그린 주식회사</t>
  </si>
  <si>
    <t>부산광역시 해운대구 센텀동로 35 (우동)</t>
  </si>
  <si>
    <t>(주)혜윰아이씨티</t>
  </si>
  <si>
    <t>광주광역시 동구 필문대로 242-7 (동명동)</t>
  </si>
  <si>
    <t>(주)털보의 커피놀이터</t>
  </si>
  <si>
    <t>경기도 김포시 통진읍 월하로652번길 63</t>
  </si>
  <si>
    <t>(주)케이원테크</t>
  </si>
  <si>
    <t>(주)이알에스</t>
  </si>
  <si>
    <t>부산광역시 강서구 대저들길 431 (대저1동)</t>
  </si>
  <si>
    <t>나동1층</t>
  </si>
  <si>
    <t>광주광역시 광산구 평동산단로 238 (월전동)</t>
  </si>
  <si>
    <t>(주)알에스컴퍼니</t>
  </si>
  <si>
    <t>생활용 포장 및 위생용품 봉투 및 유사 제품 도매업</t>
  </si>
  <si>
    <t>부산광역시 금정구 금강로 682-3 (남산동)</t>
  </si>
  <si>
    <t>(주)승인에코플러스</t>
  </si>
  <si>
    <t>에이동1층 (주)세일시스</t>
  </si>
  <si>
    <t>경기도 광주시 곤지암읍 독고개길 132-17</t>
  </si>
  <si>
    <t>(주)세일시스</t>
  </si>
  <si>
    <t>9층 904호</t>
  </si>
  <si>
    <t>충청남도 천안시 서북구 두정상가8길 30 (두정동 하이스타운)</t>
  </si>
  <si>
    <t>(주)도담정보기술</t>
  </si>
  <si>
    <t>서울특별시 광진구 아차산로26길 16 (자양동)</t>
  </si>
  <si>
    <t>한성컴퍼니</t>
  </si>
  <si>
    <t>9-79호</t>
  </si>
  <si>
    <t>경기도 의정부시 둔야로33번길 9 (의정부동)</t>
  </si>
  <si>
    <t>펭귄유통</t>
  </si>
  <si>
    <t>동명대학교 8관 319호</t>
  </si>
  <si>
    <t>부산광역시 남구 신선로 428 (용당동)</t>
  </si>
  <si>
    <t>코스마일 코퍼레이션</t>
  </si>
  <si>
    <t>경기도 남양주시 와부읍 궁촌로 65-1</t>
  </si>
  <si>
    <t>참스토리</t>
  </si>
  <si>
    <t>4바408호</t>
  </si>
  <si>
    <t>경기도 안산시 단원구 별망로80번길 19 (성곡동)</t>
  </si>
  <si>
    <t>주식회사태영에스엔티</t>
  </si>
  <si>
    <t>삼일정공</t>
  </si>
  <si>
    <t>경상남도 김해시 한림면 장방로222번길 8</t>
  </si>
  <si>
    <t>주식회사삼일정공</t>
  </si>
  <si>
    <t>1층 일부호</t>
  </si>
  <si>
    <t>인천광역시 부평구 부평북로 308 (갈산동)</t>
  </si>
  <si>
    <t>주식회사 퍼비스</t>
  </si>
  <si>
    <t>81-23</t>
  </si>
  <si>
    <t>경기도 파주시 조리읍 은골길 81-19</t>
  </si>
  <si>
    <t>주식회사 투템디자인</t>
  </si>
  <si>
    <t>전라북도 익산시 중앙로5길 50 (창인동1가)</t>
  </si>
  <si>
    <t>주식회사 케이스포츠</t>
  </si>
  <si>
    <t>경기도 파주시 광탄면 장지산로432번가길 23-10</t>
  </si>
  <si>
    <t>주식회사 청진기전</t>
  </si>
  <si>
    <t>강원도 인제군 북면 원통로74번길 31</t>
  </si>
  <si>
    <t>주식회사 조민건설</t>
  </si>
  <si>
    <t>강원도 원주시 문막읍 문막공단길 80</t>
  </si>
  <si>
    <t>주식회사 일신캐스팅</t>
  </si>
  <si>
    <t>전라북도 전주시 덕진구 기지로 72 (중동)</t>
  </si>
  <si>
    <t>주식회사 일루베이션</t>
  </si>
  <si>
    <t>경기도 안양시 동안구 벌말로 126 (관양동)</t>
  </si>
  <si>
    <t>주식회사 아큐리스</t>
  </si>
  <si>
    <t>서울혁신파크 상상청 305호</t>
  </si>
  <si>
    <t>서울특별시 은평구 통일로 684 (녹번동)</t>
  </si>
  <si>
    <t>주식회사 사운드플렉스스튜디오</t>
  </si>
  <si>
    <t>위생용 종이제품 제조업</t>
  </si>
  <si>
    <t>경기도 고양시 일산동구 견달산로225번길 26-66 (식사동)</t>
  </si>
  <si>
    <t>주식회사 미선</t>
  </si>
  <si>
    <t>국제빌딩 6층 601호 K13</t>
  </si>
  <si>
    <t>대전광역시 서구 대덕대로233번길 28 (둔산동)</t>
  </si>
  <si>
    <t>주식회사 모어플러스</t>
  </si>
  <si>
    <t>서울특별시 종로구 종로56길 16 (숭인동)</t>
  </si>
  <si>
    <t>주식회사 도움이엔지</t>
  </si>
  <si>
    <t>경기도 파주시 광탄면 바랑골길 132-53</t>
  </si>
  <si>
    <t>주식회사 닥터브레드</t>
  </si>
  <si>
    <t>경기도 성남시 수정구 수정로 300-1 (신흥동)</t>
  </si>
  <si>
    <t>주식회사 그린개발</t>
  </si>
  <si>
    <t>경기도 파주시 적성면 적성산단1로 22-31</t>
  </si>
  <si>
    <t>조이</t>
  </si>
  <si>
    <t>경상남도 창녕군 영산면 영산월령로 414-12</t>
  </si>
  <si>
    <t>윤진에프엔에스</t>
  </si>
  <si>
    <t>C-206호</t>
  </si>
  <si>
    <t>우정엔지니어링 주식회사</t>
  </si>
  <si>
    <t>대구광역시 달서구 성서공단로21길 68 (갈산동)</t>
  </si>
  <si>
    <t>와이케이메디컬(주)</t>
  </si>
  <si>
    <t>경기도 양주시 양주산성로164번길 87-19 (남방동)</t>
  </si>
  <si>
    <t>에떼르나</t>
  </si>
  <si>
    <t>씨앤에이치 웰딩</t>
  </si>
  <si>
    <t>경상남도 김해시 진례면 테크노밸리길 226</t>
  </si>
  <si>
    <t>215동 502호</t>
  </si>
  <si>
    <t>서울특별시 성북구 성북로4길 52 (돈암동 한신한진아파트)</t>
  </si>
  <si>
    <t>세인소프트</t>
  </si>
  <si>
    <t>경기도 화성시 장안면 무봉길 166-25</t>
  </si>
  <si>
    <t>디에스코아</t>
  </si>
  <si>
    <t>바동 203호</t>
  </si>
  <si>
    <t>경기도 광명시 오리로366번길 36 (소하동 성화빌라)</t>
  </si>
  <si>
    <t>경기테크</t>
  </si>
  <si>
    <t>경기도 여주시 주내로 253 (연양동)</t>
  </si>
  <si>
    <t>게비온블럭(주)</t>
  </si>
  <si>
    <t>경상남도 김해시 내외로 12 (외동)</t>
  </si>
  <si>
    <t>(주)한국환경엔지니어링</t>
  </si>
  <si>
    <t>경기도 용인시 처인구 모현읍 곡현로 831</t>
  </si>
  <si>
    <t>(주)일산이엔지</t>
  </si>
  <si>
    <t>경기도 평택시 평택2로 66 (비전동)</t>
  </si>
  <si>
    <t>(주)부성이엔씨</t>
  </si>
  <si>
    <t>마이다스아이티동</t>
  </si>
  <si>
    <t>경기도 성남시 분당구 판교로228번길 17 (삼평동)</t>
  </si>
  <si>
    <t>(주)마이다스인</t>
  </si>
  <si>
    <t>표면처리 및 적층 직물 제조업</t>
  </si>
  <si>
    <t>가동 2층 1호</t>
  </si>
  <si>
    <t>충청북도 청주시 청원구 내수읍 주중로 203</t>
  </si>
  <si>
    <t>(주)다온네이쳐</t>
  </si>
  <si>
    <t>부산광역시 부산진구 동평로 56 (당감동)</t>
  </si>
  <si>
    <t>켐포렉스</t>
  </si>
  <si>
    <t>3층 305-1호 (코스미온빌)</t>
  </si>
  <si>
    <t>경기도 고양시 덕양구 은빛로 53 (화정동)</t>
  </si>
  <si>
    <t>지오건축사사무소</t>
  </si>
  <si>
    <t>기계 및 장비 중개업</t>
  </si>
  <si>
    <t>제116동 제지층  제비01호</t>
  </si>
  <si>
    <t>부산광역시 사상구 백양대로934번길 80 (모라동)</t>
  </si>
  <si>
    <t>주앤아이</t>
  </si>
  <si>
    <t>인천광역시 부평구 부평대로313번길 84 (청천동)</t>
  </si>
  <si>
    <t>주식회사보성씨앤아이</t>
  </si>
  <si>
    <t>공업센터별관 302-1호(사근동 한양대학교)</t>
  </si>
  <si>
    <t>서울특별시 성동구 왕십리로 222 (사근동)</t>
  </si>
  <si>
    <t>주식회사 휴젝트</t>
  </si>
  <si>
    <t>대우프라자302호</t>
  </si>
  <si>
    <t>경기도 수원시 권선구 고색로14번길 39 (고색동)</t>
  </si>
  <si>
    <t>주식회사 한신승강기</t>
  </si>
  <si>
    <t>액체 연료 및 관련제품 도매업</t>
  </si>
  <si>
    <t>부산광역시 남구 유엔평화로106번길 4 (대연동)</t>
  </si>
  <si>
    <t>주식회사 한국페트로</t>
  </si>
  <si>
    <t>속옷 및 잠옷 제조업</t>
  </si>
  <si>
    <t>전라북도 전주시 덕진구 반암1길 11 (우아동3가)</t>
  </si>
  <si>
    <t>주식회사 컴필</t>
  </si>
  <si>
    <t>B동707호</t>
  </si>
  <si>
    <t>인천광역시 남동구 선수촌공원로 9 (구월동)</t>
  </si>
  <si>
    <t>주식회사 지엘</t>
  </si>
  <si>
    <t>2137호</t>
  </si>
  <si>
    <t>부산광역시 해운대구 마린시티3로 1 (우동 썬프라자)</t>
  </si>
  <si>
    <t>주식회사 이오테크</t>
  </si>
  <si>
    <t>메모리용 전자집적회로 제조업</t>
  </si>
  <si>
    <t>경동미르웰시티354호</t>
  </si>
  <si>
    <t>주식회사 위디코</t>
  </si>
  <si>
    <t>한라시그마밸리 1008호</t>
  </si>
  <si>
    <t>경상북도 구미시 1공단로 212 (공단동)</t>
  </si>
  <si>
    <t>주식회사 에너지원</t>
  </si>
  <si>
    <t>지하1층</t>
  </si>
  <si>
    <t>제주특별자치도 제주시 다랑곶길 25 (노형동)</t>
  </si>
  <si>
    <t>주식회사 신승</t>
  </si>
  <si>
    <t>강원도 원주시 호저면 막골길 74-7</t>
  </si>
  <si>
    <t>주)진바이오컴</t>
  </si>
  <si>
    <t>강원도 원주시 남원로620번길 12-2 (개운동)</t>
  </si>
  <si>
    <t>이지컴퍼니</t>
  </si>
  <si>
    <t>전라남도 목포시 입암로4번길 21 (상동)</t>
  </si>
  <si>
    <t>유한회사 편의시설증진사업단</t>
  </si>
  <si>
    <t>105동 1802호</t>
  </si>
  <si>
    <t>경상북도 경산시 진량읍 일연로 747 (이안 경산진량 아파트)</t>
  </si>
  <si>
    <t>유에스ENG</t>
  </si>
  <si>
    <t>주거용 건물 개발 및 공급업</t>
  </si>
  <si>
    <t>제주특별자치도 제주시 거로남8길 38 (화북이동)</t>
  </si>
  <si>
    <t>유민건설주식회사</t>
  </si>
  <si>
    <t>메카동 921호</t>
  </si>
  <si>
    <t>유니종합물산</t>
  </si>
  <si>
    <t>304동804호</t>
  </si>
  <si>
    <t>경기도 부천시 석천로 345 (삼정동)</t>
  </si>
  <si>
    <t>원텍브라스트</t>
  </si>
  <si>
    <t>1301-5호</t>
  </si>
  <si>
    <t>올비넷</t>
  </si>
  <si>
    <t>오엘주식회사 2층</t>
  </si>
  <si>
    <t>광주광역시 북구 첨단벤처로16번길 27 (대촌동)</t>
  </si>
  <si>
    <t>오엘 주식회사</t>
  </si>
  <si>
    <t>대전광역시 유성구 지족북로 72 (지족동)</t>
  </si>
  <si>
    <t>스튜디오엔아이엔</t>
  </si>
  <si>
    <t>B02호</t>
  </si>
  <si>
    <t>경기도 광주시 오포읍 능평로 46-43</t>
  </si>
  <si>
    <t>메탈케이</t>
  </si>
  <si>
    <t>세종창업키움센터 304호</t>
  </si>
  <si>
    <t>마루온조경 주식회사</t>
  </si>
  <si>
    <t>제주특별자치도 제주시 조천읍 조천2길 25</t>
  </si>
  <si>
    <t>디자인랩 바르</t>
  </si>
  <si>
    <t>가금류 가공 및 저장 처리업</t>
  </si>
  <si>
    <t>1~3층 고급진</t>
  </si>
  <si>
    <t>경기도 군포시 공단로140번길 47-11 (당정동)</t>
  </si>
  <si>
    <t>㈜고급진</t>
  </si>
  <si>
    <t>서울특별시 금천구 가산디지털1로 19 (가산동)</t>
  </si>
  <si>
    <t>(주)핫마인쓰리디</t>
  </si>
  <si>
    <t>경상북도 경산시 서상길 31 (서상동)</t>
  </si>
  <si>
    <t>(주)제이스디자인</t>
  </si>
  <si>
    <t>1115호</t>
  </si>
  <si>
    <t>(주)제론소프트엔</t>
  </si>
  <si>
    <t>경기도 남양주시 별내2로 74 (별내동)</t>
  </si>
  <si>
    <t>(주)세연사건설</t>
  </si>
  <si>
    <t>SK V1 CENTER 1 815호</t>
  </si>
  <si>
    <t>서울특별시 성동구 아차산로17길 48 (성수동2가)</t>
  </si>
  <si>
    <t>주식회사 유비스랩</t>
  </si>
  <si>
    <t>경기도 파주시 파주읍 가마울길 119-8</t>
  </si>
  <si>
    <t>주식회사 오라즈</t>
  </si>
  <si>
    <t>경기도 안양시 동안구 흥안대로427번길 16 (관양동)</t>
  </si>
  <si>
    <t>주식회사 아이언맨</t>
  </si>
  <si>
    <t>강릉시 1인 창조기업 지원센터</t>
  </si>
  <si>
    <t>주식회사 스토리플래너</t>
  </si>
  <si>
    <t>울산광역시 울주군 온산읍 화산로 105</t>
  </si>
  <si>
    <t>주식회사 디유엑스케미컬</t>
  </si>
  <si>
    <t>인천스타트업파크 인스타1 5층 522호</t>
  </si>
  <si>
    <t>주식회사 뉴잇</t>
  </si>
  <si>
    <t>대전광역시 유성구 도안동로 446 (원신흥동 양우내안애)</t>
  </si>
  <si>
    <t>주식회사 그로우핏</t>
  </si>
  <si>
    <t>마루힐 IBC지식산업센터 A동 405호</t>
  </si>
  <si>
    <t>제이알제이 주식회사</t>
  </si>
  <si>
    <t>성서복합유통단지 28호</t>
  </si>
  <si>
    <t>대구광역시 달서구 성서공단로39길 18-5 (갈산동)</t>
  </si>
  <si>
    <t>바로툴</t>
  </si>
  <si>
    <t>충청남도 청양군 청양읍 중앙로 134</t>
  </si>
  <si>
    <t>디자인공작소협동조합</t>
  </si>
  <si>
    <t>(주)지비솔루션</t>
  </si>
  <si>
    <t>대림타운 302-2호</t>
  </si>
  <si>
    <t>경기도 부천시 상동로117번길 31 (상동)</t>
  </si>
  <si>
    <t>헤럴드</t>
  </si>
  <si>
    <t>501-2304</t>
  </si>
  <si>
    <t>인천광역시 남동구 서창남순환로 55 (서창동 서창센트럴푸르지오)</t>
  </si>
  <si>
    <t>푸른에스씨</t>
  </si>
  <si>
    <t>서울특별시 관악구 봉천로 472 (봉천동)</t>
  </si>
  <si>
    <t>태양로산업</t>
  </si>
  <si>
    <t>킴앤에스 컴퍼니</t>
  </si>
  <si>
    <t>경기도 광주시 오포읍 오포로498번길 12-1</t>
  </si>
  <si>
    <t>3층 302호</t>
  </si>
  <si>
    <t>서울특별시 동대문구 장한로5길 29 (장안동)</t>
  </si>
  <si>
    <t>캐이엔아이씨티</t>
  </si>
  <si>
    <t>전라북도 전주시 완산구 따박골로 50 (중화산동2가)</t>
  </si>
  <si>
    <t>지앤제이시스템</t>
  </si>
  <si>
    <t>경기도 의정부시 오목로225번길 162 (민락동)</t>
  </si>
  <si>
    <t>주식회사 펫타민</t>
  </si>
  <si>
    <t>세영이노세븐지식산업센터 C동 915호</t>
  </si>
  <si>
    <t>울산광역시 중구 동천1길 40 (서동)</t>
  </si>
  <si>
    <t>주식회사 코앤코시스템</t>
  </si>
  <si>
    <t>서울특별시 양천구 신정중앙로 77 (신정동)</t>
  </si>
  <si>
    <t>주식회사 이미지마이닝</t>
  </si>
  <si>
    <t>주식회사 윈스커뮤니티</t>
  </si>
  <si>
    <t>경기도 평택시 팽성읍 송화택지로 58</t>
  </si>
  <si>
    <t>주식회사 엠케이산업개발</t>
  </si>
  <si>
    <t>서울특별시 송파구 송파대로28길 24 (가락동)</t>
  </si>
  <si>
    <t>주식회사 수성원</t>
  </si>
  <si>
    <t>대구광역시 동구 공항로33길 16 (불로동)</t>
  </si>
  <si>
    <t>주식회사 세연이앤씨</t>
  </si>
  <si>
    <t>주식회사 부영산업</t>
  </si>
  <si>
    <t>용인테크노밸리 D-801</t>
  </si>
  <si>
    <t>주식회사 디엔에스코리아</t>
  </si>
  <si>
    <t>전라북도 전주시 완산구 현무3길 9-9 (경원동3가)</t>
  </si>
  <si>
    <t>주식회사 도우이앤이</t>
  </si>
  <si>
    <t>서울특별시 도봉구 덕릉로63길 106 (창동)</t>
  </si>
  <si>
    <t>주식회사 도담재</t>
  </si>
  <si>
    <t>104동 1층 1호</t>
  </si>
  <si>
    <t>대구광역시 동구 방천로3길 30 (불로동 불로강변아파트)</t>
  </si>
  <si>
    <t>주식회사 금찬전기</t>
  </si>
  <si>
    <t>건설ㆍ광업용 기계 및 장비 도매업</t>
  </si>
  <si>
    <t>10층 1007호(팔용동 스마트업타워)</t>
  </si>
  <si>
    <t>주식회사 거산이에스</t>
  </si>
  <si>
    <t>강원도 원주시 단구초교길 21-2 (단구동)</t>
  </si>
  <si>
    <t>제로원테크 주식회사</t>
  </si>
  <si>
    <t>509호 오피스밸리</t>
  </si>
  <si>
    <t>일렉테리어</t>
  </si>
  <si>
    <t>경기도 남양주시 덕송2로10번길 3-90 (별내동)</t>
  </si>
  <si>
    <t>인스미디어</t>
  </si>
  <si>
    <t>방음 방진 및 내화 공사업</t>
  </si>
  <si>
    <t>131-803</t>
  </si>
  <si>
    <t>경기도 수원시 팔달구 화산로17번길 6 (화서동 꽃뫼양지마을 현대아파트)</t>
  </si>
  <si>
    <t>이지엔텍</t>
  </si>
  <si>
    <t>806호 A137</t>
  </si>
  <si>
    <t>이엠텍솔루션</t>
  </si>
  <si>
    <t>시흥창업센터 503호</t>
  </si>
  <si>
    <t>이엠씨 주식회사</t>
  </si>
  <si>
    <t>씨동제이2층201호</t>
  </si>
  <si>
    <t>서울특별시 구로구 경인로54길 4 (구로동)</t>
  </si>
  <si>
    <t>이룸환경</t>
  </si>
  <si>
    <t>12동 319호</t>
  </si>
  <si>
    <t>위드퍼니처</t>
  </si>
  <si>
    <t>기타 기술 시험 검사 및 분석업</t>
  </si>
  <si>
    <t>엠테크노센터 1214호</t>
  </si>
  <si>
    <t>워터스생활환경연구소</t>
  </si>
  <si>
    <t>모터사이클 및 부품 도매업</t>
  </si>
  <si>
    <t>울산바이크</t>
  </si>
  <si>
    <t>울산광역시 동구 방어진순환도로 715 (전하동)</t>
  </si>
  <si>
    <t>울산 바이크</t>
  </si>
  <si>
    <t>718호</t>
  </si>
  <si>
    <t>경기도 성남시 수정구 창업로 54 (시흥동)</t>
  </si>
  <si>
    <t>옥타코주식회사</t>
  </si>
  <si>
    <t>서울특별시 은평구 서오릉로 14 (녹번동)</t>
  </si>
  <si>
    <t>오르보</t>
  </si>
  <si>
    <t>상가동 비 101호</t>
  </si>
  <si>
    <t>경기도 성남시 분당구 판교로743번길 7 (야탑동 목련마을에스케이아파트)</t>
  </si>
  <si>
    <t>예원테크</t>
  </si>
  <si>
    <t>201-1(좌)</t>
  </si>
  <si>
    <t>엘케이솔루션</t>
  </si>
  <si>
    <t>인천광역시 옹진군 영흥면 영흥북로35번길 71</t>
  </si>
  <si>
    <t>에이스기술</t>
  </si>
  <si>
    <t>신성엠텍</t>
  </si>
  <si>
    <t>부산광역시 기장군 장안읍 좌천로 32</t>
  </si>
  <si>
    <t>경상남도 진주시 동진로 315 (상대동)</t>
  </si>
  <si>
    <t>숨피아</t>
  </si>
  <si>
    <t>전라북도 군산시 번영로 121 (경장동)</t>
  </si>
  <si>
    <t>세종소방</t>
  </si>
  <si>
    <t>3층302호</t>
  </si>
  <si>
    <t>인천광역시 서구 석남로 107 (석남동)</t>
  </si>
  <si>
    <t>새인천환경주식회사</t>
  </si>
  <si>
    <t>대덕비즈센터 C동 614호</t>
  </si>
  <si>
    <t>라이노바이오 주식회사</t>
  </si>
  <si>
    <t>경기도 용인시 기흥구 죽현로 8-22 (보정동)</t>
  </si>
  <si>
    <t>드림프론티어 주식회사(Dream Frontier Corp.)</t>
  </si>
  <si>
    <t>전라남도 여수시 소라면 조산로 233-15</t>
  </si>
  <si>
    <t>동림이앤씨</t>
  </si>
  <si>
    <t>101-705호</t>
  </si>
  <si>
    <t>서울특별시 광진구 뚝섬로 569 (자양동 우성아파트)</t>
  </si>
  <si>
    <t>다온</t>
  </si>
  <si>
    <t>강원도 화천군 화천읍 상승로 122</t>
  </si>
  <si>
    <t>농업회사법인주식회사물빛</t>
  </si>
  <si>
    <t>102호 개암통상</t>
  </si>
  <si>
    <t>경기도 성남시 수정구 달래내로377번길 16 (상적동)</t>
  </si>
  <si>
    <t>개암통상</t>
  </si>
  <si>
    <t>경기도 고양시 일산동구 백석로71번길 15 (백석동)</t>
  </si>
  <si>
    <t>(주)한빛티엔에스</t>
  </si>
  <si>
    <t>비동 405호</t>
  </si>
  <si>
    <t>(주)플러크</t>
  </si>
  <si>
    <t>경상북도 구미시 장천면 강동로 72</t>
  </si>
  <si>
    <t>(주)태건전재</t>
  </si>
  <si>
    <t>전라북도 김제시 백산면 대동공단2길 34-32</t>
  </si>
  <si>
    <t>(주)이지산업</t>
  </si>
  <si>
    <t>경기도 이천시 대월면 군들로 155</t>
  </si>
  <si>
    <t>(주)와이컨텐츠</t>
  </si>
  <si>
    <t>304호 305호(민락동 테라스프라자)</t>
  </si>
  <si>
    <t>경기도 의정부시 오목로205번길 62 (민락동)</t>
  </si>
  <si>
    <t>(주)와이지인더스트리얼</t>
  </si>
  <si>
    <t>월드프라자408호</t>
  </si>
  <si>
    <t>경기도 시흥시 마유로 416 (정왕동)</t>
  </si>
  <si>
    <t>(주)열린아트</t>
  </si>
  <si>
    <t>강원도 동해시 공단7로 41 (구호동)</t>
  </si>
  <si>
    <t>(주)에스엘에이치</t>
  </si>
  <si>
    <t>C동 7층 703호</t>
  </si>
  <si>
    <t>(주)씨테크이엔지</t>
  </si>
  <si>
    <t>고무 화학섬유 및 플라스틱 성형기 제조업</t>
  </si>
  <si>
    <t>경기도 평택시 청북읍 청북서로 57</t>
  </si>
  <si>
    <t>(주)삼성그린기술</t>
  </si>
  <si>
    <t>광주광역시 북구 군왕로 142 (두암동)</t>
  </si>
  <si>
    <t>2층 2087호</t>
  </si>
  <si>
    <t>서울특별시 서대문구 신촌로 25 (창천동)</t>
  </si>
  <si>
    <t>(주)고래프랜즈</t>
  </si>
  <si>
    <t>석산빌딩 401-1호</t>
  </si>
  <si>
    <t>경기도 광명시 오리로 643 (하안동)</t>
  </si>
  <si>
    <t>환경토탈</t>
  </si>
  <si>
    <t>1동 402호</t>
  </si>
  <si>
    <t>서울특별시 강북구 삼양로173가길 55 (우이동 메이트하우스)</t>
  </si>
  <si>
    <t>해성사</t>
  </si>
  <si>
    <t>공인회계사업</t>
  </si>
  <si>
    <t>서울특별시 강남구 선릉로 801 (신사동)</t>
  </si>
  <si>
    <t>하늘회계법인</t>
  </si>
  <si>
    <t>경기도 남양주시 별내면 청학로92번길 121-5</t>
  </si>
  <si>
    <t>피엠세븐</t>
  </si>
  <si>
    <t>경기도 파주시 탄현면 방촌로955번길 34-48</t>
  </si>
  <si>
    <t>프럭시스</t>
  </si>
  <si>
    <t>퓨리인테크</t>
  </si>
  <si>
    <t>경기도 김포시 양촌읍 불당로 39-14</t>
  </si>
  <si>
    <t>양주테크노시티 504~7호</t>
  </si>
  <si>
    <t>크린필터주식회사</t>
  </si>
  <si>
    <t>2층 205호206호(전포동전포화신아파트상가)</t>
  </si>
  <si>
    <t>부산광역시 부산진구 진남로356번길 86 (전포동)</t>
  </si>
  <si>
    <t>크린세코</t>
  </si>
  <si>
    <t>에이원빌딩 301302호</t>
  </si>
  <si>
    <t>전라남도 나주시 한빛로 21 (빛가람동)</t>
  </si>
  <si>
    <t>케이피엑스서비스원 주식회사</t>
  </si>
  <si>
    <t>서울특별시 종로구 새문안로3길 3 (신문로1가)</t>
  </si>
  <si>
    <t>카프리스</t>
  </si>
  <si>
    <t>인천광역시 중구 운남로 64-23 (운남동)</t>
  </si>
  <si>
    <t>진성정보시스템 주식회사</t>
  </si>
  <si>
    <t>전라북도 정읍시 북면 북면공단2길 67</t>
  </si>
  <si>
    <t>주식회사한울아트</t>
  </si>
  <si>
    <t>수인빌딩 2층</t>
  </si>
  <si>
    <t>서울특별시 강북구 도봉로97길 18 (수유동)</t>
  </si>
  <si>
    <t>주식회사 우리수코리아</t>
  </si>
  <si>
    <t>강화 및 재생 목재 제조업</t>
  </si>
  <si>
    <t>삼진우드</t>
  </si>
  <si>
    <t>전라남도 무안군 청계면 청계공단길 45</t>
  </si>
  <si>
    <t>주식회사 삼진우드</t>
  </si>
  <si>
    <t>경기도 화성시 서신면 제부로 319</t>
  </si>
  <si>
    <t>주식회사 빵선생</t>
  </si>
  <si>
    <t>충청남도 천안시 서북구 직산읍 신갈1길 71-4</t>
  </si>
  <si>
    <t>주식회사 모던라인</t>
  </si>
  <si>
    <t>송도테크노파크IT센터 S동 3004-1호</t>
  </si>
  <si>
    <t>주식회사 레드에이트</t>
  </si>
  <si>
    <t>상가동 B06호</t>
  </si>
  <si>
    <t>대전광역시 유성구 송강로 15 (송강동 한솔아파트)</t>
  </si>
  <si>
    <t>주식회사 강중</t>
  </si>
  <si>
    <t>5113동 2402호</t>
  </si>
  <si>
    <t>경기도 남양주시 다산중앙로82번길 15 (다산동 다산 자연 앤 e편한세상)</t>
  </si>
  <si>
    <t>존버</t>
  </si>
  <si>
    <t>가동 C-105호</t>
  </si>
  <si>
    <t>제이유이엔지 주식회사</t>
  </si>
  <si>
    <t>경기도 김포시 대곶면 대명항로 623-3</t>
  </si>
  <si>
    <t>자연드림푸드</t>
  </si>
  <si>
    <t>2층 209호</t>
  </si>
  <si>
    <t>경기도 성남시 중원구 둔촌대로466번길 16 (상대원동)</t>
  </si>
  <si>
    <t>운스메디칼주식회사</t>
  </si>
  <si>
    <t>401호(남천동)</t>
  </si>
  <si>
    <t>부산광역시 수영구 남천바다로10번길 68 (남천동)</t>
  </si>
  <si>
    <t>우인설계건축사사무소</t>
  </si>
  <si>
    <t>충청북도 청주시 상당구 중고개로 333 (금천동)</t>
  </si>
  <si>
    <t>오피스파트너</t>
  </si>
  <si>
    <t>1층 오피스큐</t>
  </si>
  <si>
    <t>경상남도 진주시 대신로255번길 16 (상대동)</t>
  </si>
  <si>
    <t>오피스큐진주점</t>
  </si>
  <si>
    <t>부산광역시 사하구 동매로 14-1 (하단동)</t>
  </si>
  <si>
    <t>에이치제이엠에프</t>
  </si>
  <si>
    <t>411호</t>
  </si>
  <si>
    <t>서울특별시 영등포구 선유로 130 (양평동3가)</t>
  </si>
  <si>
    <t>에이지데이터주식회사</t>
  </si>
  <si>
    <t>충청남도 홍성군 홍성읍 대학길 25</t>
  </si>
  <si>
    <t>에스티엘</t>
  </si>
  <si>
    <t>경기도 시흥시 소망공원로 323 (정왕동)</t>
  </si>
  <si>
    <t>에스비사무기</t>
  </si>
  <si>
    <t>B동 211호</t>
  </si>
  <si>
    <t>대전광역시 동구 동대전로284번길 60 (가양동)</t>
  </si>
  <si>
    <t>서브텍</t>
  </si>
  <si>
    <t>인천광역시 서구 가현산로23번길 14 (마전동)</t>
  </si>
  <si>
    <t>백마환경산업</t>
  </si>
  <si>
    <t>철물 금속 파스너 및 수공구 도매업</t>
  </si>
  <si>
    <t>대구광역시 중구 북성로 31-1 (서야동)</t>
  </si>
  <si>
    <t>모든전기앤툴</t>
  </si>
  <si>
    <t>충청북도 청주시 서원구 1순환로 753 (개신동)</t>
  </si>
  <si>
    <t>마노건설주식회사</t>
  </si>
  <si>
    <t>스마트밸리 E동 409-i호</t>
  </si>
  <si>
    <t>랩솔레미스</t>
  </si>
  <si>
    <t>라이트가든</t>
  </si>
  <si>
    <t>과실 및 그 외 채소 절임식품 제조업</t>
  </si>
  <si>
    <t>충청북도 음성군 금왕읍 유촌산단1길 38</t>
  </si>
  <si>
    <t>농업회사법인(주)거북</t>
  </si>
  <si>
    <t>병점동 이타운4</t>
  </si>
  <si>
    <t>경기도 화성시 효행로 1060 (병점동)</t>
  </si>
  <si>
    <t>구가건축사사무소</t>
  </si>
  <si>
    <t>경기도 안산시 상록구 양지마을3길 19-4 (사사동)</t>
  </si>
  <si>
    <t>(주)하이힙</t>
  </si>
  <si>
    <t>광주광역시 북구 석곡로501번길 12 (망월동)</t>
  </si>
  <si>
    <t>(주)정우특수건설</t>
  </si>
  <si>
    <t>경상북도 경주시 탈해로 27 (동천동)</t>
  </si>
  <si>
    <t>(주)엘케이그린텍</t>
  </si>
  <si>
    <t>서울특별시 강남구 개포로17길 7 (개포동)</t>
  </si>
  <si>
    <t>(주)씨엘엠스타일</t>
  </si>
  <si>
    <t>전주대학교 본관 114호</t>
  </si>
  <si>
    <t>(주)소더코드</t>
  </si>
  <si>
    <t>(주)무창</t>
  </si>
  <si>
    <t>경상북도 경산시 자인면 자인공단로 63</t>
  </si>
  <si>
    <t>경기도 화성시 남양읍 주석로80번길 66-18</t>
  </si>
  <si>
    <t>(주)리엔텍</t>
  </si>
  <si>
    <t>서울특별시 성동구 천호대로 418 (용답동)</t>
  </si>
  <si>
    <t>(주)다다이앤씨</t>
  </si>
  <si>
    <t>경기도 수원시 권선구 입북로 10 (입북동)</t>
  </si>
  <si>
    <t>(주)금풍이엔씨</t>
  </si>
  <si>
    <t>서울특별시 중랑구 용마산로58길 7-17 (면목동)</t>
  </si>
  <si>
    <t>한몸</t>
  </si>
  <si>
    <t>팍스 ENG 공장</t>
  </si>
  <si>
    <t>경상남도 사천시 축동면 서삼로 1315</t>
  </si>
  <si>
    <t>팍스 ENG</t>
  </si>
  <si>
    <t>충청남도 당진시 신평면 덕평로 1310</t>
  </si>
  <si>
    <t>케이앤제이</t>
  </si>
  <si>
    <t>경기도 화성시 향남읍 상신하길로328번길 26</t>
  </si>
  <si>
    <t>주식회사원하조경</t>
  </si>
  <si>
    <t>핵반응기 및 증기보일러 제조업</t>
  </si>
  <si>
    <t>1호동</t>
  </si>
  <si>
    <t>부산광역시 강서구 녹산산업중로 113 (송정동)</t>
  </si>
  <si>
    <t>주식회사 한국피에치이</t>
  </si>
  <si>
    <t>대구광역시 북구 칠곡중앙대로 232 (태전동)</t>
  </si>
  <si>
    <t>주식회사 지이에스</t>
  </si>
  <si>
    <t>5층 4호</t>
  </si>
  <si>
    <t>경기도 수원시 장안구 경수대로 965 (송죽동)</t>
  </si>
  <si>
    <t>주식회사 지씨텍</t>
  </si>
  <si>
    <t>금화타운 203호</t>
  </si>
  <si>
    <t>경기도 용인시 기흥구 상갈로 9 (상갈동)</t>
  </si>
  <si>
    <t>주식회사 일조방수기업</t>
  </si>
  <si>
    <t>부산광역시 북구 덕천로234번길 48 (만덕동)</t>
  </si>
  <si>
    <t>주식회사 이레전기안전</t>
  </si>
  <si>
    <t>(주)우리기술</t>
  </si>
  <si>
    <t>부산광역시 강서구 대저동서로 226 (대저2동)</t>
  </si>
  <si>
    <t>주식회사 우리기술</t>
  </si>
  <si>
    <t>배합 사료 제조업</t>
  </si>
  <si>
    <t>210호 (석현동 순천대학교 농대1호관)</t>
  </si>
  <si>
    <t>전라남도 순천시 중앙로 255 (석현동)</t>
  </si>
  <si>
    <t>주식회사 엘제이바이오</t>
  </si>
  <si>
    <t>4층 3호</t>
  </si>
  <si>
    <t>서울특별시 금천구 시흥대로153길 52 (가산동)</t>
  </si>
  <si>
    <t>주식회사 에코카코리아</t>
  </si>
  <si>
    <t>103동 703호</t>
  </si>
  <si>
    <t>경기도 부천시 삼작로 22 (삼정동)</t>
  </si>
  <si>
    <t>주식회사 에스엘이디조명</t>
  </si>
  <si>
    <t>주식회사 수현테크</t>
  </si>
  <si>
    <t>전라남도 강진군 마량면 까막섬로 158</t>
  </si>
  <si>
    <t>주식회사 수도씨앤지</t>
  </si>
  <si>
    <t>강남빌딩 3층 310호</t>
  </si>
  <si>
    <t>주식회사 무앤컴퍼니</t>
  </si>
  <si>
    <t>경상북도 경산시 진량읍 공단3로 10-58</t>
  </si>
  <si>
    <t>주식회사 대훈에이씨</t>
  </si>
  <si>
    <t>4층 405호</t>
  </si>
  <si>
    <t>경기도 안산시 상록구 양지편1길 26 (이동)</t>
  </si>
  <si>
    <t>주식회사 글로벌하우징</t>
  </si>
  <si>
    <t>1층  좋은 이웃들</t>
  </si>
  <si>
    <t>광주광역시 북구 오문로38번길 14 (오치동)</t>
  </si>
  <si>
    <t>좋은이웃들</t>
  </si>
  <si>
    <t>져니썸</t>
  </si>
  <si>
    <t>보문오피스빌딩 201호</t>
  </si>
  <si>
    <t>대전광역시 중구 대종로 397 (대흥동)</t>
  </si>
  <si>
    <t>정석크린</t>
  </si>
  <si>
    <t>전라남도 장성군 남면 황토단감로 15</t>
  </si>
  <si>
    <t>인테크주식회사</t>
  </si>
  <si>
    <t>배곧로얄팰리스테크노 218호</t>
  </si>
  <si>
    <t>이은테크</t>
  </si>
  <si>
    <t>101동 1204호</t>
  </si>
  <si>
    <t>충청남도 홍성군 홍북읍 신대로 54 (효성해링턴플레이스)</t>
  </si>
  <si>
    <t>은성상사</t>
  </si>
  <si>
    <t>유창산업</t>
  </si>
  <si>
    <t>경기도 화성시 정남면 동오4길 9-19</t>
  </si>
  <si>
    <t>서울특별시 서대문구 증가로2길 36-7 (연희동)</t>
  </si>
  <si>
    <t>위드 글로벌</t>
  </si>
  <si>
    <t>서울특별시 동대문구 사가정로 278 (장안동)</t>
  </si>
  <si>
    <t>예영테크 주식회사</t>
  </si>
  <si>
    <t>경기도 화성시 동탄순환대로12길 85 (산척동 그린힐 반도유보라 아이비파크 10)</t>
  </si>
  <si>
    <t>예영테크</t>
  </si>
  <si>
    <t>충청북도 청주시 서원구 현도면 죽전3길 12</t>
  </si>
  <si>
    <t>영빈상사</t>
  </si>
  <si>
    <t>경상남도 함양군 함양읍 이은농공길 40</t>
  </si>
  <si>
    <t>엠에스가구산업</t>
  </si>
  <si>
    <t>에이스광교타워2 604호</t>
  </si>
  <si>
    <t>엘제이테크(주)</t>
  </si>
  <si>
    <t>충청남도 예산군 오가면 예산산업단지로 66</t>
  </si>
  <si>
    <t>에이치피아이(주)</t>
  </si>
  <si>
    <t>402-2호</t>
  </si>
  <si>
    <t>서울특별시 노원구 한글비석로24길 14 (상계동)</t>
  </si>
  <si>
    <t>에이치케이큐브 주식회사</t>
  </si>
  <si>
    <t>대륭오피스텔 지층 123호</t>
  </si>
  <si>
    <t>서울특별시 영등포구 선유로 27 (문래동5가)</t>
  </si>
  <si>
    <t>에이스기업 주식회사</t>
  </si>
  <si>
    <t>광고물 문안 도안 설계 등 작성업</t>
  </si>
  <si>
    <t>서울특별시 강남구 강남대로 584 (논현동)</t>
  </si>
  <si>
    <t>애드러쉬</t>
  </si>
  <si>
    <t>2층(남중동)</t>
  </si>
  <si>
    <t>전라북도 익산시 선화로 260 (남중동)</t>
  </si>
  <si>
    <t>아이에스테크</t>
  </si>
  <si>
    <t>1층 신안전력공사</t>
  </si>
  <si>
    <t>서울특별시 마포구 월드컵북로9길 23 (성산동)</t>
  </si>
  <si>
    <t>신안전력공사</t>
  </si>
  <si>
    <t>해성빌딩 202호</t>
  </si>
  <si>
    <t>충청남도 천안시 서북구 두정고5길 17 (두정동)</t>
  </si>
  <si>
    <t>시스아이티</t>
  </si>
  <si>
    <t>두성빌딩 407호</t>
  </si>
  <si>
    <t>경기도 시흥시 신천천동로 7 (신천동)</t>
  </si>
  <si>
    <t>수목</t>
  </si>
  <si>
    <t>1동 206호</t>
  </si>
  <si>
    <t>세종특별자치시 조치원읍 내창3길 19</t>
  </si>
  <si>
    <t>세종케미칼</t>
  </si>
  <si>
    <t>비엠시스텍</t>
  </si>
  <si>
    <t>충청남도 서산시 잠동1길 12 (잠홍동)</t>
  </si>
  <si>
    <t>보경건설(주)</t>
  </si>
  <si>
    <t>전라남도 목포시 대양로 14-139 (연산동)</t>
  </si>
  <si>
    <t>라온프렌즈 주식회사</t>
  </si>
  <si>
    <t>경상남도 창원시 마산회원구 회성시장2길 131 (회성동)</t>
  </si>
  <si>
    <t>디자인단풍(주)</t>
  </si>
  <si>
    <t>강원도 동해시 공단9로 113-12 (구호동)</t>
  </si>
  <si>
    <t>동해호이스트크레인</t>
  </si>
  <si>
    <t>부산광역시 금정구 체육공원로19번길 62 (구서동 구서빌1차)</t>
  </si>
  <si>
    <t>대림농원</t>
  </si>
  <si>
    <t>대전광역시 서구 괴정로133번길 31 (괴정동)</t>
  </si>
  <si>
    <t>다르필름&amp;디자인</t>
  </si>
  <si>
    <t>전라북도 장수군 천천면 비룡로 116-4</t>
  </si>
  <si>
    <t>누리97</t>
  </si>
  <si>
    <t>전라남도 화순군 화순읍 오성로 575</t>
  </si>
  <si>
    <t>거성산업</t>
  </si>
  <si>
    <t>비전IT타워 703호</t>
  </si>
  <si>
    <t>가하코리아</t>
  </si>
  <si>
    <t>광명시범공단 2동 5층 4-2호</t>
  </si>
  <si>
    <t>경기도 광명시 하안로 228 (하안동)</t>
  </si>
  <si>
    <t>Alpha FN-Tec</t>
  </si>
  <si>
    <t>경기도 고양시 일산동구 고봉로620번길 48 (성석동)</t>
  </si>
  <si>
    <t>(주)프로프레</t>
  </si>
  <si>
    <t>801-26호(중동 새롬프라자)</t>
  </si>
  <si>
    <t>경기도 용인시 기흥구 동백3로11번길 33 (중동)</t>
  </si>
  <si>
    <t>(주)케이에스씨앤씨</t>
  </si>
  <si>
    <t>7층 759호</t>
  </si>
  <si>
    <t>경기도 평택시 고덕면 고덕중앙로 290</t>
  </si>
  <si>
    <t>(주)이펙트엘아이디</t>
  </si>
  <si>
    <t>충청남도 금산군 군북면 군북로 830</t>
  </si>
  <si>
    <t>(주)우진</t>
  </si>
  <si>
    <t>(주)예광이엔지</t>
  </si>
  <si>
    <t>울산광역시 울주군 언양읍 반천산업로 113-14</t>
  </si>
  <si>
    <t>9층 104호</t>
  </si>
  <si>
    <t>(주)에듀에이아이</t>
  </si>
  <si>
    <t>삼성아이티해링턴타워 507호</t>
  </si>
  <si>
    <t>서울특별시 금천구 디지털로9길 41 (가산동)</t>
  </si>
  <si>
    <t>(주)에네이</t>
  </si>
  <si>
    <t>(주)아이와나테크</t>
  </si>
  <si>
    <t>더블유비씨더팰리스 102동 2701호</t>
  </si>
  <si>
    <t>부산광역시 해운대구 센텀1로 28 (우동)</t>
  </si>
  <si>
    <t>(주)브라보소프트</t>
  </si>
  <si>
    <t>104동 214호</t>
  </si>
  <si>
    <t>강원도 평창군 대화면 평창대로 1447</t>
  </si>
  <si>
    <t>(주)라세미아</t>
  </si>
  <si>
    <t>1동 2층(탑립동)</t>
  </si>
  <si>
    <t>대전광역시 유성구 테크노2로 235 (탑립동)</t>
  </si>
  <si>
    <t>(주)디에스전문건설</t>
  </si>
  <si>
    <t>전라남도 목포시 공단중앙로 40 (연산동)</t>
  </si>
  <si>
    <t>(주)그린로드텍</t>
  </si>
  <si>
    <t>플러스철물공구</t>
  </si>
  <si>
    <t>강원도 삼척시 중앙로 257 (당저동)</t>
  </si>
  <si>
    <t xml:space="preserve"> 2동 707호</t>
  </si>
  <si>
    <t>서울특별시 송파구 오금로 432 (가락동 삼환가락아파트)</t>
  </si>
  <si>
    <t>토리컴퍼니</t>
  </si>
  <si>
    <t>전라북도 익산시 무왕로12길 10-2 (신동)</t>
  </si>
  <si>
    <t>태정</t>
  </si>
  <si>
    <t>충청북도 청주시 청원구 1순환로 358 (내덕동)</t>
  </si>
  <si>
    <t>진미커뮤니케이션(주)</t>
  </si>
  <si>
    <t>부산광역시 영도구 산업로 25 (청학동)</t>
  </si>
  <si>
    <t>지케이 인더스트리</t>
  </si>
  <si>
    <t>2720-201</t>
  </si>
  <si>
    <t>경기도 부천시 부흥로 71 (상동 백송마을)</t>
  </si>
  <si>
    <t>지안상사</t>
  </si>
  <si>
    <t>전라남도 해남군 해남읍 해남로 3</t>
  </si>
  <si>
    <t>지리산업(주)</t>
  </si>
  <si>
    <t>부산광역시 사상구 모덕로 34 (삼락동)</t>
  </si>
  <si>
    <t>주식회사에스티나인</t>
  </si>
  <si>
    <t>에이스비즈포레 513호</t>
  </si>
  <si>
    <t>서울특별시 금천구 가산디지털2로 156 (가산동)</t>
  </si>
  <si>
    <t>주식회사 히든몬스터</t>
  </si>
  <si>
    <t>3층 (주)휴코넥</t>
  </si>
  <si>
    <t>부산광역시 동래구 여고로 135 (사직동)</t>
  </si>
  <si>
    <t>주식회사 휴코넥</t>
  </si>
  <si>
    <t>용기 세척 포장 및 충전기 제조업</t>
  </si>
  <si>
    <t>3층 301302호(우면동동고상가)</t>
  </si>
  <si>
    <t>서울특별시 서초구 바우뫼로7길 29 (우면동 동고아파트)</t>
  </si>
  <si>
    <t>주식회사 홀리스틱헬스(Holistic Health Co. Ltd.)</t>
  </si>
  <si>
    <t>807호</t>
  </si>
  <si>
    <t>서울특별시 강남구 영동대로 324 (대치동)</t>
  </si>
  <si>
    <t>주식회사 플러스파크</t>
  </si>
  <si>
    <t>안양메가밸리 618호</t>
  </si>
  <si>
    <t>경기도 안양시 동안구 학의로 268 (관양동)</t>
  </si>
  <si>
    <t>주식회사 크리웨이브이엔지</t>
  </si>
  <si>
    <t>A3-72호</t>
  </si>
  <si>
    <t>주식회사 주경</t>
  </si>
  <si>
    <t>전자 응용 절삭기계 제조업</t>
  </si>
  <si>
    <t>송도BT센터 522호</t>
  </si>
  <si>
    <t>주식회사 제브라앤시퀀스</t>
  </si>
  <si>
    <t>경기도 화성시 팔탄면 밤뒤길42번길 54</t>
  </si>
  <si>
    <t>주식회사 이온코르크</t>
  </si>
  <si>
    <t>437호 (가납리 양주테크노시티)</t>
  </si>
  <si>
    <t>주식회사 유닉트</t>
  </si>
  <si>
    <t>경기도 군포시 번영로 34 (부곡동)</t>
  </si>
  <si>
    <t>주식회사 웨덱스</t>
  </si>
  <si>
    <t>747 615호</t>
  </si>
  <si>
    <t>서울특별시 강서구 공항대로 168 (마곡동)</t>
  </si>
  <si>
    <t>주식회사 에코프로비</t>
  </si>
  <si>
    <t>경기R&amp;DB센터 708호</t>
  </si>
  <si>
    <t>주식회사 실크로드소프트</t>
  </si>
  <si>
    <t>경상북도 칠곡군 가산면 호국로 1138-3</t>
  </si>
  <si>
    <t>주식회사 신우기업</t>
  </si>
  <si>
    <t>상가동 108동 301호</t>
  </si>
  <si>
    <t>경상남도 양산시 소주로 181 (소주동)</t>
  </si>
  <si>
    <t>주식회사 시우</t>
  </si>
  <si>
    <t>주식회사 세진솔루션</t>
  </si>
  <si>
    <t>다동(주3)</t>
  </si>
  <si>
    <t>경기도 남양주시 오남읍 진건오남로929번길 6-9</t>
  </si>
  <si>
    <t>주식회사 라이브러리엔</t>
  </si>
  <si>
    <t>8층801호</t>
  </si>
  <si>
    <t>서울특별시 성북구 동소문로 47 (동소문동4가)</t>
  </si>
  <si>
    <t>주식회사 넥스트윈</t>
  </si>
  <si>
    <t>강원도 원주시 섭재삼보길 1-56 (반곡동)</t>
  </si>
  <si>
    <t>주식회사 강화이앤씨</t>
  </si>
  <si>
    <t>주식회사 강화</t>
  </si>
  <si>
    <t>강원도 원주시 송림길 40-29 (개운동)</t>
  </si>
  <si>
    <t>주식회사 강원씨엔에스</t>
  </si>
  <si>
    <t>주식회사 강우</t>
  </si>
  <si>
    <t xml:space="preserve"> 101동 1503호</t>
  </si>
  <si>
    <t>서울특별시 송파구 송이로 27-1 (송파동 송파KCC아파트)</t>
  </si>
  <si>
    <t>좋은친구들</t>
  </si>
  <si>
    <t>제주특별자치도 서귀포시 토평공단로 123 (토평동)</t>
  </si>
  <si>
    <t>제주홍익주식회사</t>
  </si>
  <si>
    <t>415호</t>
  </si>
  <si>
    <t>제이딜(J.Deal)</t>
  </si>
  <si>
    <t>301동 601호</t>
  </si>
  <si>
    <t>경기도 김포시 김포한강8로 333 (마산동 김포한강엘에이치솔터마을3단지)</t>
  </si>
  <si>
    <t>유니커뮤니케이션</t>
  </si>
  <si>
    <t>위테크주식회사</t>
  </si>
  <si>
    <t>인천광역시 서구 사월로37번안길 46 (왕길동)</t>
  </si>
  <si>
    <t>오피스알파</t>
  </si>
  <si>
    <t>전라남도 나주시 황동1길 90 (빛가람동)</t>
  </si>
  <si>
    <t>오피스알파빛가람</t>
  </si>
  <si>
    <t>103동 1205호(당진 엠코타운)</t>
  </si>
  <si>
    <t>충청남도 당진시 송산면 유곡로 20 (당진엠코타운)</t>
  </si>
  <si>
    <t>에이치엠</t>
  </si>
  <si>
    <t>신성대학교 산학협력관 224호</t>
  </si>
  <si>
    <t>에스씨주식회사</t>
  </si>
  <si>
    <t>충청남도 서산시 팔봉면 장군산길 48-40</t>
  </si>
  <si>
    <t>아람상사</t>
  </si>
  <si>
    <t>두산더랜드타워 B동 1113호</t>
  </si>
  <si>
    <t>씨앤텍전자</t>
  </si>
  <si>
    <t>경상남도 진주시 정촌면 뿌리산단로 90</t>
  </si>
  <si>
    <t>씨아이씨소프트(주)</t>
  </si>
  <si>
    <t>서울특별시 동작구 상도로15아길 17-4 (상도동)</t>
  </si>
  <si>
    <t>세렌디피디</t>
  </si>
  <si>
    <t>부산광역시 강서구 대저로171번길 187 (대저1동)</t>
  </si>
  <si>
    <t>성보계전(주)</t>
  </si>
  <si>
    <t>강원도 삼척시 원덕읍 호산2길 126-10</t>
  </si>
  <si>
    <t>선우테크</t>
  </si>
  <si>
    <t>경기도 남양주시 화도읍 경춘로지현1길 11-1</t>
  </si>
  <si>
    <t>사회적협동조합행복</t>
  </si>
  <si>
    <t>서울특별시 광진구 능동로29가길 18 (군자동)</t>
  </si>
  <si>
    <t>블루 스카이 컴퍼니(Blue sky company)</t>
  </si>
  <si>
    <t>경상북도 칠곡군 약목면 약목로 75-3</t>
  </si>
  <si>
    <t>보배전기감리</t>
  </si>
  <si>
    <t>경상남도 창원시 성산구 반지로 25 (반지동)</t>
  </si>
  <si>
    <t>바른사무가구</t>
  </si>
  <si>
    <t>대구광역시 동구 도평로 123 (도동)</t>
  </si>
  <si>
    <t>무한상사 사회적협동조합</t>
  </si>
  <si>
    <t>인하대학교병원 신관2층 심혈관실험실</t>
  </si>
  <si>
    <t>인천광역시 중구 인항로 27 (신흥동3가)</t>
  </si>
  <si>
    <t>딥카디오 주식회사</t>
  </si>
  <si>
    <t>변압기 제조업</t>
  </si>
  <si>
    <t>울산광역시 남구 사평로 223 (선암동)</t>
  </si>
  <si>
    <t>디티엠텍(DT엠텍)</t>
  </si>
  <si>
    <t>2동 1211호 (용현동 동아아파트)</t>
  </si>
  <si>
    <t>인천광역시 미추홀구 능해길 32 (용현동 동아아파트)</t>
  </si>
  <si>
    <t>다이아나</t>
  </si>
  <si>
    <t>607호(607-1호)(가산동백상스타타워1차)</t>
  </si>
  <si>
    <t>서울특별시 금천구 디지털로9길 65 (가산동)</t>
  </si>
  <si>
    <t>국제안전기술(주)</t>
  </si>
  <si>
    <t>8층 5호</t>
  </si>
  <si>
    <t>인천광역시 서구 염곡로464번길 15 (가정동)</t>
  </si>
  <si>
    <t>(주)체리코끼리</t>
  </si>
  <si>
    <t>20동 210호</t>
  </si>
  <si>
    <t>(주)지원이피에스</t>
  </si>
  <si>
    <t>(주)이엠씨티</t>
  </si>
  <si>
    <t>대구출판산업지원센터 502호</t>
  </si>
  <si>
    <t>(주)올엠소프트</t>
  </si>
  <si>
    <t>충청남도 금산군 금성면 금성공단로 78</t>
  </si>
  <si>
    <t>(주)신원전기</t>
  </si>
  <si>
    <t>바오밥목공전문학원</t>
  </si>
  <si>
    <t>경기도 안성시 보개원삼로 137 (가사동)</t>
  </si>
  <si>
    <t>(주)바오밥목공전문학원</t>
  </si>
  <si>
    <t>전라북도 전주시 덕진구 반룡로 109 (팔복동2가)</t>
  </si>
  <si>
    <t>(주)GRT</t>
  </si>
  <si>
    <t>경기도 남양주시 진건읍 사릉로용정1길 8</t>
  </si>
  <si>
    <t>효선</t>
  </si>
  <si>
    <t>부산광역시 강서구 공항진입로 8 (대저2동)</t>
  </si>
  <si>
    <t>한마음직업재활센터</t>
  </si>
  <si>
    <t>기타 일반 기계 및 장비 수리업</t>
  </si>
  <si>
    <t>1층 하이포츠</t>
  </si>
  <si>
    <t>울산광역시 울주군 범서읍 대리2길 1</t>
  </si>
  <si>
    <t>하이포츠주식회사</t>
  </si>
  <si>
    <t>티엠오토메이션</t>
  </si>
  <si>
    <t>부산광역시 사하구 비봉로 23 (신평동)</t>
  </si>
  <si>
    <t>3층 337호</t>
  </si>
  <si>
    <t>경상북도 경산시 강변서로51길 23 (정평동)</t>
  </si>
  <si>
    <t>탑앤탑</t>
  </si>
  <si>
    <t>경기도 김포시 대곶면 대곶서로 290-2</t>
  </si>
  <si>
    <t>케이씨이 주식회사</t>
  </si>
  <si>
    <t>8층(양재동 금정빌딩)</t>
  </si>
  <si>
    <t>서울특별시 서초구 남부순환로 2606 (양재동)</t>
  </si>
  <si>
    <t>캠벨 주식회사</t>
  </si>
  <si>
    <t>104동 603호</t>
  </si>
  <si>
    <t>경기도 의왕시 모락로 89-15 (오전동 해모로 아파트)</t>
  </si>
  <si>
    <t>차가운 탁구공</t>
  </si>
  <si>
    <t>서울특별시 중구 퇴계로37길 18 (충무로4가)</t>
  </si>
  <si>
    <t>진프린팅</t>
  </si>
  <si>
    <t>1층 진테크</t>
  </si>
  <si>
    <t>광주광역시 광산구 진곡산단3번로 41-8 (진곡동)</t>
  </si>
  <si>
    <t>경상남도 창원시 진해구 충장로273번길 18 (경화동 진해현대그린파크아파트)</t>
  </si>
  <si>
    <t>주식회사클릭온스페이스</t>
  </si>
  <si>
    <t>상용 인력 공급 및 인사관리 서비스업</t>
  </si>
  <si>
    <t>208-1904</t>
  </si>
  <si>
    <t>부산광역시 남구 분포로 113 (용호동 엘지메트로시티)</t>
  </si>
  <si>
    <t>주식회사서원</t>
  </si>
  <si>
    <t>산업설비 운송장비 및 공공장소 청소업</t>
  </si>
  <si>
    <t>지층 9호</t>
  </si>
  <si>
    <t>경기도 김포시 봉화로181번길 36 (감정동)</t>
  </si>
  <si>
    <t>주식회사 흰소</t>
  </si>
  <si>
    <t>(주)현진테크</t>
  </si>
  <si>
    <t>경상북도 포항시 북구 청하면 사방공원길 449</t>
  </si>
  <si>
    <t>주식회사 현진테크</t>
  </si>
  <si>
    <t>경기도 남양주시 진건읍 진건오남로374번길 9</t>
  </si>
  <si>
    <t>주식회사 행복의 날개</t>
  </si>
  <si>
    <t>경기도 파주시 탄현면 방촌로 1172-28</t>
  </si>
  <si>
    <t>주식회사 피엔티</t>
  </si>
  <si>
    <t>서울특별시 서초구 논현로11길 3 (양재동)</t>
  </si>
  <si>
    <t>주식회사 이룸씨엔디</t>
  </si>
  <si>
    <t>산학협력관동 206호</t>
  </si>
  <si>
    <t>주식회사 위스</t>
  </si>
  <si>
    <t>비동 1001호</t>
  </si>
  <si>
    <t>경기도 성남시 분당구 대왕판교로 670 (삼평동)</t>
  </si>
  <si>
    <t>주식회사 웨이브</t>
  </si>
  <si>
    <t>1동동 8층 803-2호</t>
  </si>
  <si>
    <t>서울특별시 영등포구 경인로 775 (문래동3가)</t>
  </si>
  <si>
    <t>주식회사 우시스템</t>
  </si>
  <si>
    <t>(주)와이제이건설</t>
  </si>
  <si>
    <t>광주광역시 광산구 목련로394번길 10-1 (신가동)</t>
  </si>
  <si>
    <t>주식회사 와이제이건설</t>
  </si>
  <si>
    <t>1111호</t>
  </si>
  <si>
    <t>주식회사 엠스타넷</t>
  </si>
  <si>
    <t>경기도 남양주시 진접읍 양진로1002번길 8-22</t>
  </si>
  <si>
    <t>주식회사 알 앤드 티</t>
  </si>
  <si>
    <t>부산광역시 부산진구 냉정로 214 (개금동)</t>
  </si>
  <si>
    <t>주식회사 싸인랩</t>
  </si>
  <si>
    <t>2층(대촌동)</t>
  </si>
  <si>
    <t>광주광역시 북구 첨단벤처로40번길 3 (대촌동)</t>
  </si>
  <si>
    <t>주식회사 수호정보통신</t>
  </si>
  <si>
    <t>충청북도 음성군 음성읍 교동2길 3</t>
  </si>
  <si>
    <t>주식회사 서강이엔지</t>
  </si>
  <si>
    <t>경기도 구리시 건원대로34번길 9 (인창동)</t>
  </si>
  <si>
    <t>주식회사 범현이엔씨</t>
  </si>
  <si>
    <t>서울특별시 은평구 증산서길 67 (증산동)</t>
  </si>
  <si>
    <t>주식회사 백선전력</t>
  </si>
  <si>
    <t>충청남도 천안시 서북구 2공단2로 95 (차암동)</t>
  </si>
  <si>
    <t>주식회사 리드원</t>
  </si>
  <si>
    <t>민석빌딩 806호</t>
  </si>
  <si>
    <t>부산광역시 남구 수영로 233 (대연동)</t>
  </si>
  <si>
    <t>주식회사 루나플래닛</t>
  </si>
  <si>
    <t>6층 646호</t>
  </si>
  <si>
    <t>경기도 용인시 기흥구 죽전로 10 (보정동)</t>
  </si>
  <si>
    <t>주식회사 가사울어소시에이츠</t>
  </si>
  <si>
    <t>강원도 원주시 서원대로 125-1 (단계동)</t>
  </si>
  <si>
    <t>제이와이산업</t>
  </si>
  <si>
    <t>전라남도 목포시 산정로142번길 34-1 (용당동)</t>
  </si>
  <si>
    <t>유한회사 엘에스시스템즈</t>
  </si>
  <si>
    <t>1509호</t>
  </si>
  <si>
    <t>원헤르츠(주)</t>
  </si>
  <si>
    <t>경상남도 창원시 마산합포구 현동로 56 (현동)</t>
  </si>
  <si>
    <t>영석건설주식회사</t>
  </si>
  <si>
    <t>본관동 402호(부산T-PLEX)</t>
  </si>
  <si>
    <t>에이치엠이엔씨(주)</t>
  </si>
  <si>
    <t>에이동 515호</t>
  </si>
  <si>
    <t>서울특별시 송파구 송파대로 55 (장지동)</t>
  </si>
  <si>
    <t>씨엠알아이티  주식회사</t>
  </si>
  <si>
    <t>6층 602호</t>
  </si>
  <si>
    <t>서울특별시 중구 퇴계로37길 14 (충무로4가)</t>
  </si>
  <si>
    <t>승우G&amp;P</t>
  </si>
  <si>
    <t>레크리에이션 교육기관</t>
  </si>
  <si>
    <t>전라남도 목포시 삼일로13번길 21 (남교동)</t>
  </si>
  <si>
    <t>사랑마음 협동조합</t>
  </si>
  <si>
    <t>서울특별시 성동구 광나루로 240-9 (성수동2가)</t>
  </si>
  <si>
    <t>비엘플러스</t>
  </si>
  <si>
    <t>209-14호</t>
  </si>
  <si>
    <t>경기도 고양시 일산동구 호수로 646-24 (장항동)</t>
  </si>
  <si>
    <t>비드웰</t>
  </si>
  <si>
    <t>가전제품 수리업</t>
  </si>
  <si>
    <t>1층 백경산업</t>
  </si>
  <si>
    <t>광주광역시 남구 봉주6길 11 (주월동)</t>
  </si>
  <si>
    <t>백경산업</t>
  </si>
  <si>
    <t>경기도 포천시 소흘읍 화합로 399</t>
  </si>
  <si>
    <t>믿음장식</t>
  </si>
  <si>
    <t>서울특별시 강서구 양천로 510 (등촌동)</t>
  </si>
  <si>
    <t>메이크센스</t>
  </si>
  <si>
    <t>4층 408호*장항동(드림월드빌딩)</t>
  </si>
  <si>
    <t>라이프텍 인스트루먼트</t>
  </si>
  <si>
    <t>붉은 벽돌집</t>
  </si>
  <si>
    <t>부산광역시 금정구 금사로87번길 23 (금사동)</t>
  </si>
  <si>
    <t>라온노리교육 주식회사</t>
  </si>
  <si>
    <t>상명대학교 창업보육센터 2관 M101호</t>
  </si>
  <si>
    <t>충청남도 천안시 동남구 각원사길 69-4 (안서동)</t>
  </si>
  <si>
    <t>드론테크</t>
  </si>
  <si>
    <t>충청남도 아산시 음봉면 월산로201번길 33</t>
  </si>
  <si>
    <t>동양승강기주식회사</t>
  </si>
  <si>
    <t>서울특별시 구로구 신도림로11라길 71-10 (신도림동)</t>
  </si>
  <si>
    <t>대성실업</t>
  </si>
  <si>
    <t>곡물 도정업</t>
  </si>
  <si>
    <t>경기도 파주시 파평면 장마루1길 28</t>
  </si>
  <si>
    <t>농업회사법인 황금이삭(주)</t>
  </si>
  <si>
    <t>상가동 1층 105호</t>
  </si>
  <si>
    <t>대전광역시 중구 선화로22번길 25 (용두동 미르마을아파트)</t>
  </si>
  <si>
    <t>그린가온</t>
  </si>
  <si>
    <t>803-90호</t>
  </si>
  <si>
    <t>경기도 남양주시 다산중앙로145번길 15 (다산동)</t>
  </si>
  <si>
    <t>고앤구(KO &amp; KU)</t>
  </si>
  <si>
    <t>5층 507호</t>
  </si>
  <si>
    <t>강원도 원주시 능라동길 75 (무실동)</t>
  </si>
  <si>
    <t>강원CNS</t>
  </si>
  <si>
    <t>부산광역시 강서구 과학산단1로60번길 30 (지사동)</t>
  </si>
  <si>
    <t>(주)해동테크</t>
  </si>
  <si>
    <t>3층 301호(장전동 제이씨빌딩)</t>
  </si>
  <si>
    <t>부산광역시 금정구 금강로 379</t>
  </si>
  <si>
    <t>(주)퍼씨엠</t>
  </si>
  <si>
    <t>경기도 시흥시 호현로49번안길 1 (대야동)</t>
  </si>
  <si>
    <t>(주)퍼스트텍</t>
  </si>
  <si>
    <t>서울특별시 강남구 테헤란로43길 30 (역삼동)</t>
  </si>
  <si>
    <t>(주)케이알</t>
  </si>
  <si>
    <t>611호</t>
  </si>
  <si>
    <t>세종특별자치시 소담로 93 (소담동)</t>
  </si>
  <si>
    <t>(주)제이엔씨소프트</t>
  </si>
  <si>
    <t>(주)제온기술</t>
  </si>
  <si>
    <t>255호(민락동중흥에스클래스트와이스)</t>
  </si>
  <si>
    <t>경기도 의정부시 민락로 195 (민락동)</t>
  </si>
  <si>
    <t>(주)윈도우코리아</t>
  </si>
  <si>
    <t>(주)신한티이씨</t>
  </si>
  <si>
    <t>부산광역시 사하구 괴정로260번길 32 (괴정동)</t>
  </si>
  <si>
    <t>(주)디케이전기</t>
  </si>
  <si>
    <t>2층 1호</t>
  </si>
  <si>
    <t>경기도 평택시 안중읍 안현로 393</t>
  </si>
  <si>
    <t>(주)거명건설</t>
  </si>
  <si>
    <t>소방시설 공사업</t>
  </si>
  <si>
    <t>경상북도 포항시 북구 삼호로 509 (환호동)</t>
  </si>
  <si>
    <t>하나소방(주)</t>
  </si>
  <si>
    <t>충청남도 천안시 서북구 입장면 가좌울1길 55</t>
  </si>
  <si>
    <t>부산광역시 사상구 낙동대로 1544 (삼락동)</t>
  </si>
  <si>
    <t>주식회사태광전력</t>
  </si>
  <si>
    <t>충청북도 음성군 금왕읍 초금로 757-29</t>
  </si>
  <si>
    <t>주식회사 플랜엠</t>
  </si>
  <si>
    <t>경기도 용인시 처인구 이동읍 화산리 200</t>
  </si>
  <si>
    <t>경기도 용인시 처인구 이동읍 화산로 230</t>
  </si>
  <si>
    <t>주식회사 영재컴퍼니</t>
  </si>
  <si>
    <t>충청북도 제천시 내토로 325 (천남동)</t>
  </si>
  <si>
    <t>주식회사 스마트산업</t>
  </si>
  <si>
    <t>대전광역시 유성구 가정북로 96 (장동)</t>
  </si>
  <si>
    <t>주식회사 모소</t>
  </si>
  <si>
    <t>대구광역시 동구 동부로 156 (신천동)</t>
  </si>
  <si>
    <t>주식회사 노루건업</t>
  </si>
  <si>
    <t>울산광역시 중구 성안14길 47 (성안동)</t>
  </si>
  <si>
    <t>신일기술 주식회사</t>
  </si>
  <si>
    <t>사회복지 상담 서비스 제공업</t>
  </si>
  <si>
    <t>울산광역시 남구 삼산로 209 (달동)</t>
  </si>
  <si>
    <t>센소리앤밸런스 감각통합 상담연구소</t>
  </si>
  <si>
    <t>102동304호</t>
  </si>
  <si>
    <t>인천광역시 연수구 아트센터대로 149 (송도동)</t>
  </si>
  <si>
    <t>미래엔테크</t>
  </si>
  <si>
    <t>충청남도 천안시 동남구 성남면 석곡3길 60-13</t>
  </si>
  <si>
    <t>더하나산업 유한회사</t>
  </si>
  <si>
    <t>(주)클린아이디어</t>
  </si>
  <si>
    <t>경기도 고양시 일산동구 성현로135번길 75 (성석동)</t>
  </si>
  <si>
    <t>경기도 고양시 일산서구 중앙로 1456 (주엽동)</t>
  </si>
  <si>
    <t>(주)코퍼스트에너지</t>
  </si>
  <si>
    <t>서문동 178-5 2층</t>
  </si>
  <si>
    <t>충청북도 청주시 상당구 남사로89번길 36-2 (서문동)</t>
  </si>
  <si>
    <t>(주)에스에스글로컬</t>
  </si>
  <si>
    <t>강원도 화천군 상서면 신풍길 21-37</t>
  </si>
  <si>
    <t>화천농기계</t>
  </si>
  <si>
    <t xml:space="preserve"> 101동 1504호</t>
  </si>
  <si>
    <t>서울특별시 마포구 성산로4길 75 (성산동 대원아파트)</t>
  </si>
  <si>
    <t>해와달</t>
  </si>
  <si>
    <t>107동 703호</t>
  </si>
  <si>
    <t>충청남도 천안시 서북구 천안대로 999-7 (두정동 이안더센트럴)</t>
  </si>
  <si>
    <t>함초롬</t>
  </si>
  <si>
    <t>남동공단 134블럭3롯트</t>
  </si>
  <si>
    <t>인천광역시 남동구 능허대로595번길 31 (고잔동)</t>
  </si>
  <si>
    <t>한일엔지니어링공업 주식회사</t>
  </si>
  <si>
    <t>113호(율량동 스톰비오피스센터)</t>
  </si>
  <si>
    <t>한울</t>
  </si>
  <si>
    <t>12층 1202호(메트로디오빌빌딩)</t>
  </si>
  <si>
    <t>서울특별시 마포구 백범로 199 (신공덕동)</t>
  </si>
  <si>
    <t>토브</t>
  </si>
  <si>
    <t>3층 1-2호</t>
  </si>
  <si>
    <t>서울특별시 송파구 오금로 252 (송파동 가락삼익맨숀)</t>
  </si>
  <si>
    <t>태건</t>
  </si>
  <si>
    <t>부산광역시 영도구 절영로49번길 2 (남항동1가)</t>
  </si>
  <si>
    <t>카이상사</t>
  </si>
  <si>
    <t>울산광역시 중구 백양로 186-1 (성안동)</t>
  </si>
  <si>
    <t>주식회사해솔에이피</t>
  </si>
  <si>
    <t>울산광역시 울주군 삼남읍 사촌신복로 430</t>
  </si>
  <si>
    <t>주식회사지안파크</t>
  </si>
  <si>
    <t>3층 4층</t>
  </si>
  <si>
    <t>경기도 김포시 고촌읍 인향로24번길 62</t>
  </si>
  <si>
    <t>주식회사원준이앤씨</t>
  </si>
  <si>
    <t>주식회사서우일렉트</t>
  </si>
  <si>
    <t>경기도 안산시 단원구 엠티브이21로 20 (성곡동)</t>
  </si>
  <si>
    <t>경기도 안산시 단원구 신촌6길 5-1 (초지동)</t>
  </si>
  <si>
    <t>주식회사동아전기</t>
  </si>
  <si>
    <t>생활지원로봇센터 306호</t>
  </si>
  <si>
    <t>주식회사넷온</t>
  </si>
  <si>
    <t>대전광역시 유성구 유성대로1184번길 11-9 (신성동)</t>
  </si>
  <si>
    <t>주식회사 포디믹스</t>
  </si>
  <si>
    <t>비동 비258호(동산동 삼송테크노밸리)</t>
  </si>
  <si>
    <t>경기도 고양시 덕양구 통일로 140 (동산동)</t>
  </si>
  <si>
    <t>주식회사 투씨팩토리</t>
  </si>
  <si>
    <t>전라남도 순천시 서면 지본금평길 24-10</t>
  </si>
  <si>
    <t>주식회사 창언정보</t>
  </si>
  <si>
    <t>제주특별자치도 제주시 첨단로 175 (영평동)</t>
  </si>
  <si>
    <t>주식회사 영길이</t>
  </si>
  <si>
    <t>2층(무실동)</t>
  </si>
  <si>
    <t>강원도 원주시 복거리길 60-23 (무실동)</t>
  </si>
  <si>
    <t>주식회사 에프엔방재기술</t>
  </si>
  <si>
    <t>705호</t>
  </si>
  <si>
    <t>서울특별시 성동구 아차산로7나길 18 (성수동2가)</t>
  </si>
  <si>
    <t>주식회사 에코비젼21</t>
  </si>
  <si>
    <t>205호(한국기술교육대학교 캠퍼스컴퍼니)</t>
  </si>
  <si>
    <t>주식회사 에너웨이</t>
  </si>
  <si>
    <t>대전광역시 유성구 유성대로 773 (장대동)</t>
  </si>
  <si>
    <t>주식회사 아레스</t>
  </si>
  <si>
    <t>강원도 원주시 천사로 263 (학성동)</t>
  </si>
  <si>
    <t>주식회사 센스빌플러스</t>
  </si>
  <si>
    <t>제주특별자치도 서귀포시 안덕면 향교로 218</t>
  </si>
  <si>
    <t>주식회사 서원산업</t>
  </si>
  <si>
    <t>세종특별자치시 나성로 133-9 (나성동)</t>
  </si>
  <si>
    <t>주식회사 맵마인드</t>
  </si>
  <si>
    <t>경기도 광주시 오포읍 수렁개길 25</t>
  </si>
  <si>
    <t>주식회사 덕촌</t>
  </si>
  <si>
    <t>청주테크노 S타워 315호</t>
  </si>
  <si>
    <t>충청북도 청주시 흥덕구 직지대로 530 (송정동)</t>
  </si>
  <si>
    <t>주식회사 더클탑</t>
  </si>
  <si>
    <t>경기도 구리시 장자대로1번길 38-9 (교문동)</t>
  </si>
  <si>
    <t>주식회사 대도이엔지</t>
  </si>
  <si>
    <t>다원테크</t>
  </si>
  <si>
    <t>경기도 파주시 광탄면 장지산로 232-22</t>
  </si>
  <si>
    <t>주식회사 다원테크</t>
  </si>
  <si>
    <t>14-114</t>
  </si>
  <si>
    <t>서울특별시 중구 한강대로 416 (남대문로5가)</t>
  </si>
  <si>
    <t>주식회사 너스커넥트</t>
  </si>
  <si>
    <t>7층 2호</t>
  </si>
  <si>
    <t>서울특별시 노원구 월계로45길 28 (월계동)</t>
  </si>
  <si>
    <t>주식회사 금강라이팅</t>
  </si>
  <si>
    <t>제주특별자치도 제주시 애월읍 용흥2길 20</t>
  </si>
  <si>
    <t>제주인</t>
  </si>
  <si>
    <t>205동 1201호</t>
  </si>
  <si>
    <t>충청북도 청주시 청원구 율봉로 8 (사천동 남광 하우스토리 B단지)</t>
  </si>
  <si>
    <t>제이케이컴퍼니</t>
  </si>
  <si>
    <t xml:space="preserve"> 109동 402호</t>
  </si>
  <si>
    <t>서울특별시 동대문구 한천로58길 47 (이문동 쌍용아파트)</t>
  </si>
  <si>
    <t>이문컴퍼니</t>
  </si>
  <si>
    <t>경기도 화성시 남여울1길 21-8 (능동)</t>
  </si>
  <si>
    <t>율정보기술</t>
  </si>
  <si>
    <t>232호(미사강변도시씨3단지)</t>
  </si>
  <si>
    <t>경기도 하남시 미사강변한강로 290-3 (망월동)</t>
  </si>
  <si>
    <t>위드제이(WITH J)</t>
  </si>
  <si>
    <t>서울특별시 광진구 천호대로 536 (군자동)</t>
  </si>
  <si>
    <t>옐로</t>
  </si>
  <si>
    <t>경기도 고양시 일산동구 성석로 160-6 (성석동)</t>
  </si>
  <si>
    <t>여람디자인 주식회사</t>
  </si>
  <si>
    <t>시계 및 귀금속 제품 도매업</t>
  </si>
  <si>
    <t>2F</t>
  </si>
  <si>
    <t>서울특별시 마포구 환일길 25-4 (아현동)</t>
  </si>
  <si>
    <t>엔에이치코리아</t>
  </si>
  <si>
    <t>에이스광명타워 1114호</t>
  </si>
  <si>
    <t>경기도 광명시 하안로 108 (소하동)</t>
  </si>
  <si>
    <t>에이원(주)</t>
  </si>
  <si>
    <t>에이비주식회사</t>
  </si>
  <si>
    <t>경기도 의정부시 승지로4번길 10 (민락동)</t>
  </si>
  <si>
    <t>에스건설주식회사</t>
  </si>
  <si>
    <t xml:space="preserve"> 101동 1층 102호</t>
  </si>
  <si>
    <t>서울특별시 강서구 양천로62길 46 (등촌동 대림아르빌아파트)</t>
  </si>
  <si>
    <t>에그트리(EggTree)</t>
  </si>
  <si>
    <t>(관양동 신송프라자) 308호</t>
  </si>
  <si>
    <t>경기도 안양시 동안구 관악대로359번길 10-18</t>
  </si>
  <si>
    <t>알파링크건물위생관리 주식회사</t>
  </si>
  <si>
    <t>인천광역시 옹진군 영흥면 영흥남로321번길 32</t>
  </si>
  <si>
    <t>아토상사</t>
  </si>
  <si>
    <t>서울특별시 마포구 월드컵로15길 84-4 (망원동)</t>
  </si>
  <si>
    <t>아즈위</t>
  </si>
  <si>
    <t>한국전력벤처기업육성센터 102호</t>
  </si>
  <si>
    <t>스카이에스티 주식회사</t>
  </si>
  <si>
    <t>전라남도 담양군 담양읍 에코산단3로 70</t>
  </si>
  <si>
    <t>선우건설화학(주)</t>
  </si>
  <si>
    <t>경기도 수원시 권선구 산업로156번길 201 (고색동)</t>
  </si>
  <si>
    <t>사단법인 동반성장산업협회</t>
  </si>
  <si>
    <t>대구광역시 수성구 노변공원로3길 8 (시지동)</t>
  </si>
  <si>
    <t>사과나무인테리어</t>
  </si>
  <si>
    <t>볼팅마스타(주)</t>
  </si>
  <si>
    <t>전라남도 순천시 해룡면 마산고개길 11</t>
  </si>
  <si>
    <t>볼팅마스타 주식회사</t>
  </si>
  <si>
    <t>충청남도 천안시 서북구 충무로 167 (쌍용동)</t>
  </si>
  <si>
    <t>미드미즈컴퍼니 주식회사</t>
  </si>
  <si>
    <t>201동 1703호</t>
  </si>
  <si>
    <t>경기도 의정부시 신곡로 35 (신곡동 동신아파트)</t>
  </si>
  <si>
    <t>루아리</t>
  </si>
  <si>
    <t>111-2101</t>
  </si>
  <si>
    <t>부산광역시 강서구 과학산단로306번길 10 (지사동 협성 · DS 엘리시안)</t>
  </si>
  <si>
    <t>랑주다</t>
  </si>
  <si>
    <t>다동</t>
  </si>
  <si>
    <t>경상북도 김천시 아포읍 대신길 490</t>
  </si>
  <si>
    <t>디엔에이치코리아주식회사</t>
  </si>
  <si>
    <t>산업용 섬유 세척 염색 정리 및 가공 기계 제조업</t>
  </si>
  <si>
    <t>경기도 광주시 초월읍 경수길100번길 25-1</t>
  </si>
  <si>
    <t>동양기계</t>
  </si>
  <si>
    <t>7405동 804호</t>
  </si>
  <si>
    <t>경기도 남양주시 다산지금로146번길 67 (다산동 반도유보라메이플타운2.0)</t>
  </si>
  <si>
    <t>도담</t>
  </si>
  <si>
    <t>경상북도 안동시 와룡면 미두골길 53-5</t>
  </si>
  <si>
    <t>더컬쳐넷</t>
  </si>
  <si>
    <t>경기도 양주시 은현면 운하로434번길 55</t>
  </si>
  <si>
    <t>다인코리아주식회사</t>
  </si>
  <si>
    <t>강원도 정선군 남면 무릉1로 54-16</t>
  </si>
  <si>
    <t>농업회사법인 주식회사 담다</t>
  </si>
  <si>
    <t>313동 401호</t>
  </si>
  <si>
    <t>서울특별시 도봉구 해등로 50 (창동 주공3단지아파트)</t>
  </si>
  <si>
    <t>그린나래</t>
  </si>
  <si>
    <t>제주특별자치도 제주시 용문로 121 (용담이동)</t>
  </si>
  <si>
    <t>(주)한양안전</t>
  </si>
  <si>
    <t>504호 (등촌동 강서아이티밸리)</t>
  </si>
  <si>
    <t>서울특별시 강서구 화곡로68길 82 (등촌동)</t>
  </si>
  <si>
    <t>(주)테크소프트</t>
  </si>
  <si>
    <t>(주)태화엘이디</t>
  </si>
  <si>
    <t>경상북도 포항시 남구 연일읍 철강로107번길 75-5</t>
  </si>
  <si>
    <t>충청남도 부여군 규암면 수북로 65</t>
  </si>
  <si>
    <t>(주)청림이엔지</t>
  </si>
  <si>
    <t>기타 게임 소프트웨어 개발 및 공급업</t>
  </si>
  <si>
    <t>코오롱 싸이언스밸리2차 609호</t>
  </si>
  <si>
    <t>서울특별시 구로구 디지털로34길 55 (구로동)</t>
  </si>
  <si>
    <t>(주)조이펀</t>
  </si>
  <si>
    <t>더퍼스트 타워3차B103</t>
  </si>
  <si>
    <t>경기도 화성시 동탄기흥로 602 (영천동)</t>
  </si>
  <si>
    <t>(주)제이씨엠코리아</t>
  </si>
  <si>
    <t>서울특별시 중랑구 동일로 689 (면목동)</t>
  </si>
  <si>
    <t>(주)예본아이디</t>
  </si>
  <si>
    <t>에이치비지니스파크 B동908호</t>
  </si>
  <si>
    <t>(주)에이오에이건축사사무소</t>
  </si>
  <si>
    <t>경비 및 경호 서비스업</t>
  </si>
  <si>
    <t>경상남도 김해시 김해대로 2533 (어방동)</t>
  </si>
  <si>
    <t>(주)에스시스템</t>
  </si>
  <si>
    <t>사무동 1층</t>
  </si>
  <si>
    <t>경기도 포천시 군내면 용정경제로1길 94-23</t>
  </si>
  <si>
    <t>(주)애플항공조명</t>
  </si>
  <si>
    <t>1층 (주)비앤씨오피씨</t>
  </si>
  <si>
    <t>서울특별시 강서구 공항대로36가길 56-7 (내발산동)</t>
  </si>
  <si>
    <t>(주)비앤씨오피씨</t>
  </si>
  <si>
    <t>4층409호</t>
  </si>
  <si>
    <t>(주)메타</t>
  </si>
  <si>
    <t>기업성장센터 나동 424호</t>
  </si>
  <si>
    <t>(주)넥스웨이</t>
  </si>
  <si>
    <t>대전광역시 대덕구 한밭대로994번길 53-21 (오정동)</t>
  </si>
  <si>
    <t>(주)굿하루</t>
  </si>
  <si>
    <t>105/2904</t>
  </si>
  <si>
    <t>경기도 시흥시 배곧1로 27-15 (정왕동 한라비발디캠퍼스)</t>
  </si>
  <si>
    <t>해솔</t>
  </si>
  <si>
    <t>선철 주물 주조업</t>
  </si>
  <si>
    <t>경상북도 경산시 압량읍 압량길 45</t>
  </si>
  <si>
    <t>주식회사효재금속</t>
  </si>
  <si>
    <t>주식회사 현강</t>
  </si>
  <si>
    <t>전라남도 여수시 율촌면 모래목길 86</t>
  </si>
  <si>
    <t>주식회사현강</t>
  </si>
  <si>
    <t>상가동 110호</t>
  </si>
  <si>
    <t>경기도 평택시 평남로 281 (통복동 삼성아파트)</t>
  </si>
  <si>
    <t>주식회사 한솔나무종합병원</t>
  </si>
  <si>
    <t>기타 건물 관련설비 설치 공사업</t>
  </si>
  <si>
    <t>경기도 안양시 동안구 관평로 227 (관양동)</t>
  </si>
  <si>
    <t>주식회사 한가람이엔지</t>
  </si>
  <si>
    <t>310호</t>
  </si>
  <si>
    <t>주식회사 파워인스</t>
  </si>
  <si>
    <t>52블럭 4로트 1층</t>
  </si>
  <si>
    <t>인천광역시 남동구 은봉로114번길 27 (논현동)</t>
  </si>
  <si>
    <t>주식회사 티에스이글로벌</t>
  </si>
  <si>
    <t>서울핀테크랩 45681719층</t>
  </si>
  <si>
    <t>주식회사 이앤에프어드바이저</t>
  </si>
  <si>
    <t>유원티이씨</t>
  </si>
  <si>
    <t>대구광역시 달성군 논공읍 논공중앙로 416-2</t>
  </si>
  <si>
    <t>주식회사 유원티이씨</t>
  </si>
  <si>
    <t>경기도 화성시 기산로 64 (기산동)</t>
  </si>
  <si>
    <t>주식회사 에코앤휴먼</t>
  </si>
  <si>
    <t>그 외 기타 창작 및 예술관련 서비스업</t>
  </si>
  <si>
    <t>전라북도 군산시 대학로 109 (금광동)</t>
  </si>
  <si>
    <t>주식회사 사공시</t>
  </si>
  <si>
    <t>인천광역시 중구 축항대로296번길 60-35 (신흥동3가)</t>
  </si>
  <si>
    <t>주식회사 디앤알라이팅</t>
  </si>
  <si>
    <t>포유 101호</t>
  </si>
  <si>
    <t>대전광역시 유성구 동서대로179번길 28-29 (덕명동)</t>
  </si>
  <si>
    <t>주식회사 그린드림</t>
  </si>
  <si>
    <t>제이에이치테크</t>
  </si>
  <si>
    <t>경기도 의정부시 경의로 34 (의정부동)</t>
  </si>
  <si>
    <t>제이비시스템</t>
  </si>
  <si>
    <t>3층 반딧불컴퍼니</t>
  </si>
  <si>
    <t>유한책임회사 반딧불컴퍼니</t>
  </si>
  <si>
    <t>경상남도 창원시 마산회원구 3·15대로 509 (회원동)</t>
  </si>
  <si>
    <t>유림조경주식회사</t>
  </si>
  <si>
    <t>170-7</t>
  </si>
  <si>
    <t>충청남도 논산시 벌곡면 수락로 15</t>
  </si>
  <si>
    <t>솔루션아트엔젤CJ</t>
  </si>
  <si>
    <t>경상남도 사천시 정동면 복상2길 97-5</t>
  </si>
  <si>
    <t>세하건설(주)</t>
  </si>
  <si>
    <t>101동 1302호</t>
  </si>
  <si>
    <t>서울특별시 성동구 왕십리로 36 (성수동1가 강변 건영아파트)</t>
  </si>
  <si>
    <t>생활방식연구소</t>
  </si>
  <si>
    <t>124호</t>
  </si>
  <si>
    <t>사단법인 한국사회적일자리협회</t>
  </si>
  <si>
    <t>1502호(한신아파트 2차)</t>
  </si>
  <si>
    <t>경기도 남양주시 진건읍 진건오남로86번길 11 (한신그린아파트)</t>
  </si>
  <si>
    <t>베스트이에스(ES)</t>
  </si>
  <si>
    <t>원동 185-24</t>
  </si>
  <si>
    <t>전라북도 전주시 덕진구 원동로 233 (원동)</t>
  </si>
  <si>
    <t>백설공방</t>
  </si>
  <si>
    <t>경기도 안산시 단원구 광덕4로 36 (초지동)</t>
  </si>
  <si>
    <t>미르전기조명</t>
  </si>
  <si>
    <t>경상북도 영천시 대창면 금창로 1133-22</t>
  </si>
  <si>
    <t>무결eng</t>
  </si>
  <si>
    <t>진생빌딩 403-2호</t>
  </si>
  <si>
    <t>전라북도 전주시 완산구 홍산중앙로 14 (효자동3가)</t>
  </si>
  <si>
    <t>두마리토끼</t>
  </si>
  <si>
    <t>부산광역시 북구 산성로48번길 7 (화명동)</t>
  </si>
  <si>
    <t>돈호논슬립</t>
  </si>
  <si>
    <t>충청남도 아산시 둔포면 아산밸리로 96</t>
  </si>
  <si>
    <t>도화</t>
  </si>
  <si>
    <t>서울특별시 마포구 마포대로 78 (도화동)</t>
  </si>
  <si>
    <t>논스랩 주식회사</t>
  </si>
  <si>
    <t>단추 및 유사 파스너 제조업</t>
  </si>
  <si>
    <t>고도</t>
  </si>
  <si>
    <t>전라남도 나주시 왕곡면 혁신산단7길 30</t>
  </si>
  <si>
    <t>가람전기 주식회사</t>
  </si>
  <si>
    <t>(주)플러스인씨앤씨</t>
  </si>
  <si>
    <t>테크동 812호 (SK테크노파크)</t>
  </si>
  <si>
    <t>(주)태강쓰리디</t>
  </si>
  <si>
    <t>607-1</t>
  </si>
  <si>
    <t>경기도 고양시 일산동구 장백로 194 (장항동)</t>
  </si>
  <si>
    <t>(주)케이엠아이</t>
  </si>
  <si>
    <t>비 1호</t>
  </si>
  <si>
    <t>경기도 성남시 분당구 운중로267번길 14-6 (판교동)</t>
  </si>
  <si>
    <t>(주)이플랜</t>
  </si>
  <si>
    <t>4101호</t>
  </si>
  <si>
    <t>(주)유림인포텍</t>
  </si>
  <si>
    <t>(주)위즈바이오솔루션</t>
  </si>
  <si>
    <t>으뜸빌딩 3층</t>
  </si>
  <si>
    <t>서울특별시 송파구 위례성대로12길 4 (방이동)</t>
  </si>
  <si>
    <t>(주)삼송이엔지</t>
  </si>
  <si>
    <t>경기도 파주시 월롱면 황소바위길 342-40</t>
  </si>
  <si>
    <t>(주)미락</t>
  </si>
  <si>
    <t>한국전자기술연구원 창업보육센타 406호</t>
  </si>
  <si>
    <t>(주)리츠</t>
  </si>
  <si>
    <t>대전광역시 유성구 지족로 355 (지족동)</t>
  </si>
  <si>
    <t>(주)드림전기</t>
  </si>
  <si>
    <t>경상남도 사천시 사천읍 사천읍성로 39-1</t>
  </si>
  <si>
    <t>(주)다영건설</t>
  </si>
  <si>
    <t>경상남도 김해시 활천로16번길 10 (삼정동)</t>
  </si>
  <si>
    <t>해솔지역개발연구센터</t>
  </si>
  <si>
    <t>부산광역시 부산진구 동성로96번길 15 (전포동)</t>
  </si>
  <si>
    <t>해성I&amp;C</t>
  </si>
  <si>
    <t>울산광역시 동구 바드래1길 30 (전하동)</t>
  </si>
  <si>
    <t>주식회사프록시헬스케어</t>
  </si>
  <si>
    <t>경기도 파주시 광탄면 보광로 717</t>
  </si>
  <si>
    <t>주식회사청명창호금속</t>
  </si>
  <si>
    <t>더블럭 B동 109호</t>
  </si>
  <si>
    <t>대구광역시 동구 안심로 389-3 (신서동)</t>
  </si>
  <si>
    <t>주식회사지니텍</t>
  </si>
  <si>
    <t>충청북도 청주시 청원구 북이면 용계내추로 242</t>
  </si>
  <si>
    <t>주식회사에이디산업</t>
  </si>
  <si>
    <t>108동 204호</t>
  </si>
  <si>
    <t>주식회사 헤디</t>
  </si>
  <si>
    <t>주식회사 하이종합물산</t>
  </si>
  <si>
    <t>경상남도 고성군 하이면 덕호7길 80</t>
  </si>
  <si>
    <t>17층</t>
  </si>
  <si>
    <t>서울특별시 중구 통일로 10 (남대문로5가)</t>
  </si>
  <si>
    <t>주식회사 폴소프트</t>
  </si>
  <si>
    <t>(대지로 되어 있어서 주변 집으로 했습니다)눌노리 151-1</t>
  </si>
  <si>
    <t>경기도 파주시 파평면 청송로414번길 7-34</t>
  </si>
  <si>
    <t>주식회사 파주분체</t>
  </si>
  <si>
    <t>가동 103호</t>
  </si>
  <si>
    <t>경기도 남양주시 진접읍 팔야로111번길 9</t>
  </si>
  <si>
    <t>주식회사 창조디벨로먼트</t>
  </si>
  <si>
    <t>경상북도 김천시 모암제방1길 64-8 (모암동)</t>
  </si>
  <si>
    <t>주식회사 율하전력</t>
  </si>
  <si>
    <t>114동 상가 203호</t>
  </si>
  <si>
    <t>대전광역시 중구 목동로22번길 16 (목동 목동더샵)</t>
  </si>
  <si>
    <t>주식회사 윈윈</t>
  </si>
  <si>
    <t>313호(작전동 덕영빌딩)</t>
  </si>
  <si>
    <t>인천광역시 계양구 계양대로 82 (작전동)</t>
  </si>
  <si>
    <t>주식회사 올바른소방</t>
  </si>
  <si>
    <t>라이터 연소물 및 흡연용품 제조업</t>
  </si>
  <si>
    <t>485-4</t>
  </si>
  <si>
    <t>경기도 파주시 상지석안길 71 (상지석동)</t>
  </si>
  <si>
    <t>주식회사 에이치엘</t>
  </si>
  <si>
    <t>경일대 R&amp;DB센터 115호</t>
  </si>
  <si>
    <t>경상북도 경산시 하양읍 가마실길 50</t>
  </si>
  <si>
    <t>주식회사 아바이노베이션</t>
  </si>
  <si>
    <t>경기도 부천시 중동로420번길 6 (삼정동)</t>
  </si>
  <si>
    <t>주식회사 소방119</t>
  </si>
  <si>
    <t>202-씨호</t>
  </si>
  <si>
    <t>전라북도 전주시 덕진구 안전로 152 (중동)</t>
  </si>
  <si>
    <t>주식회사 셀레브레인</t>
  </si>
  <si>
    <t>경상북도 경산시 원효로 9 (중방동)</t>
  </si>
  <si>
    <t>주식회사 민디자인팩토리</t>
  </si>
  <si>
    <t>경기도 광명시 장절로 28 (노온사동)</t>
  </si>
  <si>
    <t>주식회사 마루</t>
  </si>
  <si>
    <t>10동</t>
  </si>
  <si>
    <t>부산광역시 강서구 유통단지1로132번길 28 (대저2동)</t>
  </si>
  <si>
    <t>주식회사 더마마파파</t>
  </si>
  <si>
    <t>인텔리움센텀 408호</t>
  </si>
  <si>
    <t>부산광역시 해운대구 센텀6로 21 (우동)</t>
  </si>
  <si>
    <t>주식회사 대광라이팅</t>
  </si>
  <si>
    <t>경기도 화성시 양감면 정문송산로 146-1</t>
  </si>
  <si>
    <t>주식회사 경신기업</t>
  </si>
  <si>
    <t>경기도 가평군 가평읍 문화로 218-23</t>
  </si>
  <si>
    <t>주식회사 경기종합통신</t>
  </si>
  <si>
    <t>충청남도 논산시 부적면 예학로 152-8</t>
  </si>
  <si>
    <t>주식회사 가온해</t>
  </si>
  <si>
    <t>339호</t>
  </si>
  <si>
    <t>정한인프라 주식회사</t>
  </si>
  <si>
    <t>10층 1015호(금정역에스케이브이1센터)</t>
  </si>
  <si>
    <t>경기도 안양시 동안구 엘에스로 142 (호계동)</t>
  </si>
  <si>
    <t>이은이앤씨주식회사</t>
  </si>
  <si>
    <t>부산광역시 강서구 호계로145번길 2 (죽동동)</t>
  </si>
  <si>
    <t>이디씨라이프(주)</t>
  </si>
  <si>
    <t>107-3003</t>
  </si>
  <si>
    <t>인천광역시 연수구 송도문화로84번길 84 (송도동 베르디움 더퍼스트)</t>
  </si>
  <si>
    <t>유앤미비즈</t>
  </si>
  <si>
    <t>부산광역시 강서구 과학산단로333번길 77-36 (지사동)</t>
  </si>
  <si>
    <t>울트라밸브주식회사</t>
  </si>
  <si>
    <t>칠성빌딩</t>
  </si>
  <si>
    <t>서울특별시 중랑구 면목로 387 (면목동)</t>
  </si>
  <si>
    <t>에이치필</t>
  </si>
  <si>
    <t>서울특별시 마포구 동교로 94 (서교동)</t>
  </si>
  <si>
    <t>에이치에스이 주식회사</t>
  </si>
  <si>
    <t>서울특별시 중구 청구로 98 (신당동)</t>
  </si>
  <si>
    <t>싼투어닷컴</t>
  </si>
  <si>
    <t>부산광역시 동구 성남이로60번길 30 (범일동)</t>
  </si>
  <si>
    <t>시침한땀</t>
  </si>
  <si>
    <t>((주)세림하이텍</t>
  </si>
  <si>
    <t>충청북도 진천군 문백면 문진로 292-22</t>
  </si>
  <si>
    <t>세림테크</t>
  </si>
  <si>
    <t>2층 서울미담치과</t>
  </si>
  <si>
    <t>서울특별시 도봉구 방학로 183 (방학동)</t>
  </si>
  <si>
    <t>서울미담치과</t>
  </si>
  <si>
    <t>광주광역시 광산구 소촌로 97 (소촌동)</t>
  </si>
  <si>
    <t>사)중증장애인복지협회</t>
  </si>
  <si>
    <t>이노비즈파크동 310호</t>
  </si>
  <si>
    <t>로빈ICT</t>
  </si>
  <si>
    <t>경상남도 양산시 대운로 101 (명동)</t>
  </si>
  <si>
    <t>라온애드컴</t>
  </si>
  <si>
    <t>306동1516호</t>
  </si>
  <si>
    <t>전라남도 화순군 화순읍 광덕로 180 (화순 부영아파트)</t>
  </si>
  <si>
    <t>202호 동서시스템</t>
  </si>
  <si>
    <t>경기도 안산시 단원구 정왕천동로70번길 32 (성곡동)</t>
  </si>
  <si>
    <t>동서시스템</t>
  </si>
  <si>
    <t>제주특별자치도 제주시 조천읍 와산서2길 28</t>
  </si>
  <si>
    <t>도원조경주식회사</t>
  </si>
  <si>
    <t>울산광역시 북구 무룡로 163-2 (연암동)</t>
  </si>
  <si>
    <t>걸산글로벌</t>
  </si>
  <si>
    <t>경기도 성남시 분당구 성남대로 30 (구미동)</t>
  </si>
  <si>
    <t>가나다컴퍼니</t>
  </si>
  <si>
    <t>충청북도 청주시 청원구 외남로15번길 71 (외남동)</t>
  </si>
  <si>
    <t>(주)한강전기</t>
  </si>
  <si>
    <t>한국기술교육대학교 창업보육센터 306호</t>
  </si>
  <si>
    <t>(주)플라워</t>
  </si>
  <si>
    <t>1021호</t>
  </si>
  <si>
    <t>경기도 고양시 일산동구 호수로 358-25 (백석동)</t>
  </si>
  <si>
    <t>(주)펜타유니버스</t>
  </si>
  <si>
    <t>부산광역시 사상구 사상로469번길 48 (모라동)</t>
  </si>
  <si>
    <t>(주)테라산전</t>
  </si>
  <si>
    <t>(주)큐디</t>
  </si>
  <si>
    <t>세종특별자치시 연동면 내판로 127-29</t>
  </si>
  <si>
    <t>전라남도 여수시 시청서4길 48-1 (학동)</t>
  </si>
  <si>
    <t>(주)엘엠씨</t>
  </si>
  <si>
    <t>대구광역시 달성군 구지면 달성2차동3로 17</t>
  </si>
  <si>
    <t>(주)엔에스로보텍</t>
  </si>
  <si>
    <t>306호(항동)</t>
  </si>
  <si>
    <t>서울특별시 구로구 연동로 312 (항동)</t>
  </si>
  <si>
    <t>(주)에이아이포블록체인</t>
  </si>
  <si>
    <t>경기도 의왕시 왕림길 45 (왕곡동)</t>
  </si>
  <si>
    <t>(주)랜드파크</t>
  </si>
  <si>
    <t>전라남도 담양군 담양읍 내다길 5-48</t>
  </si>
  <si>
    <t>(주)데크</t>
  </si>
  <si>
    <t>경상북도 포항시 북구 청하면 사방공원길 449-1</t>
  </si>
  <si>
    <t>경상북도 울진군 울진읍 울진중앙로 123-2</t>
  </si>
  <si>
    <t>하나공조</t>
  </si>
  <si>
    <t>1002호</t>
  </si>
  <si>
    <t>인천광역시 부평구 길주로 639 (삼산동)</t>
  </si>
  <si>
    <t>코리아소프트(주)</t>
  </si>
  <si>
    <t>108동 104호</t>
  </si>
  <si>
    <t>경기도 고양시 일산동구 숲속마을1로 29-15 (풍동 숲속마을1단지아파트)</t>
  </si>
  <si>
    <t>케이지(KG)컴퍼니</t>
  </si>
  <si>
    <t>서울특별시 중구 창경궁로 67 (주교동)</t>
  </si>
  <si>
    <t>지유(GU) 조명</t>
  </si>
  <si>
    <t>401동210호</t>
  </si>
  <si>
    <t>경기도 수원시 권선구 권선로 308-18 (고색동)</t>
  </si>
  <si>
    <t>지엠테크</t>
  </si>
  <si>
    <t>인천광역시 옹진군 영흥면 영흥로 482-6</t>
  </si>
  <si>
    <t>주식회사영흥주민공영</t>
  </si>
  <si>
    <t>대전광역시 동구 안골로28번길 15-25 (구도동)</t>
  </si>
  <si>
    <t>주식회사 케이앤케이</t>
  </si>
  <si>
    <t>충청남도 보령시 웅천읍 상평길 135</t>
  </si>
  <si>
    <t>주식회사 충보산업</t>
  </si>
  <si>
    <t>제이텍빌딩</t>
  </si>
  <si>
    <t>서울특별시 송파구 백제고분로 413 (송파동)</t>
  </si>
  <si>
    <t>주식회사 제이텍건설안전</t>
  </si>
  <si>
    <t>2층 플레이스일로와</t>
  </si>
  <si>
    <t>제주특별자치도 제주시 중앙로14길 6 (이도일동)</t>
  </si>
  <si>
    <t>주식회사 일로와</t>
  </si>
  <si>
    <t>(주)이현정보통신</t>
  </si>
  <si>
    <t>경상북도 포항시 북구 장량로17번길 31-9 (장성동)</t>
  </si>
  <si>
    <t>주식회사 이현정보통신</t>
  </si>
  <si>
    <t>웨스턴타워6차 612호</t>
  </si>
  <si>
    <t>주식회사 유원</t>
  </si>
  <si>
    <t>1535호</t>
  </si>
  <si>
    <t>경기도 성남시 분당구 장미로 78 (야탑동)</t>
  </si>
  <si>
    <t>주식회사 우해랑</t>
  </si>
  <si>
    <t>5층 (방배동 동북빌딩)</t>
  </si>
  <si>
    <t>서울특별시 서초구 방배중앙로 7 (방배동)</t>
  </si>
  <si>
    <t>주식회사 엔퀘스트</t>
  </si>
  <si>
    <t>창조관 22212222호</t>
  </si>
  <si>
    <t>주식회사 에이치비씨</t>
  </si>
  <si>
    <t>B-519</t>
  </si>
  <si>
    <t>세종특별자치시 가름로 232 (어진동)</t>
  </si>
  <si>
    <t>주식회사 아트월드</t>
  </si>
  <si>
    <t>504호</t>
  </si>
  <si>
    <t>주식회사 아이엠쓰리디</t>
  </si>
  <si>
    <t>충청남도 예산군 예산읍 대학로6번길 30</t>
  </si>
  <si>
    <t>주식회사 상림이씨엠</t>
  </si>
  <si>
    <t>광주광역시 서구 불암길 149-6 (매월동)</t>
  </si>
  <si>
    <t>전일산업건설(주)</t>
  </si>
  <si>
    <t>846호 오렌지존(덕풍동 아이테코)</t>
  </si>
  <si>
    <t>경기도 하남시 조정대로 150 (덕풍동)</t>
  </si>
  <si>
    <t>이지그룹 주식회사</t>
  </si>
  <si>
    <t>전라북도 김제시 순동산단길 178 (순동)</t>
  </si>
  <si>
    <t>유한회사메이저스마트건설</t>
  </si>
  <si>
    <t>1동 505호</t>
  </si>
  <si>
    <t>충청남도 보령시 천변남길 40-5 (궁촌동 트윈스1)</t>
  </si>
  <si>
    <t>위너이엔지</t>
  </si>
  <si>
    <t>지하3층303호(에이스 한솔타워 지식산업센터)</t>
  </si>
  <si>
    <t>원하이테크</t>
  </si>
  <si>
    <t>B1층4층</t>
  </si>
  <si>
    <t>서울특별시 강서구 초록마을로 10-1 (화곡동)</t>
  </si>
  <si>
    <t>엠씨아이컴퍼니(주)</t>
  </si>
  <si>
    <t>경기도 포천시 신북면 장자경제로 104</t>
  </si>
  <si>
    <t>수성직물</t>
  </si>
  <si>
    <t>인천광역시 서구 중봉대로240번길 18-5 (석남동)</t>
  </si>
  <si>
    <t>수빈조명 주식회사</t>
  </si>
  <si>
    <t>경기도 포천시 신북면 호국로 2129-1</t>
  </si>
  <si>
    <t>삼창씨엠디건설 주식회사</t>
  </si>
  <si>
    <t>경상남도 창원시 성산구 중앙대로 49 (중앙동)</t>
  </si>
  <si>
    <t>삼명그린테크</t>
  </si>
  <si>
    <t>서울특별시 성동구 용답27길 17 (용답동)</t>
  </si>
  <si>
    <t>비하인디자인(VEHINDESIGN)</t>
  </si>
  <si>
    <t>삼양빌딩 602호</t>
  </si>
  <si>
    <t>부산광역시 부산진구 중앙대로 590 (범천동)</t>
  </si>
  <si>
    <t>벨컴(vvelcome)</t>
  </si>
  <si>
    <t>305호 에이207(가락동 삼석빌딩)</t>
  </si>
  <si>
    <t>모닝위드 주식회사</t>
  </si>
  <si>
    <t xml:space="preserve"> 302동 201호</t>
  </si>
  <si>
    <t>경기도 남양주시 오남읍 진건오남로615번길 17</t>
  </si>
  <si>
    <t>다은컴퍼니</t>
  </si>
  <si>
    <t>경상북도 울진군 북면 울진북로 1693-10</t>
  </si>
  <si>
    <t>다원엔텍</t>
  </si>
  <si>
    <t>대구광역시 북구 검단로 8-11 (복현동 리더스타운)</t>
  </si>
  <si>
    <t>고고써치</t>
  </si>
  <si>
    <t>제주특별자치도 제주시 동광로 89 (일도이동)</t>
  </si>
  <si>
    <t>(주)타우</t>
  </si>
  <si>
    <t>(주)이앤아이컴즈</t>
  </si>
  <si>
    <t>917918호</t>
  </si>
  <si>
    <t>경상남도 창원시 의창구 창원대로18번길 46 (팔용동)</t>
  </si>
  <si>
    <t>(주)올인원코리아</t>
  </si>
  <si>
    <t>산학협력관 301호</t>
  </si>
  <si>
    <t>(주)오투랩</t>
  </si>
  <si>
    <t>세종SB플라자507호</t>
  </si>
  <si>
    <t>(주)세종디지털통신</t>
  </si>
  <si>
    <t>203호(한마을빌딩)</t>
  </si>
  <si>
    <t>서울특별시 송파구 위례성대로16길 12 (방이동)</t>
  </si>
  <si>
    <t>(주)비엠더코리아인</t>
  </si>
  <si>
    <t>광주광역시 서구 상무대로1057번길 6 (화정동)</t>
  </si>
  <si>
    <t>(주)궁리기획</t>
  </si>
  <si>
    <t>르호봇 205호 (석촌꽃마을빌딩)</t>
  </si>
  <si>
    <t>서울특별시 송파구 가락로 102 (석촌동)</t>
  </si>
  <si>
    <t>(주)고려이엔지</t>
  </si>
  <si>
    <t>경상북도 상주시 모서면 중화로 945-7</t>
  </si>
  <si>
    <t>(주) 햇빛부자</t>
  </si>
  <si>
    <t>기타 기반조성 관련 전문공사업</t>
  </si>
  <si>
    <t>미성빌딩 3층</t>
  </si>
  <si>
    <t>전라남도 나주시 나주로 47 (송월동)</t>
  </si>
  <si>
    <t>(유)이든건설</t>
  </si>
  <si>
    <t>전라북도 전주시 덕진구 호성로 136 (호성동1가 진흥더블파크2단지아파트)</t>
  </si>
  <si>
    <t>한빛전산</t>
  </si>
  <si>
    <t>(복천동)</t>
  </si>
  <si>
    <t>부산광역시 동래구 동래로134번길 24-4 (복천동)</t>
  </si>
  <si>
    <t>팀드림스페이스 주식회사</t>
  </si>
  <si>
    <t>대구광역시 달서구 성서서로19길 7 (월암동)</t>
  </si>
  <si>
    <t>태양산업</t>
  </si>
  <si>
    <t>3층 B25</t>
  </si>
  <si>
    <t>서울특별시 송파구 충민로 10 (문정동)</t>
  </si>
  <si>
    <t>주식회사제네오</t>
  </si>
  <si>
    <t>산학관 602호 603호</t>
  </si>
  <si>
    <t>주식회사아이플러스원</t>
  </si>
  <si>
    <t>울산광역시 울주군 서생면 용연길 220</t>
  </si>
  <si>
    <t>주식회사기성비엔에스</t>
  </si>
  <si>
    <t>제비에이동 6층 007호(덕풍동 현대지식산업센터한강미사2차)</t>
  </si>
  <si>
    <t>경기도 하남시 미사대로 540 (덕풍동)</t>
  </si>
  <si>
    <t>주식회사 희래건축</t>
  </si>
  <si>
    <t>전라남도 영광군 영광읍 그린테크로 35</t>
  </si>
  <si>
    <t>주식회사 해찬이엔씨</t>
  </si>
  <si>
    <t>전라남도 나주시 왕곡면 혁신산단5길 31-18</t>
  </si>
  <si>
    <t>주식회사 한국항공조명</t>
  </si>
  <si>
    <t>1동일부</t>
  </si>
  <si>
    <t>경기도 파주시 탄현면 새오리로 471-155</t>
  </si>
  <si>
    <t>주식회사 알투디투</t>
  </si>
  <si>
    <t>경기도 김포시 고촌읍 장곡로3번길 60</t>
  </si>
  <si>
    <t>경기도 수원시 장안구 경수대로973번길 6 (송죽동)</t>
  </si>
  <si>
    <t>주식회사 맥토피아</t>
  </si>
  <si>
    <t>서울특별시 영등포구 여의대방로67길 10 (여의도동)</t>
  </si>
  <si>
    <t>주식회사 디엠이앤씨</t>
  </si>
  <si>
    <t>1005호</t>
  </si>
  <si>
    <t>서울특별시 금천구 가산디지털1로 2 (가산동)</t>
  </si>
  <si>
    <t>주식회사 닷</t>
  </si>
  <si>
    <t>3층 이한기술단</t>
  </si>
  <si>
    <t>부산광역시 연제구 과정로132번길 28 (연산동)</t>
  </si>
  <si>
    <t>이한기술단 주식회사</t>
  </si>
  <si>
    <t>32-1동 301호</t>
  </si>
  <si>
    <t>옴니스랩스 주식회사</t>
  </si>
  <si>
    <t>충청북도 청주시 청원구 충청대로 113 (율량동)</t>
  </si>
  <si>
    <t>앤트솔루션</t>
  </si>
  <si>
    <t>지하101호</t>
  </si>
  <si>
    <t>대구광역시 북구 학정로7길 2 (태전동 남향아파트)</t>
  </si>
  <si>
    <t>아트조명 꽃봉오리</t>
  </si>
  <si>
    <t>양정힐스테이트상가 302호</t>
  </si>
  <si>
    <t>울산광역시 북구 염포로 459 (양정동 양정힐스테이트)</t>
  </si>
  <si>
    <t>스팁(STIP)</t>
  </si>
  <si>
    <t>경기도 구리시 안골로 44-1 (교문동)</t>
  </si>
  <si>
    <t>수앤주</t>
  </si>
  <si>
    <t>경상북도 경주시 태종로 193 (효현동)</t>
  </si>
  <si>
    <t>드림라이트</t>
  </si>
  <si>
    <t>356호</t>
  </si>
  <si>
    <t>세종특별자치시 조치원읍 새내로 125</t>
  </si>
  <si>
    <t>더그리고</t>
  </si>
  <si>
    <t>대원빌딩 1층</t>
  </si>
  <si>
    <t>경기도 남양주시 화도읍 비룡로 329</t>
  </si>
  <si>
    <t>대원미트주식회사</t>
  </si>
  <si>
    <t>(307호)</t>
  </si>
  <si>
    <t>인천광역시 옹진군 영흥면 영흥북로 468-1</t>
  </si>
  <si>
    <t>대승글로벌</t>
  </si>
  <si>
    <t>충청남도 아산시 음봉면 산동로 321-8</t>
  </si>
  <si>
    <t>기하테크</t>
  </si>
  <si>
    <t>채소 화훼 및 과실작물 시설 재배업</t>
  </si>
  <si>
    <t>그린엑스엑스</t>
  </si>
  <si>
    <t>대구삼성창조캠퍼스 벤처오피스 308호</t>
  </si>
  <si>
    <t>(주)투아트</t>
  </si>
  <si>
    <t>경기도 화성시 금곡로257번길 32-6 (금곡동)</t>
  </si>
  <si>
    <t>(주)케이피엘아이</t>
  </si>
  <si>
    <t>효성ICT타워 812호</t>
  </si>
  <si>
    <t>(주)제이스글로텍</t>
  </si>
  <si>
    <t>서울특별시 강남구 삼성로 754 (청담동)</t>
  </si>
  <si>
    <t>(주)스페이스로직</t>
  </si>
  <si>
    <t>1814호</t>
  </si>
  <si>
    <t>(주)미디어밸리</t>
  </si>
  <si>
    <t>(주)다우테크솔루션</t>
  </si>
  <si>
    <t>경기도 포천시 영북면 야미리 345</t>
  </si>
  <si>
    <t>경기도 포천시 영북면 호국로 3539</t>
  </si>
  <si>
    <t>포천장작</t>
  </si>
  <si>
    <t>101-401</t>
  </si>
  <si>
    <t>경기도 광주시 오포읍 상태길81번길 16 (뜨락애)</t>
  </si>
  <si>
    <t>킴&amp;apos;스엔터테이먼트</t>
  </si>
  <si>
    <t>대구광역시 동구 신서로22길 13 (신서동)</t>
  </si>
  <si>
    <t>천사로부터</t>
  </si>
  <si>
    <t>206호 (철산동 보보스텔)</t>
  </si>
  <si>
    <t>경기도 광명시 오리로 887 (철산동)</t>
  </si>
  <si>
    <t>주식회사 창대이앤씨</t>
  </si>
  <si>
    <t>경기도 평택시 진위면 삼남로 745-34</t>
  </si>
  <si>
    <t>주식회사 에이엠테크</t>
  </si>
  <si>
    <t>경기도 파주시 탄현면 소리개길 177-47</t>
  </si>
  <si>
    <t>주식회사 소스팜</t>
  </si>
  <si>
    <t>주식회사 모자이크</t>
  </si>
  <si>
    <t>전라북도 군산시 백릉1길 13 (경장동)</t>
  </si>
  <si>
    <t>주식회사 글로벌패키지</t>
  </si>
  <si>
    <t>기타 산업용 기계 및 장비 임대업</t>
  </si>
  <si>
    <t>창업보육센터동 1층 106호(조선대학교해양연구)</t>
  </si>
  <si>
    <t>이음바이오</t>
  </si>
  <si>
    <t>인천광역시 서구 청라커낼로233번길 4 (청라동)</t>
  </si>
  <si>
    <t>이븐데이</t>
  </si>
  <si>
    <t>일반의원</t>
  </si>
  <si>
    <t>403호 은계하나내과의원</t>
  </si>
  <si>
    <t>경기도 시흥시 은계번영길 19 (은행동)</t>
  </si>
  <si>
    <t>은계하나내과의원</t>
  </si>
  <si>
    <t>T-7151호</t>
  </si>
  <si>
    <t>에이케이 이앤엠</t>
  </si>
  <si>
    <t>제2층 제엘-2114호</t>
  </si>
  <si>
    <t>아라코리아 캠페인</t>
  </si>
  <si>
    <t>연사 및 가공사 제조업</t>
  </si>
  <si>
    <t>전라북도 김제시 백산면 자유무역2길 7</t>
  </si>
  <si>
    <t>서해로프제강주식회사</t>
  </si>
  <si>
    <t>충청북도 청주시 서원구 수곡로89번길 7-2 (수곡동)</t>
  </si>
  <si>
    <t>서원종합관리</t>
  </si>
  <si>
    <t>광주광역시 서구 상무중앙로 57 (치평동 S클래스 상가)</t>
  </si>
  <si>
    <t>더플랜비 주식회사</t>
  </si>
  <si>
    <t>8층 819호</t>
  </si>
  <si>
    <t>뉴컴아이씨티</t>
  </si>
  <si>
    <t>산업 생산시설 종합 건설업</t>
  </si>
  <si>
    <t>울산광역시 울주군 청량읍 덕하로 127</t>
  </si>
  <si>
    <t>(주)채운</t>
  </si>
  <si>
    <t>수송용 운송장비 도매업</t>
  </si>
  <si>
    <t>부산광역시 해운대구 센텀중앙로 48 (우동)</t>
  </si>
  <si>
    <t>(주)제이앤와이코퍼레이션</t>
  </si>
  <si>
    <t>(주)이정산업</t>
  </si>
  <si>
    <t>비동 1601호</t>
  </si>
  <si>
    <t>(주)반석컨설팅</t>
  </si>
  <si>
    <t>11월 23일</t>
  </si>
  <si>
    <t>경기도 평택시 관동길 91-109 (청룡동)</t>
  </si>
  <si>
    <t>주식회사진성찬푸드</t>
  </si>
  <si>
    <t>대전광역시 대덕구 덕암로182번길 9 (평촌동)</t>
  </si>
  <si>
    <t>주식회사 한사랑종합건설</t>
  </si>
  <si>
    <t>세종특별자치시 조치원읍 새내2길 7</t>
  </si>
  <si>
    <t>주식회사 크리에이티브넷</t>
  </si>
  <si>
    <t>본부동 401호 (삼풍동 경북테크노파크)</t>
  </si>
  <si>
    <t>주식회사 워프솔루션</t>
  </si>
  <si>
    <t>경상남도 김해시 진례면 진례로147번길 89-2</t>
  </si>
  <si>
    <t>주식회사 서진엔텍</t>
  </si>
  <si>
    <t>부산광역시 북구 덕천로247번길 1 (만덕동)</t>
  </si>
  <si>
    <t>주식회사 비엘파트너스</t>
  </si>
  <si>
    <t>2층(관설동)</t>
  </si>
  <si>
    <t>강원도 원주시 관설안길 17 (관설동)</t>
  </si>
  <si>
    <t>주식회사 미림이엔지</t>
  </si>
  <si>
    <t>전라북도 임실군 오수면 금암1길 39-16</t>
  </si>
  <si>
    <t>주식회사 무한랜드</t>
  </si>
  <si>
    <t>창업관 802호</t>
  </si>
  <si>
    <t>주식회사 마음인</t>
  </si>
  <si>
    <t>전라북도 전주시 덕진구 기린대로 886 (여의동2가)</t>
  </si>
  <si>
    <t>주식회사 도그롤로</t>
  </si>
  <si>
    <t>전라북도 전주시 완산구 황학6길 1-2 (동서학동)</t>
  </si>
  <si>
    <t>유한회사올드브릭컴퍼니</t>
  </si>
  <si>
    <t>409호</t>
  </si>
  <si>
    <t>부산광역시 북구 효열로 111 (금곡동)</t>
  </si>
  <si>
    <t>오렌슈츠 주식회사</t>
  </si>
  <si>
    <t>경상북도 포항시 남구 연일읍 원서길 109</t>
  </si>
  <si>
    <t>신천에너지(주)</t>
  </si>
  <si>
    <t>세종특별자치시 부강면 시장길 38</t>
  </si>
  <si>
    <t>세종현대관리공사</t>
  </si>
  <si>
    <t>성원빌딩 302호</t>
  </si>
  <si>
    <t>서울특별시 서초구 동광로 66 (방배동)</t>
  </si>
  <si>
    <t>세운산업 주식회사</t>
  </si>
  <si>
    <t>두산더랜드파크 B동 1113호</t>
  </si>
  <si>
    <t>나모사회적협동조합</t>
  </si>
  <si>
    <t>301호(중소조선연구원 창업보육센터)</t>
  </si>
  <si>
    <t>부산광역시 강서구 녹산산단232로 38-6 (송정동)</t>
  </si>
  <si>
    <t>(주)새솔기술</t>
  </si>
  <si>
    <t>인천광역시 남동구 능허대로625번길 92 (고잔동)</t>
  </si>
  <si>
    <t>(주)삼신정보통신</t>
  </si>
  <si>
    <t>기타 식료품 소매업</t>
  </si>
  <si>
    <t>광주광역시 광산구 상무대로 226 (송정동)</t>
  </si>
  <si>
    <t>해찬마을 협동조합</t>
  </si>
  <si>
    <t>202동 1410-6호</t>
  </si>
  <si>
    <t>하이 스트레인저</t>
  </si>
  <si>
    <t>서울특별시 노원구 덕릉로115길 8 (상계동)</t>
  </si>
  <si>
    <t>하디코퍼레이션</t>
  </si>
  <si>
    <t>건설 및 채광용 기계장비 제조업</t>
  </si>
  <si>
    <t>경기도 평택시 오성면 오성산단1로 24-19</t>
  </si>
  <si>
    <t>하워드관 H406호</t>
  </si>
  <si>
    <t>대전광역시 서구 배재로 155-40 (도마동)</t>
  </si>
  <si>
    <t>플로우토닉</t>
  </si>
  <si>
    <t>서울특별시 마포구 망원로2길 95 (망원동 진흥빌라)</t>
  </si>
  <si>
    <t>퍼블리랜서</t>
  </si>
  <si>
    <t>4층 고양 중장년 기술창업센터 10호실</t>
  </si>
  <si>
    <t>케이알디시스템</t>
  </si>
  <si>
    <t>204동 905호</t>
  </si>
  <si>
    <t>대구광역시 달성군 다사읍 매곡로14길 11 (주공아파트)</t>
  </si>
  <si>
    <t>캔들블루</t>
  </si>
  <si>
    <t>태형빌딩 4층</t>
  </si>
  <si>
    <t>울산광역시 남구 삼산로308번길 15-14 (삼산동)</t>
  </si>
  <si>
    <t>주식회사 하이파크엔터프라이즈</t>
  </si>
  <si>
    <t>엘리시앙오피스텔 906호</t>
  </si>
  <si>
    <t>주식회사 픽서(Fixer)</t>
  </si>
  <si>
    <t>A522호 (관편동 대덕비즈센터)</t>
  </si>
  <si>
    <t>주식회사 프로퍼커뮤니케이션</t>
  </si>
  <si>
    <t>경상북도 칠곡군 지천면 연화1길 6</t>
  </si>
  <si>
    <t>주식회사 진보</t>
  </si>
  <si>
    <t>전라남도 담양군 고서면 가사문학로 324-5</t>
  </si>
  <si>
    <t>주식회사 종근구조안전기술원</t>
  </si>
  <si>
    <t>경기도 화성시 남양읍 남양시장로 105</t>
  </si>
  <si>
    <t>주식회사 이엔</t>
  </si>
  <si>
    <t>주식회사 이노센스</t>
  </si>
  <si>
    <t>강원도 원주시 소초면 장수1로 228</t>
  </si>
  <si>
    <t>주식회사 은환이엔씨</t>
  </si>
  <si>
    <t>경기도 성남시 중원구 둔촌대로127번길 14 (성남동)</t>
  </si>
  <si>
    <t>주식회사 유리버스</t>
  </si>
  <si>
    <t>14층 1405호1406호1407호1408호</t>
  </si>
  <si>
    <t>주식회사 에스티앤씨</t>
  </si>
  <si>
    <t>801호 802호</t>
  </si>
  <si>
    <t>주식회사 에스투앤케이</t>
  </si>
  <si>
    <t>207-1호</t>
  </si>
  <si>
    <t>주식회사 알유케이</t>
  </si>
  <si>
    <t>3층 301 302호(서교동 마린프라자)</t>
  </si>
  <si>
    <t>서울특별시 마포구 잔다리로 112 (서교동)</t>
  </si>
  <si>
    <t>주식회사 씨피프티원(c51)</t>
  </si>
  <si>
    <t>주식회사 신성터보마스터</t>
  </si>
  <si>
    <t>경상남도 창원시 의창구 북면 운무로 825-7</t>
  </si>
  <si>
    <t>전라남도 여수시 신월로 652 (국동)</t>
  </si>
  <si>
    <t>주식회사 비케이에너지</t>
  </si>
  <si>
    <t>인천광역시 서구 건지로 88 (가좌동)</t>
  </si>
  <si>
    <t>주식회사 밀리언무드</t>
  </si>
  <si>
    <t>경기도 남양주시 오남읍 경복대로 120-6</t>
  </si>
  <si>
    <t>주식회사 동화이엔지</t>
  </si>
  <si>
    <t>강원도 원주시 서원대로 500 (단구동)</t>
  </si>
  <si>
    <t>주식회사 대신소방정보통신</t>
  </si>
  <si>
    <t>조은종합상사</t>
  </si>
  <si>
    <t>충청남도 서산시 서해로 3616 (잠홍동)</t>
  </si>
  <si>
    <t>서울특별시 강서구 강서로17가길 45 (화곡동)</t>
  </si>
  <si>
    <t>자연과사람</t>
  </si>
  <si>
    <t>더하임빌딩405호</t>
  </si>
  <si>
    <t>전라북도 군산시 구시장로 70 (신영동)</t>
  </si>
  <si>
    <t>유리치사업단</t>
  </si>
  <si>
    <t>원광대학교 창업보육센터(67번건물) 307호</t>
  </si>
  <si>
    <t>유데브앱</t>
  </si>
  <si>
    <t>충청남도 예산군 신암면 조곡중예길 90</t>
  </si>
  <si>
    <t>와이씨컴퍼니</t>
  </si>
  <si>
    <t>나동 지1층</t>
  </si>
  <si>
    <t>제주특별자치도 제주시 다랑곶3길 21 (노형동 삼성주택)</t>
  </si>
  <si>
    <t>영종합상사</t>
  </si>
  <si>
    <t>서울특별시 강남구 자곡로7길 4 (자곡동)</t>
  </si>
  <si>
    <t>에이치에스비코퍼레이션</t>
  </si>
  <si>
    <t>10공학관 303호</t>
  </si>
  <si>
    <t>아이닉스</t>
  </si>
  <si>
    <t>대구광역시 달서구 성서로24길 9 (월암동)</t>
  </si>
  <si>
    <t>신양포마 주식회사</t>
  </si>
  <si>
    <t>스펄스엠텍</t>
  </si>
  <si>
    <t>SB플라자 3층 A-6호</t>
  </si>
  <si>
    <t>충청북도 청주시 흥덕구 오송읍 오송생명1로 194-25</t>
  </si>
  <si>
    <t>솔루디</t>
  </si>
  <si>
    <t>D동1309호</t>
  </si>
  <si>
    <t>서안이엔씨주식회사</t>
  </si>
  <si>
    <t>경상남도 양산시 동면 금오4길 75-7</t>
  </si>
  <si>
    <t>새길테크</t>
  </si>
  <si>
    <t>4층 B406호</t>
  </si>
  <si>
    <t>사회적협동조합공유</t>
  </si>
  <si>
    <t>106동</t>
  </si>
  <si>
    <t>경기도 시흥시 공단1대로 144 (정왕동)</t>
  </si>
  <si>
    <t>동양이피에스</t>
  </si>
  <si>
    <t>1층 23호</t>
  </si>
  <si>
    <t>전라북도 전주시 덕진구 구총목로 27 (인후동1가)</t>
  </si>
  <si>
    <t>더불어웰라이프</t>
  </si>
  <si>
    <t>서울특별시 성동구 동호로2길 9 (금호동4가 강산드림빌라)</t>
  </si>
  <si>
    <t>다인</t>
  </si>
  <si>
    <t>서울특별시 강서구 공항대로 219 (마곡동)</t>
  </si>
  <si>
    <t>다온플러스</t>
  </si>
  <si>
    <t>뉴인테크 주식회사</t>
  </si>
  <si>
    <t>대전광역시 동구 동부로10번길 55 (판암동)</t>
  </si>
  <si>
    <t>가온크린</t>
  </si>
  <si>
    <t>서울특별시 강서구 방화대로6가길 34 (공항동)</t>
  </si>
  <si>
    <t>(주)지제이엘리베이터</t>
  </si>
  <si>
    <t>시험평가지원동 101호</t>
  </si>
  <si>
    <t>경상남도 사천시 사남면 방지로 80</t>
  </si>
  <si>
    <t>(주)에이디엠테크</t>
  </si>
  <si>
    <t>서울특별시 영등포구 가마산로46길 14 (대림동)</t>
  </si>
  <si>
    <t>(주)안전을지키는사람들</t>
  </si>
  <si>
    <t>A동 604호</t>
  </si>
  <si>
    <t>(주)씨에이랩</t>
  </si>
  <si>
    <t>서울특별시 용산구 한강대로88길 11-4 (남영동)</t>
  </si>
  <si>
    <t>(주)서경산업</t>
  </si>
  <si>
    <t>서울특별시 광진구 천호대로 676 (구의동)</t>
  </si>
  <si>
    <t>(주)리틀송뮤직</t>
  </si>
  <si>
    <t>3층 예가빌딩</t>
  </si>
  <si>
    <t>대전광역시 유성구 동서대로179번길 61 (덕명동)</t>
  </si>
  <si>
    <t>(주)디자인라이팅</t>
  </si>
  <si>
    <t>1306호</t>
  </si>
  <si>
    <t>서울특별시 영등포구 영신로 220 (영등포동8가)</t>
  </si>
  <si>
    <t>(주)누리랩</t>
  </si>
  <si>
    <t>304동 208호</t>
  </si>
  <si>
    <t>코드와이드</t>
  </si>
  <si>
    <t>기어 및 동력전달장치 제조업</t>
  </si>
  <si>
    <t>209호</t>
  </si>
  <si>
    <t>지엔디</t>
  </si>
  <si>
    <t>사무동 1502호</t>
  </si>
  <si>
    <t>경기도 고양시 일산서구 킨텍스로 255 (대화동)</t>
  </si>
  <si>
    <t>주식회사대한아이엔씨</t>
  </si>
  <si>
    <t>(역삼동 한양빌딩) 6층 621호</t>
  </si>
  <si>
    <t>서울특별시 강남구 역삼로 123 (역삼동)</t>
  </si>
  <si>
    <t>주식회사 파란곰소프트</t>
  </si>
  <si>
    <t>충청남도 부여군 부여읍 흑천로 21</t>
  </si>
  <si>
    <t>주식회사 트렌드팜</t>
  </si>
  <si>
    <t>경상북도 성주군 용암면 본성로 132</t>
  </si>
  <si>
    <t>주식회사 천년기업</t>
  </si>
  <si>
    <t>717호</t>
  </si>
  <si>
    <t>인천광역시 남동구 백범로 457 (간석동)</t>
  </si>
  <si>
    <t>주식회사 이디세븐</t>
  </si>
  <si>
    <t>주식회사 스마트캅스</t>
  </si>
  <si>
    <t>세종특별자치시 부강면 노호등곡로 39</t>
  </si>
  <si>
    <t>주식회사 세이인</t>
  </si>
  <si>
    <t>103동 1204호</t>
  </si>
  <si>
    <t>경기도 용인시 기흥구 동탄기흥로 864 (공세동 공세 호수마을 공세성원상떼레이크뷰)</t>
  </si>
  <si>
    <t>주식회사 사운드앤피플</t>
  </si>
  <si>
    <t>유아용 의복 제조업</t>
  </si>
  <si>
    <t>상아빌딩 1층</t>
  </si>
  <si>
    <t>서울특별시 중구 퇴계로8길 58 (회현동1가)</t>
  </si>
  <si>
    <t>주식회사 마레컴퍼니</t>
  </si>
  <si>
    <t>1622호</t>
  </si>
  <si>
    <t>셀런</t>
  </si>
  <si>
    <t>경기도 포천시 가산면 부흥로 685</t>
  </si>
  <si>
    <t>비.에이엔에프컴퍼니</t>
  </si>
  <si>
    <t>204호(경기벤처창업지원센터)</t>
  </si>
  <si>
    <t>경기도 의정부시 망월로 18-26 (호원동)</t>
  </si>
  <si>
    <t>더블캐처</t>
  </si>
  <si>
    <t>1003-6</t>
  </si>
  <si>
    <t>경기도 포천시 가산면 마현2길 2</t>
  </si>
  <si>
    <t>농업회사법인 정직한씨앗 주식회사</t>
  </si>
  <si>
    <t>(주)제이케이테크</t>
  </si>
  <si>
    <t>부산광역시 사상구 낙동대로 861-25 (감전동)</t>
  </si>
  <si>
    <t>서울특별시 강서구 마곡중앙로 171 (마곡동)</t>
  </si>
  <si>
    <t>(주)에이피종합건축사사무소</t>
  </si>
  <si>
    <t>곡물 및 기타 식량작물 재배업</t>
  </si>
  <si>
    <t>(주)숲속언니들농업회사법인</t>
  </si>
  <si>
    <t>경상남도 함양군 함양읍 삼휴길 134-1</t>
  </si>
  <si>
    <t>(주) 숲속언니들 농업회사법인</t>
  </si>
  <si>
    <t>한국전력벤처기업육성센터 103호</t>
  </si>
  <si>
    <t>한국전력정보(주)</t>
  </si>
  <si>
    <t>서울특별시 강동구 양재대로114길 44 (길동)</t>
  </si>
  <si>
    <t>한강스포츠</t>
  </si>
  <si>
    <t>경기도 포천시 내촌면 금강로 2768-92</t>
  </si>
  <si>
    <t>하람식품</t>
  </si>
  <si>
    <t>안양금융센터 3층 302호</t>
  </si>
  <si>
    <t>경기도 안양시 동안구 시민대로 260 (관양동)</t>
  </si>
  <si>
    <t>평촌센트럴소아과</t>
  </si>
  <si>
    <t>에벤에셀프라자204.5호</t>
  </si>
  <si>
    <t>서울특별시 양천구 은행정로 5 (신정동)</t>
  </si>
  <si>
    <t>태원전기안전관리 주식회사</t>
  </si>
  <si>
    <t>경기도 용인시 처인구 남사읍 원암로 467</t>
  </si>
  <si>
    <t>케이에프라이팅주식회사</t>
  </si>
  <si>
    <t>지피에스패밀리</t>
  </si>
  <si>
    <t>615호</t>
  </si>
  <si>
    <t>지민건설 주식회사</t>
  </si>
  <si>
    <t>경기도 화성시 병점동로 126 (진안동)</t>
  </si>
  <si>
    <t>주식회사공명</t>
  </si>
  <si>
    <t>경기도 안양시 동안구 관악대로 298 (관양동)</t>
  </si>
  <si>
    <t>주식회사 한민이씨엠</t>
  </si>
  <si>
    <t>주식회사 하닌팩토리</t>
  </si>
  <si>
    <t>경기도 김포시 대곶면 율마로211번길 71</t>
  </si>
  <si>
    <t>전남여수산학융합지구 기업연구관 312호</t>
  </si>
  <si>
    <t>전라남도 여수시 삼동3길 17 (주삼동)</t>
  </si>
  <si>
    <t>주식회사 포엠</t>
  </si>
  <si>
    <t>영화 비디오물 및 방송 프로그램 배급업</t>
  </si>
  <si>
    <t>인덕대학교 연지스퀘어 024호</t>
  </si>
  <si>
    <t>서울특별시 노원구 초안산로 12 (월계동)</t>
  </si>
  <si>
    <t>주식회사 퍼플레이컴퍼니</t>
  </si>
  <si>
    <t>센테라아이티타워 614호</t>
  </si>
  <si>
    <t>경기도 화성시 동탄대로 643 (영천동)</t>
  </si>
  <si>
    <t>주식회사 테크앤솔루션</t>
  </si>
  <si>
    <t>2층  케이드론</t>
  </si>
  <si>
    <t>충청남도 금산군 부리면 창평로 346</t>
  </si>
  <si>
    <t>주식회사 케이드론</t>
  </si>
  <si>
    <t>그 외 기타 분류 안된 가정용품 소매업</t>
  </si>
  <si>
    <t>7116호</t>
  </si>
  <si>
    <t>서울특별시 성동구 연무장13길 9 (성수동2가)</t>
  </si>
  <si>
    <t>주식회사 컨텍스트</t>
  </si>
  <si>
    <t>A-F503호</t>
  </si>
  <si>
    <t>주식회사 제이투에이치</t>
  </si>
  <si>
    <t>대전광역시 유성구 학하남로47번길 23 (계산동)</t>
  </si>
  <si>
    <t>주식회사 위텍</t>
  </si>
  <si>
    <t>805호</t>
  </si>
  <si>
    <t>경기도 남양주시 다산중앙로145번길 17 (다산동)</t>
  </si>
  <si>
    <t>주식회사 원코퍼레이션</t>
  </si>
  <si>
    <t>YM 빌딩 3층</t>
  </si>
  <si>
    <t>서울특별시 마포구 동교로 156-11 (서교동)</t>
  </si>
  <si>
    <t>주식회사 엘피씨</t>
  </si>
  <si>
    <t>충청남도 서산시 성연면 성연4로 198-20</t>
  </si>
  <si>
    <t>주식회사 에쓰엔</t>
  </si>
  <si>
    <t>기타 비철금속 압연 압출 및 연신제품 제조업</t>
  </si>
  <si>
    <t>경상남도 함안군 군북면 의봉로 26</t>
  </si>
  <si>
    <t>주식회사 에스이</t>
  </si>
  <si>
    <t>전라남도 나주시 배멧2길 25 (빛가람동)</t>
  </si>
  <si>
    <t>주식회사 쓰리알코리아</t>
  </si>
  <si>
    <t>경기도 파주시 탄현면 오금로 50</t>
  </si>
  <si>
    <t>주식회사 실버솔</t>
  </si>
  <si>
    <t>715호</t>
  </si>
  <si>
    <t>주식회사 샤인켐텍</t>
  </si>
  <si>
    <t>경상북도 경산시 진량읍 아사길 45-8</t>
  </si>
  <si>
    <t>주식회사 새길산업</t>
  </si>
  <si>
    <t>407호</t>
  </si>
  <si>
    <t>경기도 수원시 영통구 광교산로 154-42 (이의동)</t>
  </si>
  <si>
    <t>주식회사 빈스포크</t>
  </si>
  <si>
    <t>동탄IT타워 712호</t>
  </si>
  <si>
    <t>경기도 화성시 동탄순환대로 878 (영천동)</t>
  </si>
  <si>
    <t>주식회사 반프</t>
  </si>
  <si>
    <t>강선 건조업</t>
  </si>
  <si>
    <t>경상남도 고성군 동해면 조선특구로 856</t>
  </si>
  <si>
    <t>주식회사 미래중공업</t>
  </si>
  <si>
    <t>창업보육센터동 3층 8309호</t>
  </si>
  <si>
    <t>주식회사 마스이노테크</t>
  </si>
  <si>
    <t>1914호</t>
  </si>
  <si>
    <t>주식회사 링크(LINK)</t>
  </si>
  <si>
    <t>경기도 부천시 오정로 27-20 (삼정동)</t>
  </si>
  <si>
    <t>주식회사 래이오</t>
  </si>
  <si>
    <t>충청남도 아산시 시민로393번길 6-1 (온천동)</t>
  </si>
  <si>
    <t>주식회사 디자인온도</t>
  </si>
  <si>
    <t>부산광역시 사상구 사상로425번길 67 (모라동)</t>
  </si>
  <si>
    <t>주식회사 동영이엔에스</t>
  </si>
  <si>
    <t>세종 일번가 A-202</t>
  </si>
  <si>
    <t>세종특별자치시 도움8로 81 (어진동)</t>
  </si>
  <si>
    <t>주식회사 도넛</t>
  </si>
  <si>
    <t>서관1205호(한신인터밸리24)</t>
  </si>
  <si>
    <t>서울특별시 강남구 테헤란로 322 (역삼동)</t>
  </si>
  <si>
    <t>주식회사 덱신</t>
  </si>
  <si>
    <t>제11층 1171호 (성남에스케이브이1타워)</t>
  </si>
  <si>
    <t>주식회사 대웅전력</t>
  </si>
  <si>
    <t>경기도 하남시 하남대로934번길 41 (풍산동)</t>
  </si>
  <si>
    <t>주식회사 대영종합전기</t>
  </si>
  <si>
    <t>상경타워 204호</t>
  </si>
  <si>
    <t>경기도 시흥시 은계중앙로306번길 25 (대야동)</t>
  </si>
  <si>
    <t>주식회사 네오트래픽</t>
  </si>
  <si>
    <t>울산광역시 북구 농공단지1길 82 (달천동)</t>
  </si>
  <si>
    <t>주식회사 경동산업</t>
  </si>
  <si>
    <t>산업용 난방보일러 및 방열기 제조업</t>
  </si>
  <si>
    <t>경기도 시흥시 마루미길 16-15 (방산동)</t>
  </si>
  <si>
    <t>주식회사 거성에너지</t>
  </si>
  <si>
    <t>포디움동 2071호</t>
  </si>
  <si>
    <t>부산광역시 해운대구 달맞이길 30 (중동 엘시티)</t>
  </si>
  <si>
    <t>주식회사 가주정보기술</t>
  </si>
  <si>
    <t>708동 801호</t>
  </si>
  <si>
    <t>인천광역시 연수구 앵고개로104번길 22 (동춘동 송도파크자이)</t>
  </si>
  <si>
    <t>윤성기업</t>
  </si>
  <si>
    <t>전라북도 익산시 석암로11길 48-55 (석암동)</t>
  </si>
  <si>
    <t>에스앤에이치이엔지 주식회사</t>
  </si>
  <si>
    <t>고목빌 1층</t>
  </si>
  <si>
    <t>세움이엔지</t>
  </si>
  <si>
    <t>경기도 포천시 가산면 마정로 192</t>
  </si>
  <si>
    <t>상아생명과학주식회사</t>
  </si>
  <si>
    <t>하성빌딩제1층제101호</t>
  </si>
  <si>
    <t>사회복지법인가림복지재단</t>
  </si>
  <si>
    <t>일반 화물 자동차 운송업</t>
  </si>
  <si>
    <t>서울특별시 강동구 선사로 52 (천호동)</t>
  </si>
  <si>
    <t>사단법인 국민장애인 복지협의회</t>
  </si>
  <si>
    <t>S205</t>
  </si>
  <si>
    <t>바야바즈</t>
  </si>
  <si>
    <t>ICT 문화융합센터 4층 432호</t>
  </si>
  <si>
    <t>망고슬래브 주식회사</t>
  </si>
  <si>
    <t>경상남도 함양군 함양읍 함양남서로 1218</t>
  </si>
  <si>
    <t>디지털네트워크주식회사</t>
  </si>
  <si>
    <t>전라남도 영광군 군서면 백수로17길 26</t>
  </si>
  <si>
    <t>대승산업 주식회사</t>
  </si>
  <si>
    <t>에이스동백타워 2-302</t>
  </si>
  <si>
    <t>경기도 용인시 기흥구 동백중앙로16번길 16-4 (중동)</t>
  </si>
  <si>
    <t>다함</t>
  </si>
  <si>
    <t>경상북도 울진군 북면 울진북로 1626-19</t>
  </si>
  <si>
    <t>누리시스템</t>
  </si>
  <si>
    <t>전라북도 익산시 용동면 용동로 261</t>
  </si>
  <si>
    <t>농업회사법인 두륜(주)</t>
  </si>
  <si>
    <t>경기도 광주시 곤지암읍 새재길226번길 14-6</t>
  </si>
  <si>
    <t>(주)이맥이노베이션</t>
  </si>
  <si>
    <t>교수연구동 603호</t>
  </si>
  <si>
    <t>경상북도 경산시 한의대로 1 (유곡동)</t>
  </si>
  <si>
    <t>(주)에이치에스이</t>
  </si>
  <si>
    <t>천마스퀘어 902호</t>
  </si>
  <si>
    <t>(주)써티핏</t>
  </si>
  <si>
    <t>전라남도 순천시 안신기3길 8 (가곡동)</t>
  </si>
  <si>
    <t>(주)승평엔지니어링</t>
  </si>
  <si>
    <t>경기도 의왕시 효행로 12 (고천동)</t>
  </si>
  <si>
    <t>(주)세담건설</t>
  </si>
  <si>
    <t>세종특별자치시 금남면 범허리길 105</t>
  </si>
  <si>
    <t>(주)서현</t>
  </si>
  <si>
    <t>14층 위즈비즈08호(한솔교육빌딩)</t>
  </si>
  <si>
    <t>서울특별시 마포구 월드컵북로 361 (상암동)</t>
  </si>
  <si>
    <t>(주)레메디아</t>
  </si>
  <si>
    <t>신관 16층</t>
  </si>
  <si>
    <t>서울특별시 영등포구 선유동2로 57 (양평동4가)</t>
  </si>
  <si>
    <t>(주)더봄넷</t>
  </si>
  <si>
    <t>전라남도 여수시 소라면 섬달천길 110</t>
  </si>
  <si>
    <t>(주)다일테크</t>
  </si>
  <si>
    <t>10 한국전기연구원 기술창업센터 1층 107호</t>
  </si>
  <si>
    <t>(주)나노에코</t>
  </si>
  <si>
    <t>3층 210호</t>
  </si>
  <si>
    <t>강원도 원주시 양지로 80 (반곡동)</t>
  </si>
  <si>
    <t>하호메디</t>
  </si>
  <si>
    <t>인천광역시 부평구 경인로962번길 38 (부평동)</t>
  </si>
  <si>
    <t>품앗이정보</t>
  </si>
  <si>
    <t>건물 및 구축물 해체 공사업</t>
  </si>
  <si>
    <t>충청남도 논산시 연산면 선비로275번길 25-1</t>
  </si>
  <si>
    <t>창민건설</t>
  </si>
  <si>
    <t>707-2호(이앤씨드림타워8차)</t>
  </si>
  <si>
    <t>서울특별시 금천구 가산디지털1로 45 (가산동)</t>
  </si>
  <si>
    <t>주식회사회산</t>
  </si>
  <si>
    <t>주식회사하나아이앤티</t>
  </si>
  <si>
    <t>4동</t>
  </si>
  <si>
    <t>전라북도 군산시 산단동서로 266 (오식도동)</t>
  </si>
  <si>
    <t>주식회사폴라바이오텍</t>
  </si>
  <si>
    <t>주식회사 엠엠피</t>
  </si>
  <si>
    <t>그 외 기타 비금속광물 광업</t>
  </si>
  <si>
    <t>강원도 춘천시 사북면 말고개1길 24</t>
  </si>
  <si>
    <t>주식회사 보고</t>
  </si>
  <si>
    <t>경상남도 밀양시 추화산성길 34-15 (교동)</t>
  </si>
  <si>
    <t>주식회사 디울</t>
  </si>
  <si>
    <t>경기도 용인시 기흥구 죽현로 29 (보정동)</t>
  </si>
  <si>
    <t>제일통상</t>
  </si>
  <si>
    <t>부산광역시 강서구 과학산단2로19번길 100-72 (지사동)</t>
  </si>
  <si>
    <t>이레테크</t>
  </si>
  <si>
    <t>908동 104호</t>
  </si>
  <si>
    <t>경기도 성남시 중원구 도촌남로 148 (도촌동 휴먼시아섬마을9단지아파트)</t>
  </si>
  <si>
    <t>이레크린서비스</t>
  </si>
  <si>
    <t>울산광역시 남구 월평로 99 (신정동)</t>
  </si>
  <si>
    <t>윤호기획</t>
  </si>
  <si>
    <t>스마트파크 지식산업센터 D동 1-204호</t>
  </si>
  <si>
    <t>전라남도 나주시 교육길 13 (빛가람동)</t>
  </si>
  <si>
    <t>유한회사 유니온</t>
  </si>
  <si>
    <t>대전광역시 중구 유등천동로324번길 58-3 (유천동)</t>
  </si>
  <si>
    <t>에이스이엔지(주)</t>
  </si>
  <si>
    <t>전라남도 영광군 홍농읍 단덕로 225</t>
  </si>
  <si>
    <t>에스엠티</t>
  </si>
  <si>
    <t>현대지식산업센터 C동 930호</t>
  </si>
  <si>
    <t>경기도 하남시 미사대로 520 (덕풍동)</t>
  </si>
  <si>
    <t>숨디자인연구소</t>
  </si>
  <si>
    <t>센텀프라자 304호</t>
  </si>
  <si>
    <t>경기도 화성시 수노을중앙로 118 (새솔동)</t>
  </si>
  <si>
    <t>송산수치과의원</t>
  </si>
  <si>
    <t>경기도 김포시 양촌읍 유현삭시로 174</t>
  </si>
  <si>
    <t>설화전기주식회사</t>
  </si>
  <si>
    <t>농업회사법인 네오팜 주식회사</t>
  </si>
  <si>
    <t>경상남도 사천시 곤명면 서실1길 131</t>
  </si>
  <si>
    <t>인천광역시 옹진군 영흥면 영흥남로 300-8</t>
  </si>
  <si>
    <t>(주)주원아이엔아이</t>
  </si>
  <si>
    <t>부산광역시 해운대구 센텀동로 99 (재송동)</t>
  </si>
  <si>
    <t>(주)아이오티플렉스</t>
  </si>
  <si>
    <t>포장 및 충전업</t>
  </si>
  <si>
    <t>인천광역시 서구 보석로17번길 8 (청라동)</t>
  </si>
  <si>
    <t>(주)수줍은연구소</t>
  </si>
  <si>
    <t>경상남도 창원시 마산합포구 산호동4길 32-1 (산호동)</t>
  </si>
  <si>
    <t>(주)바름건설</t>
  </si>
  <si>
    <t>101-2호(태하빌딩)</t>
  </si>
  <si>
    <t>충청남도 아산시 배방읍 북수로111번길 6-4</t>
  </si>
  <si>
    <t>하이팩</t>
  </si>
  <si>
    <t>플라스틱 물질 및 합성고무 도매업</t>
  </si>
  <si>
    <t>지엠지엘스타 906호</t>
  </si>
  <si>
    <t>태성컨베어</t>
  </si>
  <si>
    <t>경기도 화성시 정남면 내향로 128-11</t>
  </si>
  <si>
    <t>카본에이블</t>
  </si>
  <si>
    <t>서울특별시 중구 다산로20길 12 (신당동)</t>
  </si>
  <si>
    <t>주식회사한국생물산업개발</t>
  </si>
  <si>
    <t>용동</t>
  </si>
  <si>
    <t>광주광역시 광산구 평동로803번안길 97 (용동)</t>
  </si>
  <si>
    <t>주식회사세주산업</t>
  </si>
  <si>
    <t>콘코디언빌딩 4층</t>
  </si>
  <si>
    <t>주식회사메모비</t>
  </si>
  <si>
    <t>Station-G  109호</t>
  </si>
  <si>
    <t>경기도 안산시 단원구 중앙대로 784 (고잔동)</t>
  </si>
  <si>
    <t>주식회사 이하이진</t>
  </si>
  <si>
    <t>서울특별시 마포구 성미산로11길 15 (성산동)</t>
  </si>
  <si>
    <t>주식회사 이강물산</t>
  </si>
  <si>
    <t>대전광역시 유성구 유성대로654번길 38 (구암동)</t>
  </si>
  <si>
    <t>주식회사 에이앤유건축사사무소</t>
  </si>
  <si>
    <t>대전광역시 서구 월평서로 7 (월평동)</t>
  </si>
  <si>
    <t>주식회사 더레블</t>
  </si>
  <si>
    <t>제2공장형실습장 205호</t>
  </si>
  <si>
    <t>경상북도 경산시 대학로 280 (대동)</t>
  </si>
  <si>
    <t>이-던</t>
  </si>
  <si>
    <t>대전광역시 대덕구 송촌북로4번길 21-5 (송촌동)</t>
  </si>
  <si>
    <t>와이즈코리아</t>
  </si>
  <si>
    <t>대전광역시 서구 도솔로 259 (내동)</t>
  </si>
  <si>
    <t>소울디자인</t>
  </si>
  <si>
    <t>경기도 광주시 남한산성면 은골길 9-32</t>
  </si>
  <si>
    <t>가온엔지니어링</t>
  </si>
  <si>
    <t>부산광역시 남구 황령대로319번나길 57 (대연동)</t>
  </si>
  <si>
    <t>(주)청담아이앤씨</t>
  </si>
  <si>
    <t>경기도 양평군 청운면 황정1길 12-16</t>
  </si>
  <si>
    <t>(주)이엘산업</t>
  </si>
  <si>
    <t>경기벤처센터 2층 206호 (JS타워)</t>
  </si>
  <si>
    <t>(주)엠디코리아</t>
  </si>
  <si>
    <t>통신장비 수리업</t>
  </si>
  <si>
    <t>부산광역시 서구 충무대로 8 (암남동 기산비치타운)</t>
  </si>
  <si>
    <t>(주)비엠엘텍</t>
  </si>
  <si>
    <t>4층 407호</t>
  </si>
  <si>
    <t>충청북도 청주시 상당구 1순환로 1239 (용암동)</t>
  </si>
  <si>
    <t>성원인터내셔널</t>
  </si>
  <si>
    <t>7층 F716-1호</t>
  </si>
  <si>
    <t>지비에스행복나눔사회적협동조합</t>
  </si>
  <si>
    <t>211호(필동2가세정아이티빌딩)</t>
  </si>
  <si>
    <t>서울특별시 중구 퇴계로36가길 10 (필동2가)</t>
  </si>
  <si>
    <t>주식회사트윈벨미디어</t>
  </si>
  <si>
    <t>1층 클린씨</t>
  </si>
  <si>
    <t>서울특별시 강남구 개포로26길 6 (개포동)</t>
  </si>
  <si>
    <t>주식회사클린씨</t>
  </si>
  <si>
    <t>(주)한국바이오헬스</t>
  </si>
  <si>
    <t>충청북도 음성군 원남면 원남산단로 274-8</t>
  </si>
  <si>
    <t>주식회사 한국바이오헬스</t>
  </si>
  <si>
    <t>충청남도 아산시 배방읍 배방로14번길 93-1</t>
  </si>
  <si>
    <t>주식회사 우리산업</t>
  </si>
  <si>
    <t>515호</t>
  </si>
  <si>
    <t>주식회사 옴니테크인</t>
  </si>
  <si>
    <t>103동 303-1호</t>
  </si>
  <si>
    <t>서울특별시 송파구 동남로 160 (문정동 현대아파트)</t>
  </si>
  <si>
    <t>주식회사 알케미랩</t>
  </si>
  <si>
    <t>대구광역시 달성군 다사읍 서재로12길 15</t>
  </si>
  <si>
    <t>주식회사 수연창호</t>
  </si>
  <si>
    <t>서울특별시 성동구 아차산로 38 (성수동1가)</t>
  </si>
  <si>
    <t>주식회사 서울베이스</t>
  </si>
  <si>
    <t>광성빌딩 605호</t>
  </si>
  <si>
    <t>서울특별시 강남구 봉은사로114길 28 (삼성동)</t>
  </si>
  <si>
    <t>주식회사 서우에스앤씨</t>
  </si>
  <si>
    <t>25동 502호 주식회사 모콘에스티</t>
  </si>
  <si>
    <t>주식회사 모콘에스티</t>
  </si>
  <si>
    <t>경기도 하남시 검단산로 268-4 (창우동)</t>
  </si>
  <si>
    <t>주식회사 맑음팩토리</t>
  </si>
  <si>
    <t>(주)대하산업</t>
  </si>
  <si>
    <t>충청남도 청양군 화성면 금계동길 11-8</t>
  </si>
  <si>
    <t>주식회사 대하산업</t>
  </si>
  <si>
    <t>B1층 A174호</t>
  </si>
  <si>
    <t>서울특별시 서초구 서초중앙로 110 (서초동 서초동롯데캐슬메디치)</t>
  </si>
  <si>
    <t>제이엘테크 주식회사</t>
  </si>
  <si>
    <t>2층 재상건설 주식회사</t>
  </si>
  <si>
    <t>전라북도 정읍시 정인1길 72 (수성동)</t>
  </si>
  <si>
    <t>재상건설주식회사</t>
  </si>
  <si>
    <t>3층 서울시글로벌창업센터</t>
  </si>
  <si>
    <t>서울특별시 용산구 청파로 109 (한강로3가)</t>
  </si>
  <si>
    <t>오이스터에이블(주)</t>
  </si>
  <si>
    <t>서울특별시 구로구 오류로 36-25 (천왕동)</t>
  </si>
  <si>
    <t>아너킨</t>
  </si>
  <si>
    <t>충청북도 음성군 대소면 산내로107번길 81-21</t>
  </si>
  <si>
    <t>씨더블유소방산업주식회사</t>
  </si>
  <si>
    <t>319호</t>
  </si>
  <si>
    <t>사회적협동조합 지심</t>
  </si>
  <si>
    <t>부산창업지원센터 413호</t>
  </si>
  <si>
    <t>비욘드오션</t>
  </si>
  <si>
    <t>경기도 고양시 일산동구 장항로 217 (장항동)</t>
  </si>
  <si>
    <t>문화교육콘텐츠사회적협동조합</t>
  </si>
  <si>
    <t>1905-304</t>
  </si>
  <si>
    <t>세종특별자치시 밝은뜰로 3 (고운동)</t>
  </si>
  <si>
    <t>리얼컴</t>
  </si>
  <si>
    <t>전라남도 장성군 남면 나노산단로 108</t>
  </si>
  <si>
    <t>굿퍼스트정보기술</t>
  </si>
  <si>
    <t>경기도 남양주시 와부읍 석실로 20-40</t>
  </si>
  <si>
    <t>HAOSS(하오스전자)</t>
  </si>
  <si>
    <t>경기도 김포시 양촌읍 황금3로 75</t>
  </si>
  <si>
    <t>(주)효성&amp;플러스</t>
  </si>
  <si>
    <t>울산광역시 울주군 삼남읍 교동로 64</t>
  </si>
  <si>
    <t>(주)이로엔지니어링</t>
  </si>
  <si>
    <t>513동 204호</t>
  </si>
  <si>
    <t>경기도 남양주시 도농로 34 (다산동 부영그린타운)</t>
  </si>
  <si>
    <t>(주)은광</t>
  </si>
  <si>
    <t>창업관 306호</t>
  </si>
  <si>
    <t>(주)엠에스명성바이오</t>
  </si>
  <si>
    <t>B203호</t>
  </si>
  <si>
    <t>대구광역시 달서구 달서대로 559 (신당동)</t>
  </si>
  <si>
    <t>(주)대교시그널</t>
  </si>
  <si>
    <t>a동 2810호</t>
  </si>
  <si>
    <t>호호에듀 주식회사</t>
  </si>
  <si>
    <t>충청북도 청주시 상당구 용암북로6번길 33-22 (용암동)</t>
  </si>
  <si>
    <t>호암시스템</t>
  </si>
  <si>
    <t>경기도 시흥시 비둘기공원7길 65 (대야동)</t>
  </si>
  <si>
    <t>한신엘리베이터 주식회사</t>
  </si>
  <si>
    <t>가동 A146호</t>
  </si>
  <si>
    <t>티엘테크(TL Tech)</t>
  </si>
  <si>
    <t>상가동103호</t>
  </si>
  <si>
    <t>세종특별자치시 새롬남로 18 (새롬동 새뜸마을1단지)</t>
  </si>
  <si>
    <t>카펫코리아협동조합</t>
  </si>
  <si>
    <t>덕진구호성동2가26-4  561-212</t>
  </si>
  <si>
    <t>전라북도 전주시 덕진구 소양천변로 4-3 (호성동2가)</t>
  </si>
  <si>
    <t>지니건재</t>
  </si>
  <si>
    <t>B동 1311호</t>
  </si>
  <si>
    <t>경기도 성남시 중원구 갈마치로 302 (상대원동)</t>
  </si>
  <si>
    <t>주식회사 피치랩</t>
  </si>
  <si>
    <t>충청남도 공주시 무령로 592 (월송동)</t>
  </si>
  <si>
    <t>주식회사 우노</t>
  </si>
  <si>
    <t>금정역 SKV1센터 716호 717호 718호 719호 720호 721호</t>
  </si>
  <si>
    <t>주식회사 신화환경연구원</t>
  </si>
  <si>
    <t>서울특별시 강남구 봉은사로57길 13 (삼성동)</t>
  </si>
  <si>
    <t>주식회사 시하기획</t>
  </si>
  <si>
    <t>경기도 화성시 정남면 만년로 443-12</t>
  </si>
  <si>
    <t>주식회사 삼디</t>
  </si>
  <si>
    <t>강인빌딩 407호</t>
  </si>
  <si>
    <t>주식회사 버즈핏</t>
  </si>
  <si>
    <t>주식회사 메이크잇</t>
  </si>
  <si>
    <t>경기도 파주시 신촌3로 2-26 (신촌동)</t>
  </si>
  <si>
    <t>대구광역시 달성군 옥포읍 비슬로447길 7</t>
  </si>
  <si>
    <t>주식회사 메가시스템</t>
  </si>
  <si>
    <t>충청북도 충주시 칠금12길 37-1 (칠금동)</t>
  </si>
  <si>
    <t>주식회사 금성에이브이</t>
  </si>
  <si>
    <t>경기도 구리시 갈매중앙로55번길 96-7 (갈매동)</t>
  </si>
  <si>
    <t>좋은기업</t>
  </si>
  <si>
    <t>경기도 안성시 일죽면 죽양대로 498-42</t>
  </si>
  <si>
    <t>이피에스파워(주)</t>
  </si>
  <si>
    <t>경기도 군포시 당정로28번길 17 (당정동)</t>
  </si>
  <si>
    <t>이연텍크</t>
  </si>
  <si>
    <t>19층</t>
  </si>
  <si>
    <t>이백퍼센트 주식회사</t>
  </si>
  <si>
    <t>한국장학재단 부산센터 1001호</t>
  </si>
  <si>
    <t>부산광역시 연제구 반송로 60 (연산동)</t>
  </si>
  <si>
    <t>우짜</t>
  </si>
  <si>
    <t>239-2번지</t>
  </si>
  <si>
    <t>경상북도 경주시 강동면 모서별봉길 52-7</t>
  </si>
  <si>
    <t>우백산업</t>
  </si>
  <si>
    <t>서울특별시 은평구 은평로21길 16 (녹번동 DH팰리스)</t>
  </si>
  <si>
    <t>에이브이에스주식회사</t>
  </si>
  <si>
    <t>부산광역시 기장군 정관읍 산단1로 72</t>
  </si>
  <si>
    <t>에스와이파워 주식회사</t>
  </si>
  <si>
    <t>제1실습관 창업보육센터 5022호</t>
  </si>
  <si>
    <t>앱미디어 주식회사</t>
  </si>
  <si>
    <t>1813호</t>
  </si>
  <si>
    <t>소프트지노믹스(주)</t>
  </si>
  <si>
    <t>경기도 성남시 수정구 수정남로62번길 20-1 (수진동)</t>
  </si>
  <si>
    <t>바이오스피릿주식회사</t>
  </si>
  <si>
    <t>전라북도 완주군 봉동읍 학다리길 90-5</t>
  </si>
  <si>
    <t>전라북도 전주시 덕진구 반룡로 71 (팔복동2가)</t>
  </si>
  <si>
    <t>모던메탈 유한회사</t>
  </si>
  <si>
    <t>문구용품 및 회화용품 소매업</t>
  </si>
  <si>
    <t>충청남도 논산시 연산면 황룡재로 137-2</t>
  </si>
  <si>
    <t>구르미상사</t>
  </si>
  <si>
    <t>충청북도 청주시 청원구 새터로176번길 48 (사천동)</t>
  </si>
  <si>
    <t>(주)한진전력</t>
  </si>
  <si>
    <t>비즈플러스수원 218호</t>
  </si>
  <si>
    <t>경기도 수원시 장안구 수성로363번길 17 (조원동 청우아파트)</t>
  </si>
  <si>
    <t>(주)한국인적자원경영컨설팅</t>
  </si>
  <si>
    <t>A동 704호</t>
  </si>
  <si>
    <t>(주)포스트구조기술</t>
  </si>
  <si>
    <t>전라남도 나주시 예향로 3842 (이창동)</t>
  </si>
  <si>
    <t>(주)케이에스시스템</t>
  </si>
  <si>
    <t>(주)일조</t>
  </si>
  <si>
    <t>충청남도 보령시 웅천읍 산업단지길 24</t>
  </si>
  <si>
    <t>(주)안전드림</t>
  </si>
  <si>
    <t>경상남도 창원시 의창구 평산로8번길 43 (팔용동)</t>
  </si>
  <si>
    <t>(주)신화오토텍</t>
  </si>
  <si>
    <t>M동 3층</t>
  </si>
  <si>
    <t>인천광역시 서구 길주로44번길 13 (석남동)</t>
  </si>
  <si>
    <t>(주)솔라테크코리아</t>
  </si>
  <si>
    <t>자동차 신품 타이어 및 튜브 판매업</t>
  </si>
  <si>
    <t>경기도 남양주시 진건읍 진건오남로 300</t>
  </si>
  <si>
    <t>(주)드림팩토리</t>
  </si>
  <si>
    <t>부산광역시 영도구 하나길 593 (신선동1가)</t>
  </si>
  <si>
    <t>(주)동원전력</t>
  </si>
  <si>
    <t>기타 보관 및 창고업</t>
  </si>
  <si>
    <t>광주광역시 북구 각화대로 41 (각화동)</t>
  </si>
  <si>
    <t>(주)대영팜</t>
  </si>
  <si>
    <t>전라북도 전주시 완산구 용산마을길 53-21 (삼천동2가)</t>
  </si>
  <si>
    <t>(유)제이비이노베이션</t>
  </si>
  <si>
    <t>경기도 화성시 봉담읍 동화새터길 66</t>
  </si>
  <si>
    <t>케이피이엔지(주)</t>
  </si>
  <si>
    <t>서울특별시 강서구 화곡로50길 21 (화곡동)</t>
  </si>
  <si>
    <t>진성산업</t>
  </si>
  <si>
    <t>지안디자인</t>
  </si>
  <si>
    <t>경상남도 양산시 물금읍 서남2길 20</t>
  </si>
  <si>
    <t>7304-2904</t>
  </si>
  <si>
    <t>경기도 남양주시 다산지금로145번길 15 (다산동 다산 펜테리움 리버테라스Ⅰ)</t>
  </si>
  <si>
    <t>주식회사마음껏</t>
  </si>
  <si>
    <t>주식회사 픽션아리</t>
  </si>
  <si>
    <t>바이오벤처센터동 111호</t>
  </si>
  <si>
    <t>대전광역시 유성구 과학로 125 (어은동)</t>
  </si>
  <si>
    <t>주식회사 플라즈맵</t>
  </si>
  <si>
    <t>경기도 양주시 만송로 377 (만송동)</t>
  </si>
  <si>
    <t>주식회사 키온테크</t>
  </si>
  <si>
    <t>종로타워 24층 110호</t>
  </si>
  <si>
    <t>서울특별시 종로구 종로 51 (종로2가)</t>
  </si>
  <si>
    <t>주식회사 코멘토</t>
  </si>
  <si>
    <t>충청북도 청주시 흥덕구 강내면 서부로 73-8</t>
  </si>
  <si>
    <t>주식회사 중원윈테크</t>
  </si>
  <si>
    <t>전라북도 전주시 완산구 서곡3길 14-18 (효자동3가)</t>
  </si>
  <si>
    <t>주식회사 준디자인</t>
  </si>
  <si>
    <t>A동 203호</t>
  </si>
  <si>
    <t>주식회사 이디엔</t>
  </si>
  <si>
    <t>701호 (학동 센트럴타워)</t>
  </si>
  <si>
    <t>전라남도 여수시 시청동1길 17 (학동)</t>
  </si>
  <si>
    <t>주식회사 이도</t>
  </si>
  <si>
    <t>해명빌딩 2층</t>
  </si>
  <si>
    <t>부산광역시 동래구 미남로 51 (사직동)</t>
  </si>
  <si>
    <t>주식회사 우단건설</t>
  </si>
  <si>
    <t>위생용 및 산업용 도자기 제조업</t>
  </si>
  <si>
    <t>전라남도 장성군 황룡면 요월정로 143-9</t>
  </si>
  <si>
    <t>주식회사 엠제이이앤씨</t>
  </si>
  <si>
    <t>경상북도 고령군 다산면 다산산단2길 10-58</t>
  </si>
  <si>
    <t>주식회사 엠아이캐스텍</t>
  </si>
  <si>
    <t>상가동 2층 203호</t>
  </si>
  <si>
    <t>광주광역시 남구 제중로 91 (서동 아남프라자아파트)</t>
  </si>
  <si>
    <t>주식회사 에코플랜</t>
  </si>
  <si>
    <t>대구광역시 동구 이노밸리로54길 4-1 (신서동)</t>
  </si>
  <si>
    <t>주식회사 에너텍</t>
  </si>
  <si>
    <t>창업보육센터 206호</t>
  </si>
  <si>
    <t>주식회사 아트와</t>
  </si>
  <si>
    <t>인천광역시 서구 원전로69번길 4 (경서동)</t>
  </si>
  <si>
    <t>주식회사 썬광이앤씨</t>
  </si>
  <si>
    <t>514호</t>
  </si>
  <si>
    <t>주식회사 선영</t>
  </si>
  <si>
    <t>서울특별시 강남구 도곡로 203 (역삼동)</t>
  </si>
  <si>
    <t>주식회사 보하라에프앤엘</t>
  </si>
  <si>
    <t>주식회사 리얼디자인테크</t>
  </si>
  <si>
    <t>서울특별시 서초구 마방로2길 15-22 (양재동)</t>
  </si>
  <si>
    <t>주식회사 랭킨컴퍼니</t>
  </si>
  <si>
    <t>경상남도 밀양시 부북면 춘화농공단지길 12-42</t>
  </si>
  <si>
    <t>주식회사 디에스아이</t>
  </si>
  <si>
    <t>1802호</t>
  </si>
  <si>
    <t>서울특별시 구로구 공원로 3 (구로동)</t>
  </si>
  <si>
    <t>주식회사 드림인디자인</t>
  </si>
  <si>
    <t>공작용 기계 및 장비 도매업</t>
  </si>
  <si>
    <t>경상북도 경주시 외동읍 모화공단길 14-2</t>
  </si>
  <si>
    <t>주식회사 대일환경</t>
  </si>
  <si>
    <t xml:space="preserve"> 주식회사 기린</t>
  </si>
  <si>
    <t>경상북도 문경시 산양면 경서로 523-8</t>
  </si>
  <si>
    <t>주식회사 기린</t>
  </si>
  <si>
    <t>주식회사  사비코지</t>
  </si>
  <si>
    <t>인천광역시 남동구 선수촌로 55 (구월동 구월아시아드선수촌 센트럴자이)</t>
  </si>
  <si>
    <t>조이텐트</t>
  </si>
  <si>
    <t>12-114</t>
  </si>
  <si>
    <t>서울특별시 구로구 구로중앙로 197 (구로동)</t>
  </si>
  <si>
    <t>제이디상사</t>
  </si>
  <si>
    <t>D동 701호</t>
  </si>
  <si>
    <t>인천광역시 남동구 선수촌공원로 1 (구월동)</t>
  </si>
  <si>
    <t>은미디어테크</t>
  </si>
  <si>
    <t>1514호 윤중물산(주)</t>
  </si>
  <si>
    <t>서울특별시 서초구 강남대로 309 (서초동)</t>
  </si>
  <si>
    <t>윤중물산 주식회사(YJ GLOBAL CO. LTD)</t>
  </si>
  <si>
    <t>부산광역시 사상구 학감대로222번길 27 (감전동)</t>
  </si>
  <si>
    <t>에닐트 HENNILT</t>
  </si>
  <si>
    <t>경기도 김포시 양촌읍 유현삭시로247번길 18-39</t>
  </si>
  <si>
    <t>에그리조조</t>
  </si>
  <si>
    <t>쓰리디텍</t>
  </si>
  <si>
    <t>면 방적업</t>
  </si>
  <si>
    <t>신한방직(주)</t>
  </si>
  <si>
    <t>전라북도 완주군 이서면 콩쥐팥쥐로 984-120</t>
  </si>
  <si>
    <t>신한방직 주식회사</t>
  </si>
  <si>
    <t>세종특별자치시 한누리대로 193 (나성동)</t>
  </si>
  <si>
    <t>시버리솔루션스 주식회사</t>
  </si>
  <si>
    <t>위스퀘어본관 313호</t>
  </si>
  <si>
    <t>대전광역시 서구 가장로 52 (괴정동)</t>
  </si>
  <si>
    <t>생각하는곰곰디자인</t>
  </si>
  <si>
    <t>서울특별시 중구 필동로 45 (필동3가)</t>
  </si>
  <si>
    <t>비엔비기획</t>
  </si>
  <si>
    <t>3층 베스트상사</t>
  </si>
  <si>
    <t>울산광역시 중구 병영1길 1 (남외동)</t>
  </si>
  <si>
    <t>베스트상사</t>
  </si>
  <si>
    <t>103동 802호</t>
  </si>
  <si>
    <t>전라북도 전주시 덕진구 소리로 179 (호성동1가 호성주공 뜨란채아파트)</t>
  </si>
  <si>
    <t>모션루트</t>
  </si>
  <si>
    <t>경상남도 김해시 주촌면 서부로1637번안길 14</t>
  </si>
  <si>
    <t>라온MK</t>
  </si>
  <si>
    <t>대전광역시 대덕구 대화로32번길 60-46 (대화동)</t>
  </si>
  <si>
    <t>대경전기조명</t>
  </si>
  <si>
    <t>나동401호</t>
  </si>
  <si>
    <t>대구광역시 달서구 달서대로91길 35 (호림동)</t>
  </si>
  <si>
    <t>뉴플레이스기술연구소</t>
  </si>
  <si>
    <t>경기도 고양시 덕양구 화랑로165번길 7 (화전동)</t>
  </si>
  <si>
    <t>뉴트리게이트</t>
  </si>
  <si>
    <t>서울특별시 마포구 양화로 175 (동교동)</t>
  </si>
  <si>
    <t>그린원</t>
  </si>
  <si>
    <t>경상북도 경주시 내남면 내외로 1930-14</t>
  </si>
  <si>
    <t>광명이노텍</t>
  </si>
  <si>
    <t>서울특별시 마포구 와우산로5길 17 (상수동)</t>
  </si>
  <si>
    <t>(주)케이아이미디어</t>
  </si>
  <si>
    <t>2동 (주)오페스</t>
  </si>
  <si>
    <t>경기도 화성시 남양읍 신남로 316-21</t>
  </si>
  <si>
    <t>(주)오페스</t>
  </si>
  <si>
    <t>16층 1621호</t>
  </si>
  <si>
    <t>(주)스텝포워드솔루션</t>
  </si>
  <si>
    <t>부산광역시 기장군 정관읍 정관중앙로 45</t>
  </si>
  <si>
    <t>(주)스테이션케이</t>
  </si>
  <si>
    <t>(주)스카이케미컬코리아</t>
  </si>
  <si>
    <t>창업보육센터 202-203호 (야탑동 전자기술연구원)</t>
  </si>
  <si>
    <t>(주)브라이튼코퍼레이션</t>
  </si>
  <si>
    <t>경기도 광주시 곤지암읍 만삼로 42</t>
  </si>
  <si>
    <t>(주)바틱이엔티</t>
  </si>
  <si>
    <t>영타운지웰에스테이트 제지1층 제비104호</t>
  </si>
  <si>
    <t>서울특별시 서대문구 이화여대5길 35 (대현동)</t>
  </si>
  <si>
    <t>(주)미닝오브</t>
  </si>
  <si>
    <t>경상북도 안동시 강남2길 60-18 (정하동)</t>
  </si>
  <si>
    <t>(주)대도산업</t>
  </si>
  <si>
    <t>대전광역시 동구 한밭대로1237번길 41 (용전동)</t>
  </si>
  <si>
    <t>(주)나비오피스</t>
  </si>
  <si>
    <t>1층 101호</t>
  </si>
  <si>
    <t>대구광역시 북구 검단동로 9 (검단동)</t>
  </si>
  <si>
    <t>(주)금강산업테크</t>
  </si>
  <si>
    <t>경기도 광주시 초월읍 무갑길 34</t>
  </si>
  <si>
    <t>(주)광동케이씨</t>
  </si>
  <si>
    <t>(주)경북맨홀</t>
  </si>
  <si>
    <t>경상북도 예천군 보문면 산단길 65</t>
  </si>
  <si>
    <t>810호</t>
  </si>
  <si>
    <t>현대일렉아이</t>
  </si>
  <si>
    <t>쓰리엠빌딩8층 809호코워킹룸6</t>
  </si>
  <si>
    <t>해드림</t>
  </si>
  <si>
    <t>전라남도 해남군 옥천면 농공단지길 24-7</t>
  </si>
  <si>
    <t>진성홀딩스</t>
  </si>
  <si>
    <t>경기도 남양주시 진접읍 양진로 942-1</t>
  </si>
  <si>
    <t>주식회사 케이디판넬</t>
  </si>
  <si>
    <t>금신리 산 90-4</t>
  </si>
  <si>
    <t>충청북도 괴산군 청안면 금신로2길 21-76</t>
  </si>
  <si>
    <t>주식회사 지에스산업</t>
  </si>
  <si>
    <t>벽지 및 장판지 제조업</t>
  </si>
  <si>
    <t>주식회사 이룸이엔씨</t>
  </si>
  <si>
    <t>전라남도 함평군 해보면 해보농공길 8-20</t>
  </si>
  <si>
    <t>안쪽창고</t>
  </si>
  <si>
    <t>경기도 파주시 운정로 78-47 (상지석동)</t>
  </si>
  <si>
    <t>주식회사 오케이코퍼레이션</t>
  </si>
  <si>
    <t>101-c 호</t>
  </si>
  <si>
    <t>전라남도 곡성군 입면 입면로 437</t>
  </si>
  <si>
    <t>주식회사 엠씨바이오텍</t>
  </si>
  <si>
    <t>나동 1층 주식회사 엘앤씨</t>
  </si>
  <si>
    <t>경상남도 진주시 동진로 290 (상대동)</t>
  </si>
  <si>
    <t>주식회사 엘앤씨</t>
  </si>
  <si>
    <t>부산광역시 기장군 정관읍 정관상곡2길 25-21</t>
  </si>
  <si>
    <t>주식회사 에이피엠텍</t>
  </si>
  <si>
    <t>대전광역시 유성구 지족로364번길 19 (지족동)</t>
  </si>
  <si>
    <t>주식회사 에이앤에즈</t>
  </si>
  <si>
    <t>경상남도 산청군 신안면 지리산대로3833번길 85</t>
  </si>
  <si>
    <t>주식회사 안병연구들명가</t>
  </si>
  <si>
    <t>비동 6층 1인 창업공간(1개소)수원벤쳐밸리2</t>
  </si>
  <si>
    <t>주식회사 아이앤월드</t>
  </si>
  <si>
    <t>612A</t>
  </si>
  <si>
    <t>주식회사 씨크릿비에프랩</t>
  </si>
  <si>
    <t>1동 1호</t>
  </si>
  <si>
    <t>충청남도 천안시 서북구 직산읍 부송1길 62</t>
  </si>
  <si>
    <t>주식회사 세이프존</t>
  </si>
  <si>
    <t>이화여자대학교 산학협력관 114비호</t>
  </si>
  <si>
    <t>서울특별시 서대문구 이화여대길 52 (대현동)</t>
  </si>
  <si>
    <t>주식회사 밀리그램디자인</t>
  </si>
  <si>
    <t>충청남도 공주시 한적2길 47 (금흥동)</t>
  </si>
  <si>
    <t>주식회사 동해엔지니어링</t>
  </si>
  <si>
    <t>성호빌딩 3층</t>
  </si>
  <si>
    <t>서울특별시 강남구 학동로97길 20 (청담동)</t>
  </si>
  <si>
    <t>주식회사 더씬</t>
  </si>
  <si>
    <t>엠테크노센터 917호</t>
  </si>
  <si>
    <t>주식회사 다올씨앤씨</t>
  </si>
  <si>
    <t>서울특별시 마포구 잔다리로7길 16 (서교동)</t>
  </si>
  <si>
    <t>주식회사 꿈많은청년들</t>
  </si>
  <si>
    <t>제이피산업주식회사</t>
  </si>
  <si>
    <t>광주광역시 광산구 비아로147번길 8-30 (비아동)</t>
  </si>
  <si>
    <t>제이피산업 주식회사</t>
  </si>
  <si>
    <t>서울특별시 은평구 증산서길 88 (증산동)</t>
  </si>
  <si>
    <t>이지팜 주식회사</t>
  </si>
  <si>
    <t>광주광역시 광산구 비아로147번길 8-23 (비아동)</t>
  </si>
  <si>
    <t>유한회사한울푸드</t>
  </si>
  <si>
    <t>여자용 겉옷 제조업</t>
  </si>
  <si>
    <t>2-602</t>
  </si>
  <si>
    <t>서울특별시 서대문구 연세로5다길 41 (창천동)</t>
  </si>
  <si>
    <t>유니끄 25</t>
  </si>
  <si>
    <t>전라남도 목포시 삼각로 10 (상동)</t>
  </si>
  <si>
    <t>에이다코딩랩 전남지사</t>
  </si>
  <si>
    <t>경기도 파주시 탄현면 오금로 32</t>
  </si>
  <si>
    <t>에스와이팩토리</t>
  </si>
  <si>
    <t>서울특별시 강남구 역삼로17길 9 (역삼동)</t>
  </si>
  <si>
    <t>시프트원 주식회사</t>
  </si>
  <si>
    <t>327호</t>
  </si>
  <si>
    <t>시네마다방</t>
  </si>
  <si>
    <t>경기도 포천시 신북면 심곡리 134-2</t>
  </si>
  <si>
    <t>경기도 포천시 신북면 포천로2034번길 111-8</t>
  </si>
  <si>
    <t>베스트가구</t>
  </si>
  <si>
    <t>바른핑거스(주)</t>
  </si>
  <si>
    <t>광주광역시 남구 승촌5길 3 (승촌동)</t>
  </si>
  <si>
    <t>바른핑거스 주식회사</t>
  </si>
  <si>
    <t>경상북도 영덕군 영해면 영덕로 1686-7</t>
  </si>
  <si>
    <t>드림산업주식회사</t>
  </si>
  <si>
    <t>408호(녹번동)</t>
  </si>
  <si>
    <t>서울특별시 은평구 응암로 377 (녹번동)</t>
  </si>
  <si>
    <t>다성비엠씨 주식회사</t>
  </si>
  <si>
    <t>경상북도 경산시 진량읍 영청길 2</t>
  </si>
  <si>
    <t>농업회사법인유한회사아하</t>
  </si>
  <si>
    <t>경기도 포천시 군내면 유교로47번길 28</t>
  </si>
  <si>
    <t>농업회사법인 주식회사 제이에이치임업</t>
  </si>
  <si>
    <t>전라남도 화순군 화순읍 화남길 14</t>
  </si>
  <si>
    <t>가온건설주식회사</t>
  </si>
  <si>
    <t>가구와공간</t>
  </si>
  <si>
    <t>경기도 포천시 가산면 마정로69번길 49</t>
  </si>
  <si>
    <t>경기도 화성시 향남읍 발안로 411-31</t>
  </si>
  <si>
    <t>(주)힐링텍</t>
  </si>
  <si>
    <t>경기도 용인시 처인구 이동읍 서리로101번길 22</t>
  </si>
  <si>
    <t>(주)효성테크</t>
  </si>
  <si>
    <t>기타 도로 화물 운송업</t>
  </si>
  <si>
    <t>경기도 시흥시 정왕천로 279 (정왕동)</t>
  </si>
  <si>
    <t>(주)케이에스로지스</t>
  </si>
  <si>
    <t>B동 605호</t>
  </si>
  <si>
    <t>(주)제이씨에프테크놀러지</t>
  </si>
  <si>
    <t>369호</t>
  </si>
  <si>
    <t>충청북도 청주시 청원구 상당로 314 (내덕동)</t>
  </si>
  <si>
    <t>(주)엔이에스</t>
  </si>
  <si>
    <t>산학연교육연구관805호</t>
  </si>
  <si>
    <t>(주)에이치티</t>
  </si>
  <si>
    <t>경기도 안산시 단원구 광덕2로 193-19 (고잔동)</t>
  </si>
  <si>
    <t>(주)라비주얼</t>
  </si>
  <si>
    <t>가정용 및 장식용 도자기 제조업</t>
  </si>
  <si>
    <t>서울한영대학교 영성동 4층</t>
  </si>
  <si>
    <t>서울특별시 구로구 경인로 290-42 (개봉동)</t>
  </si>
  <si>
    <t>(주)드림로드커뮤니케이션즈</t>
  </si>
  <si>
    <t>전라북도 익산시 함열읍 상조석재길 6</t>
  </si>
  <si>
    <t>(주)대광창호</t>
  </si>
  <si>
    <t>(주)광성이엔지</t>
  </si>
  <si>
    <t>충청북도 음성군 삼성면 금율로 345</t>
  </si>
  <si>
    <t>15동 1 2층 11호 (유통단지산업용재관)</t>
  </si>
  <si>
    <t>호암산업</t>
  </si>
  <si>
    <t>하워드관103호</t>
  </si>
  <si>
    <t>풍성한주식회사</t>
  </si>
  <si>
    <t>정형 내화 요업제품 제조업</t>
  </si>
  <si>
    <t>경상남도 합천군 초계면 동부로 993</t>
  </si>
  <si>
    <t>주식회사주원산업</t>
  </si>
  <si>
    <t>황금종합상가 201호</t>
  </si>
  <si>
    <t>대구광역시 수성구 청수로45길 41 (황금동 황금3주공아파트)</t>
  </si>
  <si>
    <t>주식회사브라이트지엔에스</t>
  </si>
  <si>
    <t>경기도 남양주시 진접읍 내각1로89번길 64</t>
  </si>
  <si>
    <t>주식회사 파라코퍼레이션</t>
  </si>
  <si>
    <t>충청남도 논산시 시민로294번길 8-4 (내동)</t>
  </si>
  <si>
    <t>주식회사 다올</t>
  </si>
  <si>
    <t>(주)남도테크닉스</t>
  </si>
  <si>
    <t>전라남도 여수시 소라면 덕양로 346</t>
  </si>
  <si>
    <t>주식회사 남도테크닉스</t>
  </si>
  <si>
    <t>세종특별자치시 장군면 평기길 108-41</t>
  </si>
  <si>
    <t>장군기획</t>
  </si>
  <si>
    <t>대구광역시 중구 관덕정길 64 (남산동)</t>
  </si>
  <si>
    <t>이리스인테리어연합</t>
  </si>
  <si>
    <t>경상북도 포항시 북구 신덕로 239 (장성동)</t>
  </si>
  <si>
    <t>오피스큐 포항점</t>
  </si>
  <si>
    <t>서울특별시 강남구 테헤란로2길 8 (역삼동)</t>
  </si>
  <si>
    <t>오투스튜디오</t>
  </si>
  <si>
    <t>윤활유 및 그리스 제조업</t>
  </si>
  <si>
    <t>경기도 고양시 일산동구 멱절길 324-227 (장항동)</t>
  </si>
  <si>
    <t>오일마스타</t>
  </si>
  <si>
    <t>403404호</t>
  </si>
  <si>
    <t>경기도 군포시 송부로74번길 3-40 (도마교동)</t>
  </si>
  <si>
    <t>예미담치과의원</t>
  </si>
  <si>
    <t>경상북도 구미시 봉곡로4길 11 (봉곡동)</t>
  </si>
  <si>
    <t>영일이엔씨(주)</t>
  </si>
  <si>
    <t>창업존 832호</t>
  </si>
  <si>
    <t>에스지테크놀리지</t>
  </si>
  <si>
    <t>경상남도 창원시 성산구 공단로474번길 21-34 (성산동)</t>
  </si>
  <si>
    <t>에스와이산업</t>
  </si>
  <si>
    <t>102-1103</t>
  </si>
  <si>
    <t>에스로하</t>
  </si>
  <si>
    <t>충청남도 아산시 배방읍 휴대세교길 256</t>
  </si>
  <si>
    <t>알앤지테크</t>
  </si>
  <si>
    <t>모빌리오</t>
  </si>
  <si>
    <t>서울특별시 노원구 공릉로39길 21 (공릉동 서로퍼스트빌)</t>
  </si>
  <si>
    <t>디에스전기</t>
  </si>
  <si>
    <t>광성빌딩 2층</t>
  </si>
  <si>
    <t>대전광역시 중구 수침로55번길 16 (태평동)</t>
  </si>
  <si>
    <t>가온컴퍼니</t>
  </si>
  <si>
    <t>주3동</t>
  </si>
  <si>
    <t>충청북도 청주시 청원구 내수읍 충청대로 537</t>
  </si>
  <si>
    <t>(주)태건산업개발</t>
  </si>
  <si>
    <t>판지 상자 및 용기 제조업</t>
  </si>
  <si>
    <t>경기도 광주시 초월읍 용수길 14-50</t>
  </si>
  <si>
    <t>청원코팅</t>
  </si>
  <si>
    <t>주식회사윤퓨처스</t>
  </si>
  <si>
    <t>2001호</t>
  </si>
  <si>
    <t>주식회사 포데로사</t>
  </si>
  <si>
    <t>구포리797</t>
  </si>
  <si>
    <t>경상남도 함안군 칠서면 구포2길 62-27</t>
  </si>
  <si>
    <t>대구광역시 수성구 달구벌대로649길 14 (신매동 아이프라임신매아파트)</t>
  </si>
  <si>
    <t>블루드론</t>
  </si>
  <si>
    <t>건어물 및 젓갈류 도매업</t>
  </si>
  <si>
    <t>경기도 포천시 가산면 가산로14번길 37</t>
  </si>
  <si>
    <t>대흥수산</t>
  </si>
  <si>
    <t>경기도 평택시 서탄면 서탄로 470-12</t>
  </si>
  <si>
    <t>(주)큐라텍</t>
  </si>
  <si>
    <t>지도 제작업</t>
  </si>
  <si>
    <t>912호</t>
  </si>
  <si>
    <t>한국항공촬영주식회사</t>
  </si>
  <si>
    <t>808호</t>
  </si>
  <si>
    <t>서울특별시 종로구 난계로 259 (숭인동)</t>
  </si>
  <si>
    <t>한 네이처</t>
  </si>
  <si>
    <t>전라북도 군산시 양안3길 48 (조촌동)</t>
  </si>
  <si>
    <t>지니어스</t>
  </si>
  <si>
    <t>경상남도 김해시 진례면 고모로180번길 109-25</t>
  </si>
  <si>
    <t>주식회사 태성이엔피</t>
  </si>
  <si>
    <t>창업보육센터2호관 1209호</t>
  </si>
  <si>
    <t>주식회사 케이비로드</t>
  </si>
  <si>
    <t>플라스틱 합성피혁 제조업</t>
  </si>
  <si>
    <t>전라남도 순천시 덕암삼거리길 11 (덕암동)</t>
  </si>
  <si>
    <t>주식회사 이지탑</t>
  </si>
  <si>
    <t>장식용 목제품 제조업</t>
  </si>
  <si>
    <t>1동 701호</t>
  </si>
  <si>
    <t>전라남도 나주시 빛가람로 737 (빛가람동)</t>
  </si>
  <si>
    <t>주식회사 이룸스토리</t>
  </si>
  <si>
    <t>일반 창고업</t>
  </si>
  <si>
    <t>경기도 수원시 권선구 서부로 1654 (고색동)</t>
  </si>
  <si>
    <t>주식회사 아토즈컴퍼니</t>
  </si>
  <si>
    <t>창업보육센터 5관 203호</t>
  </si>
  <si>
    <t>충청북도 청주시 청원구 내수읍 덕암길 10</t>
  </si>
  <si>
    <t>주식회사 솔라앤시스</t>
  </si>
  <si>
    <t>에이동 3008호</t>
  </si>
  <si>
    <t>주식회사 비디오로그</t>
  </si>
  <si>
    <t>정우플로우주식회사</t>
  </si>
  <si>
    <t>부산광역시 강서구 미음산단1로15번길 41 (구랑동)</t>
  </si>
  <si>
    <t>정우플로우 주식회사</t>
  </si>
  <si>
    <t>인천광역시 옹진군 영흥면 영흥북로231번길 137</t>
  </si>
  <si>
    <t>이에스종합상사</t>
  </si>
  <si>
    <t>안경 및 렌즈 소매업</t>
  </si>
  <si>
    <t>경기도 성남시 수정구 위례광장로 27 (창곡동)</t>
  </si>
  <si>
    <t>위례감동안경</t>
  </si>
  <si>
    <t>아르벨 엔젤공방</t>
  </si>
  <si>
    <t>서울특별시 강동구 성안로 106 (성내동)</t>
  </si>
  <si>
    <t>옴니스</t>
  </si>
  <si>
    <t>서울특별시 서초구 방배로25길 31 (방배동 우평스위트빌)</t>
  </si>
  <si>
    <t>예감플랜</t>
  </si>
  <si>
    <t>경기도 양주시 은현면 운하로101번길 166-85</t>
  </si>
  <si>
    <t>바이오크리트</t>
  </si>
  <si>
    <t>대구광역시 북구 노원로9길 17-10 (노원동3가)</t>
  </si>
  <si>
    <t>대경테크</t>
  </si>
  <si>
    <t>경상북도 포항시 북구 법원로111번길 9-3 (장성동)</t>
  </si>
  <si>
    <t>나무누리</t>
  </si>
  <si>
    <t>경기도 수원시 장안구 율전로101번길 54 (율전동)</t>
  </si>
  <si>
    <t>가모사회적협동조합</t>
  </si>
  <si>
    <t>8층(보정동 풍산프라자)</t>
  </si>
  <si>
    <t>경기도 용인시 기흥구 죽전로 17 (보정동)</t>
  </si>
  <si>
    <t>(주)파인젠</t>
  </si>
  <si>
    <t>1105~1106호</t>
  </si>
  <si>
    <t>인천광역시 서구 로봇랜드로 155-11 (청라동)</t>
  </si>
  <si>
    <t>(주)와우미래기술</t>
  </si>
  <si>
    <t>159호 (주)애드클래스</t>
  </si>
  <si>
    <t>부산광역시 해운대구 APEC로 55 (우동)</t>
  </si>
  <si>
    <t>(주)애드클래스</t>
  </si>
  <si>
    <t>경기도 평택시 송탄공원로 135 (지산동 현대아파트)</t>
  </si>
  <si>
    <t>(주)아이그라스</t>
  </si>
  <si>
    <t>세종특별자치시 나성로 125-10 (나성동)</t>
  </si>
  <si>
    <t>(주)바른기업</t>
  </si>
  <si>
    <t>에코드림</t>
  </si>
  <si>
    <t>전라남도 광양시 폭포사랑길 99 (금호동)</t>
  </si>
  <si>
    <t>(주) 에코드림</t>
  </si>
  <si>
    <t>엠동 1803호(송도동)</t>
  </si>
  <si>
    <t>(유)다온시스</t>
  </si>
  <si>
    <t>경상남도 창원시 의창구 평산로8번길 18 (팔용동)</t>
  </si>
  <si>
    <t>티에스정밀</t>
  </si>
  <si>
    <t>경상남도 창원시 성산구 성주로 69 (남산동)</t>
  </si>
  <si>
    <t>태산테크</t>
  </si>
  <si>
    <t>전라남도 장성군 장성읍 단풍로 243</t>
  </si>
  <si>
    <t>청소반장 주식회사</t>
  </si>
  <si>
    <t>914호</t>
  </si>
  <si>
    <t>경기도 안산시 단원구 원포공원1로 7 (초지동)</t>
  </si>
  <si>
    <t>주식회사 파크조경</t>
  </si>
  <si>
    <t>서울특별시 서초구 방배천로 148 (방배동)</t>
  </si>
  <si>
    <t>주식회사 크레도데이타</t>
  </si>
  <si>
    <t>전라남도 무안군 삼향읍 영산로 990</t>
  </si>
  <si>
    <t>주식회사 천풍</t>
  </si>
  <si>
    <t>충청북도 청주시 청원구 외남로 118 (외남동)</t>
  </si>
  <si>
    <t>주식회사 지강산업</t>
  </si>
  <si>
    <t>제주특별자치도 제주시 애월읍 유수암로 186</t>
  </si>
  <si>
    <t>주식회사 와림</t>
  </si>
  <si>
    <t>경기도 평택시 진위면 하북2길 64-14</t>
  </si>
  <si>
    <t>이플러스</t>
  </si>
  <si>
    <t>101-1512</t>
  </si>
  <si>
    <t>서울특별시 영등포구 영등포로 106 (당산동2가 대우아파트)</t>
  </si>
  <si>
    <t>위대한캣츠비</t>
  </si>
  <si>
    <t>외 182 184-4</t>
  </si>
  <si>
    <t>충청남도 논산시 광석면 사계로 184</t>
  </si>
  <si>
    <t>오에스시스템</t>
  </si>
  <si>
    <t>엘로이미디어</t>
  </si>
  <si>
    <t>5층(서운동)</t>
  </si>
  <si>
    <t>인천광역시 계양구 서운산단로2길 17 (서운동)</t>
  </si>
  <si>
    <t>엔텍그린 주식회사</t>
  </si>
  <si>
    <t>406호(송도테크노파크 BT센터)</t>
  </si>
  <si>
    <t>상호테크</t>
  </si>
  <si>
    <t>경기도 파주시 파주읍 샛봉우재길 270-6</t>
  </si>
  <si>
    <t>박씨목수</t>
  </si>
  <si>
    <t>2동 604호</t>
  </si>
  <si>
    <t>서울특별시 은평구 백련산로 127 (응암동 신동아아파트)</t>
  </si>
  <si>
    <t>랭프랜</t>
  </si>
  <si>
    <t>A동 1704호</t>
  </si>
  <si>
    <t>디자인콕스</t>
  </si>
  <si>
    <t>내촌면 마명리 274-4</t>
  </si>
  <si>
    <t>경기도 포천시 내촌면 부마로 290</t>
  </si>
  <si>
    <t>동명보드</t>
  </si>
  <si>
    <t>105동 3201호</t>
  </si>
  <si>
    <t>인천광역시 미추홀구 아암대로29번길 16 (용현동 인천 용현 엑슬루타워)</t>
  </si>
  <si>
    <t>(주)혜성코리아</t>
  </si>
  <si>
    <t>(매산리 647)</t>
  </si>
  <si>
    <t>경기도 용인시 처인구 모현읍 곡현로 419</t>
  </si>
  <si>
    <t>(주)해오름가구</t>
  </si>
  <si>
    <t>경상북도 포항시 남구 연일읍 유강길10번길 34-2</t>
  </si>
  <si>
    <t>(주)포아시스</t>
  </si>
  <si>
    <t>(주)에코아미가</t>
  </si>
  <si>
    <t>충청남도 천안시 서북구 성거읍 오목모전길 56-24</t>
  </si>
  <si>
    <t>(주)수피아엘이디</t>
  </si>
  <si>
    <t>해운대 청년채움공간 D동 LAB10</t>
  </si>
  <si>
    <t>부산광역시 해운대구 센텀동로 200 (재송동)</t>
  </si>
  <si>
    <t>(주)샤콘느</t>
  </si>
  <si>
    <t>신만덕상가빌딩 3층 305호</t>
  </si>
  <si>
    <t>부산광역시 북구 만덕2로 13 (만덕동)</t>
  </si>
  <si>
    <t>(주)미주정보통신</t>
  </si>
  <si>
    <t>에이스하이테크시티 4동 409호</t>
  </si>
  <si>
    <t>(주)데이타스</t>
  </si>
  <si>
    <t>공학원 212비</t>
  </si>
  <si>
    <t>(주)다이어</t>
  </si>
  <si>
    <t>경기도 포천시 소흘읍 호국로 223-24</t>
  </si>
  <si>
    <t>한촌fs</t>
  </si>
  <si>
    <t>경기도 파주시 탄현면 가시내길 104-3</t>
  </si>
  <si>
    <t>주식회사 제이케이알루미늄</t>
  </si>
  <si>
    <t>서울특별시 중구 다산로 83-1 (신당동)</t>
  </si>
  <si>
    <t>주식회사 애니컴테라피우틱스</t>
  </si>
  <si>
    <t>경기도 부천시 장말로237번길 6 (중동)</t>
  </si>
  <si>
    <t>와이엠몰</t>
  </si>
  <si>
    <t>충청남도 금산군 추부면 신평공단1로 50</t>
  </si>
  <si>
    <t>농업회사법인 탑미트주식회사</t>
  </si>
  <si>
    <t>에이치디에스</t>
  </si>
  <si>
    <t>전라남도 나주시 노안면 계림로 181</t>
  </si>
  <si>
    <t>(주)에이치디에스건설</t>
  </si>
  <si>
    <t>한영테크</t>
  </si>
  <si>
    <t>부산광역시 부산진구 서면문화로 27 (부전동)</t>
  </si>
  <si>
    <t>한성원주식회사</t>
  </si>
  <si>
    <t>2층 중장년-3-1호</t>
  </si>
  <si>
    <t>경상북도 칠곡군 왜관읍 공단로1길 7</t>
  </si>
  <si>
    <t>케이와이 CUBE</t>
  </si>
  <si>
    <t>경기도 포천시 가산면 가산로147번길 23-10</t>
  </si>
  <si>
    <t>케이앤비 (K&amp;B)</t>
  </si>
  <si>
    <t>6010호</t>
  </si>
  <si>
    <t>서울특별시 강남구 테헤란로 431 (삼성동)</t>
  </si>
  <si>
    <t>주식회사크레망</t>
  </si>
  <si>
    <t>경기도 수원시 영통구 법조로149번길 29 (하동)</t>
  </si>
  <si>
    <t>주식회사 플라츠</t>
  </si>
  <si>
    <t>611호 (갤러리세종프라자)</t>
  </si>
  <si>
    <t>세종특별자치시 국세청로 4 (나성동)</t>
  </si>
  <si>
    <t>주식회사 태연건설산업</t>
  </si>
  <si>
    <t>벽산빌딩 4층</t>
  </si>
  <si>
    <t>서울특별시 서초구 서래로 48 (반포동)</t>
  </si>
  <si>
    <t>주식회사 크로스티앤씨</t>
  </si>
  <si>
    <t>2층 204호</t>
  </si>
  <si>
    <t>경기도 남양주시 진건읍 진관산단로70번길 8-20</t>
  </si>
  <si>
    <t>주식회사 코아미코리아</t>
  </si>
  <si>
    <t>주식회사 지란지교데이터</t>
  </si>
  <si>
    <t>주식회사 주</t>
  </si>
  <si>
    <t>서울특별시 금천구 가산디지털1로 171 (가산동)</t>
  </si>
  <si>
    <t>주식회사 옵스테크</t>
  </si>
  <si>
    <t>공구상가 2동 206호</t>
  </si>
  <si>
    <t>주식회사 오솔정보기술</t>
  </si>
  <si>
    <t>서울특별시 용산구 한남대로42가길 22 (한남동)</t>
  </si>
  <si>
    <t>주식회사 스타일컨설트</t>
  </si>
  <si>
    <t>주식회사 살루스</t>
  </si>
  <si>
    <t>광주광역시 광산구 평동산단로 246-27 (월전동)</t>
  </si>
  <si>
    <t>인천광역시 남동구 호구포로120번길 2 (고잔동)</t>
  </si>
  <si>
    <t>주식회사 로드원</t>
  </si>
  <si>
    <t>주식회사 동진에스앤디</t>
  </si>
  <si>
    <t>주식회사 개명</t>
  </si>
  <si>
    <t>경상남도 거창군 위천면 당산농공길 56</t>
  </si>
  <si>
    <t>안전유리 제조업</t>
  </si>
  <si>
    <t>전라북도 정읍시 2산단2길 33 (하북동)</t>
  </si>
  <si>
    <t>제일유리주식회사</t>
  </si>
  <si>
    <t>서울특별시 강남구 도산대로38길 22 (논현동)</t>
  </si>
  <si>
    <t>이티이 주식회사</t>
  </si>
  <si>
    <t>서울특별시 동작구 양녕로25다길 27 (상도동 대흥미소가)</t>
  </si>
  <si>
    <t>에스커럴</t>
  </si>
  <si>
    <t>충청북도 충주시 대소원면 첨단쉼터1길 22</t>
  </si>
  <si>
    <t>에스비상사(SB상사)</t>
  </si>
  <si>
    <t>경기도 김포시 통진읍 마송2로104번길 132-56</t>
  </si>
  <si>
    <t>데코판넬</t>
  </si>
  <si>
    <t>에스앤유텍內 넥스원</t>
  </si>
  <si>
    <t>충청남도 천안시 서북구 직산읍 상덕로 213</t>
  </si>
  <si>
    <t>넥스원</t>
  </si>
  <si>
    <t>5~6호</t>
  </si>
  <si>
    <t>경기도 용인시 처인구 원삼면 미평로 84</t>
  </si>
  <si>
    <t>(주)해피브릿지로지스</t>
  </si>
  <si>
    <t>(주)하랑커뮤니티</t>
  </si>
  <si>
    <t>대전광역시 유성구 복용북로33번길 16-20 (복용동)</t>
  </si>
  <si>
    <t>경상북도 문경시 가은읍 공단강변길 197</t>
  </si>
  <si>
    <t>(주)에코제이피</t>
  </si>
  <si>
    <t>전라북도 익산시 함열읍 익산대로 1547-17</t>
  </si>
  <si>
    <t>(주)디자인블록</t>
  </si>
  <si>
    <t>경기도 구리시 경춘로16번길 14-2 (교문동)</t>
  </si>
  <si>
    <t>(주)다산정보통신</t>
  </si>
  <si>
    <t>경기도 용인시 기흥구 석현로16번길 4 (영덕동)</t>
  </si>
  <si>
    <t>하은전자(주)</t>
  </si>
  <si>
    <t>인천광역시 서구 백범로810번길 20 (가좌동)</t>
  </si>
  <si>
    <t>킹스타라이팅주식회사</t>
  </si>
  <si>
    <t>충청남도 금산군 복수면 복수공단길 40-6</t>
  </si>
  <si>
    <t>집스일렉</t>
  </si>
  <si>
    <t>기타 수산동물 가공 및 저장 처리업</t>
  </si>
  <si>
    <t>비지니스센터 211호</t>
  </si>
  <si>
    <t>부산광역시 해운대구 송정해변로 28 (송정동)</t>
  </si>
  <si>
    <t>주식회사올바른</t>
  </si>
  <si>
    <t>경상남도 거제시 문동1길 16-2 (문동동)</t>
  </si>
  <si>
    <t>주식회사 희망이엔지</t>
  </si>
  <si>
    <t>3층 A-7호</t>
  </si>
  <si>
    <t>주식회사 펠리즈코스</t>
  </si>
  <si>
    <t>메카존 6층 620호(이젠 아파트형 공장)</t>
  </si>
  <si>
    <t>경기도 김포시 양촌읍 황금로 117</t>
  </si>
  <si>
    <t>주식회사 이케이엠</t>
  </si>
  <si>
    <t>서울특별시 송파구 삼학사로19길 38-1 (삼전동)</t>
  </si>
  <si>
    <t>주식회사 이오디</t>
  </si>
  <si>
    <t>경기도 파주시 적성면 감악산로 1412</t>
  </si>
  <si>
    <t>주식회사 우진기업</t>
  </si>
  <si>
    <t>923호</t>
  </si>
  <si>
    <t>서울특별시 강동구 천호대로 1073 (천호동)</t>
  </si>
  <si>
    <t>주식회사 에버그린티앤씨</t>
  </si>
  <si>
    <t>서울특별시 서초구 반포대로30길 81 (서초동)</t>
  </si>
  <si>
    <t>주식회사 아이티몬스터</t>
  </si>
  <si>
    <t>김치류 제조업</t>
  </si>
  <si>
    <t>주식회사 소셜바이오</t>
  </si>
  <si>
    <t>전라남도 여수시 돌산읍 돌산로 2080-18</t>
  </si>
  <si>
    <t>나동 3층</t>
  </si>
  <si>
    <t>광주광역시 광산구 평동로803번길 83-26 (용동)</t>
  </si>
  <si>
    <t>주식회사 맑음</t>
  </si>
  <si>
    <t>경기도 광주시 도척면 마도로 174-68</t>
  </si>
  <si>
    <t>주식회사 마메드</t>
  </si>
  <si>
    <t>에이동 1711-1호</t>
  </si>
  <si>
    <t>주식회사 동명이엔에스</t>
  </si>
  <si>
    <t>1층(미아동)</t>
  </si>
  <si>
    <t>서울특별시 강북구 도봉로23나길 2 (미아동)</t>
  </si>
  <si>
    <t>주식회사 다이나믹 코어스</t>
  </si>
  <si>
    <t>경기도 남양주시 화도읍 재재기로 158</t>
  </si>
  <si>
    <t>주식회사 경기도장애인기업</t>
  </si>
  <si>
    <t>대구콘텐츠 센터 4층</t>
  </si>
  <si>
    <t>대구광역시 동구 동대구로 471 (신천동)</t>
  </si>
  <si>
    <t>이티에스 허브</t>
  </si>
  <si>
    <t>라디오 녹음 및 재생 기기 제조업</t>
  </si>
  <si>
    <t>창업보육센터 703호</t>
  </si>
  <si>
    <t>유위컴</t>
  </si>
  <si>
    <t>전라남도 해남군 해남읍 남부순환로 91</t>
  </si>
  <si>
    <t>예민테크닉스 주식회사</t>
  </si>
  <si>
    <t>513-2</t>
  </si>
  <si>
    <t>울산광역시 북구 산성로 40 (효문동)</t>
  </si>
  <si>
    <t>영시스템</t>
  </si>
  <si>
    <t>조미료 도매업</t>
  </si>
  <si>
    <t>19층 1901-1-2호</t>
  </si>
  <si>
    <t>서울특별시 금천구 가산디지털1로 137 (가산동)</t>
  </si>
  <si>
    <t>엘씨케이바이오주식회사</t>
  </si>
  <si>
    <t>전라남도 광양시 광양읍 읍성2길 17</t>
  </si>
  <si>
    <t>엔에스인포(주)</t>
  </si>
  <si>
    <t>에스2엠테크</t>
  </si>
  <si>
    <t>앤탑</t>
  </si>
  <si>
    <t>경상남도 함안군 산인면 송정2길 81-49</t>
  </si>
  <si>
    <t>경기도 김포시 대곶면 대곶북로 124-11</t>
  </si>
  <si>
    <t>신우테크</t>
  </si>
  <si>
    <t>경상북도 경산시 하양읍 하양로 13-13</t>
  </si>
  <si>
    <t>마루chemical</t>
  </si>
  <si>
    <t>106동 1201호</t>
  </si>
  <si>
    <t>전라남도 여수시 소호7길 36 (소호동 프레지던트아파트)</t>
  </si>
  <si>
    <t>라온테크코리아</t>
  </si>
  <si>
    <t>경상남도 함양군 지곡면 함양로 1656</t>
  </si>
  <si>
    <t>드림하우징</t>
  </si>
  <si>
    <t>테크노빌 A동 209호</t>
  </si>
  <si>
    <t>대성</t>
  </si>
  <si>
    <t>종자 및 묘목 생산업</t>
  </si>
  <si>
    <t>외부리528</t>
  </si>
  <si>
    <t>경상남도 창녕군 창녕읍 계서길 5-9</t>
  </si>
  <si>
    <t>농업회사법인(주)금화</t>
  </si>
  <si>
    <t>창업연당 108호</t>
  </si>
  <si>
    <t>전라남도 순천시 장선배기2길 16-1 (조례동)</t>
  </si>
  <si>
    <t>굿사인</t>
  </si>
  <si>
    <t>(주)화신하이테크</t>
  </si>
  <si>
    <t>부산광역시 강서구 녹산산업북로313번길 28-1 (송정동)</t>
  </si>
  <si>
    <t>인천광역시 서구 파랑로 536 (청라동)</t>
  </si>
  <si>
    <t>(주)한성컴퓨터</t>
  </si>
  <si>
    <t>B동11층 1118호</t>
  </si>
  <si>
    <t>서울특별시 마포구 월드컵북로54길 17 (상암동)</t>
  </si>
  <si>
    <t>(주)한모음</t>
  </si>
  <si>
    <t>경기도 하남시 초광산단로 13 (초이동)</t>
  </si>
  <si>
    <t>(주)하남금속산업</t>
  </si>
  <si>
    <t>한국해양대학교 아산관 510호</t>
  </si>
  <si>
    <t>부산광역시 영도구 태종로 727 (동삼동)</t>
  </si>
  <si>
    <t>(주)파이시스소프트</t>
  </si>
  <si>
    <t>강원도 춘천시 칠전서길 46-13 (칠전동)</t>
  </si>
  <si>
    <t>(주)코아루</t>
  </si>
  <si>
    <t>충청남도 태안군 태안읍 시장6길 5-1</t>
  </si>
  <si>
    <t>(주)케이피에스</t>
  </si>
  <si>
    <t>두부 및 유사 식품 제조업</t>
  </si>
  <si>
    <t>경상남도 진주시 대곡면 진의로 1252</t>
  </si>
  <si>
    <t>(주)참진정</t>
  </si>
  <si>
    <t>경기도 화성시 남양읍 역골로60번길 19-12</t>
  </si>
  <si>
    <t>(주)이한</t>
  </si>
  <si>
    <t>서울특별시 강동구 올림픽로 807 (암사동)</t>
  </si>
  <si>
    <t>(주)엠제이케이트레이딩</t>
  </si>
  <si>
    <t>경상남도 합천군 적중면 황강옥전로 1783</t>
  </si>
  <si>
    <t>(주)씨앤테크</t>
  </si>
  <si>
    <t>문정아이파크 102호. 103호. 104호.140호</t>
  </si>
  <si>
    <t>서울특별시 송파구 법원로4길 6 (문정동)</t>
  </si>
  <si>
    <t>(주)겸유컴퍼니</t>
  </si>
  <si>
    <t>창호테크</t>
  </si>
  <si>
    <t>부산광역시 사하구 장평로 13 (장림동)</t>
  </si>
  <si>
    <t>주식회사 하모니헬스케어</t>
  </si>
  <si>
    <t>7층 711호</t>
  </si>
  <si>
    <t>올담소</t>
  </si>
  <si>
    <t>디오밸리 418호</t>
  </si>
  <si>
    <t>세린인터내셔날</t>
  </si>
  <si>
    <t>세덕테크</t>
  </si>
  <si>
    <t>충남대학교 산학연교육연구관 807호</t>
  </si>
  <si>
    <t>(주)지씨아이</t>
  </si>
  <si>
    <t>강원도 원주시 문막읍 동화큰골길 9</t>
  </si>
  <si>
    <t>한라기업주식회사</t>
  </si>
  <si>
    <t>도로 및 관련시설 운영업</t>
  </si>
  <si>
    <t>2동 905호</t>
  </si>
  <si>
    <t>카투(주)</t>
  </si>
  <si>
    <t>광주광역시 광산구 평동로803번길 49 (옥동)</t>
  </si>
  <si>
    <t>주식회사 한길커뮤니티</t>
  </si>
  <si>
    <t>1908-3호(대륭포스트타워6차)</t>
  </si>
  <si>
    <t>서울특별시 금천구 벚꽃로 298 (가산동)</t>
  </si>
  <si>
    <t>주식회사 크레폼</t>
  </si>
  <si>
    <t>㈜중앙산업개발</t>
  </si>
  <si>
    <t>전라남도 순천시 서면 매천로 390</t>
  </si>
  <si>
    <t>주식회사 중앙산업개발</t>
  </si>
  <si>
    <t>대전광역시 동구 현암로 65 (삼성동)</t>
  </si>
  <si>
    <t>주식회사 제이엠인더스</t>
  </si>
  <si>
    <t>광명테크노파크 E동 6층 605호</t>
  </si>
  <si>
    <t>주식회사 제이더블유</t>
  </si>
  <si>
    <t>기술혁신B동 402호</t>
  </si>
  <si>
    <t>울산광역시 중구 종가로 15 (다운동)</t>
  </si>
  <si>
    <t>주식회사 인사이트온</t>
  </si>
  <si>
    <t>주식회사 앤타스</t>
  </si>
  <si>
    <t>공장동 5층 504호(백석동 일산테크노타운)</t>
  </si>
  <si>
    <t>주식회사 라텔(RATEL)</t>
  </si>
  <si>
    <t>전라남도 순천시 용당둑길 183 (조곡동)</t>
  </si>
  <si>
    <t>주식회사 드림컴퍼니</t>
  </si>
  <si>
    <t>인천광역시 계양구 계산새로 85 (용종동)</t>
  </si>
  <si>
    <t>주식회사 두힘</t>
  </si>
  <si>
    <t>801호내 에이치163</t>
  </si>
  <si>
    <t>주식회사 다연</t>
  </si>
  <si>
    <t>경기도 부천시 부천로409번길 70 (내동)</t>
  </si>
  <si>
    <t>주식회사 다다전기</t>
  </si>
  <si>
    <t>경상북도 경산시 남매공원로1길 9 (계양동)</t>
  </si>
  <si>
    <t>주식회사 누리지오시스템</t>
  </si>
  <si>
    <t>서울여자대학교 고명우기념관 301호</t>
  </si>
  <si>
    <t>서울특별시 노원구 화랑로 621 (공릉동)</t>
  </si>
  <si>
    <t>이은교육주식회사</t>
  </si>
  <si>
    <t>우리정공(주)</t>
  </si>
  <si>
    <t>운송장비용 조명장치 제조업</t>
  </si>
  <si>
    <t>디동 606호</t>
  </si>
  <si>
    <t>비젼아이티에스 주식회사</t>
  </si>
  <si>
    <t>경기도 화성시 정남면 덕절창말길 53-78</t>
  </si>
  <si>
    <t>더어울림</t>
  </si>
  <si>
    <t>충청남도 부여군 부여읍 삼충로 301-1</t>
  </si>
  <si>
    <t>늘푸른길 주식회사</t>
  </si>
  <si>
    <t>그리너스</t>
  </si>
  <si>
    <t>대전광역시 유성구 원내로39번길 42-14 (원내동)</t>
  </si>
  <si>
    <t>광성산업</t>
  </si>
  <si>
    <t>전라남도 담양군 금성면 금성공단길 31-2</t>
  </si>
  <si>
    <t>(주)칸타</t>
  </si>
  <si>
    <t>(주)우리일렉콤</t>
  </si>
  <si>
    <t>경상북도 경주시 서면 부운율전길 23-1</t>
  </si>
  <si>
    <t>서울국제유통센터 C동 305호</t>
  </si>
  <si>
    <t>서울특별시 강서구 공항대로61길 29 (등촌동)</t>
  </si>
  <si>
    <t>(주)여심서울</t>
  </si>
  <si>
    <t>561호</t>
  </si>
  <si>
    <t>대전광역시 서구 계룡로 366 (갈마동)</t>
  </si>
  <si>
    <t>(주)명장포렌식</t>
  </si>
  <si>
    <t>경상남도 진주시 진성면 진성로464번길 22-1</t>
  </si>
  <si>
    <t>(주)금강휴랜드</t>
  </si>
  <si>
    <t>경기도 광주시 오포읍 오포로 285-23</t>
  </si>
  <si>
    <t>주식회사새빛테크놀러지</t>
  </si>
  <si>
    <t>산 27-3 골든스트릿</t>
  </si>
  <si>
    <t>경기도 포천시 호국로 888-27 (설운동)</t>
  </si>
  <si>
    <t>주식회사골든스트릿</t>
  </si>
  <si>
    <t>2층(통복동)</t>
  </si>
  <si>
    <t>경기도 평택시 통복시장로 47 (통복동)</t>
  </si>
  <si>
    <t>주식회사 해우텍</t>
  </si>
  <si>
    <t>경기도 용인시 처인구 모현읍 충렬로 9-4</t>
  </si>
  <si>
    <t>주식회사 태랑</t>
  </si>
  <si>
    <t>광운대학교캠퍼스타운 사업단</t>
  </si>
  <si>
    <t>서울특별시 노원구 광운로 20 (월계동)</t>
  </si>
  <si>
    <t>주식회사 케이에스에듀</t>
  </si>
  <si>
    <t>경남콘텐츠기업육성센터 306호</t>
  </si>
  <si>
    <t>경상남도 김해시 관동로 14 (관동동)</t>
  </si>
  <si>
    <t>주식회사 커넥팅닷유나이티드</t>
  </si>
  <si>
    <t>218호 (양주테크노시티)</t>
  </si>
  <si>
    <t>주식회사 유씨</t>
  </si>
  <si>
    <t>20층(정자동 킨스타워)</t>
  </si>
  <si>
    <t>주식회사 레이지버드</t>
  </si>
  <si>
    <t>1F 전주비전테크</t>
  </si>
  <si>
    <t>전라북도 전주시 완산구 서신천변5길 11-2 (서신동)</t>
  </si>
  <si>
    <t>전주비전테크</t>
  </si>
  <si>
    <t>면직물 직조업</t>
  </si>
  <si>
    <t>경기도 포천시 신북면 아트밸리로 147-16</t>
  </si>
  <si>
    <t>에스비승보</t>
  </si>
  <si>
    <t>기타 종이 상자 및 용기 제조업</t>
  </si>
  <si>
    <t>경기도 파주시 광탄면 분수리 254-341(3필지)</t>
  </si>
  <si>
    <t>경기도 파주시 광탄면 장지산로 408-22</t>
  </si>
  <si>
    <t>씨제이패키지</t>
  </si>
  <si>
    <t>솔라인</t>
  </si>
  <si>
    <t>505동 104호</t>
  </si>
  <si>
    <t>서울특별시 강남구 헌릉로590길 63 (세곡동 강남데시앙파크)</t>
  </si>
  <si>
    <t>바바</t>
  </si>
  <si>
    <t>충청남도 부여군 홍산면 북토로137번길 29</t>
  </si>
  <si>
    <t>달음</t>
  </si>
  <si>
    <t>기관 구내식당업</t>
  </si>
  <si>
    <t>(주)사람과먹거리</t>
  </si>
  <si>
    <t>경상남도 창원시 성산구 대암로101번길 6-13 (대방동)</t>
  </si>
  <si>
    <t>5층 506호 이도이동(이도이동 오현타워)</t>
  </si>
  <si>
    <t>제주특별자치도 제주시 중앙로 352 (이도이동)</t>
  </si>
  <si>
    <t>(주)백산라이팅</t>
  </si>
  <si>
    <t>충청남도 아산시 탕정면 탕정로 43-8</t>
  </si>
  <si>
    <t>(주)더원이엔씨</t>
  </si>
  <si>
    <t>215호 (시화하이테크지식산업센터)</t>
  </si>
  <si>
    <t>경기도 시흥시 서해안로 242 (정왕동)</t>
  </si>
  <si>
    <t>한국EMA</t>
  </si>
  <si>
    <t>강원도 춘천시 삭주로145번길 45 (후평동)</t>
  </si>
  <si>
    <t>파인어패럴주식회사</t>
  </si>
  <si>
    <t>3층 303-1호</t>
  </si>
  <si>
    <t>서울특별시 강동구 고덕로 47 (암사동 정산아파트)</t>
  </si>
  <si>
    <t>파인스톤</t>
  </si>
  <si>
    <t>경기도 안산시 단원구 엠티브이7로 13 (성곡동)</t>
  </si>
  <si>
    <t>파이시스주식회사</t>
  </si>
  <si>
    <t>충청남도 논산시 연무읍 마봉로 82</t>
  </si>
  <si>
    <t>청정생활과학</t>
  </si>
  <si>
    <t>경기도 안성시 미양면 이박골길 19</t>
  </si>
  <si>
    <t>주식회사엔에이웰</t>
  </si>
  <si>
    <t>경기도 화성시 반월남길 104-5 (반월동)</t>
  </si>
  <si>
    <t>주식회사다산기술연구소</t>
  </si>
  <si>
    <t>광주광역시 북구 연제외촌길 156 (연제동)</t>
  </si>
  <si>
    <t>주식회사 티에스산전</t>
  </si>
  <si>
    <t>주식회사 토니숲</t>
  </si>
  <si>
    <t>대전광역시 동구 산내로1308번길 31 (낭월동)</t>
  </si>
  <si>
    <t>동2문 204호</t>
  </si>
  <si>
    <t>인천광역시 부평구 열우물로 164 (십정동)</t>
  </si>
  <si>
    <t>주식회사 지라인</t>
  </si>
  <si>
    <t>전라남도 나주시 동신대길 34-15 (대호동)</t>
  </si>
  <si>
    <t>주식회사 제이엠엘이디</t>
  </si>
  <si>
    <t>408호(영평동제이디씨스마트빌딩)</t>
  </si>
  <si>
    <t>주식회사 이브이패스</t>
  </si>
  <si>
    <t>인천광역시 서구 한서로 66 (백석동)</t>
  </si>
  <si>
    <t>주식회사 유에스씨</t>
  </si>
  <si>
    <t>6동 206호</t>
  </si>
  <si>
    <t>주식회사 유니스텍</t>
  </si>
  <si>
    <t>세종특별자치시 조치원읍 조치원로 47</t>
  </si>
  <si>
    <t>주식회사 우송종합관리</t>
  </si>
  <si>
    <t>B101</t>
  </si>
  <si>
    <t>경기도 시흥시 시청로68번길 10 (장현동)</t>
  </si>
  <si>
    <t>주식회사 쉴드케이</t>
  </si>
  <si>
    <t>주식회사 비엔아이</t>
  </si>
  <si>
    <t>울산광역시 울주군 범서읍 천상1길 19-14</t>
  </si>
  <si>
    <t>주식회사 백년건축</t>
  </si>
  <si>
    <t>511호(에이스하이엔드타워10차)</t>
  </si>
  <si>
    <t>주식회사 맵인어스</t>
  </si>
  <si>
    <t>전라북도 무주군 무주읍 향한로 15</t>
  </si>
  <si>
    <t>주식회사 덕강</t>
  </si>
  <si>
    <t>1703호</t>
  </si>
  <si>
    <t>주식회사 더구름</t>
  </si>
  <si>
    <t>경상남도 창원시 성산구 반송로 149 (반림동)</t>
  </si>
  <si>
    <t>주식회사 대성큐셀</t>
  </si>
  <si>
    <t>강원도 강릉시 강동면 율곡로 1867-9</t>
  </si>
  <si>
    <t>제이와이테크놀러지</t>
  </si>
  <si>
    <t>경상북도 경주시 외동읍 별미길 20</t>
  </si>
  <si>
    <t>정수필터레이션</t>
  </si>
  <si>
    <t>골드법조프라자 3층 303호</t>
  </si>
  <si>
    <t>전라북도 전주시 덕진구 가인로 20 (만성동)</t>
  </si>
  <si>
    <t>엘티에스과학</t>
  </si>
  <si>
    <t>경기도 여주시 산북면 광여로 1086</t>
  </si>
  <si>
    <t>신일디자인</t>
  </si>
  <si>
    <t>스마트센터1층</t>
  </si>
  <si>
    <t>대전광역시 유성구 과학로 80-67 (가정동)</t>
  </si>
  <si>
    <t>보아스테크</t>
  </si>
  <si>
    <t>509호 산학연클러스터지원센터</t>
  </si>
  <si>
    <t>동해에코에너지주식회사</t>
  </si>
  <si>
    <t>B동 805호</t>
  </si>
  <si>
    <t>경기도 성남시 분당구 정자일로 177 (정자동)</t>
  </si>
  <si>
    <t>넥서스 주식회사</t>
  </si>
  <si>
    <t>진흥마제스타워 102동 1101호</t>
  </si>
  <si>
    <t>부산광역시 부산진구 동평로 197 (부암동 마제스타워 서면)</t>
  </si>
  <si>
    <t>개별화물</t>
  </si>
  <si>
    <t>경기도 남양주시 수동면 모꼬지로 284</t>
  </si>
  <si>
    <t>(주)오션파라다이스</t>
  </si>
  <si>
    <t>대전광역시 서구 괴곡길 135 (정림동)</t>
  </si>
  <si>
    <t>(주)아이티유</t>
  </si>
  <si>
    <t>514호 (월계동 인덕대학교 창업보육센터)</t>
  </si>
  <si>
    <t>(주)브로스랩</t>
  </si>
  <si>
    <t>서울특별시 구로구 구로중앙로28길 35-9 (구로동)</t>
  </si>
  <si>
    <t>(주)보일랩스</t>
  </si>
  <si>
    <t>부산광역시 연제구 고분로98번길 16 (연산동 연산센트럴파크)</t>
  </si>
  <si>
    <t>(주)베스트케이</t>
  </si>
  <si>
    <t>유천동</t>
  </si>
  <si>
    <t>대전광역시 중구 유천로 27-21 (유천동)</t>
  </si>
  <si>
    <t>호두나무장애인보호작업장</t>
  </si>
  <si>
    <t>부산광역시 부산진구 당감로25번길 48 (당감동)</t>
  </si>
  <si>
    <t>해성ENC</t>
  </si>
  <si>
    <t>신구대학교 창업관 402호</t>
  </si>
  <si>
    <t>한옥스토리</t>
  </si>
  <si>
    <t>충청남도 보령시 청소면 충서로 3647-29</t>
  </si>
  <si>
    <t>탑아이티 주식회사</t>
  </si>
  <si>
    <t>부산티플렉스 204동 102호</t>
  </si>
  <si>
    <t>부산광역시 강서구 유통단지1로 50 (대저2동)</t>
  </si>
  <si>
    <t>케이바이오</t>
  </si>
  <si>
    <t>청주시청원구북이면대율현암길23</t>
  </si>
  <si>
    <t>충청북도 청주시 청원구 북이면 대율현암길 23</t>
  </si>
  <si>
    <t>주식회사신흥</t>
  </si>
  <si>
    <t>부산창업보육센터 520호 부경대학교용당캠퍼스</t>
  </si>
  <si>
    <t>주식회사다온에스엔티</t>
  </si>
  <si>
    <t>도시락류 제조업</t>
  </si>
  <si>
    <t>경기도 파주시 월롱면 황소바위길 342-59</t>
  </si>
  <si>
    <t>주식회사 프레시아</t>
  </si>
  <si>
    <t>서울특별시 구로구 디지털로 273 (구로동)</t>
  </si>
  <si>
    <t>주식회사 프래드컴</t>
  </si>
  <si>
    <t>주식회사 태준티제이</t>
  </si>
  <si>
    <t>506호(관동동 경남콘텐츠기업지원센터)</t>
  </si>
  <si>
    <t>주식회사 코코드론</t>
  </si>
  <si>
    <t>경상남도 진주시 동진로 111 (상대동)</t>
  </si>
  <si>
    <t>주식회사 이나인파워텍</t>
  </si>
  <si>
    <t>부산광역시 연제구 중앙대로1043번길 34 (연산동 시청역 SK VIEW)</t>
  </si>
  <si>
    <t>주식회사 세이프앤로드</t>
  </si>
  <si>
    <t>931~2호</t>
  </si>
  <si>
    <t>경기도 안양시 동안구 엘에스로 122 (호계동)</t>
  </si>
  <si>
    <t>주식회사 빛글</t>
  </si>
  <si>
    <t>서울특별시 송파구 양재대로71길 20-30 (방이동)</t>
  </si>
  <si>
    <t>주식회사 듀얼업</t>
  </si>
  <si>
    <t>경기도 김포시 양촌읍 서현로 79</t>
  </si>
  <si>
    <t>주식회사 국민체어</t>
  </si>
  <si>
    <t>유앤미직업재활원</t>
  </si>
  <si>
    <t>경기도 고양시 일산동구 장대길 84 (장항동)</t>
  </si>
  <si>
    <t>대전광역시 동구 우암로295번길 22 (가양동)</t>
  </si>
  <si>
    <t>새롬푸드</t>
  </si>
  <si>
    <t>공연 및 제작관련 대리업</t>
  </si>
  <si>
    <t>3007호</t>
  </si>
  <si>
    <t>문화공작소 협동조합</t>
  </si>
  <si>
    <t>12층 1228호 (월평동 대전무역회관)</t>
  </si>
  <si>
    <t>대전광역시 서구 청사로 136 (월평동)</t>
  </si>
  <si>
    <t>마이스유니온</t>
  </si>
  <si>
    <t>11층 A-2</t>
  </si>
  <si>
    <t>리포츠 주식회사</t>
  </si>
  <si>
    <t>드림사이언스</t>
  </si>
  <si>
    <t>경상남도 양산시 물금읍 가촌동2길 27</t>
  </si>
  <si>
    <t>경상북도 안동시 대안로 15-2 (태화동)</t>
  </si>
  <si>
    <t>도서출판 예인</t>
  </si>
  <si>
    <t>한화비즈메트로1차 709호</t>
  </si>
  <si>
    <t>서울특별시 구로구 디지털로 242 (구로동)</t>
  </si>
  <si>
    <t>(주)클라모스</t>
  </si>
  <si>
    <t>서울특별시 송파구 송파대로 438 (송파동)</t>
  </si>
  <si>
    <t>(주)코보라바이오</t>
  </si>
  <si>
    <t>강원도 횡성군 공근면 아이티밸리길 55-24</t>
  </si>
  <si>
    <t>(주)지오에코텍</t>
  </si>
  <si>
    <t>대왕빌딩 3층 305호</t>
  </si>
  <si>
    <t>대구광역시 달서구 학산남로 6 (상인동)</t>
  </si>
  <si>
    <t>(주)에스오피에스</t>
  </si>
  <si>
    <t>창업보육센터 다산관210호</t>
  </si>
  <si>
    <t>(주)베이스캠프코리아</t>
  </si>
  <si>
    <t>1층 104호</t>
  </si>
  <si>
    <t>광주광역시 서구 상무오월로38번길 11 (쌍촌동)</t>
  </si>
  <si>
    <t>(주)라젠</t>
  </si>
  <si>
    <t>C동 1501호</t>
  </si>
  <si>
    <t>서울특별시 금천구 가산디지털1로 131 (가산동)</t>
  </si>
  <si>
    <t>하우크린서비스 주식회사</t>
  </si>
  <si>
    <t>티제이코리아</t>
  </si>
  <si>
    <t>테크윈판금</t>
  </si>
  <si>
    <t>경기도 남양주시 화도읍 폭포로17번길 63-17</t>
  </si>
  <si>
    <t>테크윈 판금</t>
  </si>
  <si>
    <t>테크원주식회사</t>
  </si>
  <si>
    <t>전라북도 임실군 오수면 금암1길 55-16</t>
  </si>
  <si>
    <t>A동 306호</t>
  </si>
  <si>
    <t>클라우드 팩토리</t>
  </si>
  <si>
    <t>악기 도매업</t>
  </si>
  <si>
    <t>경기도 용인시 기흥구 신갈로124번길 23-1 (신갈동)</t>
  </si>
  <si>
    <t>코아우라 뮤직</t>
  </si>
  <si>
    <t>주식회사 에이에스엘</t>
  </si>
  <si>
    <t>경상북도 성주군 선남면 성주로 3478-27</t>
  </si>
  <si>
    <t>주식회사에이에스엘</t>
  </si>
  <si>
    <t>경상북도 고령군 대가야읍 일량로 421</t>
  </si>
  <si>
    <t>주식회사리팔트코리아</t>
  </si>
  <si>
    <t>D동101호</t>
  </si>
  <si>
    <t>강원도 춘천시 후석로462번길 15 (후평동)</t>
  </si>
  <si>
    <t>주식회사로건</t>
  </si>
  <si>
    <t>1215호</t>
  </si>
  <si>
    <t>인천광역시 남동구 미래로 21 (구월동)</t>
  </si>
  <si>
    <t>주식회사 희망철강</t>
  </si>
  <si>
    <t>B716</t>
  </si>
  <si>
    <t>서울특별시 서초구 마방로10길 15 (양재동)</t>
  </si>
  <si>
    <t>주식회사 허니문플라이</t>
  </si>
  <si>
    <t>광주광역시 서구 상무자유로 12-3 (치평동)</t>
  </si>
  <si>
    <t>주식회사 하이메드</t>
  </si>
  <si>
    <t>울산광역시 남구 돋질로433번길 7 (삼산동)</t>
  </si>
  <si>
    <t>주식회사 태성아이오티</t>
  </si>
  <si>
    <t>융합관 1층 111112호</t>
  </si>
  <si>
    <t>주식회사 코지랩</t>
  </si>
  <si>
    <t>it융합산업빌딩 11061107호</t>
  </si>
  <si>
    <t>대구광역시 북구 경대로17길 47 (복현동)</t>
  </si>
  <si>
    <t>주식회사 케이스마트피아</t>
  </si>
  <si>
    <t>충청남도 천안시 서북구 직산읍 성진로 391</t>
  </si>
  <si>
    <t>주식회사 충일가람</t>
  </si>
  <si>
    <t>영진빌딩 602호</t>
  </si>
  <si>
    <t>서울특별시 광진구 능동로 267 (군자동)</t>
  </si>
  <si>
    <t>주식회사 알오테크</t>
  </si>
  <si>
    <t>1212호</t>
  </si>
  <si>
    <t>주식회사 쓰리디타다</t>
  </si>
  <si>
    <t>3층 스콘</t>
  </si>
  <si>
    <t>인천광역시 부평구 장제로 187 (부평동)</t>
  </si>
  <si>
    <t>주식회사 스콘</t>
  </si>
  <si>
    <t>경상남도 고성군 하이면 덕명5길 44</t>
  </si>
  <si>
    <t>주식회사 명천</t>
  </si>
  <si>
    <t>아르젠종로 2층</t>
  </si>
  <si>
    <t>서울특별시 종로구 종로31길 54 (연지동)</t>
  </si>
  <si>
    <t>주식회사 멋들어진</t>
  </si>
  <si>
    <t>1404호</t>
  </si>
  <si>
    <t>주식회사 마쥬텍</t>
  </si>
  <si>
    <t>(오가면)</t>
  </si>
  <si>
    <t>충청남도 예산군 오가면 좌분양막로 388-5</t>
  </si>
  <si>
    <t>주식회사 레오엔지니어링</t>
  </si>
  <si>
    <t>주식회사 디오네스</t>
  </si>
  <si>
    <t>연구지원동 307호</t>
  </si>
  <si>
    <t>경상남도 창원시 마산합포구 진북면 산단2길 132</t>
  </si>
  <si>
    <t>주식회사 디알드라이브</t>
  </si>
  <si>
    <t>2층 주식회사 도완</t>
  </si>
  <si>
    <t>전라북도 익산시 평동로 782 (동산동)</t>
  </si>
  <si>
    <t>주식회사 도완</t>
  </si>
  <si>
    <t>제주특별자치도 제주시 애월읍 광상로 80</t>
  </si>
  <si>
    <t>주식회사 덕산엔지니어링</t>
  </si>
  <si>
    <t>1동 407호</t>
  </si>
  <si>
    <t>세종특별자치시 한누리대로 234 (나성동)</t>
  </si>
  <si>
    <t>주식회사 다음스케치</t>
  </si>
  <si>
    <t>주식회사 다민컴퍼니</t>
  </si>
  <si>
    <t>경기도 부천시 옥산로251번길 54 (도당동)</t>
  </si>
  <si>
    <t>3동 206호</t>
  </si>
  <si>
    <t>충청북도 음성군 맹동면 덕금로211번길 77 (음성미영황새마을아파트)</t>
  </si>
  <si>
    <t>이화이앤씨</t>
  </si>
  <si>
    <t>2층 202호 (서곡리)</t>
  </si>
  <si>
    <t>강원도 원주시 판부면 매봉길 36-16</t>
  </si>
  <si>
    <t>이투유통</t>
  </si>
  <si>
    <t>한일타운 126동501호</t>
  </si>
  <si>
    <t>경기도 수원시 장안구 경수대로976번길 22 (조원동 수원 한일타운)</t>
  </si>
  <si>
    <t>이노엠테크</t>
  </si>
  <si>
    <t>전라북도 전주시 완산구 거마평로 14 (삼천동1가)</t>
  </si>
  <si>
    <t>유저인사이트</t>
  </si>
  <si>
    <t>경상북도 울릉군 북면 추산길 209-8</t>
  </si>
  <si>
    <t>울릉브루어리 주식회사</t>
  </si>
  <si>
    <t>(입석리 561-2) 주3동</t>
  </si>
  <si>
    <t>경기도 남양주시 수동면 비룡로972번길 50-23</t>
  </si>
  <si>
    <t>엔테크</t>
  </si>
  <si>
    <t>울산광역시 남구 돋질로31번길 7-1 (신정동)</t>
  </si>
  <si>
    <t>민중서림</t>
  </si>
  <si>
    <t>3층 309</t>
  </si>
  <si>
    <t>서울특별시 중구 퇴계로 213 (충무로4가)</t>
  </si>
  <si>
    <t>무비컴퍼니</t>
  </si>
  <si>
    <t>테크동 710호</t>
  </si>
  <si>
    <t>로지텍코리아(주)</t>
  </si>
  <si>
    <t>서울특별시 금천구 시흥대로153길 72 (가산동)</t>
  </si>
  <si>
    <t>로다컴퍼니</t>
  </si>
  <si>
    <t>901-504</t>
  </si>
  <si>
    <t>경기도 화성시 남양읍 남양중앙로 316 (화성남양뉴타운LH9단지)</t>
  </si>
  <si>
    <t>디킨더</t>
  </si>
  <si>
    <t>울산광역시 남구 번영로201번길 32 (신정동)</t>
  </si>
  <si>
    <t>디자인스토리</t>
  </si>
  <si>
    <t>울산광역시 남구 두왕로64번길 5-5 (선암동)</t>
  </si>
  <si>
    <t>도담케미칼 주식회사</t>
  </si>
  <si>
    <t>경기도일자리재단(남부)창업보육센터 비지니스동 10호</t>
  </si>
  <si>
    <t>경기도 용인시 기흥구 용구대로 2311 (마북동)</t>
  </si>
  <si>
    <t>더플라워팩토리</t>
  </si>
  <si>
    <t>대전광역시 유성구 엑스포로 419 (문지동)</t>
  </si>
  <si>
    <t>더스카이랩 주식회사</t>
  </si>
  <si>
    <t>경상북도 포항시 남구 새천년대로 476 (대잠동)</t>
  </si>
  <si>
    <t>대한보건환경연구소(주)</t>
  </si>
  <si>
    <t>증류기 열 교환기 및 가스 발생기 제조업</t>
  </si>
  <si>
    <t>대용솔루션ENG</t>
  </si>
  <si>
    <t>부산광역시 강서구 공항앞길85번길 101-2 (대저2동)</t>
  </si>
  <si>
    <t>대영솔루션ENG</t>
  </si>
  <si>
    <t>에이스하이테크713호</t>
  </si>
  <si>
    <t>(주)컨벤션숲</t>
  </si>
  <si>
    <t>충청남도 논산시 노성면 사월길 335-28</t>
  </si>
  <si>
    <t>(주)이스텍</t>
  </si>
  <si>
    <t>강원도 속초시 노리5길 30 (노학동)</t>
  </si>
  <si>
    <t>(주)온빛</t>
  </si>
  <si>
    <t>경기도 파주시 금물다리길 84 (맥금동)</t>
  </si>
  <si>
    <t>(주)소스대통령</t>
  </si>
  <si>
    <t>8층 미디어101</t>
  </si>
  <si>
    <t>서울특별시 종로구 삼봉로 57 (수송동)</t>
  </si>
  <si>
    <t>(주)미디어101</t>
  </si>
  <si>
    <t>충청북도 단양군 대강면 대강농공길 16-3</t>
  </si>
  <si>
    <t>(주)규조토월드</t>
  </si>
  <si>
    <t>충청북도 청주시 흥덕구 오송읍 오송생명2로 125</t>
  </si>
  <si>
    <t>휴메트론</t>
  </si>
  <si>
    <t>나동 106호</t>
  </si>
  <si>
    <t>울산광역시 남구 신남로 38 (신정동)</t>
  </si>
  <si>
    <t>호롱불</t>
  </si>
  <si>
    <t>부산광역시 동구 중앙대로236번길 10 (초량동)</t>
  </si>
  <si>
    <t>한국해사컨설팅 주식회사</t>
  </si>
  <si>
    <t>503호 (구로동 삼영빌딩)</t>
  </si>
  <si>
    <t>서울특별시 구로구 경인로 557 (구로동)</t>
  </si>
  <si>
    <t>피티코인자야 주식회사</t>
  </si>
  <si>
    <t>E-1611호</t>
  </si>
  <si>
    <t>피코박스</t>
  </si>
  <si>
    <t>엘아이지식산업센터 423호</t>
  </si>
  <si>
    <t>피알글로벌</t>
  </si>
  <si>
    <t>의약품 도매업</t>
  </si>
  <si>
    <t>경기도 의왕시 부곡중앙남4길 17 (삼동)</t>
  </si>
  <si>
    <t>케이피 팜(KP)</t>
  </si>
  <si>
    <t>금수빌딩2층 201호-나호 필로스페이스 비즈니스센터 G실 49호</t>
  </si>
  <si>
    <t>케이지엘</t>
  </si>
  <si>
    <t>남양빌딩 402호</t>
  </si>
  <si>
    <t>서울특별시 중구 세종대로16길 27 (북창동)</t>
  </si>
  <si>
    <t>케이스스터디</t>
  </si>
  <si>
    <t>서울특별시 서초구 강남대로 27 (양재동)</t>
  </si>
  <si>
    <t>케이디아이 주식회사</t>
  </si>
  <si>
    <t>3008동 1203호</t>
  </si>
  <si>
    <t>경기도 수원시 영통구 법조로 134 (하동 광교호수마을참누리레이크)</t>
  </si>
  <si>
    <t>케어올</t>
  </si>
  <si>
    <t>서울특별시 강남구 봉은사로18길 4 (역삼동)</t>
  </si>
  <si>
    <t>진지 주식회사</t>
  </si>
  <si>
    <t>국회소통관 1층</t>
  </si>
  <si>
    <t>서울특별시 영등포구 의사당대로 1 (여의도동)</t>
  </si>
  <si>
    <t>주식회사위드마이스</t>
  </si>
  <si>
    <t>(주)기재</t>
  </si>
  <si>
    <t>경기도 광주시 오포읍 매자리길 89-7</t>
  </si>
  <si>
    <t>주식회사기재</t>
  </si>
  <si>
    <t>부산광역시 사상구 양지로30번길 34 (주례동)</t>
  </si>
  <si>
    <t>주식회사 행운나무</t>
  </si>
  <si>
    <t>주식회사 프로인</t>
  </si>
  <si>
    <t>경상남도 양산시 솔밭골길 7-14 (명동)</t>
  </si>
  <si>
    <t>주식회사 토이코스</t>
  </si>
  <si>
    <t>강원도 태백시 철암공단길 60 (철암동)</t>
  </si>
  <si>
    <t>주식회사 케이엠콘트롤</t>
  </si>
  <si>
    <t>전라남도 영암군 덕진면 향월유수동길 191</t>
  </si>
  <si>
    <t>주식회사 천운건설</t>
  </si>
  <si>
    <t>경기도 성남시 분당구 장미로 42 (야탑동)</t>
  </si>
  <si>
    <t>주식회사 지엠</t>
  </si>
  <si>
    <t>서울특별시 서초구 방배로10길 10-14 (방배동)</t>
  </si>
  <si>
    <t>주식회사 중소기업전문지원센터</t>
  </si>
  <si>
    <t>나동 101호</t>
  </si>
  <si>
    <t>경기도 부천시 조종로83번길 8 (원미동 아이파크숲)</t>
  </si>
  <si>
    <t>주식회사 주올</t>
  </si>
  <si>
    <t>전라북도 부안군 행안면 부안농공단지길 32</t>
  </si>
  <si>
    <t>주식회사 주성</t>
  </si>
  <si>
    <t>2동 1405호</t>
  </si>
  <si>
    <t>주식회사 인프라링커스</t>
  </si>
  <si>
    <t>에이스하이테크시티2차 1502호</t>
  </si>
  <si>
    <t>주식회사 인시퀀스</t>
  </si>
  <si>
    <t>인천광역시 연수구 하모니로187번길 33 (송도동)</t>
  </si>
  <si>
    <t>주식회사 유진테크원</t>
  </si>
  <si>
    <t>경상남도 진주시 정촌면 진주대로379번길 27</t>
  </si>
  <si>
    <t>주식회사 유니와이드테크놀러지</t>
  </si>
  <si>
    <t>대전광역시 서구 도안남로 145 (관저동)</t>
  </si>
  <si>
    <t>주식회사 에이치케이산림</t>
  </si>
  <si>
    <t>전북창업보육2센터 301호</t>
  </si>
  <si>
    <t>전라북도 전주시 덕진구 백제대로 567 (금암동)</t>
  </si>
  <si>
    <t>주식회사 에스엔플러스</t>
  </si>
  <si>
    <t>대전광역시 유성구 유성대로1628번길 21 (전민동)</t>
  </si>
  <si>
    <t>주식회사 에스아이디텍션</t>
  </si>
  <si>
    <t>주식회사 애즈커넥트</t>
  </si>
  <si>
    <t>공공관계 서비스업</t>
  </si>
  <si>
    <t>2층 (와룡동 하나빌딩)</t>
  </si>
  <si>
    <t>서울특별시 종로구 돈화문로 83-1 (와룡동)</t>
  </si>
  <si>
    <t>주식회사 아트앤컴</t>
  </si>
  <si>
    <t>경기도 수원시 권선구 금곡로197번길 18-37 (금곡동)</t>
  </si>
  <si>
    <t>주식회사 세자</t>
  </si>
  <si>
    <t>별고을테크</t>
  </si>
  <si>
    <t>경상북도 성주군 성주읍 성주순환로5길 12</t>
  </si>
  <si>
    <t>주식회사 별고을테크</t>
  </si>
  <si>
    <t>GS강서타워 1층 분장실</t>
  </si>
  <si>
    <t>서울특별시 영등포구 선유로 75 (문래동6가)</t>
  </si>
  <si>
    <t>주식회사 라토브</t>
  </si>
  <si>
    <t>경상북도 안동시 치이골1길 10-26 (신안동)</t>
  </si>
  <si>
    <t>주식회사 더채움</t>
  </si>
  <si>
    <t>파일럿테스트 E동 05호</t>
  </si>
  <si>
    <t>주식회사 넥스트이앤엠</t>
  </si>
  <si>
    <t>강원도 삼척시 근덕면 본동길 21-158</t>
  </si>
  <si>
    <t>주식회사 그린파워텍</t>
  </si>
  <si>
    <t>차류 가공업</t>
  </si>
  <si>
    <t>창업보육센터 217호</t>
  </si>
  <si>
    <t>제주특별자치도 제주시 애월읍 평화로 2715</t>
  </si>
  <si>
    <t>제주세요</t>
  </si>
  <si>
    <t>은행프라자 601호</t>
  </si>
  <si>
    <t>경기도 시흥시 비둘기공원5길 15 (대야동)</t>
  </si>
  <si>
    <t>이비이엔지</t>
  </si>
  <si>
    <t>4층 434호(월평동 스타게이트)</t>
  </si>
  <si>
    <t>유에프 소프트 (UF Soft)</t>
  </si>
  <si>
    <t>1층 101호(영천동 에이팩시티)</t>
  </si>
  <si>
    <t>욜로엔지니어링</t>
  </si>
  <si>
    <t>공공시설동 4층 16호</t>
  </si>
  <si>
    <t>와우쿨</t>
  </si>
  <si>
    <t>온솔</t>
  </si>
  <si>
    <t>1011-701</t>
  </si>
  <si>
    <t>경기도 성남시 중원구 둔촌대로 300 (하대원동 아튼빌아파트)</t>
  </si>
  <si>
    <t>오필코</t>
  </si>
  <si>
    <t>경상북도 경주시 양남면 나아2길 5</t>
  </si>
  <si>
    <t>오성이엔지</t>
  </si>
  <si>
    <t>4동 319호</t>
  </si>
  <si>
    <t>경상북도 구미시 3공단1로 302-7 (임수동)</t>
  </si>
  <si>
    <t>엠에스정보</t>
  </si>
  <si>
    <t>서울특별시 금천구 가산로3길 45 (독산동)</t>
  </si>
  <si>
    <t>엘리컴퍼니</t>
  </si>
  <si>
    <t>5층 503호 RA564</t>
  </si>
  <si>
    <t>에이치엔바이오텍</t>
  </si>
  <si>
    <t>701-2304</t>
  </si>
  <si>
    <t>경기도 고양시 덕양구 도래울1로 80 (도내동 고양 원흥 동일스위트)</t>
  </si>
  <si>
    <t>에이치에스앤컴퍼니</t>
  </si>
  <si>
    <t>1302호 (역북동 용인센트럴코업)</t>
  </si>
  <si>
    <t>경기도 용인시 처인구 중부대로 1216 (역북동)</t>
  </si>
  <si>
    <t>에스엔씨기술(주)</t>
  </si>
  <si>
    <t>에스씨동해(주)</t>
  </si>
  <si>
    <t>강원도 동해시 공단7로 17 (구호동)</t>
  </si>
  <si>
    <t>기타 비전기식 생활용 기기 및 기구 도매업</t>
  </si>
  <si>
    <t>그린빌딩204호</t>
  </si>
  <si>
    <t>서울특별시 강동구 강동대로 165 (성내동)</t>
  </si>
  <si>
    <t>앤플레이스</t>
  </si>
  <si>
    <t>청년창업사관학교 102호 b실 아르필로 이건희</t>
  </si>
  <si>
    <t>경상북도 경산시 경청로222길 86 (백천동)</t>
  </si>
  <si>
    <t>아르필로</t>
  </si>
  <si>
    <t>421호</t>
  </si>
  <si>
    <t>경기도 부천시 부광로 220 (옥길동)</t>
  </si>
  <si>
    <t>신화엔지니어링주식회사</t>
  </si>
  <si>
    <t>신신테크</t>
  </si>
  <si>
    <t>경기도 양주시 은현면 서정로 9-10</t>
  </si>
  <si>
    <t>스틸아트</t>
  </si>
  <si>
    <t>A동 7층 795호</t>
  </si>
  <si>
    <t>서울특별시 성동구 성수일로8길 55 (성수동2가)</t>
  </si>
  <si>
    <t>스튜디오 하이</t>
  </si>
  <si>
    <t>솔릭</t>
  </si>
  <si>
    <t>8층 807호</t>
  </si>
  <si>
    <t>소프트플로우 주식회사</t>
  </si>
  <si>
    <t>소유티앤이</t>
  </si>
  <si>
    <t>경기도 시흥시 마유로10번길 28 (정왕동)</t>
  </si>
  <si>
    <t>충청북도 영동군 용산면 영동산단로 217</t>
  </si>
  <si>
    <t>성우파일(주)</t>
  </si>
  <si>
    <t>충청남도 금산군 추부면 하마전1길 45</t>
  </si>
  <si>
    <t>삼일주방산업</t>
  </si>
  <si>
    <t>1층 사각공간(思覺空間)</t>
  </si>
  <si>
    <t>인천광역시 부평구 장제로249번길 16 (갈산동)</t>
  </si>
  <si>
    <t>사각공간(思覺空間)</t>
  </si>
  <si>
    <t>거송빌딩 5층 506호</t>
  </si>
  <si>
    <t>경상북도 구미시 구미중앙로42길 5-66 (송정동)</t>
  </si>
  <si>
    <t>비타정보통신</t>
  </si>
  <si>
    <t>사업화2동 201호</t>
  </si>
  <si>
    <t>비이테크</t>
  </si>
  <si>
    <t>세종특별자치시 마음로 264 (고운동)</t>
  </si>
  <si>
    <t>비욘드랩</t>
  </si>
  <si>
    <t>비앤비테크</t>
  </si>
  <si>
    <t>경상남도 김해시 진영읍 본산로110번길 10</t>
  </si>
  <si>
    <t>강원도 삼척시 사대안길 26 (남양동)</t>
  </si>
  <si>
    <t>범일상사</t>
  </si>
  <si>
    <t>상가동 2층 207호</t>
  </si>
  <si>
    <t>강원도 평창군 대관령면 대관령로 65 (현대 힐스700)</t>
  </si>
  <si>
    <t>방굿즈</t>
  </si>
  <si>
    <t>디디텔레콤 주식회사</t>
  </si>
  <si>
    <t>두산하이텍</t>
  </si>
  <si>
    <t>경기도 화성시 남양읍 주석로80번길 26-4</t>
  </si>
  <si>
    <t>두산하이텍주식회사</t>
  </si>
  <si>
    <t>대구광역시 달서구 성서동로 229 (장동)</t>
  </si>
  <si>
    <t>델로나</t>
  </si>
  <si>
    <t>4-54호(덕산빌딩)</t>
  </si>
  <si>
    <t>데이터드리븐</t>
  </si>
  <si>
    <t>225호</t>
  </si>
  <si>
    <t>대박컴퍼니</t>
  </si>
  <si>
    <t>뉴원</t>
  </si>
  <si>
    <t>부산광역시 해운대구 송정2로 45 (송정동)</t>
  </si>
  <si>
    <t>넷시스템</t>
  </si>
  <si>
    <t>B동 2205호</t>
  </si>
  <si>
    <t>내일날씨</t>
  </si>
  <si>
    <t>잡지 및 정기 간행물 발행업</t>
  </si>
  <si>
    <t>충청북도 음성군 금왕읍 천평길 6</t>
  </si>
  <si>
    <t>경일 테크(Tech)</t>
  </si>
  <si>
    <t>신선 냉동 및 기타 수산물 도매업</t>
  </si>
  <si>
    <t>광주광역시 북구 송월로20번길 42 (오치동)</t>
  </si>
  <si>
    <t>가온유통</t>
  </si>
  <si>
    <t>방송 프로그램 제작업</t>
  </si>
  <si>
    <t>아벨테크노 702호</t>
  </si>
  <si>
    <t>서울특별시 강서구 화곡로68길 15 (등촌동)</t>
  </si>
  <si>
    <t>makefan</t>
  </si>
  <si>
    <t>1110호</t>
  </si>
  <si>
    <t>21세기 애드</t>
  </si>
  <si>
    <t>충청남도 천안시 서북구 성정1길 36 (성정동)</t>
  </si>
  <si>
    <t>(주)흥진애드산업</t>
  </si>
  <si>
    <t>3층 419호</t>
  </si>
  <si>
    <t>서울특별시 금천구 가산디지털1로 149 (가산동)</t>
  </si>
  <si>
    <t>(주)하제누리행정연구소</t>
  </si>
  <si>
    <t>201호(금암동진흥빌딩)</t>
  </si>
  <si>
    <t>충청남도 계룡시 금암로 135 (금암동)</t>
  </si>
  <si>
    <t>(주)하나엔지니어링건축사사무소</t>
  </si>
  <si>
    <t>1603호 1604호</t>
  </si>
  <si>
    <t>서울특별시 성동구 성수일로 77 (성수동1가)</t>
  </si>
  <si>
    <t>(주)프로젝트이안</t>
  </si>
  <si>
    <t>915호</t>
  </si>
  <si>
    <t>(주)포름이앤디</t>
  </si>
  <si>
    <t>301-2호 (한도빌딩)</t>
  </si>
  <si>
    <t>광주광역시 광산구 풍영로200번길 59 (장덕동)</t>
  </si>
  <si>
    <t>(주)툴아이피</t>
  </si>
  <si>
    <t>충청남도 아산시 탕정면 탕정면로 463-3</t>
  </si>
  <si>
    <t>(주)케이엠 티엘에스</t>
  </si>
  <si>
    <t>동서대학교 드림이밸리 A101102호</t>
  </si>
  <si>
    <t>(주)청명디앤씨</t>
  </si>
  <si>
    <t>대전광역시 동구 대전로867번길 36 (삼성동)</t>
  </si>
  <si>
    <t>(주)차이</t>
  </si>
  <si>
    <t>(주)지텍</t>
  </si>
  <si>
    <t>경기도 남양주시 진건읍 진관산단로54번길 2</t>
  </si>
  <si>
    <t>경기도 연천군 미산면 청정로1477번길 149-1</t>
  </si>
  <si>
    <t>(주)지엔아이</t>
  </si>
  <si>
    <t>KnK디지털타워 1003호</t>
  </si>
  <si>
    <t>(주)인큐테크</t>
  </si>
  <si>
    <t>(주)이엠연구소</t>
  </si>
  <si>
    <t>강원도 춘천시 동내면 대룡산길 80-3</t>
  </si>
  <si>
    <t>번지</t>
  </si>
  <si>
    <t>세종특별자치시 금남면 한양궁길 83-45</t>
  </si>
  <si>
    <t>(주)오감통통숲앤아이</t>
  </si>
  <si>
    <t>20층 A2011호(흥덕IT밸리 타워동)</t>
  </si>
  <si>
    <t>(주)아이팔</t>
  </si>
  <si>
    <t>경상북도 구미시 산동읍 첨단기업5로 10-135</t>
  </si>
  <si>
    <t>(주)승진텍라인</t>
  </si>
  <si>
    <t>(주)모션다이나믹스</t>
  </si>
  <si>
    <t>전라북도 익산시 삼기면 미륵사지로 795-7</t>
  </si>
  <si>
    <t>마이크로솔루션</t>
  </si>
  <si>
    <t>광주광역시 광산구 평동산단로 246-43 (월전동)</t>
  </si>
  <si>
    <t>(주)마이크로솔루션</t>
  </si>
  <si>
    <t>3층 2호(역삼동 다온빌딩)</t>
  </si>
  <si>
    <t>서울특별시 강남구 테헤란로27길 8 (역삼동)</t>
  </si>
  <si>
    <t>(주)라이브베리</t>
  </si>
  <si>
    <t>대전광역시 동구 선화로 187 (삼성동)</t>
  </si>
  <si>
    <t>(주)디앤씨컴퍼니</t>
  </si>
  <si>
    <t>대구광역시 달서구 야외음악당로53길 8 (두류동)</t>
  </si>
  <si>
    <t>(주)누리엔지니어링</t>
  </si>
  <si>
    <t>낚시 및 수렵용구 제조업</t>
  </si>
  <si>
    <t>A동 SB103호</t>
  </si>
  <si>
    <t>(주)국방자동화</t>
  </si>
  <si>
    <t>경기도 화성시 향남읍 서해로152번길 93-54</t>
  </si>
  <si>
    <t>(주)건영이앤씨</t>
  </si>
  <si>
    <t>(주) 제이탑미래기술</t>
  </si>
  <si>
    <t>14층 1406호</t>
  </si>
  <si>
    <t>히어로웍스</t>
  </si>
  <si>
    <t>B동 4층 412호</t>
  </si>
  <si>
    <t>휴텍앤</t>
  </si>
  <si>
    <t>지니센터 디동 1180호</t>
  </si>
  <si>
    <t>경기도 안양시 동안구 시민대로 230 (관양동)</t>
  </si>
  <si>
    <t>팜피 주식회사</t>
  </si>
  <si>
    <t>테크다스</t>
  </si>
  <si>
    <t>학생회관 311a</t>
  </si>
  <si>
    <t>택틱</t>
  </si>
  <si>
    <t>경기도 이천시 부발읍 신아로162번길 283</t>
  </si>
  <si>
    <t>진시스템</t>
  </si>
  <si>
    <t>2층(부천시사회적경제센터)</t>
  </si>
  <si>
    <t>경기도 부천시 경인로60번길 40 (송내동)</t>
  </si>
  <si>
    <t>주식회사위드플러스시스템</t>
  </si>
  <si>
    <t>주식회사 제이앤피</t>
  </si>
  <si>
    <t>경기도 고양시 일산동구 노첨길 50 (장항동)</t>
  </si>
  <si>
    <t>주식회사 자연공간산업</t>
  </si>
  <si>
    <t>경상북도 경산시 압량읍 가일길28길 47</t>
  </si>
  <si>
    <t>서울특별시 서초구 서초중앙로22길 122 (서초동)</t>
  </si>
  <si>
    <t>주식회사 인바스켓</t>
  </si>
  <si>
    <t>서울특별시 용산구 백범로45길 8 (효창동)</t>
  </si>
  <si>
    <t>주식회사 이너턴스</t>
  </si>
  <si>
    <t>620호</t>
  </si>
  <si>
    <t>주식회사 올빅뎃</t>
  </si>
  <si>
    <t>302동 120호</t>
  </si>
  <si>
    <t>인천광역시 연수구 컨벤시아대로 70 (송도동 인천송도힐스테이트)</t>
  </si>
  <si>
    <t>주식회사 예인씨엠텍</t>
  </si>
  <si>
    <t>주식회사 어슈어드</t>
  </si>
  <si>
    <t>1405호 201</t>
  </si>
  <si>
    <t>서울특별시 금천구 가산디지털1로 212 (가산동)</t>
  </si>
  <si>
    <t>주식회사 어뮤즈플랜</t>
  </si>
  <si>
    <t>경기도 수원시 영통구 권선로882번길 71-21 (신동)</t>
  </si>
  <si>
    <t>주식회사 아이캔컴퍼니</t>
  </si>
  <si>
    <t>동아대학교 산학연구관 601</t>
  </si>
  <si>
    <t>주식회사 서안에스앤씨</t>
  </si>
  <si>
    <t>4바 101</t>
  </si>
  <si>
    <t>경기도 안산시 단원구 별망로 36 (성곡동)</t>
  </si>
  <si>
    <t>암면 및 유사 제품 제조업</t>
  </si>
  <si>
    <t>충청남도 천안시 동남구 동면 화복로 389</t>
  </si>
  <si>
    <t>장원소재주식회사</t>
  </si>
  <si>
    <t>2층 빌드업웍스</t>
  </si>
  <si>
    <t>대구광역시 중구 국채보상로 515 (서문로2가)</t>
  </si>
  <si>
    <t>유한책임회사 빌드업웍스</t>
  </si>
  <si>
    <t>13층 제오피스호</t>
  </si>
  <si>
    <t>유한책임회사 블루바이저시스템즈</t>
  </si>
  <si>
    <t>성창빌딩 3층</t>
  </si>
  <si>
    <t>서울특별시 강남구 언주로113길 13 (논현동)</t>
  </si>
  <si>
    <t>워터바이오텍 주식회사</t>
  </si>
  <si>
    <t>강원도 춘천시 충혼길52번길 10 (온의동)</t>
  </si>
  <si>
    <t>아이데</t>
  </si>
  <si>
    <t>세종특별자치시 장군면 풍덕골길 21-13</t>
  </si>
  <si>
    <t>아름다운기획</t>
  </si>
  <si>
    <t>신우종합철강(주)</t>
  </si>
  <si>
    <t>전라북도 군산시 군산산단로 146-15 (오식도동)</t>
  </si>
  <si>
    <t>226호227호  (가산동 가산 하우스디 와이즈타워)</t>
  </si>
  <si>
    <t>서울특별시 금천구 가산디지털1로 75-15 (가산동)</t>
  </si>
  <si>
    <t>수테크시스템즈(주)</t>
  </si>
  <si>
    <t>702-811</t>
  </si>
  <si>
    <t>서울특별시 강동구 아리수로93가길 70 (강일동 강동리버스트7단지)</t>
  </si>
  <si>
    <t>버드커뮤니케이션</t>
  </si>
  <si>
    <t>바오산업</t>
  </si>
  <si>
    <t>제주특별자치도 제주시 용마로2길 28 (용담삼동)</t>
  </si>
  <si>
    <t>230호</t>
  </si>
  <si>
    <t>서울특별시 노원구 한글비석로 384 (중계동)</t>
  </si>
  <si>
    <t>매직프린트</t>
  </si>
  <si>
    <t>서울특별시 중구 필동로 18 (필동2가)</t>
  </si>
  <si>
    <t>디자인그리</t>
  </si>
  <si>
    <t>513호 두인코컴넷(주)</t>
  </si>
  <si>
    <t>서울특별시 강서구 양천로 551-17 (가양동 한화비즈메트로1차)</t>
  </si>
  <si>
    <t>두인코컴넷(주)</t>
  </si>
  <si>
    <t>울산광역시 중구 만남의거리 15 (성남동)</t>
  </si>
  <si>
    <t>더브릿지전략컨설팅 주식회사</t>
  </si>
  <si>
    <t>경기도 평택시 안중읍 학현길 35-20</t>
  </si>
  <si>
    <t>농업회사법인투엠바이오주식회사</t>
  </si>
  <si>
    <t>오피스동 1209호</t>
  </si>
  <si>
    <t>서울특별시 송파구 정의로7길 13 (문정동)</t>
  </si>
  <si>
    <t>너비의깊이(주)</t>
  </si>
  <si>
    <t>산북동 333-9</t>
  </si>
  <si>
    <t>경기도 양주시 평화로 1285 (산북동)</t>
  </si>
  <si>
    <t>내일사회적협동조합</t>
  </si>
  <si>
    <t>충청북도 청주시 서원구 수곡로89번길 8-1 (수곡동)</t>
  </si>
  <si>
    <t>(주)태송종합건설</t>
  </si>
  <si>
    <t>충청북도 청주시 청원구 새터로138번길 3-2 (내덕동)</t>
  </si>
  <si>
    <t>(주)정원엔지니어링</t>
  </si>
  <si>
    <t>101-2호</t>
  </si>
  <si>
    <t>경기도 하남시 미사강변북로30번길 69 (망월동)</t>
  </si>
  <si>
    <t>(주)이안비즈</t>
  </si>
  <si>
    <t>B동 408호</t>
  </si>
  <si>
    <t>(주)오픈링크시스템</t>
  </si>
  <si>
    <t>1403호(서울숲IT캐슬)</t>
  </si>
  <si>
    <t>(주)엔이아이기술</t>
  </si>
  <si>
    <t>경기도 남양주시 와부읍 고래산로99번길 28-6</t>
  </si>
  <si>
    <t>(주)엔아이티</t>
  </si>
  <si>
    <t>인천광역시 미추홀구 숙골로43번길 142 (도화동 대훈아트빌)</t>
  </si>
  <si>
    <t>(주)다빈치뷰</t>
  </si>
  <si>
    <t>세종특별자치시 조치원읍 문화3길 3</t>
  </si>
  <si>
    <t>(주)길커뮤니케이션즈</t>
  </si>
  <si>
    <t>501호 (주안동 문화콘텐츠산업지원센터)</t>
  </si>
  <si>
    <t>인천광역시 미추홀구 석바위로 78 (주안동)</t>
  </si>
  <si>
    <t>(주)글로벌지티아이</t>
  </si>
  <si>
    <t>서울특별시 강남구 봉은사로30길 54 (역삼동)</t>
  </si>
  <si>
    <t>(주) 온결</t>
  </si>
  <si>
    <t>전라북도 익산시 석암로 47 (용제동)</t>
  </si>
  <si>
    <t>(유)스타룩스</t>
  </si>
  <si>
    <t>음ㆍ식료품 및 담배 중개업</t>
  </si>
  <si>
    <t>신양빌딩 2층</t>
  </si>
  <si>
    <t>서울특별시 강남구 도산대로96길 19-9 (청담동)</t>
  </si>
  <si>
    <t>하이벨류유한회사</t>
  </si>
  <si>
    <t>서울특별시 송파구 오금로27길 25-29 (방이동 한양파크빌)</t>
  </si>
  <si>
    <t>피규어앤그라운드</t>
  </si>
  <si>
    <t>충청남도 계룡시 장안로 39 (금암동)</t>
  </si>
  <si>
    <t>충남지방행정발전연구원주식회사</t>
  </si>
  <si>
    <t>전라북도 군산시 옥구읍 광월안길 27</t>
  </si>
  <si>
    <t>주식회사 한설</t>
  </si>
  <si>
    <t>금정역 SK V1센터 9</t>
  </si>
  <si>
    <t>주식회사 칸트</t>
  </si>
  <si>
    <t>충청남도 천안시 서북구 성거읍 모전3길 2</t>
  </si>
  <si>
    <t>주식회사 제이케이코어</t>
  </si>
  <si>
    <t>205호 창업보육센터</t>
  </si>
  <si>
    <t>주식회사 정성깃든</t>
  </si>
  <si>
    <t>부경대용당캠퍼스 창업보육센터 206호</t>
  </si>
  <si>
    <t>주식회사 유알웍스</t>
  </si>
  <si>
    <t>주식회사 엠케이소프트</t>
  </si>
  <si>
    <t>전라남도 나주시 동수농공단지길 62-191 (운곡동)</t>
  </si>
  <si>
    <t>주식회사 엠에스산전</t>
  </si>
  <si>
    <t>서울특별시 서대문구 연희로 77-12 (연희동)</t>
  </si>
  <si>
    <t>주식회사 엘케이컴즈</t>
  </si>
  <si>
    <t>경기도 오산시 독산성로232번길 14-18 (지곶동)</t>
  </si>
  <si>
    <t>주식회사 에스엔티 (SNT Inc.)</t>
  </si>
  <si>
    <t>서울특별시 마포구 성미산로 142 (연남동)</t>
  </si>
  <si>
    <t>주식회사 어바닉랩스</t>
  </si>
  <si>
    <t>3층 A09호</t>
  </si>
  <si>
    <t>주식회사 아토믹스</t>
  </si>
  <si>
    <t>제4동</t>
  </si>
  <si>
    <t>대구광역시 달성군 다사읍 세천로7길 17-10</t>
  </si>
  <si>
    <t>에스엔인터내셔날</t>
  </si>
  <si>
    <t>103/502</t>
  </si>
  <si>
    <t>서울특별시 성북구 월계로36길 27 (장위동 꿈의숲대명루첸아파트)</t>
  </si>
  <si>
    <t>아이그라운드</t>
  </si>
  <si>
    <t>부산광역시 해운대구 해운대로 575 (우동)</t>
  </si>
  <si>
    <t>쓰리디앤드</t>
  </si>
  <si>
    <t>9층9113호</t>
  </si>
  <si>
    <t>부산광역시 연제구 연제로 30 (연산동 시청역 비스타 동원)</t>
  </si>
  <si>
    <t>부산지방행정발전연구원주식회사</t>
  </si>
  <si>
    <t>산학협력관 101-A호</t>
  </si>
  <si>
    <t>디에이치오션</t>
  </si>
  <si>
    <t>경상북도 포항시 남구 대이로1번길 10 (대잠동)</t>
  </si>
  <si>
    <t>두빛나래협동조합</t>
  </si>
  <si>
    <t>충일빌딩3동</t>
  </si>
  <si>
    <t>경기도 남양주시 화도읍 비룡로33번길 4</t>
  </si>
  <si>
    <t>님프만커머스</t>
  </si>
  <si>
    <t>R&amp;DB센터 1307호</t>
  </si>
  <si>
    <t>농업회사법인 주식회사 한반도</t>
  </si>
  <si>
    <t>아스팔트 콘크리트 및 혼합제품 제조업</t>
  </si>
  <si>
    <t>서울특별시 용산구 한강대로 109 (한강로2가)</t>
  </si>
  <si>
    <t>(주)퓨리이노베이션</t>
  </si>
  <si>
    <t>(주)태그삼육공</t>
  </si>
  <si>
    <t>서울특별시 서초구 마방로6길 7-67 (양재동)</t>
  </si>
  <si>
    <t>(주)예성크리에이티브</t>
  </si>
  <si>
    <t>3010/2204</t>
  </si>
  <si>
    <t>경기도 화성시 동탄대로6길 20 (산척동 더레이크시티부영4단지)</t>
  </si>
  <si>
    <t>(주)아이플러스커뮤니케이션</t>
  </si>
  <si>
    <t>서울특별시 성동구 청계천로10가길 26 (마장동)</t>
  </si>
  <si>
    <t>환경클린</t>
  </si>
  <si>
    <t>벤처지원센터 별관 203</t>
  </si>
  <si>
    <t>한국디지브이 주식회사 (DG Valves Limited)</t>
  </si>
  <si>
    <t>송도테크노파크IT센터 M동 3202호</t>
  </si>
  <si>
    <t>하이덴코코리아 주식회사</t>
  </si>
  <si>
    <t>인천광역시 남동구 고잔로41번길 18-11 (고잔동)</t>
  </si>
  <si>
    <t>케이엠테크</t>
  </si>
  <si>
    <t>서울특별시 강동구 양재대로122가길 2 (길동)</t>
  </si>
  <si>
    <t>컴퍼니케이</t>
  </si>
  <si>
    <t>1116호(미룡동 군산대학교창업보육센터)</t>
  </si>
  <si>
    <t>전라북도 군산시 대학로 558 (미룡동)</t>
  </si>
  <si>
    <t>지티엠 주식회사</t>
  </si>
  <si>
    <t>4층 사이즈오브</t>
  </si>
  <si>
    <t>서울특별시 광진구 용마산로 34 (중곡동)</t>
  </si>
  <si>
    <t>주식회사사이즈오브</t>
  </si>
  <si>
    <t>N302호</t>
  </si>
  <si>
    <t>주식회사기림</t>
  </si>
  <si>
    <t>B동 1012호</t>
  </si>
  <si>
    <t>주식회사 화인메디</t>
  </si>
  <si>
    <t>프론트원 15층</t>
  </si>
  <si>
    <t>주식회사 하이</t>
  </si>
  <si>
    <t>인천광역시 서구 건지로109번길 17 (석남동)</t>
  </si>
  <si>
    <t>주식회사 플러스인텍</t>
  </si>
  <si>
    <t>경상남도 창원시 의창구 창원대로18번길 22 (팔용동)</t>
  </si>
  <si>
    <t>주식회사 트랜스가스솔루션</t>
  </si>
  <si>
    <t>강원도 원주시 배울로 86 (반곡동)</t>
  </si>
  <si>
    <t>주식회사 크레도</t>
  </si>
  <si>
    <t>주식회사 체인어스</t>
  </si>
  <si>
    <t>B동 301호</t>
  </si>
  <si>
    <t>경기도 안산시 단원구 만해로 205 (성곡동)</t>
  </si>
  <si>
    <t>주식회사 제이엔에이치</t>
  </si>
  <si>
    <t>2층(신사에스앤지)</t>
  </si>
  <si>
    <t>주식회사 제이시큐어플랫폼</t>
  </si>
  <si>
    <t>충청북도 청주시 흥덕구 오송읍 오송생명1로 194-41</t>
  </si>
  <si>
    <t>주식회사 제노젠</t>
  </si>
  <si>
    <t>복지관4동 1층</t>
  </si>
  <si>
    <t>경기도 고양시 덕양구 향기5로 55 (향동동)</t>
  </si>
  <si>
    <t>주식회사 인피루트</t>
  </si>
  <si>
    <t>대성창업투자 공장동 101호</t>
  </si>
  <si>
    <t>대구광역시 달서구 성서공단북로 235 (신당동)</t>
  </si>
  <si>
    <t>주식회사 유성에프에이</t>
  </si>
  <si>
    <t>주식회사 유니크유엑스</t>
  </si>
  <si>
    <t>827호</t>
  </si>
  <si>
    <t>서울특별시 구로구 공원로 41 (구로동 현대파크빌)</t>
  </si>
  <si>
    <t>주식회사 위캐스트</t>
  </si>
  <si>
    <t>303호(대청동 마루애빌딩)</t>
  </si>
  <si>
    <t>경상남도 김해시 계동로 233 (대청동)</t>
  </si>
  <si>
    <t>주식회사 엠엘에스</t>
  </si>
  <si>
    <t>에이 821호</t>
  </si>
  <si>
    <t>경기도 의왕시 성고개로 53 (포일동)</t>
  </si>
  <si>
    <t>주식회사 에이켐바이오</t>
  </si>
  <si>
    <t>신내데시앙플렉스 지식산업센터 B동 1층 B102호</t>
  </si>
  <si>
    <t>주식회사 앤더블유</t>
  </si>
  <si>
    <t>경기도 남양주시 화도읍 녹촌로106번길 16</t>
  </si>
  <si>
    <t>주식회사 알엔에스</t>
  </si>
  <si>
    <t>5층 502-5호</t>
  </si>
  <si>
    <t>경기도 성남시 분당구 황새울로 216 (수내동)</t>
  </si>
  <si>
    <t>주식회사 아르고스다인</t>
  </si>
  <si>
    <t>731호</t>
  </si>
  <si>
    <t>주식회사 실리콘브릿지</t>
  </si>
  <si>
    <t>로드랜드이지타워 603호</t>
  </si>
  <si>
    <t>주식회사 비카누스</t>
  </si>
  <si>
    <t>경기도 성남시 분당구 성남대로331번길 3-10 (정자동)</t>
  </si>
  <si>
    <t>주식회사 브이알앤디</t>
  </si>
  <si>
    <t>주식회사 보스</t>
  </si>
  <si>
    <t>주식회사 미성</t>
  </si>
  <si>
    <t>3층 (마로인빌딩)</t>
  </si>
  <si>
    <t>부산광역시 수영구 감포로 54 (민락동)</t>
  </si>
  <si>
    <t>주식회사 디아이솔루션</t>
  </si>
  <si>
    <t>경상남도 함안군 칠원읍 석전1길 139</t>
  </si>
  <si>
    <t>주식회사 대진산전</t>
  </si>
  <si>
    <t>2층 202호(산곡동)</t>
  </si>
  <si>
    <t>인천광역시 부평구 마장로220번길 51 (산곡동)</t>
  </si>
  <si>
    <t>주식회사 다윈산업</t>
  </si>
  <si>
    <t>세종특별자치시 장군면 월현윗길 38-35</t>
  </si>
  <si>
    <t>주식회사 다원기획</t>
  </si>
  <si>
    <t>에이스가산포휴 717호</t>
  </si>
  <si>
    <t>주식회사 다름</t>
  </si>
  <si>
    <t>서울특별시 금천구 가산디지털2로 184 (가산동)</t>
  </si>
  <si>
    <t>주식회사 뉴원에스엔티</t>
  </si>
  <si>
    <t>경기도 의정부시 산단로68번길 101 (용현동)</t>
  </si>
  <si>
    <t>주식회사 꿈꾸는사람들</t>
  </si>
  <si>
    <t>화물 운송 중개 대리 및 관련 서비스업</t>
  </si>
  <si>
    <t>9층 909호</t>
  </si>
  <si>
    <t>서울특별시 강서구 양천로 551-24 (가양동 한화비즈메트로2차)</t>
  </si>
  <si>
    <t>제이앤지엘에스 주식회사</t>
  </si>
  <si>
    <t>심미에셈빌 204호</t>
  </si>
  <si>
    <t>경기도 남양주시 진건읍 진건오남로 77</t>
  </si>
  <si>
    <t>제이비건설 주식회사</t>
  </si>
  <si>
    <t>3층301호</t>
  </si>
  <si>
    <t>전남지방행정발전연구원주식회사</t>
  </si>
  <si>
    <t>913호(호계동 호계 데시앙플렉스)</t>
  </si>
  <si>
    <t>일월 주식회사</t>
  </si>
  <si>
    <t>삼성어반타워 1011호</t>
  </si>
  <si>
    <t>이지알앤디</t>
  </si>
  <si>
    <t>철물 및 난방용구 소매업</t>
  </si>
  <si>
    <t>제주특별자치도 제주시 다호동길 12 (용담이동)</t>
  </si>
  <si>
    <t>은진상사</t>
  </si>
  <si>
    <t>109-103</t>
  </si>
  <si>
    <t>부산광역시 해운대구 대천로 205 (좌동 벽산1차아파트)</t>
  </si>
  <si>
    <t>창원스마트업타워 712호</t>
  </si>
  <si>
    <t>엠엔이솔루션</t>
  </si>
  <si>
    <t>경북과학대학교 창업보육센터 203호</t>
  </si>
  <si>
    <t>경상북도 칠곡군 기산면 지산로 634</t>
  </si>
  <si>
    <t>에이엔텍</t>
  </si>
  <si>
    <t>대전광역시 서구 신갈마로 8-22 (내동)</t>
  </si>
  <si>
    <t>에스엠테크 주식회사</t>
  </si>
  <si>
    <t>창원스마트업타워 1811호</t>
  </si>
  <si>
    <t>에스엠제이건축사사무소</t>
  </si>
  <si>
    <t>자동차 중고 부품 및 내장품 판매업</t>
  </si>
  <si>
    <t>316동212호</t>
  </si>
  <si>
    <t>에벤에셀코퍼레이션</t>
  </si>
  <si>
    <t>알엔디컴퍼니 주식회사</t>
  </si>
  <si>
    <t>서울특별시 성동구 상원1길 25 (성수동1가)</t>
  </si>
  <si>
    <t>아크하이브</t>
  </si>
  <si>
    <t>에이동 1910호</t>
  </si>
  <si>
    <t>경기도 수원시 영통구 법조로 25 (하동)</t>
  </si>
  <si>
    <t>아이원테크</t>
  </si>
  <si>
    <t>102동 706호</t>
  </si>
  <si>
    <t>씨이엔코퍼레이션 주식회사</t>
  </si>
  <si>
    <t>미사하우스디엘타워 F403</t>
  </si>
  <si>
    <t>신진아이앤씨(주)</t>
  </si>
  <si>
    <t>주방용 및 음식점용 목재 가구 제조업</t>
  </si>
  <si>
    <t>경기도 김포시 통진읍 율마로211번길 30</t>
  </si>
  <si>
    <t>솔로몬</t>
  </si>
  <si>
    <t>이룸넘버원리치안 132호</t>
  </si>
  <si>
    <t>경기도 구리시 갈매중앙로 70 (갈매동)</t>
  </si>
  <si>
    <t>소명소프트(주)</t>
  </si>
  <si>
    <t>2층 세종구조안전진단</t>
  </si>
  <si>
    <t>경기도 성남시 수정구 산성대로 223 (신흥동)</t>
  </si>
  <si>
    <t>세종구조안전진단 주식회사</t>
  </si>
  <si>
    <t>블록썸 주식회사</t>
  </si>
  <si>
    <t>서울특별시 강남구 개포로140길 30 (일원동)</t>
  </si>
  <si>
    <t>베스트바이</t>
  </si>
  <si>
    <t>1823-301</t>
  </si>
  <si>
    <t>경기도 부천시 상일로 71 (상동 반달마을)</t>
  </si>
  <si>
    <t>모노리스</t>
  </si>
  <si>
    <t>마스코리아(주)</t>
  </si>
  <si>
    <t>01-405406</t>
  </si>
  <si>
    <t>레인보우테크 주식회사</t>
  </si>
  <si>
    <t>16층 1614호</t>
  </si>
  <si>
    <t>디원비씨에스(주)</t>
  </si>
  <si>
    <t>전라북도 전주시 완산구 척동7길 10-4 (효자동3가)</t>
  </si>
  <si>
    <t>다온사이언스</t>
  </si>
  <si>
    <t>광주광역시 북구 하서로423번길 12-7 (용두동)</t>
  </si>
  <si>
    <t>다안알앤씨</t>
  </si>
  <si>
    <t>충청남도 예산군 신암면 오산종경길 68</t>
  </si>
  <si>
    <t>농업회사법인 토심바이오(주)</t>
  </si>
  <si>
    <t>5층 넥스트인프라</t>
  </si>
  <si>
    <t>경기도 부천시 길주로 319 (중동)</t>
  </si>
  <si>
    <t>넥스트인프라</t>
  </si>
  <si>
    <t>서울특별시 구로구 가마산로 242 (구로동)</t>
  </si>
  <si>
    <t>나비커머스</t>
  </si>
  <si>
    <t>전일빌딩 7층 709호</t>
  </si>
  <si>
    <t>(주)컬쳐플래닛</t>
  </si>
  <si>
    <t>(주)일월아이에스비</t>
  </si>
  <si>
    <t>경상북도 경산시 자인면 자인로 38</t>
  </si>
  <si>
    <t>1동 2층</t>
  </si>
  <si>
    <t>경기도 파주시 고봉로 721-50 (상지석동)</t>
  </si>
  <si>
    <t>(주)이안스포츠</t>
  </si>
  <si>
    <t>제주특별자치도 제주시 진동로5길 38 (화북일동)</t>
  </si>
  <si>
    <t>(주)엠에이치도장건설</t>
  </si>
  <si>
    <t>6410호</t>
  </si>
  <si>
    <t>(주)새론아이</t>
  </si>
  <si>
    <t>4층 4-34호(글라스타워)</t>
  </si>
  <si>
    <t>경기도 성남시 분당구 성남대로916번길 11 (야탑동)</t>
  </si>
  <si>
    <t>(주)모도리</t>
  </si>
  <si>
    <t>(주)메이크인</t>
  </si>
  <si>
    <t>(주)데이터센트릭</t>
  </si>
  <si>
    <t>경기도 성남시 중원구 둔촌대로 156-3 (하대원동)</t>
  </si>
  <si>
    <t>(주)경서디앤씨</t>
  </si>
  <si>
    <t>선암리 203</t>
  </si>
  <si>
    <t>경기도 양주시 은현면 운하로528번길 291-26</t>
  </si>
  <si>
    <t>현진인터네셔날</t>
  </si>
  <si>
    <t>육지 동물 및 애완 동물 도매업</t>
  </si>
  <si>
    <t>충청북도 진천군 덕산읍 용석로 11</t>
  </si>
  <si>
    <t>햇살(주)</t>
  </si>
  <si>
    <t>4층 6404호</t>
  </si>
  <si>
    <t>한독비케이바이오 주식회사</t>
  </si>
  <si>
    <t>푸르고</t>
  </si>
  <si>
    <t>609-207호</t>
  </si>
  <si>
    <t>서울특별시 금천구 벚꽃로 278 (가산동)</t>
  </si>
  <si>
    <t>퍼니플 주식회사</t>
  </si>
  <si>
    <t>경기도 광명시 시청로138번길 40-12 (철산동)</t>
  </si>
  <si>
    <t>트리거시스템</t>
  </si>
  <si>
    <t>옥탑1동</t>
  </si>
  <si>
    <t>인천광역시 서구 마중3로 16 (오류동)</t>
  </si>
  <si>
    <t>텝스(TEPS)</t>
  </si>
  <si>
    <t>환경산업연구단지 C동 306호</t>
  </si>
  <si>
    <t>클린페엔지니어링</t>
  </si>
  <si>
    <t>치우솔루션</t>
  </si>
  <si>
    <t>공장동 701-4호</t>
  </si>
  <si>
    <t>주식회사엠피알브레인</t>
  </si>
  <si>
    <t>1611호(훼미리타워)</t>
  </si>
  <si>
    <t>경기도 수원시 영통구 봉영로 1617 (영통동)</t>
  </si>
  <si>
    <t>주식회사엘림산업</t>
  </si>
  <si>
    <t>전라북도 부안군 동진면 금판로 349</t>
  </si>
  <si>
    <t>주식회사에스에이치이</t>
  </si>
  <si>
    <t>21센츄리시티빌딩 830호</t>
  </si>
  <si>
    <t>부산광역시 남구 수영로 312 (대연동)</t>
  </si>
  <si>
    <t>주식회사 하이퍼로직</t>
  </si>
  <si>
    <t>베타룸</t>
  </si>
  <si>
    <t>제주특별자치도 제주시 동문로9길 13-1 (일도일동)</t>
  </si>
  <si>
    <t>주식회사 피터페터</t>
  </si>
  <si>
    <t>주식회사 프리미어아이씨티</t>
  </si>
  <si>
    <t>인천IT타워 1111호</t>
  </si>
  <si>
    <t>주식회사 케이제이앤씨</t>
  </si>
  <si>
    <t>삼성IT해링턴타워 704호</t>
  </si>
  <si>
    <t>주식회사 인스유틸</t>
  </si>
  <si>
    <t>1층 우담</t>
  </si>
  <si>
    <t>경상남도 통영시 동호로 20 (정량동)</t>
  </si>
  <si>
    <t>주식회사 우담</t>
  </si>
  <si>
    <t>B-912</t>
  </si>
  <si>
    <t>주식회사 올스웰</t>
  </si>
  <si>
    <t>20-21  (주)엘리스가구</t>
  </si>
  <si>
    <t>경기도 포천시 군내면 어가2길 20-13</t>
  </si>
  <si>
    <t>주식회사 엘리스가구</t>
  </si>
  <si>
    <t>주식회사 엔지니어스톡</t>
  </si>
  <si>
    <t>진은빌딩 5층(방배동)</t>
  </si>
  <si>
    <t>서울특별시 서초구 방배로28길 32 (방배동)</t>
  </si>
  <si>
    <t>주식회사 씨케이유니온</t>
  </si>
  <si>
    <t>남영빌딩 202호</t>
  </si>
  <si>
    <t>서울특별시 용산구 한강대로80길 21-9 (남영동)</t>
  </si>
  <si>
    <t>주식회사 시스퍼</t>
  </si>
  <si>
    <t>전라북도 김제시 공덕면 황상2길 83-14</t>
  </si>
  <si>
    <t>주식회사 상상</t>
  </si>
  <si>
    <t>6층 608호</t>
  </si>
  <si>
    <t>경기도 성남시 중원구 갈마치로 186 (상대원동)</t>
  </si>
  <si>
    <t>주식회사 베테랑</t>
  </si>
  <si>
    <t>서울특별시 성동구 왕십리로 38 (성수동1가)</t>
  </si>
  <si>
    <t>주식회사 버추얼랩</t>
  </si>
  <si>
    <t>벤처관 401호 (숭실대학교)</t>
  </si>
  <si>
    <t>주식회사 모빌리프론티어</t>
  </si>
  <si>
    <t>C동 220호(대덕비즈센터)</t>
  </si>
  <si>
    <t>주식회사 더피치</t>
  </si>
  <si>
    <t>디동406호</t>
  </si>
  <si>
    <t>주)지티솔루션</t>
  </si>
  <si>
    <t>105/2305호</t>
  </si>
  <si>
    <t>인천광역시 남동구 석산로 35 (간석동 간석마을 풍림아이원아파트)</t>
  </si>
  <si>
    <t>제이엠인포텍</t>
  </si>
  <si>
    <t>전라북도 완주군 이서면 안전로 139</t>
  </si>
  <si>
    <t>전북지방행정발전연구원주식회사</t>
  </si>
  <si>
    <t>서울특별시 중랑구 겸재로 118-7 (면목동)</t>
  </si>
  <si>
    <t>이편리한세상주식회사</t>
  </si>
  <si>
    <t>건물 2층</t>
  </si>
  <si>
    <t>서울특별시 종로구 북촌로6길 1 (가회동)</t>
  </si>
  <si>
    <t>유블로 주식회사</t>
  </si>
  <si>
    <t>국제무역센터 A-417</t>
  </si>
  <si>
    <t>올림</t>
  </si>
  <si>
    <t>대전광역시 동구 대전여고1길 37 (대동)</t>
  </si>
  <si>
    <t>오토마타프렌즈</t>
  </si>
  <si>
    <t>106-1203</t>
  </si>
  <si>
    <t>부산광역시 금정구 금정로 20 (장전동 래미안장전)</t>
  </si>
  <si>
    <t>엠아이티(MIT)</t>
  </si>
  <si>
    <t>부산광역시 강서구 녹산산단232로 38-3 (송정동)</t>
  </si>
  <si>
    <t>에보엔지니어링</t>
  </si>
  <si>
    <t>에디션코리아</t>
  </si>
  <si>
    <t>서울특별시 강남구 논현로79길 73 (역삼동)</t>
  </si>
  <si>
    <t>앱실론코퍼레이션 주식회사</t>
  </si>
  <si>
    <t>서울특별시 영등포구 여의대방로61길 19 (신길동 삼두아파트)</t>
  </si>
  <si>
    <t>씨스원</t>
  </si>
  <si>
    <t>9080호</t>
  </si>
  <si>
    <t>쌔니365코리아</t>
  </si>
  <si>
    <t>경기도 화성시 팔탄면 언창길 13</t>
  </si>
  <si>
    <t>신흥기계</t>
  </si>
  <si>
    <t>강원도 원주시 지정면 신지정로 300 (원주 롯데캐슬 골드파크 2차)</t>
  </si>
  <si>
    <t>스톤크릭</t>
  </si>
  <si>
    <t>제주특별자치도 제주시 관덕로8길 42 (삼도이동)</t>
  </si>
  <si>
    <t>무이건축사사무소</t>
  </si>
  <si>
    <t>기타 부동산 임대업</t>
  </si>
  <si>
    <t>경기도 포천시 가산면 마현4길 9-1</t>
  </si>
  <si>
    <t>럭키산업</t>
  </si>
  <si>
    <t>경기도 성남시 분당구 성남대로 151 (구미동)</t>
  </si>
  <si>
    <t>딥 마인드케어</t>
  </si>
  <si>
    <t>광주광역시 광산구 도천남길 110 (도천동)</t>
  </si>
  <si>
    <t>디케이하이텍</t>
  </si>
  <si>
    <t>경기도 포천시 일동면 기산리 321-4</t>
  </si>
  <si>
    <t>경기도 포천시 일동면 화동로948번길 3</t>
  </si>
  <si>
    <t>누리가구</t>
  </si>
  <si>
    <t>세종특별자치시 연서면 당산로 360</t>
  </si>
  <si>
    <t>남인건설 주식회사</t>
  </si>
  <si>
    <t>서울특별시 강남구 논현로71길 34 (역삼동)</t>
  </si>
  <si>
    <t>기장윤아키텍트건축사사무소</t>
  </si>
  <si>
    <t>평익빌딩4층</t>
  </si>
  <si>
    <t>경기도 수원시 영통구 반달로7번길 40 (영통동)</t>
  </si>
  <si>
    <t>경기지방행정발전연구원주식회사</t>
  </si>
  <si>
    <t>HK 빌딩 2층</t>
  </si>
  <si>
    <t>서울특별시 용산구 원효로89길 3 (원효로1가)</t>
  </si>
  <si>
    <t>TEAM2470</t>
  </si>
  <si>
    <t>부산광역시 부산진구 백양순환로119번길 12-16 (부암동)</t>
  </si>
  <si>
    <t>MGS미공사</t>
  </si>
  <si>
    <t>강원도 원주시 솔우물2길 23-1 (무실동)</t>
  </si>
  <si>
    <t>M tree(엠트리)</t>
  </si>
  <si>
    <t>효원빌딩10층130호</t>
  </si>
  <si>
    <t>경기도 고양시 일산서구 중앙로 1449 (주엽동)</t>
  </si>
  <si>
    <t>(주)한국플라즈마</t>
  </si>
  <si>
    <t>(주)하이마블</t>
  </si>
  <si>
    <t>경기도 하남시 춘궁로93번길 8 (하사창동)</t>
  </si>
  <si>
    <t>201호 (주)케이에스퍼스트</t>
  </si>
  <si>
    <t>경기도 고양시 덕양구 지도로26번길 16 (토당동)</t>
  </si>
  <si>
    <t>(주)케이에스퍼스트</t>
  </si>
  <si>
    <t>성티리</t>
  </si>
  <si>
    <t>충청북도 보은군 내북면 성티적음로 52</t>
  </si>
  <si>
    <t>(주)정현</t>
  </si>
  <si>
    <t>경기도 파주시 탄현면 방촌로 1134</t>
  </si>
  <si>
    <t>(주)자연공조</t>
  </si>
  <si>
    <t>충청북도 음성군 대소면 대금로196번길 59-12</t>
  </si>
  <si>
    <t>(주)월인텍</t>
  </si>
  <si>
    <t>본부동 410호</t>
  </si>
  <si>
    <t>(주)와치포인트</t>
  </si>
  <si>
    <t>3층 애니스마트</t>
  </si>
  <si>
    <t>전라북도 전주시 완산구 마전들로 4 (효자동3가)</t>
  </si>
  <si>
    <t>(주)애니스마트</t>
  </si>
  <si>
    <t>2층(흥국금융가족빌딩)</t>
  </si>
  <si>
    <t>광주광역시 동구 구성로 190 (금남로5가)</t>
  </si>
  <si>
    <t>(주)아파트너스</t>
  </si>
  <si>
    <t>제비동 211호 (옥타브상가)</t>
  </si>
  <si>
    <t>대전광역시 유성구 지족로 374 (지족동)</t>
  </si>
  <si>
    <t>(주)아태인구연구원</t>
  </si>
  <si>
    <t>에비뉴힐 6032호</t>
  </si>
  <si>
    <t>(주)두레윈</t>
  </si>
  <si>
    <t>전라남도 담양군 담양읍 에코산단5로 29</t>
  </si>
  <si>
    <t>(주)금강에스티</t>
  </si>
  <si>
    <t>인천광역시 남동구 서창남순환로215번길 36 (서창동)</t>
  </si>
  <si>
    <t>환경처럼</t>
  </si>
  <si>
    <t>경기도 남양주시 수동면 소래비로416번길 139</t>
  </si>
  <si>
    <t>호원산업개발(주)</t>
  </si>
  <si>
    <t>4층 414호 내  A18호</t>
  </si>
  <si>
    <t>하나이엔지</t>
  </si>
  <si>
    <t>코덱소</t>
  </si>
  <si>
    <t>경기도 수원시 장안구 송원로 27-3 (송죽동)</t>
  </si>
  <si>
    <t>케이제이환경</t>
  </si>
  <si>
    <t>109동 B1층 878호</t>
  </si>
  <si>
    <t>카리스</t>
  </si>
  <si>
    <t>339호(용암동오피스텔)</t>
  </si>
  <si>
    <t>충청북도 청주시 상당구 월평로184번길 45 (용암동)</t>
  </si>
  <si>
    <t>충청지방행정발전연구원주식회사</t>
  </si>
  <si>
    <t>송전빌딩 지하1층</t>
  </si>
  <si>
    <t>서울특별시 강남구 논현로167길 12 (신사동)</t>
  </si>
  <si>
    <t>주식회사이오스튜디오</t>
  </si>
  <si>
    <t>디동 608호</t>
  </si>
  <si>
    <t>주식회사가트비젼</t>
  </si>
  <si>
    <t>서울숲SKV1 타워 2004호</t>
  </si>
  <si>
    <t>서울특별시 성동구 성수일로8길 5 (성수동2가)</t>
  </si>
  <si>
    <t>주식회사 포미비앤엠</t>
  </si>
  <si>
    <t>주식회사 트리탑파티</t>
  </si>
  <si>
    <t>경기도 파주시 문발로 214-34 (문발동)</t>
  </si>
  <si>
    <t>STX-V타워</t>
  </si>
  <si>
    <t>주식회사 키스톤소프트</t>
  </si>
  <si>
    <t>302호 303호 주식회사 지식팩토리</t>
  </si>
  <si>
    <t>서울특별시 관악구 봉천로 545 (봉천동)</t>
  </si>
  <si>
    <t>주식회사 지식팩토리</t>
  </si>
  <si>
    <t>경기도 화성시 팔탄면 율암길95번길 54-7</t>
  </si>
  <si>
    <t>주식회사 자인인더스트리</t>
  </si>
  <si>
    <t>경기도 광주시 도척면 다람로36번길 31-17</t>
  </si>
  <si>
    <t>주식회사 원파워텍</t>
  </si>
  <si>
    <t>울산광역시 남구 신정로116번길 21 (신정동)</t>
  </si>
  <si>
    <t>주식회사 울산중앙광고기획</t>
  </si>
  <si>
    <t>주식회사 연후</t>
  </si>
  <si>
    <t>경기도 파주시 조리읍 은골길 83-30</t>
  </si>
  <si>
    <t>주식회사 에이치에스패널</t>
  </si>
  <si>
    <t>101동 107-6호 ( 오피스타운 )</t>
  </si>
  <si>
    <t>서울특별시 노원구 상계로23다길 13-8 (상계동 노원 아이파크)</t>
  </si>
  <si>
    <t>주식회사 에스오맥스</t>
  </si>
  <si>
    <t>경상남도 진주시 문산읍 월아산로 905</t>
  </si>
  <si>
    <t>주식회사 에듀클린</t>
  </si>
  <si>
    <t>101동 203호</t>
  </si>
  <si>
    <t>주식회사 알파엔지니어링</t>
  </si>
  <si>
    <t>경기도 포천시 군내면 유교로88번길 126</t>
  </si>
  <si>
    <t>주식회사 알레앤비</t>
  </si>
  <si>
    <t>벌목업</t>
  </si>
  <si>
    <t>경기도 용인시 처인구 포곡읍 포곡로123번길 18-5</t>
  </si>
  <si>
    <t>주식회사 수피아</t>
  </si>
  <si>
    <t>경기도 양주시 남면 현석로785번길 91</t>
  </si>
  <si>
    <t>주식회사 벨류앤코</t>
  </si>
  <si>
    <t>신구대학 창업관 206호</t>
  </si>
  <si>
    <t>주식회사 디네이쳐</t>
  </si>
  <si>
    <t>C동 2층 209호 창업지원센터</t>
  </si>
  <si>
    <t>경기도 수원시 영통구 광교로 145 (이의동)</t>
  </si>
  <si>
    <t>주식회사 더대시</t>
  </si>
  <si>
    <t>마루힐프라자 5층 501호</t>
  </si>
  <si>
    <t>인천광역시 서구 중봉대로 610 (청라동)</t>
  </si>
  <si>
    <t>주식회사 다소니</t>
  </si>
  <si>
    <t>2301호</t>
  </si>
  <si>
    <t>주식회사 네모</t>
  </si>
  <si>
    <t>서울특별시 금천구 가산디지털1로 1 (가산동)</t>
  </si>
  <si>
    <t>주식회사 글로리엠엔씨</t>
  </si>
  <si>
    <t>충청북도 청주시 청원구 외남로15번길 31 (외남동)</t>
  </si>
  <si>
    <t>제이와이메인트</t>
  </si>
  <si>
    <t>충청남도 천안시 동남구 문화로 20 (문화동)</t>
  </si>
  <si>
    <t>재범상사</t>
  </si>
  <si>
    <t>봉림YG빌딩 502503호</t>
  </si>
  <si>
    <t>경상남도 창원시 의창구 대봉로26번길 4-5 (봉림동)</t>
  </si>
  <si>
    <t>일신씨엔에스주식회사</t>
  </si>
  <si>
    <t>주2동 2층</t>
  </si>
  <si>
    <t>광주광역시 북구 첨단연신로30번길 54 (연제동)</t>
  </si>
  <si>
    <t>인트플로우 주식회사</t>
  </si>
  <si>
    <t>고체 연료 및 관련제품 도매업</t>
  </si>
  <si>
    <t>경기도 파주시 탄현면 동오리길 204</t>
  </si>
  <si>
    <t>이앤브이카본</t>
  </si>
  <si>
    <t>대전광역시 유성구 테크노2로 320 (탑립동)</t>
  </si>
  <si>
    <t>유에스피</t>
  </si>
  <si>
    <t>1동 1006호</t>
  </si>
  <si>
    <t>유로마텍주식회사</t>
  </si>
  <si>
    <t>전라남도 순천시 왕궁중앙길 8 (조례동)</t>
  </si>
  <si>
    <t>왕지서점문구</t>
  </si>
  <si>
    <t>201호 202호</t>
  </si>
  <si>
    <t>서울특별시 용산구 한강대로 211 (한강로1가 대우 월드마크 용산)</t>
  </si>
  <si>
    <t>와이젠글로벌(주)</t>
  </si>
  <si>
    <t>경기도 가평군 가평읍 석봉로 34</t>
  </si>
  <si>
    <t>온엑스 테크</t>
  </si>
  <si>
    <t>경상남도 양산시 상북면 감결길 15</t>
  </si>
  <si>
    <t>영광조경</t>
  </si>
  <si>
    <t>K비즈리움 302호</t>
  </si>
  <si>
    <t>경기도 안양시 동안구 흥안대로 445 (평촌동)</t>
  </si>
  <si>
    <t>연전시스템</t>
  </si>
  <si>
    <t>부산광역시 동래구 충렬대로218번길 63 (수안동)</t>
  </si>
  <si>
    <t>에이원디앤씨주식회사</t>
  </si>
  <si>
    <t>서울특별시 강남구 남부순환로378길 34-4 (도곡동)</t>
  </si>
  <si>
    <t>에이미파이 주식회사</t>
  </si>
  <si>
    <t>경기도 용인시 기흥구 동백1로23번길 6-8 (중동)</t>
  </si>
  <si>
    <t>스마트윌</t>
  </si>
  <si>
    <t>서울특별시 강남구 언주로134길 6 (논현동)</t>
  </si>
  <si>
    <t>세로정원</t>
  </si>
  <si>
    <t>B동 3102-1호</t>
  </si>
  <si>
    <t>서호</t>
  </si>
  <si>
    <t>세종하우스디 지하1층 109~111호</t>
  </si>
  <si>
    <t>서울특별시 성동구 성수일로10길 26 (성수동2가)</t>
  </si>
  <si>
    <t>서울디지털인쇄협동조합</t>
  </si>
  <si>
    <t>대전광역시 동구 가양로 74 (가양동)</t>
  </si>
  <si>
    <t>새천년카</t>
  </si>
  <si>
    <t>대전광역시 서구 대덕대로 83-36 (갈마동)</t>
  </si>
  <si>
    <t>상원HCC</t>
  </si>
  <si>
    <t>전라남도 나주시 황동3길 17-19 (빛가람동)</t>
  </si>
  <si>
    <t>사이텍 주식회사</t>
  </si>
  <si>
    <t>경기도 용인시 처인구 남사읍 원암로 409</t>
  </si>
  <si>
    <t>빛나라라이팅(주)</t>
  </si>
  <si>
    <t>경기도 용인시 수지구 광교중앙로 304 (상현동)</t>
  </si>
  <si>
    <t>밸류메이드유니온 주식회사</t>
  </si>
  <si>
    <t>1423호</t>
  </si>
  <si>
    <t>리컨셉 스튜디오</t>
  </si>
  <si>
    <t>미주프라자 3층 304호</t>
  </si>
  <si>
    <t>로그러스아이티코리아주식회사</t>
  </si>
  <si>
    <t>용인시 처인구 마평동 299-4</t>
  </si>
  <si>
    <t>경기도 용인시 처인구 신송로 35 (마평동)</t>
  </si>
  <si>
    <t>락시원</t>
  </si>
  <si>
    <t>상가 105호</t>
  </si>
  <si>
    <t>경기도 파주시 하우2길 41 (야당동)</t>
  </si>
  <si>
    <t>도시마을협동조합 경기북부지점</t>
  </si>
  <si>
    <t>2층 대원소방</t>
  </si>
  <si>
    <t>충청북도 충주시 탄금대로 93 (봉방동)</t>
  </si>
  <si>
    <t>대원소방</t>
  </si>
  <si>
    <t>제에프동13층1311호</t>
  </si>
  <si>
    <t>경남지방행정발전연구원주식회사</t>
  </si>
  <si>
    <t>건축사사무소 무이건축</t>
  </si>
  <si>
    <t>서울특별시 서초구 서초대로 254 (서초동)</t>
  </si>
  <si>
    <t>건축사사무소 19341</t>
  </si>
  <si>
    <t>농림업용 기계 및 장비 도매업</t>
  </si>
  <si>
    <t>강원종합기계</t>
  </si>
  <si>
    <t>강원도 양양군 손양면 동해대로 2493-1</t>
  </si>
  <si>
    <t>A동 12호</t>
  </si>
  <si>
    <t>경기도 안성시 안성맞춤대로 924-9 (도기동)</t>
  </si>
  <si>
    <t>강동전력</t>
  </si>
  <si>
    <t>경기도 용인시 처인구 이동읍 화산로94번길 27-12</t>
  </si>
  <si>
    <t>가온솔루션(주)</t>
  </si>
  <si>
    <t>12층 1267호 (부평제이타워3차 지식산업센터)</t>
  </si>
  <si>
    <t>(주)엔에스테크</t>
  </si>
  <si>
    <t>서울특별시 동작구 노량진로 140 (노량진동)</t>
  </si>
  <si>
    <t>(주)쉐어플러스</t>
  </si>
  <si>
    <t>타운프라자 5층</t>
  </si>
  <si>
    <t>서울특별시 서초구 신반포로47길 9-6 (잠원동)</t>
  </si>
  <si>
    <t>(주)서베이피플</t>
  </si>
  <si>
    <t>경기도 파주시 상골길 191-73 (맥금동)</t>
  </si>
  <si>
    <t>(주)비엠오피스퍼니처</t>
  </si>
  <si>
    <t>105-101</t>
  </si>
  <si>
    <t>서울특별시 종로구 동망산길 47 (숭인동 종로센트레빌)</t>
  </si>
  <si>
    <t>(주)로그스택</t>
  </si>
  <si>
    <t>경상북도 경주시 외동읍 구어들밑길 121-72</t>
  </si>
  <si>
    <t>(주)라온이엔지</t>
  </si>
  <si>
    <t>B동 1108-1호</t>
  </si>
  <si>
    <t>(주)드림베이스</t>
  </si>
  <si>
    <t>원효상가 6동 2층24호</t>
  </si>
  <si>
    <t>서울특별시 용산구 청파로 77 (한강로3가)</t>
  </si>
  <si>
    <t>(주)다성비티솔루션</t>
  </si>
  <si>
    <t>성균관대학교 85115호</t>
  </si>
  <si>
    <t>(주)누비랩</t>
  </si>
  <si>
    <t>전라북도 전주시 완산구 콩쥐팥쥐로 1586 (상림동)</t>
  </si>
  <si>
    <t>(유)코스테크</t>
  </si>
  <si>
    <t>무진상가나동76호</t>
  </si>
  <si>
    <t>광주광역시 남구 대남대로193번길 5-1 (봉선동 무진아파트)</t>
  </si>
  <si>
    <t>홈테크건축</t>
  </si>
  <si>
    <t>블루오션지식산업센터 301호</t>
  </si>
  <si>
    <t>경기도 남양주시 별내3로 402 (별내동)</t>
  </si>
  <si>
    <t>현진시스템</t>
  </si>
  <si>
    <t>4층(해긴 건축사사무소)</t>
  </si>
  <si>
    <t>제주특별자치도 제주시 도남로16길 24 (도남동)</t>
  </si>
  <si>
    <t>해긴 건축사사무소</t>
  </si>
  <si>
    <t>강원도 춘천시 신북읍 배후령1길 73</t>
  </si>
  <si>
    <t>한일</t>
  </si>
  <si>
    <t>염료 조제 무기 안료 유연제 및 기타 착색제 제조업</t>
  </si>
  <si>
    <t>130호</t>
  </si>
  <si>
    <t>하이노텍</t>
  </si>
  <si>
    <t>전라북도 완주군 삼례읍 삼례로 443</t>
  </si>
  <si>
    <t>하원상사</t>
  </si>
  <si>
    <t>경기도 구리시 건원대로34번길 27 (인창동)</t>
  </si>
  <si>
    <t>하나엠앤디</t>
  </si>
  <si>
    <t>경기도 의정부시 용현로 97 (민락동)</t>
  </si>
  <si>
    <t>피엔위커머스</t>
  </si>
  <si>
    <t>서울특별시 서대문구 명지대1길 21 (남가좌동)</t>
  </si>
  <si>
    <t>플러그브이알</t>
  </si>
  <si>
    <t>서울특별시 중랑구 중랑천로2길 34-6 (면목동)</t>
  </si>
  <si>
    <t>플랜트인</t>
  </si>
  <si>
    <t>패러데이 주식회사</t>
  </si>
  <si>
    <t>팜프랜드</t>
  </si>
  <si>
    <t>충청북도 충주시 창현로 1204 (용관동)</t>
  </si>
  <si>
    <t>안경 사진장비 및 광학용품 도매업</t>
  </si>
  <si>
    <t>서울특별시 관악구 봉천로55길 11-11 (봉천동)</t>
  </si>
  <si>
    <t>타라(TARA)</t>
  </si>
  <si>
    <t>울산광역시 중구 종가7길 44 (복산동)</t>
  </si>
  <si>
    <t>클리코 clico</t>
  </si>
  <si>
    <t>시립창업보육센타205-B</t>
  </si>
  <si>
    <t>서울특별시 노원구 동일로207길 50 (중계동)</t>
  </si>
  <si>
    <t>코이로사</t>
  </si>
  <si>
    <t>경기도 파주시 모련안길 47-16 (연다산동)</t>
  </si>
  <si>
    <t>케이에이스</t>
  </si>
  <si>
    <t>2층 216호</t>
  </si>
  <si>
    <t>경기도 성남시 분당구 성남대로171번길 9 (금곡동)</t>
  </si>
  <si>
    <t>칸디드(주)</t>
  </si>
  <si>
    <t>비동 603호</t>
  </si>
  <si>
    <t>경상남도 창원시 마산합포구 합포로 250 (산호동 선프라자)</t>
  </si>
  <si>
    <t>청한테크</t>
  </si>
  <si>
    <t>311동 107호</t>
  </si>
  <si>
    <t>중원일렉트릭</t>
  </si>
  <si>
    <t>주식회상 브레이너</t>
  </si>
  <si>
    <t>경상북도 경주시 강동면 모서안길 175</t>
  </si>
  <si>
    <t>주식회사진성테크</t>
  </si>
  <si>
    <t>1F</t>
  </si>
  <si>
    <t>서울특별시 마포구 마포대로4가길 15 (마포동)</t>
  </si>
  <si>
    <t>주식회사메이커스핸즈</t>
  </si>
  <si>
    <t>주식회사디알아이</t>
  </si>
  <si>
    <t>경상남도 창녕군 영산면 신제로 94</t>
  </si>
  <si>
    <t>에이동 2층 201-1호(사당동대림아파트상가)</t>
  </si>
  <si>
    <t>서울특별시 동작구 사당로17길 52 (사당동 대림아파트)</t>
  </si>
  <si>
    <t>주식회사더빌드이루다</t>
  </si>
  <si>
    <t>지하 1층 RB101호 ~ RB103호</t>
  </si>
  <si>
    <t>서울특별시 성동구 아차산로17길 49 (성수동2가)</t>
  </si>
  <si>
    <t>주식회사 휴비즈</t>
  </si>
  <si>
    <t>(주)효성티앤에스</t>
  </si>
  <si>
    <t>대구광역시 달서구 성서공단남로 189 (월암동)</t>
  </si>
  <si>
    <t>주식회사 효성티앤에스</t>
  </si>
  <si>
    <t>경상남도 김해시 한림면 명동로 124-23</t>
  </si>
  <si>
    <t>주식회사 화성</t>
  </si>
  <si>
    <t>사천시외버스터미널 109호</t>
  </si>
  <si>
    <t>경상남도 사천시 사천읍 옥산로 120</t>
  </si>
  <si>
    <t>주식회사 호연지기</t>
  </si>
  <si>
    <t>경기도 남양주시 진접읍 금강로 1978</t>
  </si>
  <si>
    <t>주식회사 하이티스</t>
  </si>
  <si>
    <t>1419호</t>
  </si>
  <si>
    <t>주식회사 하이덱스</t>
  </si>
  <si>
    <t>현대지식산업센터 한강미사 1차 A06-029호</t>
  </si>
  <si>
    <t>주식회사 트라이웍스</t>
  </si>
  <si>
    <t>서울특별시 강서구 마곡중앙로 76 (마곡동)</t>
  </si>
  <si>
    <t>주식회사 태라</t>
  </si>
  <si>
    <t>비동 203호</t>
  </si>
  <si>
    <t>울산광역시 남구 테크노산업로55번길 79-10 (두왕동)</t>
  </si>
  <si>
    <t>주식회사 케이랩스</t>
  </si>
  <si>
    <t>광주광역시 서구 풍금로 61 (금호동)</t>
  </si>
  <si>
    <t>주식회사 제이수건설</t>
  </si>
  <si>
    <t>제5벤처동 302호</t>
  </si>
  <si>
    <t>경상북도 포항시 남구 지곡로 394 (지곡동 포항테크노파크)</t>
  </si>
  <si>
    <t>주식회사 이너센서(Inner Sensor co. Ltd)</t>
  </si>
  <si>
    <t>서울특별시 마포구 양화로 161 (동교동)</t>
  </si>
  <si>
    <t>주식회사 월간해킹</t>
  </si>
  <si>
    <t>513호</t>
  </si>
  <si>
    <t>서울특별시 영등포구 국제금융로 20 (여의도동)</t>
  </si>
  <si>
    <t>주식회사 와이즈로더브릴리언스</t>
  </si>
  <si>
    <t>바이오융합센터2호관 201-1호</t>
  </si>
  <si>
    <t>주식회사 오존에이드</t>
  </si>
  <si>
    <t>목포해양대학교 창업보육센터 4308호</t>
  </si>
  <si>
    <t>전라남도 목포시 해양대학로 91 (죽교동)</t>
  </si>
  <si>
    <t>주식회사 엘앤더블유</t>
  </si>
  <si>
    <t>경기도 수원시 영통구 영통로213번길 6 (영통동)</t>
  </si>
  <si>
    <t>주식회사 엘리커뮤니티</t>
  </si>
  <si>
    <t>1-816</t>
  </si>
  <si>
    <t>주식회사 엔이알</t>
  </si>
  <si>
    <t>한신에스메카 513호(내 5호)</t>
  </si>
  <si>
    <t>주식회사 에이엠텐</t>
  </si>
  <si>
    <t>에스엠유니트</t>
  </si>
  <si>
    <t>충청북도 청주시 청원구 북이면 내추옥수길 99</t>
  </si>
  <si>
    <t>주식회사 에스엠유니트</t>
  </si>
  <si>
    <t>서울특별시 광진구 군자로 70 (군자동)</t>
  </si>
  <si>
    <t>주식회사 에스엔플랫폼</t>
  </si>
  <si>
    <t>호계 데시앙플렉스 708호</t>
  </si>
  <si>
    <t>주식회사 아이원</t>
  </si>
  <si>
    <t>701호 (대광프라임시티)</t>
  </si>
  <si>
    <t>충청북도 청주시 흥덕구 오송읍 오송생명5로 305</t>
  </si>
  <si>
    <t>주식회사 아이디</t>
  </si>
  <si>
    <t>스마트웨어하우스</t>
  </si>
  <si>
    <t>경기도 파주시 탄현면 검산로 364</t>
  </si>
  <si>
    <t>주식회사 스마트웨어하우스</t>
  </si>
  <si>
    <t>창조관(비동)421호</t>
  </si>
  <si>
    <t>주식회사 쉐어앤서비스</t>
  </si>
  <si>
    <t>충청남도 천안시 서북구 2공단1로 33-4 (성성동)</t>
  </si>
  <si>
    <t>주식회사 손푸드</t>
  </si>
  <si>
    <t>대구콘텐츠기업지원센터 408호</t>
  </si>
  <si>
    <t>주식회사 비피</t>
  </si>
  <si>
    <t>태승빌딩 3층</t>
  </si>
  <si>
    <t>전라북도 전주시 완산구 홍산남로 11-24 (효자동2가)</t>
  </si>
  <si>
    <t>주식회사 비즈니스코웍</t>
  </si>
  <si>
    <t>유선 통신업</t>
  </si>
  <si>
    <t>102동 102호</t>
  </si>
  <si>
    <t>제주특별자치도 제주시 구산서길 29 (아라일동 그린나래)</t>
  </si>
  <si>
    <t>주식회사 모아</t>
  </si>
  <si>
    <t>경상남도 사천시 용현면 사천대로 971-7</t>
  </si>
  <si>
    <t>주식회사 라온환경건설</t>
  </si>
  <si>
    <t>트루엘파크스테이 414호</t>
  </si>
  <si>
    <t>경기도 고양시 일산동구 중앙로1275번길 60-17 (장항동)</t>
  </si>
  <si>
    <t>주식회사 동화소프트</t>
  </si>
  <si>
    <t>대성디폴리스 429호</t>
  </si>
  <si>
    <t>주식회사 대한이디아이</t>
  </si>
  <si>
    <t>경상북도 구미시 장천면 신장4길 86</t>
  </si>
  <si>
    <t>주식회사 대정</t>
  </si>
  <si>
    <t>서울특별시 마포구 월드컵로 163-3 (망원동)</t>
  </si>
  <si>
    <t>주식회사 꽃길</t>
  </si>
  <si>
    <t>울산광역시 중구 신기2길 11 (태화동)</t>
  </si>
  <si>
    <t>주식회사 그린어드벤쳐</t>
  </si>
  <si>
    <t>영신빌딩5층 주)꼬모</t>
  </si>
  <si>
    <t>부산광역시 부산진구 신암로 93 (범천동)</t>
  </si>
  <si>
    <t>주) 꼬모</t>
  </si>
  <si>
    <t>A동 949호</t>
  </si>
  <si>
    <t>제이비(JAYB)</t>
  </si>
  <si>
    <t>범진빌딩 402호</t>
  </si>
  <si>
    <t>경기도 고양시 일산동구 무궁화로 42-38 (장항동)</t>
  </si>
  <si>
    <t>잇컬러</t>
  </si>
  <si>
    <t>산학협력관 906호</t>
  </si>
  <si>
    <t>원아이티</t>
  </si>
  <si>
    <t>경기도 파주시 탄현면 한산로 47</t>
  </si>
  <si>
    <t>와이제이(YJ)산업 주식회사</t>
  </si>
  <si>
    <t>근린상가동 지하 B103호</t>
  </si>
  <si>
    <t>서울특별시 용산구 원효로 216 (신계동 용산e편한세상)</t>
  </si>
  <si>
    <t>엠와이솔루션</t>
  </si>
  <si>
    <t>서울특별시 성동구 연무장5가길 28 (성수동2가)</t>
  </si>
  <si>
    <t>에프앤디 건축사사무소</t>
  </si>
  <si>
    <t>10층 에이치큐브</t>
  </si>
  <si>
    <t>대전광역시 유성구 엑스포로 161 (도룡동)</t>
  </si>
  <si>
    <t>에이치큐브</t>
  </si>
  <si>
    <t>C5 621호</t>
  </si>
  <si>
    <t>에이치로보틱스(주)</t>
  </si>
  <si>
    <t>에이치9인터내셔널</t>
  </si>
  <si>
    <t>에스씨엔지니어링 주식회사</t>
  </si>
  <si>
    <t>c동 지114호-에스190</t>
  </si>
  <si>
    <t>에스비피(주)</t>
  </si>
  <si>
    <t>2층 얄리3D</t>
  </si>
  <si>
    <t>광주광역시 북구 설죽로 254 (용봉동)</t>
  </si>
  <si>
    <t>얄리3D(Yally 3D)</t>
  </si>
  <si>
    <t>가정용 세탁업</t>
  </si>
  <si>
    <t>대전광역시 중구 보문산로 118 (산성동)</t>
  </si>
  <si>
    <t>아쿠아워시 대전 산성점</t>
  </si>
  <si>
    <t>A동103호</t>
  </si>
  <si>
    <t>경상북도 경주시 안강읍 화전중앙길 15-10</t>
  </si>
  <si>
    <t>신세계건축</t>
  </si>
  <si>
    <t>울산광역시 남구 테크노산업로55번길 16 (두왕동)</t>
  </si>
  <si>
    <t>스마트선박벤처기술</t>
  </si>
  <si>
    <t>오제이빌딩 302-2호</t>
  </si>
  <si>
    <t>인천광역시 남동구 서창남로 16-28 (서창동)</t>
  </si>
  <si>
    <t>수(秀) E&amp;C</t>
  </si>
  <si>
    <t>서울특별시 성동구 상원1길 5 (성수동1가)</t>
  </si>
  <si>
    <t>빅트론 주식회사</t>
  </si>
  <si>
    <t>우림라이온스밸리2차 B동 1901호</t>
  </si>
  <si>
    <t>부광아이티주식회사</t>
  </si>
  <si>
    <t>충청북도 청주시 흥덕구 과상미로93번길 22 (봉명동)</t>
  </si>
  <si>
    <t>명사이언스</t>
  </si>
  <si>
    <t>대전광역시 중구 대종로 541 (선화동 선화시티빌)</t>
  </si>
  <si>
    <t>랩 아이디</t>
  </si>
  <si>
    <t>더블유 107호(도마동 배재대학교 우남관)</t>
  </si>
  <si>
    <t>라이트비욘드드론즈(주)</t>
  </si>
  <si>
    <t>대구광역시 달서구 성서공단북로 253 (갈산동)</t>
  </si>
  <si>
    <t>동명비닐</t>
  </si>
  <si>
    <t>11호</t>
  </si>
  <si>
    <t>부산광역시 부산진구 전포대로 지하 181 (전포동)</t>
  </si>
  <si>
    <t>더휴랩</t>
  </si>
  <si>
    <t>2층 301호</t>
  </si>
  <si>
    <t>니즈로봇 주식회사</t>
  </si>
  <si>
    <t>대전광역시 동구 합내로 46 (가양동)</t>
  </si>
  <si>
    <t>농업회사법인 그린생명주식회사</t>
  </si>
  <si>
    <t>경기도 고양시 덕양구 무원로 24 (행신동 골드프라자)</t>
  </si>
  <si>
    <t>노블레스팜</t>
  </si>
  <si>
    <t>부산광역시 연제구 과정로 340 (연산동)</t>
  </si>
  <si>
    <t>내츄럴사이언스</t>
  </si>
  <si>
    <t>전주대학교 대학본관 B 102호</t>
  </si>
  <si>
    <t>나래기술</t>
  </si>
  <si>
    <t>창조관 1층</t>
  </si>
  <si>
    <t>전라북도 완주군 봉동읍 완주산단6로 224</t>
  </si>
  <si>
    <t>나들이주식회사</t>
  </si>
  <si>
    <t>진기원빌딩</t>
  </si>
  <si>
    <t>충청남도 논산시 상월면 계룡산로 526-2</t>
  </si>
  <si>
    <t>고미애드</t>
  </si>
  <si>
    <t>대구광역시 북구 고촌길 171 (서변동)</t>
  </si>
  <si>
    <t>건영기계</t>
  </si>
  <si>
    <t>103-1502</t>
  </si>
  <si>
    <t>경기도 용인시 기흥구 중부대로 375 (신갈동 기흥역롯데캐슬스카이)</t>
  </si>
  <si>
    <t>(주)한국재정투자평가원</t>
  </si>
  <si>
    <t>서울특별시 동대문구 외대역동로 76-1 (휘경동)</t>
  </si>
  <si>
    <t>(주)피움유니폼</t>
  </si>
  <si>
    <t>6층 619호</t>
  </si>
  <si>
    <t>대전광역시 서구 문예로 63 (둔산동)</t>
  </si>
  <si>
    <t>(주)테크웨어</t>
  </si>
  <si>
    <t>세종특별자치시 조치원읍 새내로 197</t>
  </si>
  <si>
    <t>(주)태승정보통신</t>
  </si>
  <si>
    <t>부산광역시 기장군 장안읍 좌천5길 32</t>
  </si>
  <si>
    <t>(주)탑샘</t>
  </si>
  <si>
    <t>기타 기관 및 터빈 제조업</t>
  </si>
  <si>
    <t>경상북도 경주시 외동읍 제내길 26-18</t>
  </si>
  <si>
    <t>(주)케이앤지엠테크</t>
  </si>
  <si>
    <t>A동 4034호</t>
  </si>
  <si>
    <t>(주)카이시스템</t>
  </si>
  <si>
    <t>기타 섬유 의복 및 가죽 가공기계 제조업</t>
  </si>
  <si>
    <t>송도스마트밸리 D동 911호</t>
  </si>
  <si>
    <t>(주)이엘케이</t>
  </si>
  <si>
    <t>제주특별자치도 제주시 연미길 73-1 (오라이동)</t>
  </si>
  <si>
    <t>(주)이루다인</t>
  </si>
  <si>
    <t>1321호</t>
  </si>
  <si>
    <t>(주)이노플러스</t>
  </si>
  <si>
    <t>(주)유니크시스템</t>
  </si>
  <si>
    <t>경기도 포천시 군내면 용정경제로2길 62</t>
  </si>
  <si>
    <t>오닉스지식산업센터 901호</t>
  </si>
  <si>
    <t>(주)윈드바이오</t>
  </si>
  <si>
    <t>충청남도 천안시 동남구 성남면 용원3길 59</t>
  </si>
  <si>
    <t>(주)우진하이텍</t>
  </si>
  <si>
    <t>용달 화물 자동차 운송업</t>
  </si>
  <si>
    <t>791호</t>
  </si>
  <si>
    <t>경기도 용인시 수지구 광교중앙로 314 (상현동)</t>
  </si>
  <si>
    <t>(주)용달의기사</t>
  </si>
  <si>
    <t>KD타워 302호</t>
  </si>
  <si>
    <t>서울특별시 성동구 왕십리로 125 (성수동1가)</t>
  </si>
  <si>
    <t>(주)오로시컴퍼니</t>
  </si>
  <si>
    <t>대전광역시 유성구 문지로 282-30 (문지동)</t>
  </si>
  <si>
    <t>(주)에스지에너지</t>
  </si>
  <si>
    <t>경상남도 거제시 거제중앙로5길 18-1 (고현동)</t>
  </si>
  <si>
    <t>(주)슬기로운체험교실</t>
  </si>
  <si>
    <t>논현빌딩 5층</t>
  </si>
  <si>
    <t>서울특별시 강남구 강남대로 500 (논현동)</t>
  </si>
  <si>
    <t>(주)슈퍼브에이아이</t>
  </si>
  <si>
    <t>전라남도 나주시 한빛로 262 (빛가람동)</t>
  </si>
  <si>
    <t>(주)소정정보통신</t>
  </si>
  <si>
    <t>경기도 평택시 산단로 103-3 (모곡동)</t>
  </si>
  <si>
    <t>(주)비앤원코스메틱</t>
  </si>
  <si>
    <t>4층 403호</t>
  </si>
  <si>
    <t>(주)브이노마드</t>
  </si>
  <si>
    <t>서울특별시 양천구 화곡로14길 24 (신월동)</t>
  </si>
  <si>
    <t>(주)디자인300</t>
  </si>
  <si>
    <t>의정부시 1인창조기업지원센터</t>
  </si>
  <si>
    <t>경기도 의정부시 산단로76번길 89 (용현동)</t>
  </si>
  <si>
    <t>(주)두리가온</t>
  </si>
  <si>
    <t>무기 및 총포탄 제조업</t>
  </si>
  <si>
    <t>금봉빌딩601호</t>
  </si>
  <si>
    <t>부산광역시 동구 중앙대로236번길 8 (초량동)</t>
  </si>
  <si>
    <t>(주)247코리아</t>
  </si>
  <si>
    <t>상가4동111호</t>
  </si>
  <si>
    <t>전라북도 전주시 완산구 모악로 4703 (평화동2가)</t>
  </si>
  <si>
    <t>(유)아가페테크</t>
  </si>
  <si>
    <t>서울특별시 성동구 둘레15길 12 (성수동2가)</t>
  </si>
  <si>
    <t>투어래피(TOURAPY)</t>
  </si>
  <si>
    <t>비주거용 건물 임대업</t>
  </si>
  <si>
    <t>충청북도 청주시 청원구 1순환로 152 (율량동)</t>
  </si>
  <si>
    <t>토킹밸브</t>
  </si>
  <si>
    <t>경기도 여주시 여흥로160번길 37-32 (상동)</t>
  </si>
  <si>
    <t>청운하우징(주)</t>
  </si>
  <si>
    <t>주식회사씽크데코</t>
  </si>
  <si>
    <t>3층 303호(논현동 위스코프라자)</t>
  </si>
  <si>
    <t>인천광역시 남동구 논현로26번길 15 (논현동)</t>
  </si>
  <si>
    <t>주식회사 피에스네트웍스</t>
  </si>
  <si>
    <t>서울특별시 마포구 마포대로4다길 41 (마포동)</t>
  </si>
  <si>
    <t>주식회사 키위</t>
  </si>
  <si>
    <t>서울특별시 서초구 동산로2길 24 (양재동)</t>
  </si>
  <si>
    <t>주식회사 유니오션</t>
  </si>
  <si>
    <t>1608호 한라시그마벨리</t>
  </si>
  <si>
    <t>경기도 성남시 중원구 둔촌대로 545 (상대원동)</t>
  </si>
  <si>
    <t>주식회사 엔시스</t>
  </si>
  <si>
    <t>경기도 용인시 처인구 모현읍 곡현로 538-5</t>
  </si>
  <si>
    <t>주식회사 에이빔이앤씨</t>
  </si>
  <si>
    <t>생산기술원 310호</t>
  </si>
  <si>
    <t>주식회사 세움</t>
  </si>
  <si>
    <t>위너빌딩 3층</t>
  </si>
  <si>
    <t>서울특별시 서초구 사평대로18길 5 (반포동)</t>
  </si>
  <si>
    <t>주식회사 비오스</t>
  </si>
  <si>
    <t>서울특별시 강남구 언주로 728 (논현동)</t>
  </si>
  <si>
    <t>주식회사 미니쉬기공연구소</t>
  </si>
  <si>
    <t>한성코아 4층 두원통상</t>
  </si>
  <si>
    <t>대구광역시 달서구 계대동문로 92 (이곡동)</t>
  </si>
  <si>
    <t>주식회사 두원통상</t>
  </si>
  <si>
    <t>사무동2층</t>
  </si>
  <si>
    <t>경상북도 상주시 함창읍 영동길 39-51</t>
  </si>
  <si>
    <t>주식회사 두레이엔씨</t>
  </si>
  <si>
    <t>SKn 테크노파크 비즈동 지하 3층 306호 307호</t>
  </si>
  <si>
    <t>주식회사 노말데님코리아</t>
  </si>
  <si>
    <t>1501호(서소문동 유원빌딩)</t>
  </si>
  <si>
    <t>주식회사 넥스인테크놀로지</t>
  </si>
  <si>
    <t>대전광역시 동구 대전로994번길 37 (홍도동)</t>
  </si>
  <si>
    <t>주)신대륙이엔씨</t>
  </si>
  <si>
    <t>위너스텍코리아</t>
  </si>
  <si>
    <t>광섬유 케이블 제조업</t>
  </si>
  <si>
    <t>충청북도 진천군 초평면 영구리길 87-16</t>
  </si>
  <si>
    <t>에이치에스전선(주)</t>
  </si>
  <si>
    <t>경기도 성남시 분당구 궁내로8번길 5 (궁내동 하나홈타운)</t>
  </si>
  <si>
    <t>에이알컴퍼니</t>
  </si>
  <si>
    <t>전라북도 익산시 춘포면 증보들길 49-4</t>
  </si>
  <si>
    <t>에이모스주식회사</t>
  </si>
  <si>
    <t>C동 1층</t>
  </si>
  <si>
    <t>경기도 김포시 양촌읍 학운산단2로 50</t>
  </si>
  <si>
    <t>세종와이에이치</t>
  </si>
  <si>
    <t>부산광역시 동래구 금강공원로 11 (온천동)</t>
  </si>
  <si>
    <t>부경테크윈</t>
  </si>
  <si>
    <t>1241호</t>
  </si>
  <si>
    <t>민건메딕스</t>
  </si>
  <si>
    <t>인천광역시 중구 도원로8번길 5 (선화동)</t>
  </si>
  <si>
    <t>물과지열주식회사</t>
  </si>
  <si>
    <t>마인즈그라운드 주식회사</t>
  </si>
  <si>
    <t>A동 2층 스타터존 s-224</t>
  </si>
  <si>
    <t>랜티처</t>
  </si>
  <si>
    <t>디자인도르프</t>
  </si>
  <si>
    <t>경상북도 청송군 진보면 동천길 154-6</t>
  </si>
  <si>
    <t>농업회사법인주식회사들사랑</t>
  </si>
  <si>
    <t>경상북도 안동시 대안로 2-1 (태화동)</t>
  </si>
  <si>
    <t>네트로 주식회사</t>
  </si>
  <si>
    <t>5층(화곡동 금상빌딩)</t>
  </si>
  <si>
    <t>서울특별시 강서구 강서로29길 51 (화곡동)</t>
  </si>
  <si>
    <t>(주)피비플러스</t>
  </si>
  <si>
    <t>경기도 고양시 덕양구 서오릉로532번길 21 (용두동)</t>
  </si>
  <si>
    <t>(주)터치랜드코리아</t>
  </si>
  <si>
    <t>경기도 안성시 죽산면 삼죽로 216-20</t>
  </si>
  <si>
    <t>(주)케어플</t>
  </si>
  <si>
    <t>미사센텀비즈 F847호</t>
  </si>
  <si>
    <t>(주)지오그리드</t>
  </si>
  <si>
    <t>자동차용 신품 동력 전달장치 제조업</t>
  </si>
  <si>
    <t>디동 102호</t>
  </si>
  <si>
    <t>경기도 안산시 단원구 능안로 71 (신길동)</t>
  </si>
  <si>
    <t>(주)은풍산업</t>
  </si>
  <si>
    <t>대전광역시 서구 둔산대로117번길 83 (만년동)</t>
  </si>
  <si>
    <t>(주)베셀</t>
  </si>
  <si>
    <t>서울특별시 서초구 양재천로19길 42 (양재동)</t>
  </si>
  <si>
    <t>(주)메트릭스리서치</t>
  </si>
  <si>
    <t>부산광역시 사하구 감천항로190번길 66 (구평동)</t>
  </si>
  <si>
    <t>(주)만만한녀석들</t>
  </si>
  <si>
    <t>27505호</t>
  </si>
  <si>
    <t>(주)디에스랩</t>
  </si>
  <si>
    <t>킨스타워 20층 6호</t>
  </si>
  <si>
    <t>(주)네트워크디파인즈</t>
  </si>
  <si>
    <t>경상남도 김해시 생림면 생림대로950번길 16</t>
  </si>
  <si>
    <t>(주)CS코리아</t>
  </si>
  <si>
    <t>윙갤러리빌딩 2층</t>
  </si>
  <si>
    <t>서울특별시 강남구 선릉로111길 8 (논현동)</t>
  </si>
  <si>
    <t>회계법인 베율</t>
  </si>
  <si>
    <t>부산광역시 북구 기찰로129번길 32 (덕천동)</t>
  </si>
  <si>
    <t>한국포세이돈</t>
  </si>
  <si>
    <t>5동 302호</t>
  </si>
  <si>
    <t>부산광역시 부산진구 진사로61번길 29 (개금동 개금 시영)</t>
  </si>
  <si>
    <t>하임메디닥</t>
  </si>
  <si>
    <t>플랜휴</t>
  </si>
  <si>
    <t>강원도 원주시 문막읍 동화공단로 130-2</t>
  </si>
  <si>
    <t>코리아 케미칼</t>
  </si>
  <si>
    <t>경상남도 의령군 의령읍 구룡로1길 14-16</t>
  </si>
  <si>
    <t>지앤비솔루션(주)</t>
  </si>
  <si>
    <t>2단지1동202호</t>
  </si>
  <si>
    <t>경기도 고양시 일산동구 동국로 109-73 (식사동)</t>
  </si>
  <si>
    <t>지안솔루션</t>
  </si>
  <si>
    <t>전라북도 전주시 완산구 평화로 69 (평화동2가)</t>
  </si>
  <si>
    <t>주식회사한스안전진단연구소</t>
  </si>
  <si>
    <t>112동1호</t>
  </si>
  <si>
    <t>주식회사지아이테크</t>
  </si>
  <si>
    <t>2121~2호</t>
  </si>
  <si>
    <t>부산광역시 부산진구 동성로 143 (전포동)</t>
  </si>
  <si>
    <t>주식회사엠케이파트너</t>
  </si>
  <si>
    <t>충청북도 청주시 청원구 1순환로282번길 26 (내덕동)</t>
  </si>
  <si>
    <t>주식회사에이탑소방</t>
  </si>
  <si>
    <t>류마타워 713호</t>
  </si>
  <si>
    <t>서울특별시 강서구 공항대로 164 (마곡동)</t>
  </si>
  <si>
    <t>주식회사345지테크</t>
  </si>
  <si>
    <t>전라남도 여수시 소라면 주삼덕양로 36</t>
  </si>
  <si>
    <t>주식회사 한맥산업</t>
  </si>
  <si>
    <t>경기도 용인시 기흥구 죽전로 7 (보정동)</t>
  </si>
  <si>
    <t>주식회사 프라임티씨에스</t>
  </si>
  <si>
    <t>서울특별시 마포구 성미산로 92 (성산동)</t>
  </si>
  <si>
    <t>주식회사 팬메이트</t>
  </si>
  <si>
    <t>메리츠타워 16층</t>
  </si>
  <si>
    <t>서울특별시 강남구 강남대로 382 (역삼동)</t>
  </si>
  <si>
    <t>주식회사 튜닙</t>
  </si>
  <si>
    <t>제이에스이엔지</t>
  </si>
  <si>
    <t>충청남도 공주시 정안면 정안농공단지길 32-12</t>
  </si>
  <si>
    <t>주식회사 제이에스이엔지</t>
  </si>
  <si>
    <t>재림환경</t>
  </si>
  <si>
    <t>대구광역시 달성군 하빈면 달구벌대로12길 98-21</t>
  </si>
  <si>
    <t>주식회사 재림환경</t>
  </si>
  <si>
    <t>서울특별시 강남구 봉은사로 435 (삼성동)</t>
  </si>
  <si>
    <t>주식회사 위젯누리</t>
  </si>
  <si>
    <t>가동나동</t>
  </si>
  <si>
    <t>경기도 양주시 남면 화합로430번길 229-39</t>
  </si>
  <si>
    <t>주식회사 위드플러스</t>
  </si>
  <si>
    <t>경기도 화성시 정남면 신리길 23-5</t>
  </si>
  <si>
    <t>주식회사 원테크시스템</t>
  </si>
  <si>
    <t>서울특별시 동작구 동작대로7길 48 (사당동)</t>
  </si>
  <si>
    <t>주식회사 워니프레임</t>
  </si>
  <si>
    <t>청년디딤터 304호</t>
  </si>
  <si>
    <t>울산광역시 중구 학성로 95-6 (성남동)</t>
  </si>
  <si>
    <t>주식회사 울토리</t>
  </si>
  <si>
    <t>323324824호</t>
  </si>
  <si>
    <t>주식회사 엠투에스</t>
  </si>
  <si>
    <t>에이동 비02호</t>
  </si>
  <si>
    <t>경기도 광명시 영당로 20 (소하동 대신7차빌라)</t>
  </si>
  <si>
    <t>주식회사 에스케이이테크놀로지</t>
  </si>
  <si>
    <t>6층 2-9</t>
  </si>
  <si>
    <t>서울특별시 서초구 강남대로53길 8 (서초동)</t>
  </si>
  <si>
    <t>주식회사 에너지밸런스</t>
  </si>
  <si>
    <t>A동 703호</t>
  </si>
  <si>
    <t>주식회사 아이엘미디어</t>
  </si>
  <si>
    <t>창업보육센터 403호</t>
  </si>
  <si>
    <t>주식회사 사로리스</t>
  </si>
  <si>
    <t>사업화 4동 102호</t>
  </si>
  <si>
    <t>주식회사 뷰닉스</t>
  </si>
  <si>
    <t>인천광역시 서구 청라에메랄드로102번길 8-12 (청라동)</t>
  </si>
  <si>
    <t>주식회사 리프아이티</t>
  </si>
  <si>
    <t>주식회사 다윈이엔지</t>
  </si>
  <si>
    <t>울산광역시 울주군 웅촌면 고연공단3길 33</t>
  </si>
  <si>
    <t>전라남도 장성군 동화면 전자농공단지2길 66</t>
  </si>
  <si>
    <t>주식회사 다원텍</t>
  </si>
  <si>
    <t>경상북도 안동시 서동문로 212 (동문동)</t>
  </si>
  <si>
    <t>주식회사 다온지아이에스</t>
  </si>
  <si>
    <t>1020호(낙원동)</t>
  </si>
  <si>
    <t>제이피킴코퍼레이션</t>
  </si>
  <si>
    <t>자동차 임대업</t>
  </si>
  <si>
    <t>벤처관 201호</t>
  </si>
  <si>
    <t>에스에스모빌리티주식회사</t>
  </si>
  <si>
    <t>울산광역시 울주군 서생면 해맞이로 1232</t>
  </si>
  <si>
    <t>에스씨글로벌</t>
  </si>
  <si>
    <t>경상남도 김해시 삼계중앙로 31 (삼계동)</t>
  </si>
  <si>
    <t>에스디라이팅주식회사</t>
  </si>
  <si>
    <t>동아빌딩 1115</t>
  </si>
  <si>
    <t>서울특별시 중구 남대문로 117 (다동)</t>
  </si>
  <si>
    <t>아이피티씨 (IPTC)</t>
  </si>
  <si>
    <t>경기도 남양주시 양정로219번길 163 (이패동)</t>
  </si>
  <si>
    <t>수니스토어</t>
  </si>
  <si>
    <t>폴리프라자2차 510호</t>
  </si>
  <si>
    <t>경기도 화성시 수노을중앙로 156 (새솔동)</t>
  </si>
  <si>
    <t>산업안전지원센터</t>
  </si>
  <si>
    <t>전라북도 고창군 아산면 아산농공단지길 42-13</t>
  </si>
  <si>
    <t>사단법인 신흥</t>
  </si>
  <si>
    <t>서울특별시 마포구 마포대로1길 45 (용강동)</t>
  </si>
  <si>
    <t>바디스콥</t>
  </si>
  <si>
    <t>821호</t>
  </si>
  <si>
    <t>경기도 하남시 미사강변남로 99 (망월동)</t>
  </si>
  <si>
    <t>미사조경 주식회사</t>
  </si>
  <si>
    <t>경상남도 창원시 성산구 안민로117번길 22 (안민동)</t>
  </si>
  <si>
    <t>미래가치교육연구소(주)</t>
  </si>
  <si>
    <t>한국과학기술원 문지캠퍼스진리관 티335호 티341호</t>
  </si>
  <si>
    <t>레이저닉스 주식회사</t>
  </si>
  <si>
    <t>서울특별시 강서구 강서로18아길 26 (화곡동 한빛스카이빌)</t>
  </si>
  <si>
    <t>띵킹</t>
  </si>
  <si>
    <t>서울특별시 성북구 성북로8길 7 (성북동)</t>
  </si>
  <si>
    <t>디자인도트 앤 달링공방</t>
  </si>
  <si>
    <t>광주광역시 광산구 장신로 52 (장덕동)</t>
  </si>
  <si>
    <t>더조은메디컬</t>
  </si>
  <si>
    <t>지하 2호</t>
  </si>
  <si>
    <t>대전광역시 유성구 장대로 106 (장대동)</t>
  </si>
  <si>
    <t>대전숲바라미아협동조합</t>
  </si>
  <si>
    <t>18동 214호</t>
  </si>
  <si>
    <t>인천광역시 동구 방축로 105 (송림동)</t>
  </si>
  <si>
    <t>대원</t>
  </si>
  <si>
    <t>광주광역시 남구 천변좌로 374 (사동)</t>
  </si>
  <si>
    <t>울산광역시 중구 운곡길 23 (다운동)</t>
  </si>
  <si>
    <t>녹색마을 협동조합</t>
  </si>
  <si>
    <t>부산광역시 사하구 다대로 563 (다대동)</t>
  </si>
  <si>
    <t>네노아</t>
  </si>
  <si>
    <t>충청남도 아산시 음봉면 연암율금로 237-24</t>
  </si>
  <si>
    <t>그린윈텍주식회사</t>
  </si>
  <si>
    <t>제2전시장 1층 108호</t>
  </si>
  <si>
    <t>부산광역시 해운대구 APEC로 30 (우동)</t>
  </si>
  <si>
    <t>(주)투어스태프</t>
  </si>
  <si>
    <t>경기도 시흥시 마유로446번길 44 (정왕동)</t>
  </si>
  <si>
    <t>(주)청담</t>
  </si>
  <si>
    <t>신우빌딩 2층</t>
  </si>
  <si>
    <t>(주)이지솔루션</t>
  </si>
  <si>
    <t>서울특별시 성동구 광나루로 325 (송정동)</t>
  </si>
  <si>
    <t>(주)이자나홀딩스</t>
  </si>
  <si>
    <t>동탄엠타워 607호</t>
  </si>
  <si>
    <t>(주)오르자</t>
  </si>
  <si>
    <t>경기도 부천시 옥산로 210 (도당동)</t>
  </si>
  <si>
    <t>(주)영전시스템</t>
  </si>
  <si>
    <t>한신에스메카 내 엘테크</t>
  </si>
  <si>
    <t>(주)엘테크</t>
  </si>
  <si>
    <t>606호</t>
  </si>
  <si>
    <t>세종특별자치시 한누리대로 2007 (소담동)</t>
  </si>
  <si>
    <t>(주)에스티</t>
  </si>
  <si>
    <t>지2호</t>
  </si>
  <si>
    <t>서울특별시 서대문구 북아현로11가길 46 (북아현동)</t>
  </si>
  <si>
    <t>(주)데브크루</t>
  </si>
  <si>
    <t>부산광역시 연제구 중앙대로1075번길 8 (연산동)</t>
  </si>
  <si>
    <t>(주)다한다커뮤니케이션</t>
  </si>
  <si>
    <t>306-2호</t>
  </si>
  <si>
    <t>인천광역시 남동구 남동동로 84 (고잔동)</t>
  </si>
  <si>
    <t>(주) 밝 은 조 명</t>
  </si>
  <si>
    <t>한국재료시험원</t>
  </si>
  <si>
    <t>부산광역시 사상구 학장로 173 (학장동)</t>
  </si>
  <si>
    <t>에스엔빌딩 4층 401호</t>
  </si>
  <si>
    <t>서울특별시 동작구 동작대로25길 47 (사당동)</t>
  </si>
  <si>
    <t>한국보안평가 주식회사</t>
  </si>
  <si>
    <t>경기도 화성시 서신면 전곡산단15길 12</t>
  </si>
  <si>
    <t>하이로드켐텍 주식회사</t>
  </si>
  <si>
    <t>서울특별시 송파구 석촌호수로 222 (석촌동)</t>
  </si>
  <si>
    <t>프로메디우스주식회사</t>
  </si>
  <si>
    <t>트랙체인</t>
  </si>
  <si>
    <t>107동 204호</t>
  </si>
  <si>
    <t>경기도 고양시 덕양구 읍내로 25 (고양동 우방유쉘아파트)</t>
  </si>
  <si>
    <t>태성</t>
  </si>
  <si>
    <t>1층 코람테크</t>
  </si>
  <si>
    <t>경상남도 창원시 진해구 여좌천로166번길 3-4 (태백동)</t>
  </si>
  <si>
    <t>코람테크</t>
  </si>
  <si>
    <t>서울특별시 서초구 방배로23길 19 (방배동)</t>
  </si>
  <si>
    <t>차차디자인파트너스</t>
  </si>
  <si>
    <t>3층 6호</t>
  </si>
  <si>
    <t>인천광역시 서구 보듬6로 32 (오류동)</t>
  </si>
  <si>
    <t>진엔지니어링</t>
  </si>
  <si>
    <t>전라북도 익산시 하나로15길 156 (월성동)</t>
  </si>
  <si>
    <t>4동 4층 410호(문래동3가 에이스하이테크시티)</t>
  </si>
  <si>
    <t>주차장만드는사람들 주식회사</t>
  </si>
  <si>
    <t>(주)태성이엔지</t>
  </si>
  <si>
    <t>전라남도 광양시 광양읍 익신산단1길 10-21</t>
  </si>
  <si>
    <t>주식회사태성이엔지</t>
  </si>
  <si>
    <t>stx v타워 B110.111.113호</t>
  </si>
  <si>
    <t>주식회사케이앤시가람</t>
  </si>
  <si>
    <t>5층39호</t>
  </si>
  <si>
    <t>서울특별시 서초구 효령로 304 (서초동)</t>
  </si>
  <si>
    <t>주식회사이츠유</t>
  </si>
  <si>
    <t>수프 및 균질화식품 제조업</t>
  </si>
  <si>
    <t>충청북도 청주시 청원구 율량로 40 (주중동)</t>
  </si>
  <si>
    <t>주식회사 한입</t>
  </si>
  <si>
    <t>14층 1413호(가산동에이스한솔타워)</t>
  </si>
  <si>
    <t>주식회사 한국에프티티</t>
  </si>
  <si>
    <t>경상북도 경산시 중앙로17길 43 (중방동)</t>
  </si>
  <si>
    <t>주식회사 티쓰리</t>
  </si>
  <si>
    <t>경남창원과학기술진흥원 1115호</t>
  </si>
  <si>
    <t>주식회사 투곰스</t>
  </si>
  <si>
    <t>102동 701호-705호</t>
  </si>
  <si>
    <t>경기도 성남시 분당구 정자일로 239 (정자동 아이파크분당1)</t>
  </si>
  <si>
    <t>주식회사 클로봇</t>
  </si>
  <si>
    <t>경기도 화성시 남양읍 현대기아로 202-37</t>
  </si>
  <si>
    <t>주식회사 코아드</t>
  </si>
  <si>
    <t>전라북도 전주시 완산구 물왕멀3길 15-1 (서노송동)</t>
  </si>
  <si>
    <t>주식회사 컬처플러스</t>
  </si>
  <si>
    <t>전라남도 장흥군 장흥읍 중앙로2길 18</t>
  </si>
  <si>
    <t>주식회사 제이에스환경</t>
  </si>
  <si>
    <t>307호(전남대학교 친환경농업연구소)</t>
  </si>
  <si>
    <t>주식회사 잰153바이오텍</t>
  </si>
  <si>
    <t>756호</t>
  </si>
  <si>
    <t>주식회사 인스타일테크</t>
  </si>
  <si>
    <t>625호</t>
  </si>
  <si>
    <t>주식회사 이와이티</t>
  </si>
  <si>
    <t>서울특별시 강남구 도산대로4길 9 (논현동)</t>
  </si>
  <si>
    <t>주식회사 이마고픽쳐스</t>
  </si>
  <si>
    <t>경상북도 구미시 1공단로2길 32 (공단동)</t>
  </si>
  <si>
    <t>주식회사 유지텍</t>
  </si>
  <si>
    <t>오프셋 인쇄업</t>
  </si>
  <si>
    <t>서울특별시 중구 수표로 45 (저동2가)</t>
  </si>
  <si>
    <t>주식회사 월드프린테크</t>
  </si>
  <si>
    <t>삼태리 878-11</t>
  </si>
  <si>
    <t>전라남도 장성군 남면 나노산단2로 175</t>
  </si>
  <si>
    <t>주식회사 오케이쏠라(OK SOLAR)</t>
  </si>
  <si>
    <t>8층 806호 A802 (삼평동 판교타워)</t>
  </si>
  <si>
    <t>주식회사 오리션</t>
  </si>
  <si>
    <t>서울특별시 서초구 반포대로9길 28 (서초동)</t>
  </si>
  <si>
    <t>주식회사 에스엠피쓰리</t>
  </si>
  <si>
    <t>골판지 상자 및 가공제품 제조업</t>
  </si>
  <si>
    <t>흥덕IT밸리 컴플렉스동 809호</t>
  </si>
  <si>
    <t>주식회사 에다포스코리아</t>
  </si>
  <si>
    <t>전일빌딩 620호</t>
  </si>
  <si>
    <t>주식회사 아이젠</t>
  </si>
  <si>
    <t>서울특별시 강남구 남부순환로 2645 (도곡동)</t>
  </si>
  <si>
    <t>주식회사 시큐리티허브</t>
  </si>
  <si>
    <t>벽산디지털밸리2차 422호</t>
  </si>
  <si>
    <t>주식회사 스마트너</t>
  </si>
  <si>
    <t>강원도 원주시 관설안길 23-2 (관설동)</t>
  </si>
  <si>
    <t>주식회사 성호이앤씨</t>
  </si>
  <si>
    <t>경상북도 경주시 천북면 천강로 185-16</t>
  </si>
  <si>
    <t>주식회사 성빈글로벌</t>
  </si>
  <si>
    <t>3층 3호</t>
  </si>
  <si>
    <t>서울특별시 마포구 토정로 265-7 (용강동)</t>
  </si>
  <si>
    <t>주식회사 블루더스</t>
  </si>
  <si>
    <t>주식회사 바로티나</t>
  </si>
  <si>
    <t>인천광역시 연수구 능허대로151번길 30 (옥련동)</t>
  </si>
  <si>
    <t>주식회사 바램</t>
  </si>
  <si>
    <t>1층 정글온</t>
  </si>
  <si>
    <t>경기도 성남시 수정구 창업로40번길 6 (시흥동 판교 제2테크노밸리 LH 1단지)</t>
  </si>
  <si>
    <t>주식회사 밍글콘</t>
  </si>
  <si>
    <t>23층(삼성동 CC빌딩)</t>
  </si>
  <si>
    <t>서울특별시 강남구 봉은사로 439 (삼성동)</t>
  </si>
  <si>
    <t>주식회사 메이데이파트너스</t>
  </si>
  <si>
    <t>서울특별시 강남구 도곡로 155 (역삼동)</t>
  </si>
  <si>
    <t>주식회사 마인즈에이아이</t>
  </si>
  <si>
    <t>4층 4303호</t>
  </si>
  <si>
    <t>서울특별시 영등포구 국회대로28길 17 (당산동3가)</t>
  </si>
  <si>
    <t>주식회사 마에스트리</t>
  </si>
  <si>
    <t>3층(서교동동양북스)</t>
  </si>
  <si>
    <t>서울특별시 마포구 동교로22길 14 (서교동)</t>
  </si>
  <si>
    <t>주식회사 디오비주얼웍스</t>
  </si>
  <si>
    <t>34동 305호 (송현동 인천산업용품유통단지)</t>
  </si>
  <si>
    <t>인천광역시 동구 방축로37번길 30 (송현동)</t>
  </si>
  <si>
    <t>주식회사 디에이치소방</t>
  </si>
  <si>
    <t>에이-1811호(현대지식산업센터)</t>
  </si>
  <si>
    <t>주식회사 다온빛</t>
  </si>
  <si>
    <t>에이스타워마곡 1209호</t>
  </si>
  <si>
    <t>서울특별시 강서구 공항대로 237 (마곡동)</t>
  </si>
  <si>
    <t>주식회사 굿메이커픽쳐스</t>
  </si>
  <si>
    <t>센텀IS타워 1907호</t>
  </si>
  <si>
    <t>주식회사 경성테크놀러지</t>
  </si>
  <si>
    <t>자동차 재제조 부품 제조업</t>
  </si>
  <si>
    <t>광주광역시 광산구 진곡산단5번로 11 (진곡동)</t>
  </si>
  <si>
    <t>주)여해</t>
  </si>
  <si>
    <t>22-218</t>
  </si>
  <si>
    <t>부산광역시 사상구 괘감로 37 (괘법동)</t>
  </si>
  <si>
    <t>제이엠티씨(JMTC)</t>
  </si>
  <si>
    <t>111동 1802호</t>
  </si>
  <si>
    <t>울산광역시 북구 신천로 27 (신천동 극동스타클래스)</t>
  </si>
  <si>
    <t>정테크</t>
  </si>
  <si>
    <t>4층 410호</t>
  </si>
  <si>
    <t>정진</t>
  </si>
  <si>
    <t>대전광역시 서구 계룡로509번길 23 (탄방동)</t>
  </si>
  <si>
    <t>저스트 미디어</t>
  </si>
  <si>
    <t>서울특별시 중랑구 동일로99길 13-10 (면목동)</t>
  </si>
  <si>
    <t>인플레이</t>
  </si>
  <si>
    <t>부평테크시티 809호</t>
  </si>
  <si>
    <t>인천해양테크</t>
  </si>
  <si>
    <t>215호</t>
  </si>
  <si>
    <t>이에스텍이엔지 주식회사</t>
  </si>
  <si>
    <t>전라북도 전주시 덕진구 전미중앙로 54-11 (전미동2가)</t>
  </si>
  <si>
    <t>유한회사 에이피공조산업</t>
  </si>
  <si>
    <t>전라북도 전주시 완산구 농소4길 10 (효자동3가)</t>
  </si>
  <si>
    <t>유대 바이오</t>
  </si>
  <si>
    <t>두레빌딩 202호</t>
  </si>
  <si>
    <t>전라북도 완주군 용진읍 완주로 714</t>
  </si>
  <si>
    <t>유)상상웍스</t>
  </si>
  <si>
    <t>대전광역시 중구 중앙로 85 (선화동)</t>
  </si>
  <si>
    <t>와이투라인 주식회사</t>
  </si>
  <si>
    <t>서울특별시 광진구 면목로5길 14 (군자동 삼성홈타운빌)</t>
  </si>
  <si>
    <t>올인텍</t>
  </si>
  <si>
    <t>대전광역시 서구 가수원로65번길 83 (가수원동)</t>
  </si>
  <si>
    <t>엘큐정보통신주식회사</t>
  </si>
  <si>
    <t>2층. 203호</t>
  </si>
  <si>
    <t>대구광역시 중구 동성로 69-1 (동성로1가)</t>
  </si>
  <si>
    <t>에이피엘디</t>
  </si>
  <si>
    <t>101-1001</t>
  </si>
  <si>
    <t>서울특별시 관악구 관악로 195 (봉천동 관악위버폴리스)</t>
  </si>
  <si>
    <t>에이치엔엠글로벌주식회사</t>
  </si>
  <si>
    <t>지하</t>
  </si>
  <si>
    <t>경상남도 창원시 성산구 비음로 88 (사파동)</t>
  </si>
  <si>
    <t>에스엠크린</t>
  </si>
  <si>
    <t>B1층 103호(전포동 한신밴)</t>
  </si>
  <si>
    <t>부산광역시 부산진구 동천로 116 (전포동)</t>
  </si>
  <si>
    <t>에너지절감사업(ESCO)</t>
  </si>
  <si>
    <t>3층 304에프호(원주프리미엄아울렛)</t>
  </si>
  <si>
    <t>씨테크주식회사</t>
  </si>
  <si>
    <t>두리안빌딩 301호</t>
  </si>
  <si>
    <t>서울특별시 서초구 반포대로23길 45-4 (서초동)</t>
  </si>
  <si>
    <t>씨앤디비(주)</t>
  </si>
  <si>
    <t>코너스톤 빌 1층</t>
  </si>
  <si>
    <t>서울특별시 마포구 성미산로19길 50 (연남동 코너스톤 빌(Cornerstone vil))</t>
  </si>
  <si>
    <t>스튜디오(STUDIOH)</t>
  </si>
  <si>
    <t>곡물 제분업</t>
  </si>
  <si>
    <t>경상북도 청도군 풍각면 송서로 63</t>
  </si>
  <si>
    <t>손가네식품</t>
  </si>
  <si>
    <t>강남N타워 814호</t>
  </si>
  <si>
    <t>서울특별시 강남구 테헤란로 129 (역삼동)</t>
  </si>
  <si>
    <t>세컨프라이스 주식회사</t>
  </si>
  <si>
    <t>서울특별시 중랑구 동일로130길 6 (중화동 미소플러스)</t>
  </si>
  <si>
    <t>세븐레이저(SevenLaser)</t>
  </si>
  <si>
    <t>본사</t>
  </si>
  <si>
    <t>경상북도 칠곡군 지천면 창평로 304</t>
  </si>
  <si>
    <t>성진E&amp;T</t>
  </si>
  <si>
    <t>경기도 파주시 면산말길 22 (아동동)</t>
  </si>
  <si>
    <t>삼승물산</t>
  </si>
  <si>
    <t>경기도 용인시 수지구 신수로783번길 36 (동천동 동천파크뷰)</t>
  </si>
  <si>
    <t>사회적협동조합 사다리</t>
  </si>
  <si>
    <t>연구 3동 3층 302호</t>
  </si>
  <si>
    <t>빅픽처랩 주식회사</t>
  </si>
  <si>
    <t>라베니체 7차 114호</t>
  </si>
  <si>
    <t>경기도 김포시 태장로 802 (장기동)</t>
  </si>
  <si>
    <t>브릳지</t>
  </si>
  <si>
    <t>부스하우징</t>
  </si>
  <si>
    <t>7층 705호 (둔산동 둔산메트로존)</t>
  </si>
  <si>
    <t>대전광역시 서구 둔산중로 38 (둔산동)</t>
  </si>
  <si>
    <t>바로사인</t>
  </si>
  <si>
    <t>충청남도 천안시 동남구 천안대로 543 (구성동)</t>
  </si>
  <si>
    <t>미래건설(신성건설기계)</t>
  </si>
  <si>
    <t>충남컨텐츠기업지원센터 404호</t>
  </si>
  <si>
    <t>충청남도 아산시 배방읍 희망로46번길 45-7</t>
  </si>
  <si>
    <t>리플레이</t>
  </si>
  <si>
    <t>C동 617호</t>
  </si>
  <si>
    <t>서울특별시 송파구 법원로9길 26 (문정동)</t>
  </si>
  <si>
    <t>레드파인웍스 주식회사</t>
  </si>
  <si>
    <t>JS타워 201호</t>
  </si>
  <si>
    <t>라디언트</t>
  </si>
  <si>
    <t>1103호</t>
  </si>
  <si>
    <t>서울특별시 금천구 디지털로 173 (가산동)</t>
  </si>
  <si>
    <t>디플러스</t>
  </si>
  <si>
    <t>충청남도 태안군 태안읍 군청11길 5-9</t>
  </si>
  <si>
    <t>디자인해리아</t>
  </si>
  <si>
    <t>1층 도시풍경</t>
  </si>
  <si>
    <t>경기도 화성시 향남읍 상신하길로135번길 9-7</t>
  </si>
  <si>
    <t>도시풍경</t>
  </si>
  <si>
    <t>경기도 부천시 서촌로44번길 24 (송내동)</t>
  </si>
  <si>
    <t>데솔 주식회사</t>
  </si>
  <si>
    <t>B102호</t>
  </si>
  <si>
    <t>대전광역시 동구 가양남로13번길 87-2 (가양동)</t>
  </si>
  <si>
    <t>대람산업</t>
  </si>
  <si>
    <t>경기도 남양주시 화도읍 맷돌로 18</t>
  </si>
  <si>
    <t>다산이엔지</t>
  </si>
  <si>
    <t>농업회사법인(주)나눔</t>
  </si>
  <si>
    <t>경상남도 합천군 가회면 서부로 1589-86</t>
  </si>
  <si>
    <t>숙성실호</t>
  </si>
  <si>
    <t>경상북도 안동시 임하면 금소길 341-12</t>
  </si>
  <si>
    <t>농업회사법인 상상텃밭</t>
  </si>
  <si>
    <t>경상남도 김해시 김해대로2694번길 13-39 (지내동)</t>
  </si>
  <si>
    <t>그랜드(GRAND)</t>
  </si>
  <si>
    <t>경상남도 산청군 시천면 남명2길 13</t>
  </si>
  <si>
    <t>고향농약사</t>
  </si>
  <si>
    <t>영화관 운영업</t>
  </si>
  <si>
    <t>강원도 원주시 무실로 21 (일산동)</t>
  </si>
  <si>
    <t>고씨네 주식회사</t>
  </si>
  <si>
    <t>경상북도 포항시 북구 포스코대로 317-23 (죽도동)</t>
  </si>
  <si>
    <t>건축사사무소 신도시건축</t>
  </si>
  <si>
    <t>정진빌딩 3층</t>
  </si>
  <si>
    <t>서울특별시 강남구 선릉로107길 13 (역삼동)</t>
  </si>
  <si>
    <t>(주)헬로팩토리</t>
  </si>
  <si>
    <t>첨단신발허브센터 406호</t>
  </si>
  <si>
    <t>부산광역시 사상구 낙동대로943번길 235 (감전동)</t>
  </si>
  <si>
    <t>(주)킴스테크</t>
  </si>
  <si>
    <t>310호311호</t>
  </si>
  <si>
    <t>(주)제이에이치컴퍼니</t>
  </si>
  <si>
    <t>8층</t>
  </si>
  <si>
    <t>서울특별시 중구 세종대로 135 (태평로1가)</t>
  </si>
  <si>
    <t>(주)제로투원파트너스</t>
  </si>
  <si>
    <t>하이테크센터 1113 1114호</t>
  </si>
  <si>
    <t>(주)인플라이</t>
  </si>
  <si>
    <t>동서문화관 405호 (계명대학교 대명캠퍼스)</t>
  </si>
  <si>
    <t>(주)이너아이</t>
  </si>
  <si>
    <t>307호(서동 혁신센트럴시티)</t>
  </si>
  <si>
    <t>울산광역시 중구 종가로 655 (서동)</t>
  </si>
  <si>
    <t>(주)에이테크</t>
  </si>
  <si>
    <t>삼보테크노타워 2115호</t>
  </si>
  <si>
    <t>(주)에이나인</t>
  </si>
  <si>
    <t>경동미르웰시티 271호</t>
  </si>
  <si>
    <t>(주)에어로텍</t>
  </si>
  <si>
    <t>성환빌딩 501호</t>
  </si>
  <si>
    <t>(주)브랜드테이크아웃</t>
  </si>
  <si>
    <t>대전광역시 유성구 어은로58번길 58 (어은동)</t>
  </si>
  <si>
    <t>(주)베이서스</t>
  </si>
  <si>
    <t>경상남도 김해시 진례면 고모로 596-48</t>
  </si>
  <si>
    <t>(주)명신테크</t>
  </si>
  <si>
    <t>충청남도 태안군 남면 남면로 94</t>
  </si>
  <si>
    <t>(주)디자인상상</t>
  </si>
  <si>
    <t>서울핀테크랩 5층 107호</t>
  </si>
  <si>
    <t>(주)디에스랩글로벌</t>
  </si>
  <si>
    <t>경기도 김포시 사우중로 52 (사우동)</t>
  </si>
  <si>
    <t>(주)도연개발</t>
  </si>
  <si>
    <t>A동 1113호(문정동 문정에스케이브이원지엘메트로시티)</t>
  </si>
  <si>
    <t>(주)나인테일에이아이</t>
  </si>
  <si>
    <t>2층 11호</t>
  </si>
  <si>
    <t>(주)골든아워</t>
  </si>
  <si>
    <t>경북테크노파크 글로벌벤처동 2301-B호</t>
  </si>
  <si>
    <t>(주) 네이처포</t>
  </si>
  <si>
    <t>대구광역시 동구 반야월북로 132 (각산동)</t>
  </si>
  <si>
    <t>주식회사풀하우스</t>
  </si>
  <si>
    <t>H타워 515호</t>
  </si>
  <si>
    <t>강원도 원주시 혁신로 19 (반곡동)</t>
  </si>
  <si>
    <t>주식회사씨지테라피</t>
  </si>
  <si>
    <t>1층 101호 및 3층</t>
  </si>
  <si>
    <t>서울특별시 강서구 양천로24길 90 (방화동)</t>
  </si>
  <si>
    <t>주식회사 플레이즈더크로스</t>
  </si>
  <si>
    <t>주식회사 크리에이터스마켓</t>
  </si>
  <si>
    <t>울산광역시 울주군 범서읍 천상6길 24-11</t>
  </si>
  <si>
    <t>주식회사 위릴팜</t>
  </si>
  <si>
    <t>경기도 안양시 동안구 엘에스로 37 (호계동)</t>
  </si>
  <si>
    <t>주식회사 비엘티</t>
  </si>
  <si>
    <t>511호 인천대 창업지원단</t>
  </si>
  <si>
    <t>주식회사 라스트마일</t>
  </si>
  <si>
    <t>대전광역시 유성구 전민로34번길 44 (전민동)</t>
  </si>
  <si>
    <t>주식회사 디자인에스</t>
  </si>
  <si>
    <t>청년창조발전소 꿈터플러스 4층</t>
  </si>
  <si>
    <t>부산광역시 금정구 금정로 63-1 (장전동)</t>
  </si>
  <si>
    <t>주식회사 디아몬드</t>
  </si>
  <si>
    <t>102동 3003호</t>
  </si>
  <si>
    <t>서울특별시 구로구 경인로 661 (신도림동)</t>
  </si>
  <si>
    <t>유한회사한결이앤지</t>
  </si>
  <si>
    <t>서울특별시 금천구 시흥대로 258 (시흥동)</t>
  </si>
  <si>
    <t>월드냉장식품(주)</t>
  </si>
  <si>
    <t>우리가구</t>
  </si>
  <si>
    <t>서울특별시 영등포구 버드나루로14길 15 (영등포동7가)</t>
  </si>
  <si>
    <t>올인산업주식회사</t>
  </si>
  <si>
    <t>예시스</t>
  </si>
  <si>
    <t>11층 1125호</t>
  </si>
  <si>
    <t>경기도 군포시 공단로124번길 23 (당정동)</t>
  </si>
  <si>
    <t>에이투케이랩 주식회사</t>
  </si>
  <si>
    <t>5층 2호</t>
  </si>
  <si>
    <t>서울특별시 송파구 송파대로45길 22-1 (석촌동)</t>
  </si>
  <si>
    <t>떠블류에스프로젝트</t>
  </si>
  <si>
    <t>서울특별시 용산구 청파로47길 52 (청파동2가)</t>
  </si>
  <si>
    <t>회계법인 더함</t>
  </si>
  <si>
    <t>화이트포트 주식회사</t>
  </si>
  <si>
    <t>경상북도 예천군 호명면 호명로 311</t>
  </si>
  <si>
    <t>하나테크</t>
  </si>
  <si>
    <t>전라남도 보성군 조성면 수당길 17-12</t>
  </si>
  <si>
    <t>경기도 과천시 부림2길 72-4 (부림동 유앤아이빌)</t>
  </si>
  <si>
    <t>클래스테크</t>
  </si>
  <si>
    <t>기업지원허브 창업존 754호</t>
  </si>
  <si>
    <t>클라우드허브 주식회사</t>
  </si>
  <si>
    <t>경상북도 칠곡군 동명면 봉암7길 42</t>
  </si>
  <si>
    <t>청춘아이에스</t>
  </si>
  <si>
    <t>경기도 파주시 파주읍 윗도장3길 41</t>
  </si>
  <si>
    <t>창성헬스테크</t>
  </si>
  <si>
    <t>그 외 기타 특정 상품 중개업</t>
  </si>
  <si>
    <t>지더블유퍼시픽 주식회사</t>
  </si>
  <si>
    <t>주식회사 탑프랜트</t>
  </si>
  <si>
    <t>전라남도 무안군 청계면 영산로 1525-7</t>
  </si>
  <si>
    <t>주식회사탑플랜트</t>
  </si>
  <si>
    <t>1407호</t>
  </si>
  <si>
    <t>경기도 수원시 영통구 창룡대로256번길 77 (이의동)</t>
  </si>
  <si>
    <t>주식회사이투엘</t>
  </si>
  <si>
    <t>부산광역시 연제구 거제천로146번길 30 (연산동 옛동산오피스텔)</t>
  </si>
  <si>
    <t>주식회사 포이든</t>
  </si>
  <si>
    <t>6층 603604호(6010)</t>
  </si>
  <si>
    <t>경기도 파주시 금빛로 24-21 (금촌동)</t>
  </si>
  <si>
    <t>주식회사 차경</t>
  </si>
  <si>
    <t>B동 4113호</t>
  </si>
  <si>
    <t>주식회사 지오랩</t>
  </si>
  <si>
    <t>A동 414호</t>
  </si>
  <si>
    <t>주식회사 정록</t>
  </si>
  <si>
    <t>서울특별시 송파구 송파대로 345 (가락동 헬리오시티)</t>
  </si>
  <si>
    <t>주식회사 이투에스컨설팅</t>
  </si>
  <si>
    <t>11층 1176호</t>
  </si>
  <si>
    <t>주식회사 이윤</t>
  </si>
  <si>
    <t>에이스가산포휴 215호</t>
  </si>
  <si>
    <t>주식회사 엘티에스바이오</t>
  </si>
  <si>
    <t>3층 3211호</t>
  </si>
  <si>
    <t>주식회사 에크리어</t>
  </si>
  <si>
    <t>특수사 및 코드직물 제조업</t>
  </si>
  <si>
    <t>별동1층  하나3공장</t>
  </si>
  <si>
    <t>주식회사 에라모에이치티</t>
  </si>
  <si>
    <t>A동 1208호</t>
  </si>
  <si>
    <t>주식회사 쓰리에스코어</t>
  </si>
  <si>
    <t>6층 스튜디오파란</t>
  </si>
  <si>
    <t>서울특별시 금천구 시흥대로 426 (독산동)</t>
  </si>
  <si>
    <t>주식회사 스튜디오파란</t>
  </si>
  <si>
    <t>경상남도 창원시 마산회원구 봉암공단10길 19 (봉암동)</t>
  </si>
  <si>
    <t>주식회사 소담엠텍</t>
  </si>
  <si>
    <t>광주광역시 북구 하서로672번길 18-17 (지야동)</t>
  </si>
  <si>
    <t>주식회사 세연이앤에스</t>
  </si>
  <si>
    <t>A동 756호(시그마2오피스텔)</t>
  </si>
  <si>
    <t>주식회사 모큐라텍</t>
  </si>
  <si>
    <t>(주)두리번</t>
  </si>
  <si>
    <t>서울특별시 마포구 월드컵로8길 40-8 (서교동)</t>
  </si>
  <si>
    <t>주식회사 두리번</t>
  </si>
  <si>
    <t>IT 미래타워 2003호</t>
  </si>
  <si>
    <t>서울특별시 금천구 디지털로9길 33 (가산동)</t>
  </si>
  <si>
    <t>주식회사 네브시스</t>
  </si>
  <si>
    <t>서울특별시 광진구 아차산로78길 75 (광장동)</t>
  </si>
  <si>
    <t>주식회사 그린텍이앤씨</t>
  </si>
  <si>
    <t>인천광역시 서구 가정로77번길 31 (가좌동)</t>
  </si>
  <si>
    <t>주식회사 건우체어</t>
  </si>
  <si>
    <t>전라남도 나주시 금영로 14-5 (이창동)</t>
  </si>
  <si>
    <t>제이에스텍(주)</t>
  </si>
  <si>
    <t>정인터내셔널</t>
  </si>
  <si>
    <t>대구광역시 서구 와룡로72길 37-9 (중리동)</t>
  </si>
  <si>
    <t>은조상사</t>
  </si>
  <si>
    <t>전라북도 부안군 행안면 부안농공단지길 15</t>
  </si>
  <si>
    <t>유한회사 지우</t>
  </si>
  <si>
    <t>707호</t>
  </si>
  <si>
    <t>인천광역시 남동구 논고개로 87 (논현동)</t>
  </si>
  <si>
    <t>요즘코리아</t>
  </si>
  <si>
    <t>지니센터 D동 1751호</t>
  </si>
  <si>
    <t>엠엠테크놀로지</t>
  </si>
  <si>
    <t>경기도 김포시 통진읍 월하로 586-78</t>
  </si>
  <si>
    <t>엠엠케이(MMK)코리아</t>
  </si>
  <si>
    <t>서울특별시 강남구 강남대로118길 24 (논현동)</t>
  </si>
  <si>
    <t>에고라이팅 주식회사</t>
  </si>
  <si>
    <t>서울숲 M타워 6층 603호</t>
  </si>
  <si>
    <t>서울특별시 성동구 뚝섬로1길 31 (성수동1가)</t>
  </si>
  <si>
    <t>스템위드(주)</t>
  </si>
  <si>
    <t>슈마케미아주식회사</t>
  </si>
  <si>
    <t>경상북도 영천시 금호읍 영천산단로 323</t>
  </si>
  <si>
    <t>370호</t>
  </si>
  <si>
    <t>전라북도 전주시 완산구 홍산로 269 (효자동2가)</t>
  </si>
  <si>
    <t>베이지안웍스</t>
  </si>
  <si>
    <t>2층(남주동)</t>
  </si>
  <si>
    <t>충청북도 청주시 상당구 남사로 104-12 (남주동)</t>
  </si>
  <si>
    <t>디자인사이트 건축사사무소</t>
  </si>
  <si>
    <t>도료 도매업</t>
  </si>
  <si>
    <t>대건제비스코 페인트</t>
  </si>
  <si>
    <t>충청북도 청주시 상당구 무심동로328번길 9 (남주동)</t>
  </si>
  <si>
    <t>대건제비스코</t>
  </si>
  <si>
    <t>5층 6호</t>
  </si>
  <si>
    <t>부산광역시 해운대구 수영강변대로 140 (우동)</t>
  </si>
  <si>
    <t>누구나(NOOGOONA)</t>
  </si>
  <si>
    <t>서울특별시 영등포구 여의대방로61길 2 (신길동)</t>
  </si>
  <si>
    <t>(주)트러스트솔루션</t>
  </si>
  <si>
    <t>코아루 오피스텔 312호</t>
  </si>
  <si>
    <t>경상북도 안동시 풍천면 천년숲서로 43-16</t>
  </si>
  <si>
    <t>(주)투나우</t>
  </si>
  <si>
    <t>대구광역시 달성군 구지면 국가산단서로60길 5</t>
  </si>
  <si>
    <t>(주)텍스온에이치투비</t>
  </si>
  <si>
    <t>(클라우드스토리)</t>
  </si>
  <si>
    <t>부산광역시 연제구 반송로 22 (연산동 동서상가)</t>
  </si>
  <si>
    <t>(주)클라우드스토리</t>
  </si>
  <si>
    <t>서울특별시 강남구 도산대로8길 11 (논현동)</t>
  </si>
  <si>
    <t>(주)에이치앤씨직무인증원</t>
  </si>
  <si>
    <t>애완 동물 장묘 및 보호 서비스업</t>
  </si>
  <si>
    <t>C동 221호</t>
  </si>
  <si>
    <t>경기도 고양시 일산동구 무궁화로 32-34 (장항동)</t>
  </si>
  <si>
    <t>(주)아이컨택</t>
  </si>
  <si>
    <t>대전광역시 중구 대종로680번길 12 (중촌동)</t>
  </si>
  <si>
    <t>(주)미르엔</t>
  </si>
  <si>
    <t>LK타워 4층 402호</t>
  </si>
  <si>
    <t>전라북도 전주시 덕진구 만성로 73 (만성동)</t>
  </si>
  <si>
    <t>(주)도담솔루션</t>
  </si>
  <si>
    <t>C동 14층 12호</t>
  </si>
  <si>
    <t>(주)데브와이</t>
  </si>
  <si>
    <t>서울특별시 강남구 테헤란로79길 6 (삼성동)</t>
  </si>
  <si>
    <t>(주) 인포플라</t>
  </si>
  <si>
    <t>창업보육관 504호</t>
  </si>
  <si>
    <t>히트케이 주식회사</t>
  </si>
  <si>
    <t>생산관 2304호</t>
  </si>
  <si>
    <t>티지</t>
  </si>
  <si>
    <t>경기도 오산시 독산성로 425 (세교동)</t>
  </si>
  <si>
    <t>키트론 주식회사</t>
  </si>
  <si>
    <t>5동1804호</t>
  </si>
  <si>
    <t>경상북도 포항시 남구 지곡로 20 (효자동 승리아파트)</t>
  </si>
  <si>
    <t>지만상사</t>
  </si>
  <si>
    <t>경기도 파주시 경의로 1056 (야당동)</t>
  </si>
  <si>
    <t>지니메디텍</t>
  </si>
  <si>
    <t>지붕 내ㆍ외벽 축조 관련 전문공사업</t>
  </si>
  <si>
    <t>울산광역시 울주군 웅촌면 부채골길 41</t>
  </si>
  <si>
    <t>주식회사효원이엔지</t>
  </si>
  <si>
    <t>전남테크노파크 지식산업센타 208</t>
  </si>
  <si>
    <t>주식회사무진테크</t>
  </si>
  <si>
    <t>광주광역시 광산구 우산천변길 21-6 (우산동)</t>
  </si>
  <si>
    <t>주식회사모아엔텍</t>
  </si>
  <si>
    <t>5층551</t>
  </si>
  <si>
    <t>주식회사루잇퍼니쳐</t>
  </si>
  <si>
    <t>공장동 526호</t>
  </si>
  <si>
    <t>인천광역시 부평구 백범로577번길 20 (십정동)</t>
  </si>
  <si>
    <t>주식회사 해찬시스템</t>
  </si>
  <si>
    <t>광주광역시 광산구 용아로 568 (장덕동)</t>
  </si>
  <si>
    <t>주식회사 해안</t>
  </si>
  <si>
    <t>광주광역시 서구 마륵복개로 102 (마륵동)</t>
  </si>
  <si>
    <t>주식회사 하나메디칼</t>
  </si>
  <si>
    <t>서울특별시 강남구 도산대로 157 (신사동)</t>
  </si>
  <si>
    <t>주식회사 티더블유코리아</t>
  </si>
  <si>
    <t>101-301</t>
  </si>
  <si>
    <t>서울특별시 마포구 월드컵북로47길 37 (상암동)</t>
  </si>
  <si>
    <t>주식회사 툴라</t>
  </si>
  <si>
    <t>402-1호</t>
  </si>
  <si>
    <t>주식회사 탑드림</t>
  </si>
  <si>
    <t>경기도 부천시 조마루로285번길 50 (중동)</t>
  </si>
  <si>
    <t>주식회사 타스온</t>
  </si>
  <si>
    <t>서울특별시 강남구 봉은사로 317 (논현동)</t>
  </si>
  <si>
    <t>주식회사 큐게임즈</t>
  </si>
  <si>
    <t>벤처관 201</t>
  </si>
  <si>
    <t>경상북도 구미시 야은로 37 (부곡동)</t>
  </si>
  <si>
    <t>주식회사 코아솔루션</t>
  </si>
  <si>
    <t>서울특별시 강남구 삼성로104길 18 (삼성동)</t>
  </si>
  <si>
    <t>주식회사 코매퍼</t>
  </si>
  <si>
    <t>가정용 유리제품 제조업</t>
  </si>
  <si>
    <t>양지빌딩 2층</t>
  </si>
  <si>
    <t>울산광역시 남구 삼신로 46 (삼산동)</t>
  </si>
  <si>
    <t>주식회사 코리아 라이프라인</t>
  </si>
  <si>
    <t>주식회사 케이존</t>
  </si>
  <si>
    <t>디동 1210호</t>
  </si>
  <si>
    <t>주식회사 캐스트코아</t>
  </si>
  <si>
    <t>검단팩토리밸리104동205호</t>
  </si>
  <si>
    <t>주식회사 지에스테크</t>
  </si>
  <si>
    <t>전라남도 화순군 동면 동농공길 139</t>
  </si>
  <si>
    <t>주식회사 제이에스테크</t>
  </si>
  <si>
    <t>충청북도 청주시 흥덕구 남석로 535-54 (석곡동)</t>
  </si>
  <si>
    <t>주식회사 인산</t>
  </si>
  <si>
    <t>서울특별시 강남구 봉은사로 418 (삼성동)</t>
  </si>
  <si>
    <t>주식회사 유로랩</t>
  </si>
  <si>
    <t>A동 322호</t>
  </si>
  <si>
    <t>서울특별시 강서구 마곡중앙4로 22 (마곡동)</t>
  </si>
  <si>
    <t>주식회사 원원테크</t>
  </si>
  <si>
    <t>동해시창업보육센터 P313호</t>
  </si>
  <si>
    <t>강원도 동해시 지양길 200 (지흥동)</t>
  </si>
  <si>
    <t>주식회사 원엑스원</t>
  </si>
  <si>
    <t>충청남도 당진시 아미로 657 (대덕동)</t>
  </si>
  <si>
    <t>주식회사 우진정보통신</t>
  </si>
  <si>
    <t>분말 야금제품 제조업</t>
  </si>
  <si>
    <t>경상북도 포항시 남구 대송면 송덕로212번길 252</t>
  </si>
  <si>
    <t>주식회사 연경스틸</t>
  </si>
  <si>
    <t>수성대학교 강산관 201호</t>
  </si>
  <si>
    <t>대구광역시 수성구 달구벌대로528길 15 (만촌동)</t>
  </si>
  <si>
    <t>주식회사 에스투뷰텍</t>
  </si>
  <si>
    <t>경기도 광주시 곤지암읍 구수동길11번길 31</t>
  </si>
  <si>
    <t>주식회사 어드벤처플래닛</t>
  </si>
  <si>
    <t>5층 비트센싱</t>
  </si>
  <si>
    <t>서울특별시 성동구 뚝섬로1길 63 (성수동1가)</t>
  </si>
  <si>
    <t>주식회사 비트센싱</t>
  </si>
  <si>
    <t>부산벤처타워 1607호</t>
  </si>
  <si>
    <t>주식회사 메디위너</t>
  </si>
  <si>
    <t>통신기기 소매업</t>
  </si>
  <si>
    <t>1315호 (중앙동 리제스타워)</t>
  </si>
  <si>
    <t>경상남도 창원시 성산구 중앙대로 85 (중앙동)</t>
  </si>
  <si>
    <t>주식회사 라온씨앤씨</t>
  </si>
  <si>
    <t>1동 304 305호</t>
  </si>
  <si>
    <t>경기도 수원시 권선구 서호로 89 (서둔동)</t>
  </si>
  <si>
    <t>주식회사 더핏</t>
  </si>
  <si>
    <t>경기도 구리시 동구릉로459번길 56-2 (사노동)</t>
  </si>
  <si>
    <t>주식회사 더정진</t>
  </si>
  <si>
    <t>813814호</t>
  </si>
  <si>
    <t>주식회사 뉴메틱</t>
  </si>
  <si>
    <t>경상남도 창원시 의창구 대산면 주남로 403</t>
  </si>
  <si>
    <t>주식회사 나라물산</t>
  </si>
  <si>
    <t>충청남도 아산시 탕정면 매곡로 43-1</t>
  </si>
  <si>
    <t>주식회사 광성산업테크</t>
  </si>
  <si>
    <t>광주광역시 남구 진다리로 18 (백운동)</t>
  </si>
  <si>
    <t>주식회사 고고탁</t>
  </si>
  <si>
    <t>경기도 이천시 백사면 원적로868번길 181-54</t>
  </si>
  <si>
    <t>주)김창준이동식주택</t>
  </si>
  <si>
    <t>108동 1601호</t>
  </si>
  <si>
    <t>경기도 김포시 김포한강8로 173-59 (마산동 e편한세상 한강신도시2차)</t>
  </si>
  <si>
    <t>제이와이컴퍼니(JYcompany)</t>
  </si>
  <si>
    <t>메가비즈타워비동 810호</t>
  </si>
  <si>
    <t>제이에스생명과학 주식회사</t>
  </si>
  <si>
    <t>모자 제조업</t>
  </si>
  <si>
    <t>충청북도 청주시 청원구 우암로9번길 46 (우암동)</t>
  </si>
  <si>
    <t>인투윈산업</t>
  </si>
  <si>
    <t>108-1302</t>
  </si>
  <si>
    <t>서울특별시 강동구 상암로 11 (암사동 선사현대아파트)</t>
  </si>
  <si>
    <t>이기는 습관(WINNING HABIT)</t>
  </si>
  <si>
    <t>한의약품 제조업</t>
  </si>
  <si>
    <t>서울특별시 강남구 역삼로 169 (역삼동)</t>
  </si>
  <si>
    <t>유케어인터내셔널테크</t>
  </si>
  <si>
    <t>벤처동 115호</t>
  </si>
  <si>
    <t>원큐어젠 주식회사</t>
  </si>
  <si>
    <t>의료용 가구 제조업</t>
  </si>
  <si>
    <t>서울특별시 광진구 자양로39길 11 (구의동 동남그린빌라)</t>
  </si>
  <si>
    <t>올크린티쓰</t>
  </si>
  <si>
    <t>2층 201호 CUBE4호</t>
  </si>
  <si>
    <t>부산광역시 사하구 낙동대로 542 (하단동 대우에덴프라자)</t>
  </si>
  <si>
    <t>엠엔에이치기술</t>
  </si>
  <si>
    <t>서울특별시 관악구 남부순환로145길 15 (신림동)</t>
  </si>
  <si>
    <t>에일럿바이오코스메틱스(주)</t>
  </si>
  <si>
    <t>114동 706-1호</t>
  </si>
  <si>
    <t>에이치앤비지노믹스 주식회사</t>
  </si>
  <si>
    <t>교육관련 자문 및 평가업</t>
  </si>
  <si>
    <t>서울특별시 금천구 가산디지털2로 53 (가산동)</t>
  </si>
  <si>
    <t>에스에이엘주식회사</t>
  </si>
  <si>
    <t>경상북도 경산시 진량읍 공단7로 120</t>
  </si>
  <si>
    <t>아이에스케이글로벌주식회사</t>
  </si>
  <si>
    <t>5층 502호</t>
  </si>
  <si>
    <t>시안기획</t>
  </si>
  <si>
    <t>780호</t>
  </si>
  <si>
    <t>스페이스뱅크 주식회사</t>
  </si>
  <si>
    <t>충청남도 당진시 시곡로 323 (시곡동)</t>
  </si>
  <si>
    <t>선진환경기술</t>
  </si>
  <si>
    <t>47 해찬빌딩 401호</t>
  </si>
  <si>
    <t>충청남도 공주시 번영1로 17 (신관동)</t>
  </si>
  <si>
    <t>샤인건축사사무소</t>
  </si>
  <si>
    <t>빅픽처인터렉티브</t>
  </si>
  <si>
    <t>서울특별시 금천구 두산로9길 31 (독산동)</t>
  </si>
  <si>
    <t>빅픽처인터렉티브 주식회사</t>
  </si>
  <si>
    <t>봄소와</t>
  </si>
  <si>
    <t>경기도 광주시 오포읍 오포로 290</t>
  </si>
  <si>
    <t>봄소와 주식회사</t>
  </si>
  <si>
    <t>901-2호</t>
  </si>
  <si>
    <t>서울특별시 금천구 서부샛길 632 (가산동)</t>
  </si>
  <si>
    <t>벨류어블</t>
  </si>
  <si>
    <t>대구광역시 동구 동대구로 461 (신천동)</t>
  </si>
  <si>
    <t>미림소프트랩 주식회사</t>
  </si>
  <si>
    <t>a동 406호</t>
  </si>
  <si>
    <t>미림미디어 주식회사</t>
  </si>
  <si>
    <t>대전광역시 동구 대전로 849-9 (정동)</t>
  </si>
  <si>
    <t>문화기획</t>
  </si>
  <si>
    <t>서울특별시 동작구 동작대로25길 10 (사당동)</t>
  </si>
  <si>
    <t>라이프마을기획사 협동조합</t>
  </si>
  <si>
    <t>2405동 2303호</t>
  </si>
  <si>
    <t>경기도 하남시 미사강변동로 47 (풍산동 미사강변브라운스톤엔에이치에프)</t>
  </si>
  <si>
    <t>데이타팡</t>
  </si>
  <si>
    <t>1층 다온컴퍼니</t>
  </si>
  <si>
    <t>강원도 춘천시 벌말길47번길 15 (석사동)</t>
  </si>
  <si>
    <t>다온컴퍼니</t>
  </si>
  <si>
    <t>충청남도 천안시 서북구 성거읍 소댕이1길 198-22</t>
  </si>
  <si>
    <t>농업회사법인 주식회사 이후</t>
  </si>
  <si>
    <t>네오시티</t>
  </si>
  <si>
    <t>102동 2305호</t>
  </si>
  <si>
    <t>대구광역시 달성군 다사읍 달구벌대로 812 (강창하이츠)</t>
  </si>
  <si>
    <t>금화디자인</t>
  </si>
  <si>
    <t>광명역자이타워 에이동 19층 6호</t>
  </si>
  <si>
    <t>㈜위즈</t>
  </si>
  <si>
    <t>부산광역시 기장군 장안읍 좌천4길 9-27</t>
  </si>
  <si>
    <t>(주)화전산업</t>
  </si>
  <si>
    <t>충청북도 청주시 청원구 오창읍 오창시내1길 39</t>
  </si>
  <si>
    <t>(주)하영시스템</t>
  </si>
  <si>
    <t>에스케이브이원센터 B208호</t>
  </si>
  <si>
    <t>(주)피앤씨솔루션</t>
  </si>
  <si>
    <t>부산광역시 기장군 장안읍 명례산단4로 69</t>
  </si>
  <si>
    <t>(주)토탈마린솔루션</t>
  </si>
  <si>
    <t>521호</t>
  </si>
  <si>
    <t>경기도 김포시 태장로 755 (장기동)</t>
  </si>
  <si>
    <t>(주)테라시스</t>
  </si>
  <si>
    <t>제비105호 제비106호(관평동 비즈센터)</t>
  </si>
  <si>
    <t>(주)지엘테크</t>
  </si>
  <si>
    <t>생산관 1303호 (주)젠스</t>
  </si>
  <si>
    <t>(주)젠스</t>
  </si>
  <si>
    <t>경기도 안양시 동안구 흥안대로427번길 38 (관양동)</t>
  </si>
  <si>
    <t>(주)인퓨전텍</t>
  </si>
  <si>
    <t>제9층 제티1-903호 (장항동웨스턴돔1)</t>
  </si>
  <si>
    <t>(주)와이엔씨 레질리언스</t>
  </si>
  <si>
    <t>일흥빌딩 910호</t>
  </si>
  <si>
    <t>(주)에이투마인드</t>
  </si>
  <si>
    <t>맨하탄빌딩 1211</t>
  </si>
  <si>
    <t>서울특별시 영등포구 국제금융로6길 33 (여의도동)</t>
  </si>
  <si>
    <t>(주)아이지비앤드컴퍼니</t>
  </si>
  <si>
    <t>부천테크노파크 101동  808호</t>
  </si>
  <si>
    <t>(주)세서미랭크</t>
  </si>
  <si>
    <t>대구삼성창조캠퍼스 내 메이커스페이스동 2층</t>
  </si>
  <si>
    <t>(주)메디센텍</t>
  </si>
  <si>
    <t>서울창업허브 별관 313호</t>
  </si>
  <si>
    <t>(주)랩투마켓</t>
  </si>
  <si>
    <t>유원빌딩 3층</t>
  </si>
  <si>
    <t>서울특별시 광진구 능동로 247 (군자동)</t>
  </si>
  <si>
    <t>(주)데이터연구소</t>
  </si>
  <si>
    <t>서울특별시 강남구 논현로 32 (개포동)</t>
  </si>
  <si>
    <t>(주)대아글로벌</t>
  </si>
  <si>
    <t>아파트 건설업</t>
  </si>
  <si>
    <t>충청북도 청주시 청원구 충청대로272번길 26 (주성동)</t>
  </si>
  <si>
    <t>주식회사펜타이앤씨</t>
  </si>
  <si>
    <t>전라북도 익산시 보석로 28 (신흥동)</t>
  </si>
  <si>
    <t>주식회사와이즈</t>
  </si>
  <si>
    <t>충청남도 당진시 양지말길 8-15 (대덕동)</t>
  </si>
  <si>
    <t>주식회사신성이엔지</t>
  </si>
  <si>
    <t>402호(충남콘텐츠기업지원센터)</t>
  </si>
  <si>
    <t>충청남도 아산시 배방읍 희망로46번길 45-11</t>
  </si>
  <si>
    <t>주식회사 투비유니콘</t>
  </si>
  <si>
    <t>엘지에클라트 603호</t>
  </si>
  <si>
    <t>서울특별시 영등포구 국회대로 780 (여의도동)</t>
  </si>
  <si>
    <t>주식회사 테크앤</t>
  </si>
  <si>
    <t>경상북도 칠곡군 왜관읍 3산업단지2길 116</t>
  </si>
  <si>
    <t>주식회사 이스턴기어</t>
  </si>
  <si>
    <t>태평양물산 넥스트데이 51호</t>
  </si>
  <si>
    <t>서울특별시 구로구 디지털로31길 12 (구로동)</t>
  </si>
  <si>
    <t>주식회사 어썸잇</t>
  </si>
  <si>
    <t>대덕 비즈센터 C동 521호</t>
  </si>
  <si>
    <t>주식회사 바이탈스</t>
  </si>
  <si>
    <t>경기도 평택시 서정로 159 (서정동)</t>
  </si>
  <si>
    <t>주식회사 미도조경</t>
  </si>
  <si>
    <t>서울특별시 관악구 난곡로 308 (신림동)</t>
  </si>
  <si>
    <t>주식회사 더블랙</t>
  </si>
  <si>
    <t>경기도 남양주시 진접읍 진벌로199번길 42</t>
  </si>
  <si>
    <t>엠피하드웨어</t>
  </si>
  <si>
    <t>울산광역시 중구 백양로 88-1 (성안동)</t>
  </si>
  <si>
    <t>아피츄스코리아학원</t>
  </si>
  <si>
    <t>대호프라자2층220호</t>
  </si>
  <si>
    <t>아름다운동행장애인복지협동조합</t>
  </si>
  <si>
    <t>c동 1층</t>
  </si>
  <si>
    <t>금목화물산</t>
  </si>
  <si>
    <t>전라북도 전주시 완산구 메너머3길 21-10 (중화산동2가)</t>
  </si>
  <si>
    <t>국도기술</t>
  </si>
  <si>
    <t>경상북도 상주시 영남제일로 2058 (남장동)</t>
  </si>
  <si>
    <t>(주)청운엔지니어링</t>
  </si>
  <si>
    <t>경기도 부천시 송내대로7번길 20 (송내동)</t>
  </si>
  <si>
    <t>(주)제이에이치디지털오에이</t>
  </si>
  <si>
    <t>철도 차량 부품 및 관련 장치물 제조업</t>
  </si>
  <si>
    <t>제지하1층 제에이-비131호(동산동삼송테크노밸리)</t>
  </si>
  <si>
    <t>(주)오토게이트</t>
  </si>
  <si>
    <t>부산광역시 강서구 공항로1309번길 121 (대저1동)</t>
  </si>
  <si>
    <t>(주)명도</t>
  </si>
  <si>
    <t>인천광역시 부평구 부평대로297번길 58 (청천동)</t>
  </si>
  <si>
    <t>(주)글로리오토</t>
  </si>
  <si>
    <t>서울특별시 송파구 오금로46길 11 (가락동)</t>
  </si>
  <si>
    <t>한국감성힐링연구소</t>
  </si>
  <si>
    <t>기타 건축용 비내화 요업제품 제조업</t>
  </si>
  <si>
    <t>A동6001</t>
  </si>
  <si>
    <t>서울특별시 강서구 마곡중앙6로 45 (마곡동)</t>
  </si>
  <si>
    <t>하자그만</t>
  </si>
  <si>
    <t>서울특별시 강남구 테헤란로 313 (역삼동)</t>
  </si>
  <si>
    <t>티프 건축사사무소</t>
  </si>
  <si>
    <t>서울특별시 강서구 곰달래로 218 (화곡동)</t>
  </si>
  <si>
    <t>큐앤스</t>
  </si>
  <si>
    <t>나동 103호 지하</t>
  </si>
  <si>
    <t>서울특별시 강북구 덕릉로 27-4 (수유동 한신빌라)</t>
  </si>
  <si>
    <t>케이앤제이플랜</t>
  </si>
  <si>
    <t>부산광역시 사하구 장림로 78-2 (장림동)</t>
  </si>
  <si>
    <t>청아ENG</t>
  </si>
  <si>
    <t>부산광역시 남구 지게골로 43-16 (문현동)</t>
  </si>
  <si>
    <t>주식회사태성지류</t>
  </si>
  <si>
    <t>서울특별시 강남구 학동로 311 (논현동)</t>
  </si>
  <si>
    <t>주식회사예맥</t>
  </si>
  <si>
    <t>주식회사블루웨이브필름</t>
  </si>
  <si>
    <t>A동 1010호</t>
  </si>
  <si>
    <t>주식회사뉴퍼플</t>
  </si>
  <si>
    <t>주식회사 휴맥스팍스</t>
  </si>
  <si>
    <t>대박빌딩 3층</t>
  </si>
  <si>
    <t>서울특별시 중구 퇴계로45길 22-24 (충무로5가)</t>
  </si>
  <si>
    <t>주식회사 페타애드텍</t>
  </si>
  <si>
    <t>진주지식산업센터 606호</t>
  </si>
  <si>
    <t>부산광역시 수영구 수영로 668 (광안동)</t>
  </si>
  <si>
    <t>주식회사 커넥트제로</t>
  </si>
  <si>
    <t>서울특별시 송파구 백제고분로50길 40 (방이동)</t>
  </si>
  <si>
    <t>주식회사 캠스퀘어</t>
  </si>
  <si>
    <t>타일 및 유사 비내화 요업제품 제조업</t>
  </si>
  <si>
    <t>강원도 춘천시 동면 후만로 148</t>
  </si>
  <si>
    <t>주식회사 청광세라믹</t>
  </si>
  <si>
    <t>2동203</t>
  </si>
  <si>
    <t>서울특별시 강동구 상암로 355 (상일동 대림빌라)</t>
  </si>
  <si>
    <t>주식회사 제이앤씨에이</t>
  </si>
  <si>
    <t>효준빌딩 2층</t>
  </si>
  <si>
    <t>서울특별시 동작구 사당로 166 (사당동)</t>
  </si>
  <si>
    <t>주식회사 이제이아이앤씨</t>
  </si>
  <si>
    <t>1403호</t>
  </si>
  <si>
    <t>주식회사 이에스티소프트</t>
  </si>
  <si>
    <t>지정 외 폐기물 처리업</t>
  </si>
  <si>
    <t>경상북도 의성군 금성면 도경4길 26</t>
  </si>
  <si>
    <t>주식회사 의성그린에너지</t>
  </si>
  <si>
    <t>2층 207호</t>
  </si>
  <si>
    <t>부산광역시 강서구 명지오션시티9로 55 (명지동)</t>
  </si>
  <si>
    <t>주식회사 은성이엔씨</t>
  </si>
  <si>
    <t>주식회사 월드굿즈</t>
  </si>
  <si>
    <t>부산광역시 중구 망양로 380 (영주동)</t>
  </si>
  <si>
    <t>삼성IT해링턴타워 1009호</t>
  </si>
  <si>
    <t>주식회사 오롯한</t>
  </si>
  <si>
    <t>울산광역시 남구 테크노산업로55번길 37-19 (두왕동)</t>
  </si>
  <si>
    <t>주식회사 엠티지</t>
  </si>
  <si>
    <t>1층(성수동2가 용성빌딩)</t>
  </si>
  <si>
    <t>서울특별시 성동구 성수이로7가길 3 (성수동2가)</t>
  </si>
  <si>
    <t>주식회사 엠에스티지</t>
  </si>
  <si>
    <t>청운재 6층</t>
  </si>
  <si>
    <t>서울특별시 성동구 연무장11길 15 (성수동2가)</t>
  </si>
  <si>
    <t>주식회사 엠씨씨바이오</t>
  </si>
  <si>
    <t>유아용 의류 도매업</t>
  </si>
  <si>
    <t>302303호</t>
  </si>
  <si>
    <t>주식회사 엔트러스트</t>
  </si>
  <si>
    <t>삼성아이티해링턴타워 1003호</t>
  </si>
  <si>
    <t>주식회사 에스티테크</t>
  </si>
  <si>
    <t>1116호</t>
  </si>
  <si>
    <t>주식회사 아이씨티피플</t>
  </si>
  <si>
    <t>기룡빌딩 4층</t>
  </si>
  <si>
    <t>서울특별시 강서구 곰달래로 104 (화곡동)</t>
  </si>
  <si>
    <t>주식회사 쏘루트</t>
  </si>
  <si>
    <t>5층 513호</t>
  </si>
  <si>
    <t>주식회사 슈퍼플럭스</t>
  </si>
  <si>
    <t>서울특별시 서대문구 연희로5길 54-24 (연희동)</t>
  </si>
  <si>
    <t>주식회사 세븐픽쳐스</t>
  </si>
  <si>
    <t>경기도 고양시 일산동구 성현로 46-3 (성석동)</t>
  </si>
  <si>
    <t>주식회사 샤인디자인</t>
  </si>
  <si>
    <t>충청남도 아산시 음봉면 산동로59번길 30</t>
  </si>
  <si>
    <t>주식회사 바로건설씨스템</t>
  </si>
  <si>
    <t>경상남도 김해시 생림면 나전로 317-93</t>
  </si>
  <si>
    <t>주식회사 루스</t>
  </si>
  <si>
    <t>광주광역시 광산구 평동매화길 13 (지죽동)</t>
  </si>
  <si>
    <t>주식회사 동이기술</t>
  </si>
  <si>
    <t>경기도 화성시 장안면 3.1만세로 310-14</t>
  </si>
  <si>
    <t>주식회사 대산플랜트기술</t>
  </si>
  <si>
    <t>2층 35호</t>
  </si>
  <si>
    <t>서울특별시 강남구 테헤란로20길 18 (역삼동)</t>
  </si>
  <si>
    <t>주식회사 다만듬소프트</t>
  </si>
  <si>
    <t>3층 (주)나인</t>
  </si>
  <si>
    <t>충청남도 당진시 송악읍 반촌로 161-3</t>
  </si>
  <si>
    <t>주식회사 나인</t>
  </si>
  <si>
    <t>1층 가우스전기</t>
  </si>
  <si>
    <t>인천광역시 부평구 부흥북로36번길 7 (부평동)</t>
  </si>
  <si>
    <t>주식회사 가우스전기</t>
  </si>
  <si>
    <t>서울특별시 양천구 중앙로47길 47-2 (신정동)</t>
  </si>
  <si>
    <t>제이.락</t>
  </si>
  <si>
    <t>348-23</t>
  </si>
  <si>
    <t>경상북도 경주시 외동읍 냉천공단길 86</t>
  </si>
  <si>
    <t>장성테크</t>
  </si>
  <si>
    <t>대구광역시 수성구 상화로3길 59 (상동)</t>
  </si>
  <si>
    <t>자몽</t>
  </si>
  <si>
    <t>효성ICT타워 1108호</t>
  </si>
  <si>
    <t>이지프로덕션</t>
  </si>
  <si>
    <t>이룸컴퍼니</t>
  </si>
  <si>
    <t>동국대학교 산학협력관 826호</t>
  </si>
  <si>
    <t>이노사이언스</t>
  </si>
  <si>
    <t>3동 501·601·603호</t>
  </si>
  <si>
    <t>위미르(주)</t>
  </si>
  <si>
    <t>서울특별시 송파구 가락로11길 9-4 (석촌동 현대골든빌라)</t>
  </si>
  <si>
    <t>웨일커뮤니케이션즈</t>
  </si>
  <si>
    <t>2118호</t>
  </si>
  <si>
    <t>울산광역시 북구 진장유통로 16 (진장동)</t>
  </si>
  <si>
    <t>엘에스이엔씨(주)</t>
  </si>
  <si>
    <t>경기도 안양시 만안구 전파로24번길 45 (안양동)</t>
  </si>
  <si>
    <t>에프엔에스테크 주식회사</t>
  </si>
  <si>
    <t>경상남도 김해시 한림면 김해대로1099번안길 42-7</t>
  </si>
  <si>
    <t>에스와이메탈</t>
  </si>
  <si>
    <t>경기도 화성시 봉담읍 가능골1길 77</t>
  </si>
  <si>
    <t>에스아이건설 주식회사</t>
  </si>
  <si>
    <t>부산광역시 남구 유엔평화로 128 (용당동)</t>
  </si>
  <si>
    <t>얄라팩토리(주)</t>
  </si>
  <si>
    <t>싱나디자인</t>
  </si>
  <si>
    <t>경기도 포천시 가산면 궁말길 56</t>
  </si>
  <si>
    <t>신해물류</t>
  </si>
  <si>
    <t>대구광역시 동구 메디밸리로12길 16 (사복동)</t>
  </si>
  <si>
    <t>시너지(SYNERGY)</t>
  </si>
  <si>
    <t>1층 3호</t>
  </si>
  <si>
    <t>서울특별시 마포구 동교로17길 96 (성산동)</t>
  </si>
  <si>
    <t>슴슴집</t>
  </si>
  <si>
    <t>경기도 시흥시 월곶중앙로70번안길 6 (월곶동)</t>
  </si>
  <si>
    <t>세강엘이디</t>
  </si>
  <si>
    <t>삼진팩디자인</t>
  </si>
  <si>
    <t>서울특별시 강북구 한천로 1163 (수유동)</t>
  </si>
  <si>
    <t>사장님들</t>
  </si>
  <si>
    <t>대전광역시 대덕구 동춘당로94번길 11-21 (송촌동)</t>
  </si>
  <si>
    <t>비바기획</t>
  </si>
  <si>
    <t>C동 1605-나호</t>
  </si>
  <si>
    <t>블룸비즈</t>
  </si>
  <si>
    <t>울산광역시 울주군 삼남읍 공암공단2길 38</t>
  </si>
  <si>
    <t>보광전기주식회사</t>
  </si>
  <si>
    <t>바른생각건축사사무소</t>
  </si>
  <si>
    <t>경기도 화성시 정남면 정남산단3길 37</t>
  </si>
  <si>
    <t>바디솔라헬스케어인더스트리</t>
  </si>
  <si>
    <t>306호 (연구동)</t>
  </si>
  <si>
    <t>경상남도 밀양시 부북면 무안로 761</t>
  </si>
  <si>
    <t>민아트에스윈발전(주)</t>
  </si>
  <si>
    <t>8층 803호</t>
  </si>
  <si>
    <t>서울특별시 금천구 범안로 1142 (가산동)</t>
  </si>
  <si>
    <t>맵스감정평가사사무소</t>
  </si>
  <si>
    <t>101동 405호</t>
  </si>
  <si>
    <t>서울특별시 양천구 목동로29길 7 (신정동 동원로데오아파트)</t>
  </si>
  <si>
    <t>매일휴일</t>
  </si>
  <si>
    <t>8층 피826호</t>
  </si>
  <si>
    <t>루원 주식회사</t>
  </si>
  <si>
    <t>산업용 오븐 노 및 노용 버너 제조업</t>
  </si>
  <si>
    <t>경기도 시흥시 동서로 1105-1 (논곡동)</t>
  </si>
  <si>
    <t>렉스코리아(주)</t>
  </si>
  <si>
    <t>D동2603호</t>
  </si>
  <si>
    <t>서울특별시 종로구 종로 266 (종로6가)</t>
  </si>
  <si>
    <t>라인패브릭</t>
  </si>
  <si>
    <t>대전광역시 대덕구 오정로 56 (오정동)</t>
  </si>
  <si>
    <t>디에스공구</t>
  </si>
  <si>
    <t>신선 냉동 및 기타 수산물 소매업</t>
  </si>
  <si>
    <t>강원도 태백시 상장로 42 (황지동)</t>
  </si>
  <si>
    <t>두루종합상사</t>
  </si>
  <si>
    <t>지하밖</t>
  </si>
  <si>
    <t>서울특별시 동작구 사당로16자길 5 (사당동)</t>
  </si>
  <si>
    <t>두다원(dudawon)</t>
  </si>
  <si>
    <t>전라북도 군산시 미성로 472 (산북동)</t>
  </si>
  <si>
    <t>대호이앤티</t>
  </si>
  <si>
    <t>광주광역시 광산구 동곡로 348-5 (복룡동)</t>
  </si>
  <si>
    <t>다온티엠에스</t>
  </si>
  <si>
    <t>경기도 광주시 곤지암읍 경충대로 731</t>
  </si>
  <si>
    <t>농업회사법인 에코로드 (주)</t>
  </si>
  <si>
    <t>507동 502호</t>
  </si>
  <si>
    <t>경기도 의정부시 용민로 304 (낙양동 반도유보라 아이비파크)</t>
  </si>
  <si>
    <t>날개스포츠</t>
  </si>
  <si>
    <t>충청북도 음성군 음성읍 설성로 91</t>
  </si>
  <si>
    <t>그린 F5 음성 진천 천안동남 영업본부</t>
  </si>
  <si>
    <t>1층 곰곰연구소</t>
  </si>
  <si>
    <t>경기도 남양주시 별내5로5번길 16 (별내동)</t>
  </si>
  <si>
    <t>곰곰연구소</t>
  </si>
  <si>
    <t>5층 502-3호(구갈동 삼성프라자)</t>
  </si>
  <si>
    <t>경기도 용인시 기흥구 구갈로60번길 11 (구갈동)</t>
  </si>
  <si>
    <t>고 건축사사무소</t>
  </si>
  <si>
    <t>가이아</t>
  </si>
  <si>
    <t>경상남도 창원시 의창구 의창대로282번길 9-15 (중동)</t>
  </si>
  <si>
    <t>수서타워 1603호</t>
  </si>
  <si>
    <t>서울특별시 강남구 광평로56길 8-13 (수서동)</t>
  </si>
  <si>
    <t>W Plant</t>
  </si>
  <si>
    <t>서울특별시 성동구 무학로8길 15 (홍익동)</t>
  </si>
  <si>
    <t>FDT엔지니어링(주)</t>
  </si>
  <si>
    <t>서울특별시 중랑구 상봉중앙로6길 13-13 (상봉동)</t>
  </si>
  <si>
    <t>ABC통번역</t>
  </si>
  <si>
    <t>윤성빌딩 202호</t>
  </si>
  <si>
    <t>서울특별시 성동구 뚝섬로 356 (성수동1가)</t>
  </si>
  <si>
    <t>(주)피코스코리아</t>
  </si>
  <si>
    <t>울산광역시 남구 달삼로48번길 11 (달동)</t>
  </si>
  <si>
    <t>(주)파인건축</t>
  </si>
  <si>
    <t>대전광역시 유성구 대학로 195-1 (어은동)</t>
  </si>
  <si>
    <t>(주)윙윙</t>
  </si>
  <si>
    <t>경상북도 성주군 용암면 성암로 1086-4</t>
  </si>
  <si>
    <t>(주)성원콘크리트</t>
  </si>
  <si>
    <t>인천광역시 옹진군 백령면 백령로 265</t>
  </si>
  <si>
    <t>(주)백령문화투어</t>
  </si>
  <si>
    <t>기업지원허브 창업존 821호</t>
  </si>
  <si>
    <t>(주)딥인사이트</t>
  </si>
  <si>
    <t>A23호관 608호</t>
  </si>
  <si>
    <t>(주) 메디나</t>
  </si>
  <si>
    <t>변리사업</t>
  </si>
  <si>
    <t>서울특별시 강남구 테헤란로7길 12 (역삼동)</t>
  </si>
  <si>
    <t>특허법인 인큐브</t>
  </si>
  <si>
    <t>BIZ동 1층 20호 커리어엔</t>
  </si>
  <si>
    <t>커리어엔</t>
  </si>
  <si>
    <t>충청가농업법인(주)</t>
  </si>
  <si>
    <t>213동 12층 3호</t>
  </si>
  <si>
    <t>경기도 김포시 유현로 51 (풍무동 유현마을현대프라임빌아파트)</t>
  </si>
  <si>
    <t>주찬</t>
  </si>
  <si>
    <t>15동 3층 302-1 2층 201-1</t>
  </si>
  <si>
    <t>충청북도 영동군 영동읍 대학로 310</t>
  </si>
  <si>
    <t>주식회사톡톡코스메틱</t>
  </si>
  <si>
    <t>316-25</t>
  </si>
  <si>
    <t>주식회사비에스에이치초아</t>
  </si>
  <si>
    <t>3동110호</t>
  </si>
  <si>
    <t>경상남도 창원시 성산구 웅남로 316 (웅남동)</t>
  </si>
  <si>
    <t>주식회사디에이치케이</t>
  </si>
  <si>
    <t>외항 화물 운송업</t>
  </si>
  <si>
    <t>서울특별시 송파구 오금로27길 41 (방이동)</t>
  </si>
  <si>
    <t>주식회사나누리로지스틱스</t>
  </si>
  <si>
    <t>충청남도 당진시 대덕1로 15-11 (대덕동)</t>
  </si>
  <si>
    <t>주식회사 한결바이오</t>
  </si>
  <si>
    <t>두산벤처다임 서관 1212호</t>
  </si>
  <si>
    <t>경기도 안양시 동안구 흥안대로 415 (평촌동)</t>
  </si>
  <si>
    <t>주식회사 퓨리</t>
  </si>
  <si>
    <t>H-1 903AE호</t>
  </si>
  <si>
    <t>주식회사 크리모</t>
  </si>
  <si>
    <t>연구개발타워 607-03호</t>
  </si>
  <si>
    <t>주식회사 지디에프랩</t>
  </si>
  <si>
    <t>세종SB플라자 605호</t>
  </si>
  <si>
    <t>주식회사 이콘비즈</t>
  </si>
  <si>
    <t>더블유비씨더팔레스 102동 1401호</t>
  </si>
  <si>
    <t>주식회사 이앤코</t>
  </si>
  <si>
    <t>경기도 광명시 목감로228번길 10 (광명동)</t>
  </si>
  <si>
    <t>주식회사 엑스와이씨비</t>
  </si>
  <si>
    <t>센트럴푸르지오 판매시설동 2층 212호</t>
  </si>
  <si>
    <t>경기도 고양시 덕양구 원흥5로 25 (원흥동)</t>
  </si>
  <si>
    <t>주식회사 에이블피엔디</t>
  </si>
  <si>
    <t>1301호 1302호 (팔용동 창원스마트업타워)</t>
  </si>
  <si>
    <t>주식회사 에이블소프트</t>
  </si>
  <si>
    <t>2723호</t>
  </si>
  <si>
    <t>주식회사 어웨이프롬</t>
  </si>
  <si>
    <t>A동 3층 308호(신성동에이스퀘어)</t>
  </si>
  <si>
    <t>대전광역시 유성구 유성대로1184번길 11-24 (신성동)</t>
  </si>
  <si>
    <t>주식회사 씨앰지</t>
  </si>
  <si>
    <t>주식회사 스마트선박벤처기술</t>
  </si>
  <si>
    <t>주식회사 소이넷</t>
  </si>
  <si>
    <t>세종씨아이</t>
  </si>
  <si>
    <t>경기도 양주시 광적면 그루고개로188번길 7-51</t>
  </si>
  <si>
    <t>주식회사 세종씨아이</t>
  </si>
  <si>
    <t>울산광역시 울주군 삼남읍 중평로 16-4</t>
  </si>
  <si>
    <t>주식회사 비즈업솔루션</t>
  </si>
  <si>
    <t>2405호</t>
  </si>
  <si>
    <t>주식회사 버블콘</t>
  </si>
  <si>
    <t>4층 베이직 랩</t>
  </si>
  <si>
    <t>서울특별시 강남구 테헤란로 409 (삼성동)</t>
  </si>
  <si>
    <t>주식회사 미라클스토리</t>
  </si>
  <si>
    <t>세종특별자치시 연서면 세종로 2141</t>
  </si>
  <si>
    <t>주식회사 맑은누리</t>
  </si>
  <si>
    <t>서울특별시 마포구 만리재로 15 (공덕동)</t>
  </si>
  <si>
    <t>주식회사 나라보험계리컨설팅</t>
  </si>
  <si>
    <t>주식회사 그로스랩</t>
  </si>
  <si>
    <t>주식회사 겁쟁이사자들</t>
  </si>
  <si>
    <t>자동차 신품 판매업</t>
  </si>
  <si>
    <t>전라북도 전주시 완산구 외칠봉2길 3 (효자동1가)</t>
  </si>
  <si>
    <t>제이테크</t>
  </si>
  <si>
    <t>경기도 양주시 장흥면 호국로550번길 113-31</t>
  </si>
  <si>
    <t>제이에이티브</t>
  </si>
  <si>
    <t>인투일렉</t>
  </si>
  <si>
    <t>경상남도 고성군 하이면 삼상로 628</t>
  </si>
  <si>
    <t>유진플랜트</t>
  </si>
  <si>
    <t>웰테크(주)</t>
  </si>
  <si>
    <t>충청남도 천안시 동남구 병천면 충절로 1925-37</t>
  </si>
  <si>
    <t>센텀스카이빌딩 401호</t>
  </si>
  <si>
    <t>경기도 평택시 중앙2로 13 (평택동)</t>
  </si>
  <si>
    <t>오피스드림</t>
  </si>
  <si>
    <t>울산광역시 중구 명정2길 11-5 (태화동)</t>
  </si>
  <si>
    <t>오름상사</t>
  </si>
  <si>
    <t>D동 206호</t>
  </si>
  <si>
    <t>부산광역시 사상구 낙동대로 910 (감전동)</t>
  </si>
  <si>
    <t>엠케이조달</t>
  </si>
  <si>
    <t>108호(구갈동 강남대학교 산학협력단)</t>
  </si>
  <si>
    <t>엘텍사이언스</t>
  </si>
  <si>
    <t>경상북도 김천시 분통골길 13 (양천동)</t>
  </si>
  <si>
    <t>엔에이치주식회사</t>
  </si>
  <si>
    <t>5층(가락동운진빌딩)</t>
  </si>
  <si>
    <t>서울특별시 송파구 중대로 214 (가락동)</t>
  </si>
  <si>
    <t>에이아이안전연구원 주식회사</t>
  </si>
  <si>
    <t>인천광역시 계양구 용마루1길 19 (용종동)</t>
  </si>
  <si>
    <t>에스에이치아이텍(주)</t>
  </si>
  <si>
    <t>102동 2006호</t>
  </si>
  <si>
    <t>경기도 시흥시 월곶중앙로70번길 12 (월곶동 부성파인 하버뷰)</t>
  </si>
  <si>
    <t>에스씨테크</t>
  </si>
  <si>
    <t>창의혁신관 303호</t>
  </si>
  <si>
    <t>울산광역시 남구 대학로 57 (무거동)</t>
  </si>
  <si>
    <t>아이다인</t>
  </si>
  <si>
    <t>서울특별시 강남구 논현로 524 (역삼동)</t>
  </si>
  <si>
    <t>아윌비 주식회사</t>
  </si>
  <si>
    <t>스마트한 주식회사</t>
  </si>
  <si>
    <t>광주광역시 남구 사직길 12 (사동)</t>
  </si>
  <si>
    <t>베이스튜디오</t>
  </si>
  <si>
    <t>지하1층 180스튜디오</t>
  </si>
  <si>
    <t>서울특별시 강남구 언주로151길 13 (신사동 계천빌딩)</t>
  </si>
  <si>
    <t>백팔십필름</t>
  </si>
  <si>
    <t>2417호</t>
  </si>
  <si>
    <t>문화콘텐츠잼 주식회사</t>
  </si>
  <si>
    <t>2동 8층 2호</t>
  </si>
  <si>
    <t>리틀원 주식회사</t>
  </si>
  <si>
    <t>서울특별시 강남구 테헤란로20길 15 (역삼동)</t>
  </si>
  <si>
    <t>로지스원 주식회사</t>
  </si>
  <si>
    <t>서울특별시 강남구 도산대로 128 (논현동)</t>
  </si>
  <si>
    <t>디어라운드 주식회사</t>
  </si>
  <si>
    <t>S9동 102호</t>
  </si>
  <si>
    <t>대전광역시 유성구 동서대로 125 (덕명동)</t>
  </si>
  <si>
    <t>드림즈</t>
  </si>
  <si>
    <t>경상남도 창원시 마산합포구 드림베이대로 201 (가포동)</t>
  </si>
  <si>
    <t>더함</t>
  </si>
  <si>
    <t>901호 (성남센트럴비즈타워1차)</t>
  </si>
  <si>
    <t>닥터스마트</t>
  </si>
  <si>
    <t>d동 506호</t>
  </si>
  <si>
    <t>그린부라더</t>
  </si>
  <si>
    <t>공장 공간과 장소</t>
  </si>
  <si>
    <t>대구광역시 동구 둔산로 249-1 (방촌동)</t>
  </si>
  <si>
    <t>(주)현대에너지</t>
  </si>
  <si>
    <t>1211호</t>
  </si>
  <si>
    <t>서울특별시 강남구 테헤란로 503 (삼성동)</t>
  </si>
  <si>
    <t>(주)한국공간데이터</t>
  </si>
  <si>
    <t>2동 104호</t>
  </si>
  <si>
    <t>(주)플래닝썬</t>
  </si>
  <si>
    <t>서울특별시 송파구 중대로10길 40-15 (가락동 로데오팰리스)</t>
  </si>
  <si>
    <t>(주)퍼스트기술단</t>
  </si>
  <si>
    <t>부산벤처타워 416호</t>
  </si>
  <si>
    <t>(주)클린스쿨</t>
  </si>
  <si>
    <t>경기도 남양주시 진접읍 팔야로 57</t>
  </si>
  <si>
    <t>(주)천태이엔지</t>
  </si>
  <si>
    <t>10층</t>
  </si>
  <si>
    <t>서울특별시 강남구 테헤란로 205 (역삼동)</t>
  </si>
  <si>
    <t>(주)워드바이스</t>
  </si>
  <si>
    <t>경북TP 제2시험생산공장 108호</t>
  </si>
  <si>
    <t>(주)오토로보틱스</t>
  </si>
  <si>
    <t>(주)엠엘피</t>
  </si>
  <si>
    <t>806호 A591</t>
  </si>
  <si>
    <t>(주)에스코프</t>
  </si>
  <si>
    <t>경상남도 창원시 마산회원구 봉암공단10길 41-1 (봉암동)</t>
  </si>
  <si>
    <t>(주)에스엠티</t>
  </si>
  <si>
    <t>경기도 양주시 어하고개로 171 (삼숭동)</t>
  </si>
  <si>
    <t>(주)에스에이치글로벌</t>
  </si>
  <si>
    <t>첨단산업지원센터 313호</t>
  </si>
  <si>
    <t>(주)슈타트</t>
  </si>
  <si>
    <t>서울특별시 영등포구 국회대로36길 17 (당산동3가)</t>
  </si>
  <si>
    <t>(주)솔텍아이앤에스</t>
  </si>
  <si>
    <t>충청남도 아산시 둔포면 봉신로 138-26</t>
  </si>
  <si>
    <t>(주)성화이앤이</t>
  </si>
  <si>
    <t>그 외 기타 축산업</t>
  </si>
  <si>
    <t>충청북도 충주시 동량면 동산로 345-19</t>
  </si>
  <si>
    <t>(주)산과벌</t>
  </si>
  <si>
    <t>C동 G114-B005</t>
  </si>
  <si>
    <t>(주)사피엔스인</t>
  </si>
  <si>
    <t>부산티플렉스 130동 115호</t>
  </si>
  <si>
    <t>(주)모아티앤씨</t>
  </si>
  <si>
    <t>경상북도 고령군 다산면 벌지로 188</t>
  </si>
  <si>
    <t>(주)명진</t>
  </si>
  <si>
    <t>창업보육센터 p동 313호</t>
  </si>
  <si>
    <t>주식회사엔이엔텍</t>
  </si>
  <si>
    <t>경기도 안양시 동안구 관평로 318 (관양동)</t>
  </si>
  <si>
    <t>주식회사 더봄스마트</t>
  </si>
  <si>
    <t>3층(중동)</t>
  </si>
  <si>
    <t>전라남도 광양시 항만9로 118 (중동)</t>
  </si>
  <si>
    <t>주식회사 금호로재</t>
  </si>
  <si>
    <t>105-803</t>
  </si>
  <si>
    <t>경기도 안양시 동안구 경수대로883번길 33 (비산동 비산한화꿈에그린아파트)</t>
  </si>
  <si>
    <t>이룸(에이치디)</t>
  </si>
  <si>
    <t>대전광역시 중구 사정동 462-3  (검색에 나오지않음)</t>
  </si>
  <si>
    <t>대전광역시 중구 사정공원로 173 (사정동)</t>
  </si>
  <si>
    <t>디크릿</t>
  </si>
  <si>
    <t>경기도 고양시 일산동구 성석로 279-1 (성석동)</t>
  </si>
  <si>
    <t>그린컴퍼니</t>
  </si>
  <si>
    <t>동원빌딩 4층</t>
  </si>
  <si>
    <t>서울특별시 성동구 천호대로 450 (용답동)</t>
  </si>
  <si>
    <t>(주)팝펀미디어</t>
  </si>
  <si>
    <t>아곡리 121-7</t>
  </si>
  <si>
    <t>전라남도 장성군 황룡면 추암로 71</t>
  </si>
  <si>
    <t>(주)장성편백가구</t>
  </si>
  <si>
    <t>서울특별시 강남구 봉은사로 610 (삼성동)</t>
  </si>
  <si>
    <t>회계법인 오현</t>
  </si>
  <si>
    <t>경상남도 통영시 통영해안로 413-1 (정량동)</t>
  </si>
  <si>
    <t>해진환경</t>
  </si>
  <si>
    <t>전라북도 전주시 완산구 유연로 328 (중화산동2가)</t>
  </si>
  <si>
    <t>한영메디칼</t>
  </si>
  <si>
    <t>하우투머신</t>
  </si>
  <si>
    <t>경기도 안산시 단원구 광덕4로 180 (고잔동)</t>
  </si>
  <si>
    <t>캥스터즈 주식회사</t>
  </si>
  <si>
    <t>1층 좌측호 청년정보통신&amp;코콤거제점</t>
  </si>
  <si>
    <t>경상남도 거제시 거제중앙로 1829 (고현동)</t>
  </si>
  <si>
    <t>청년정보통신&amp;코콤거제점</t>
  </si>
  <si>
    <t>서울특별시 성동구 성수일로 10 (성수동1가)</t>
  </si>
  <si>
    <t>주식회사한강실업</t>
  </si>
  <si>
    <t>2층 케이루믹스</t>
  </si>
  <si>
    <t>대구광역시 북구 침산로 288-6 (침산동)</t>
  </si>
  <si>
    <t>주식회사케이루믹스</t>
  </si>
  <si>
    <t>인천광역시 중구 개항로 33 (내동)</t>
  </si>
  <si>
    <t>주식회사모노</t>
  </si>
  <si>
    <t>1층  (주)레인랩</t>
  </si>
  <si>
    <t>충청북도 청주시 서원구 구룡산로52번나길 19 (성화동)</t>
  </si>
  <si>
    <t>주식회사레인랩</t>
  </si>
  <si>
    <t>2304호</t>
  </si>
  <si>
    <t>주식회사다한정보기술</t>
  </si>
  <si>
    <t>주식회사고은이엠씨</t>
  </si>
  <si>
    <t>충청남도 아산시 송악면 송악로 757</t>
  </si>
  <si>
    <t>11층 1102호</t>
  </si>
  <si>
    <t>주식회사 홀로이드</t>
  </si>
  <si>
    <t>경기도 화성시 정남면 정남동로 182</t>
  </si>
  <si>
    <t>주식회사 하이럭스</t>
  </si>
  <si>
    <t>주거용 부동산 관리업</t>
  </si>
  <si>
    <t>충청남도 천안시 서북구 월봉5길 3 (쌍용동)</t>
  </si>
  <si>
    <t>주식회사 하나종합관리</t>
  </si>
  <si>
    <t>주식회사 필라스크리에이션</t>
  </si>
  <si>
    <t>경기도 성남시 분당구 느티로51번길 4-11 (정자동)</t>
  </si>
  <si>
    <t>주식회사 튠잇</t>
  </si>
  <si>
    <t>강원도 춘천시 동면 만천로 26-97</t>
  </si>
  <si>
    <t>주식회사 토광</t>
  </si>
  <si>
    <t>세종특별자치시 연서면 도신고복로 1203</t>
  </si>
  <si>
    <t>주식회사 퀀텀게이트</t>
  </si>
  <si>
    <t>정성빌딩 2층</t>
  </si>
  <si>
    <t>서울특별시 서대문구 충정로11길 27 (충정로2가)</t>
  </si>
  <si>
    <t>주식회사 코드스</t>
  </si>
  <si>
    <t>7층 85761호(산학협력센터)</t>
  </si>
  <si>
    <t>주식회사 케이스랩</t>
  </si>
  <si>
    <t>서영아너시티2   813호</t>
  </si>
  <si>
    <t>주식회사 제이씨큐</t>
  </si>
  <si>
    <t>1107호</t>
  </si>
  <si>
    <t>서울특별시 서초구 서운로 19 (서초동)</t>
  </si>
  <si>
    <t>주식회사 잡스랩</t>
  </si>
  <si>
    <t>비1층 108-95호</t>
  </si>
  <si>
    <t>주식회사 온더마크</t>
  </si>
  <si>
    <t>대구콘텐츠기업지원센터 404호</t>
  </si>
  <si>
    <t>주식회사 여행능력자들</t>
  </si>
  <si>
    <t>산학1호관 W-306호</t>
  </si>
  <si>
    <t>강원도 원주시 흥업면 남원로 150</t>
  </si>
  <si>
    <t>주식회사 여누솔루션</t>
  </si>
  <si>
    <t>대구광역시 수성구 수성로 439 (수성동4가)</t>
  </si>
  <si>
    <t>주식회사 엔틀</t>
  </si>
  <si>
    <t>5층 어바옷</t>
  </si>
  <si>
    <t>서울특별시 종로구 종로 6 (서린동)</t>
  </si>
  <si>
    <t>주식회사 어바옷</t>
  </si>
  <si>
    <t>경상남도 김해시 계동로 241 (대청동)</t>
  </si>
  <si>
    <t>주식회사 아이엠솔루션즈</t>
  </si>
  <si>
    <t>비1(신수동)</t>
  </si>
  <si>
    <t>서울특별시 마포구 독막로31길 18 (신수동)</t>
  </si>
  <si>
    <t>주식회사 썸머홀릭</t>
  </si>
  <si>
    <t>제5층 503호</t>
  </si>
  <si>
    <t>서울특별시 마포구 독막로 10 (합정동)</t>
  </si>
  <si>
    <t>주식회사 수앤씨</t>
  </si>
  <si>
    <t>경기도 광주시 중앙로 343 (송정동)</t>
  </si>
  <si>
    <t>주식회사 세찬</t>
  </si>
  <si>
    <t>서울특별시 강남구 봉은사로112길 18 (삼성동)</t>
  </si>
  <si>
    <t>주식회사 마이페어</t>
  </si>
  <si>
    <t>서울특별시 서초구 동산로 22 (양재동)</t>
  </si>
  <si>
    <t>주식회사 마스팩토리</t>
  </si>
  <si>
    <t>대전광역시 대덕구 한밭대로 1009-1 (오정동)</t>
  </si>
  <si>
    <t>주식회사 램파트</t>
  </si>
  <si>
    <t>와이제니스파크 401호</t>
  </si>
  <si>
    <t>경기도 부천시 부천로 323 (도당동)</t>
  </si>
  <si>
    <t>주식회사 라온에인스</t>
  </si>
  <si>
    <t>인천광역시 서구 건지로86번길 40 (가좌동)</t>
  </si>
  <si>
    <t>주식회사 디아스포라</t>
  </si>
  <si>
    <t>102호(고등동빌라엘2동)</t>
  </si>
  <si>
    <t>경기도 성남시 수정구 대왕판교로982번길 7-18 (고등동)</t>
  </si>
  <si>
    <t>주식회사 경기이테크</t>
  </si>
  <si>
    <t>별관 517호</t>
  </si>
  <si>
    <t>서울특별시 중구 세종대로21길 49 (태평로1가)</t>
  </si>
  <si>
    <t>주식회사 건축사사무소 도리건축</t>
  </si>
  <si>
    <t>A동 1112호</t>
  </si>
  <si>
    <t>주식회사 거보기술</t>
  </si>
  <si>
    <t>전라북도 김제시 백산면 지평선산단3길 77</t>
  </si>
  <si>
    <t>자이로</t>
  </si>
  <si>
    <t>금정역SKV1센터 851호</t>
  </si>
  <si>
    <t>유스 바인 커뮤니티</t>
  </si>
  <si>
    <t>영남이공대학교 천마스퀘어 909호</t>
  </si>
  <si>
    <t>엠케이이앤에스 주식회사</t>
  </si>
  <si>
    <t>전라남도 함평군 대동면 동함평산단길 147</t>
  </si>
  <si>
    <t>에코바이오</t>
  </si>
  <si>
    <t>대구광역시 북구 태전로6길 2-5 (태전동)</t>
  </si>
  <si>
    <t>애생바이오</t>
  </si>
  <si>
    <t>경기도 수원시 영통구 매탄로51번길 8-6 (매탄동)</t>
  </si>
  <si>
    <t>아인혁신컨설팅 주식회사</t>
  </si>
  <si>
    <t>경기도 용인시 처인구 모현읍 외개일로 191</t>
  </si>
  <si>
    <t>아원플랜 주식회사</t>
  </si>
  <si>
    <t>203-304</t>
  </si>
  <si>
    <t>경기도 오산시 운암로 89 (오산동 오산운암2단지 주공아파트)</t>
  </si>
  <si>
    <t>씨엔에스하우스 주식회사</t>
  </si>
  <si>
    <t>BI센터 2404호</t>
  </si>
  <si>
    <t>스트라이프</t>
  </si>
  <si>
    <t>서울특별시 성동구 성수이로 147 (성수동2가)</t>
  </si>
  <si>
    <t>슈퍼마인즈 주식회사</t>
  </si>
  <si>
    <t>A동 215호</t>
  </si>
  <si>
    <t>세종특별자치시 한누리대로 2135 (보람동)</t>
  </si>
  <si>
    <t>성심기획</t>
  </si>
  <si>
    <t>서울특별시 은평구 연서로26길 8 (대조동)</t>
  </si>
  <si>
    <t>사회정보연구원</t>
  </si>
  <si>
    <t>비102호(상대원동 중일아인스포라츠)</t>
  </si>
  <si>
    <t>경기도 성남시 중원구 둔촌대로 519 (상대원동)</t>
  </si>
  <si>
    <t>사회적협동조합 우리누리</t>
  </si>
  <si>
    <t>5층 알5108호</t>
  </si>
  <si>
    <t>경기도 성남시 분당구 성남대로926번길 10 (야탑동)</t>
  </si>
  <si>
    <t>비에이비(주)</t>
  </si>
  <si>
    <t>제주특별자치도 제주시 수정2길 25 (외도일동 에스엠빌 다동)</t>
  </si>
  <si>
    <t>룩스</t>
  </si>
  <si>
    <t>2층 2262호</t>
  </si>
  <si>
    <t>서울특별시 영등포구 당산로27길 21-1 (당산동3가)</t>
  </si>
  <si>
    <t>디자인메이트</t>
  </si>
  <si>
    <t>강원도 평창군 평창읍 농공단지길26C동</t>
  </si>
  <si>
    <t>강원도 평창군 평창읍 농공단지길 26</t>
  </si>
  <si>
    <t>나무전력주식회사</t>
  </si>
  <si>
    <t>충청남도 아산시 남부로 132-22 (용화동)</t>
  </si>
  <si>
    <t>그루 디자인</t>
  </si>
  <si>
    <t>강원도 춘천시 시청길 4 (조양동)</t>
  </si>
  <si>
    <t>건축사사무소 아뜰리에나인</t>
  </si>
  <si>
    <t>경기도 광주시 초월읍 산수로440번길 34</t>
  </si>
  <si>
    <t>(주)헬프네이쳐</t>
  </si>
  <si>
    <t>경상북도 김천시 아포읍 아포대로 1083</t>
  </si>
  <si>
    <t>(주)티케이설계</t>
  </si>
  <si>
    <t>10011002호</t>
  </si>
  <si>
    <t>서울특별시 영등포구 양평로 149 (양평동5가)</t>
  </si>
  <si>
    <t>(주)큐엔큐</t>
  </si>
  <si>
    <t>1층바열14호</t>
  </si>
  <si>
    <t>서울특별시 영등포구 영등포로 109 (당산동2가)</t>
  </si>
  <si>
    <t>(주)코아앤컴퍼니</t>
  </si>
  <si>
    <t>서울특별시 강남구 논현로95길 12 (역삼동)</t>
  </si>
  <si>
    <t>(주)이디아이코퍼레이션</t>
  </si>
  <si>
    <t>서울특별시 관악구 은천로 172-1 (봉천동)</t>
  </si>
  <si>
    <t>(주)엠시큐어</t>
  </si>
  <si>
    <t>922호</t>
  </si>
  <si>
    <t>(주)알엑스엔지니어링</t>
  </si>
  <si>
    <t>뉴티캐슬 4층 410호</t>
  </si>
  <si>
    <t>(주)아이컴시스</t>
  </si>
  <si>
    <t>218동 203호</t>
  </si>
  <si>
    <t>부산광역시 부산진구 초연로 11 (연지동 연지자이2차)</t>
  </si>
  <si>
    <t>(주)시온방재</t>
  </si>
  <si>
    <t>경기도 평택시 진위면 진위2산단로 140</t>
  </si>
  <si>
    <t>(주)소다시스템</t>
  </si>
  <si>
    <t>135호 샐리쿡</t>
  </si>
  <si>
    <t>(주)샐리쿡</t>
  </si>
  <si>
    <t>4층5층</t>
  </si>
  <si>
    <t>(주)비피에스</t>
  </si>
  <si>
    <t>(주)미팅팬</t>
  </si>
  <si>
    <t>서울특별시 강남구 테헤란로 427 (삼성동)</t>
  </si>
  <si>
    <t>(주)메디스트림</t>
  </si>
  <si>
    <t>(주)동아코퍼레이션</t>
  </si>
  <si>
    <t>바이오플렉스 창업보육센터 207호</t>
  </si>
  <si>
    <t>전라북도 전주시 덕진구 원장동길 111-18 (장동)</t>
  </si>
  <si>
    <t>(주)더함바이오</t>
  </si>
  <si>
    <t>휠컴퍼니</t>
  </si>
  <si>
    <t>대구광역시 달성군 옥포읍 본리로 13</t>
  </si>
  <si>
    <t>반월동 624-9</t>
  </si>
  <si>
    <t>전라북도 전주시 덕진구 용신길 26-21 (반월동)</t>
  </si>
  <si>
    <t>해리스정원(주)</t>
  </si>
  <si>
    <t>주방용품 및 가정용 유리 요업제품 소매업</t>
  </si>
  <si>
    <t>801동601호</t>
  </si>
  <si>
    <t>대구광역시 동구 안심로22길 75 (율하동 율하 휴먼시아8단지)</t>
  </si>
  <si>
    <t>하늘</t>
  </si>
  <si>
    <t>충청남도 천안시 서북구 입장면 연곡길 205</t>
  </si>
  <si>
    <t>필라트</t>
  </si>
  <si>
    <t>Jinwi-myeon Masan9-ro 42</t>
  </si>
  <si>
    <t>경기도 평택시 진위면 마산9로 42</t>
  </si>
  <si>
    <t>파워모션테크놀로지</t>
  </si>
  <si>
    <t>C동 2층 남동구청년창업지원센터 내 208호(구월동 구월테크노밸리)</t>
  </si>
  <si>
    <t>파고든</t>
  </si>
  <si>
    <t>앰뷸런스 서비스업</t>
  </si>
  <si>
    <t>광주광역시 동구 남문로693번길 20 (학동)</t>
  </si>
  <si>
    <t>팀코리아이엠에스 주식회사</t>
  </si>
  <si>
    <t>충남테크노파크 번영관 2102호</t>
  </si>
  <si>
    <t>토닥시스템</t>
  </si>
  <si>
    <t>전라북도 군산시 평화길 40-1 (평화동)</t>
  </si>
  <si>
    <t>서울특별시 중구 퇴계로 238-10 (충무로5가)</t>
  </si>
  <si>
    <t>탑사이언스</t>
  </si>
  <si>
    <t>4층 4352호</t>
  </si>
  <si>
    <t>클린스쿨서울</t>
  </si>
  <si>
    <t>지하층</t>
  </si>
  <si>
    <t>서울특별시 강북구 솔매로50길 80 (미아동)</t>
  </si>
  <si>
    <t>콜라보협동조합</t>
  </si>
  <si>
    <t>의료용 기구 소매업</t>
  </si>
  <si>
    <t>20동 207호</t>
  </si>
  <si>
    <t>케이디파마</t>
  </si>
  <si>
    <t>인천광역시 부평구 부평북로236번길 12 (청천동)</t>
  </si>
  <si>
    <t>주식회사엠씨알</t>
  </si>
  <si>
    <t>9층 휴맥스이브이</t>
  </si>
  <si>
    <t>주식회사 휴맥스이브이</t>
  </si>
  <si>
    <t>안양창조산업진흥원 703 706호</t>
  </si>
  <si>
    <t>경기도 안양시 동안구 시민대로248번길 25 (관양동)</t>
  </si>
  <si>
    <t>주식회사 하이지노</t>
  </si>
  <si>
    <t>107호</t>
  </si>
  <si>
    <t>광주광역시 북구 첨단벤처로60번길 2 (대촌동)</t>
  </si>
  <si>
    <t>주식회사 피케이테크</t>
  </si>
  <si>
    <t>(주)파로스</t>
  </si>
  <si>
    <t>경기도 김포시 대곶면 대곶남로401번길 111-4</t>
  </si>
  <si>
    <t>주식회사 파로스</t>
  </si>
  <si>
    <t>1604호</t>
  </si>
  <si>
    <t>주식회사 케이텍</t>
  </si>
  <si>
    <t>건설산업혁신센터 1층</t>
  </si>
  <si>
    <t>주식회사 지오오션</t>
  </si>
  <si>
    <t>전라남도 나주시 빛가람로 747 (빛가람동)</t>
  </si>
  <si>
    <t>주식회사 제이엠종합건설</t>
  </si>
  <si>
    <t>연구동 212호</t>
  </si>
  <si>
    <t>주식회사 제이솔루션</t>
  </si>
  <si>
    <t>A동 207호</t>
  </si>
  <si>
    <t>전라남도 나주시 상야4길 11 (빛가람동)</t>
  </si>
  <si>
    <t>주식회사 정진건설</t>
  </si>
  <si>
    <t>철강선 제조업</t>
  </si>
  <si>
    <t>경기도 평택시 청북읍 삼계4길 78-52</t>
  </si>
  <si>
    <t>주식회사 정우피앤씨(P&amp;C)</t>
  </si>
  <si>
    <t>1008호 (금산빌딩 여의도동)</t>
  </si>
  <si>
    <t>서울특별시 영등포구 국회대로 750 (여의도동)</t>
  </si>
  <si>
    <t>주식회사 이노플러스컴퍼니</t>
  </si>
  <si>
    <t>전라남도 영암군 영암읍 중앙로 58-2</t>
  </si>
  <si>
    <t>주식회사 월출도가</t>
  </si>
  <si>
    <t>주식회사 에이티앤아이</t>
  </si>
  <si>
    <t>강원테크노파크 원주벤처1공장 202호</t>
  </si>
  <si>
    <t>주식회사 에이블디자인스</t>
  </si>
  <si>
    <t>주식회사 에스이엔에프씨</t>
  </si>
  <si>
    <t>2동 3층</t>
  </si>
  <si>
    <t>주식회사 아틴스</t>
  </si>
  <si>
    <t>일반동 9001-3(장항동 일산방송컴플렉스 방송관련시설)</t>
  </si>
  <si>
    <t>경기도 고양시 일산동구 백마로 195 (장항동)</t>
  </si>
  <si>
    <t>주식회사 아이오에프엑스</t>
  </si>
  <si>
    <t>G Tower 421호</t>
  </si>
  <si>
    <t>주식회사 씨앤피글로브(CNP GLOBE)</t>
  </si>
  <si>
    <t>203동 505호</t>
  </si>
  <si>
    <t>주식회사 신흥에이에프</t>
  </si>
  <si>
    <t>선영빌딩 3층</t>
  </si>
  <si>
    <t>경기도 양주시 고읍로 152 (광사동)</t>
  </si>
  <si>
    <t>주식회사 석면안전진단연구원</t>
  </si>
  <si>
    <t>로얄빌딩 8층 5호</t>
  </si>
  <si>
    <t>서울특별시 종로구 새문안로5길 19 (당주동)</t>
  </si>
  <si>
    <t>주식회사 빅디퍼</t>
  </si>
  <si>
    <t>B동 1109호 (문정현대지식산업센터1-1)</t>
  </si>
  <si>
    <t>주식회사 브링인포</t>
  </si>
  <si>
    <t>경기도 파주시 탄현면 헤이리로185번길 67</t>
  </si>
  <si>
    <t>주식회사 북존로지스틱스</t>
  </si>
  <si>
    <t>기업지원허브 창업존 733호</t>
  </si>
  <si>
    <t>주식회사 바이클립</t>
  </si>
  <si>
    <t>복사골빌딩 401호</t>
  </si>
  <si>
    <t>경기도 부천시 소사로 102 (소사본동)</t>
  </si>
  <si>
    <t>주식회사 마테</t>
  </si>
  <si>
    <t>부산광역시 해운대구 센텀서로 39 (우동)</t>
  </si>
  <si>
    <t>주식회사 띵킹프렌즈</t>
  </si>
  <si>
    <t xml:space="preserve"> 407호 408호 (마곡동 마곡테크노타워 2차)</t>
  </si>
  <si>
    <t>서울특별시 강서구 마곡중앙2로 15 (마곡동)</t>
  </si>
  <si>
    <t>주식회사 디앤디클라우드</t>
  </si>
  <si>
    <t>509호 서울숲 비즈포레</t>
  </si>
  <si>
    <t>주식회사 디로직스</t>
  </si>
  <si>
    <t>경상북도 포항시 북구 청하면 청하로 51-1</t>
  </si>
  <si>
    <t>주식회사 드림에코</t>
  </si>
  <si>
    <t>데코큐비클</t>
  </si>
  <si>
    <t>경기도 김포시 통진읍 절골로127번길 215</t>
  </si>
  <si>
    <t>주식회사 데코큐비클</t>
  </si>
  <si>
    <t>경상남도 진주시 집현면 신당길208번길 28</t>
  </si>
  <si>
    <t>주식회사 더원</t>
  </si>
  <si>
    <t>6층 613호</t>
  </si>
  <si>
    <t>경기도 성남시 중원구 둔촌대로 474 (상대원동)</t>
  </si>
  <si>
    <t>주식회사 뉴셀팜</t>
  </si>
  <si>
    <t>지1층(망원동)</t>
  </si>
  <si>
    <t>서울특별시 마포구 포은로 117 (망원동)</t>
  </si>
  <si>
    <t>주식회사 꽃씨</t>
  </si>
  <si>
    <t>경기도 안양시 동안구 시민대로 167 (비산동)</t>
  </si>
  <si>
    <t>주식회사 교린</t>
  </si>
  <si>
    <t>젠트리거</t>
  </si>
  <si>
    <t>떡류 제조업</t>
  </si>
  <si>
    <t>장수록영농조합법인</t>
  </si>
  <si>
    <t>충청남도 서천군 비인면 성검로315번길 6-17</t>
  </si>
  <si>
    <t>부산광역시 사하구 낙동대로 164 (괴정동)</t>
  </si>
  <si>
    <t>이노리딩솔루션</t>
  </si>
  <si>
    <t>경기도 수원시 장안구 덕영대로417번길 82 (율전동)</t>
  </si>
  <si>
    <t>유어메이트</t>
  </si>
  <si>
    <t>서울특별시 마포구 성미산로 7 (성산동)</t>
  </si>
  <si>
    <t>윌리스빌</t>
  </si>
  <si>
    <t>B03호</t>
  </si>
  <si>
    <t>경기도 구리시 동구릉로148번길 24-13 (인창동)</t>
  </si>
  <si>
    <t>우리시스템</t>
  </si>
  <si>
    <t>충청북도 충주시 지곡9길 1 (지현동)</t>
  </si>
  <si>
    <t>와이지로드 주식회사</t>
  </si>
  <si>
    <t>와이즈아트웍</t>
  </si>
  <si>
    <t>2층 YS plan</t>
  </si>
  <si>
    <t>대전광역시 동구 용운로 16 (대동)</t>
  </si>
  <si>
    <t>와이에스플랜</t>
  </si>
  <si>
    <t>전라남도 목포시 고하대로597번길 57 (죽교동)</t>
  </si>
  <si>
    <t>오션솔트</t>
  </si>
  <si>
    <t>106동 901호</t>
  </si>
  <si>
    <t>충청북도 진천군 덕산읍 덕금로 842 (진천 우방아이유쉘아파트)</t>
  </si>
  <si>
    <t>에이치에스</t>
  </si>
  <si>
    <t>에너지피플바디랩</t>
  </si>
  <si>
    <t>N203호</t>
  </si>
  <si>
    <t>아모르BT</t>
  </si>
  <si>
    <t>2층 4209호</t>
  </si>
  <si>
    <t>스마트탑(SMART-TOP)</t>
  </si>
  <si>
    <t>부산디자인진흥원 808-1호</t>
  </si>
  <si>
    <t>센텀판촉</t>
  </si>
  <si>
    <t>세영TECH</t>
  </si>
  <si>
    <t>경상북도 경주시 외동읍 구어공단길 28-11</t>
  </si>
  <si>
    <t>5-507</t>
  </si>
  <si>
    <t>경상남도 창원시 성산구 대암로 64 (남양동 상남동성아파트)</t>
  </si>
  <si>
    <t>선민상사</t>
  </si>
  <si>
    <t>3층 11호</t>
  </si>
  <si>
    <t>보다물산</t>
  </si>
  <si>
    <t>동창빌딩 203호</t>
  </si>
  <si>
    <t>경기도 화성시 매송면 화성로 2393</t>
  </si>
  <si>
    <t>모든건설 주식회사</t>
  </si>
  <si>
    <t>B동 906호</t>
  </si>
  <si>
    <t>메이크이지(주)</t>
  </si>
  <si>
    <t>경기도 수원시 권선구 금곡로212번길 25 (금곡동)</t>
  </si>
  <si>
    <t>링고라벨</t>
  </si>
  <si>
    <t>기업연구관 2동 605호</t>
  </si>
  <si>
    <t>라파로페</t>
  </si>
  <si>
    <t>충청북도 청주시 흥덕구 오송읍 오송생명5로 303</t>
  </si>
  <si>
    <t>디비바이오</t>
  </si>
  <si>
    <t>대전광역시 대덕구 대전로1142번길 11-14 (오정동)</t>
  </si>
  <si>
    <t>동원건설산업주식회사</t>
  </si>
  <si>
    <t>202-1304</t>
  </si>
  <si>
    <t>닥터스케일(닥터빈)</t>
  </si>
  <si>
    <t>서울특별시 서초구 동산로10길 40 (양재동)</t>
  </si>
  <si>
    <t>나무전기</t>
  </si>
  <si>
    <t>장례식장 및 장의관련 서비스업</t>
  </si>
  <si>
    <t>무등리</t>
  </si>
  <si>
    <t>대구광역시 달성군 하빈면 하빈로140길 35</t>
  </si>
  <si>
    <t>금오상조의전</t>
  </si>
  <si>
    <t>끈 및 로프 제조업</t>
  </si>
  <si>
    <t>경기도 포천시 내촌면 능곡청정길 58-46</t>
  </si>
  <si>
    <t>국대</t>
  </si>
  <si>
    <t>드론기업지원허브센터 3층 356호</t>
  </si>
  <si>
    <t>4S Mapper</t>
  </si>
  <si>
    <t>신원비젼타워 112호</t>
  </si>
  <si>
    <t>경기도 안양시 동안구 전파로 88 (호계동)</t>
  </si>
  <si>
    <t>(주)클리어윈코리아</t>
  </si>
  <si>
    <t>부산광역시 강서구 강동신덕2길 5 (강동동)</t>
  </si>
  <si>
    <t>(주)케이엘인더스트리</t>
  </si>
  <si>
    <t>10층 1010호</t>
  </si>
  <si>
    <t>(주)제이에스시스템</t>
  </si>
  <si>
    <t>울산광역시 남구 산업로85번길 8-7 (상개동)</t>
  </si>
  <si>
    <t>(주)일등인터내셔널</t>
  </si>
  <si>
    <t>5층 504호</t>
  </si>
  <si>
    <t>경기도 시흥시 은계번영길 25 (은행동)</t>
  </si>
  <si>
    <t>(주)와이에이치글로벌커머스</t>
  </si>
  <si>
    <t>전라남도 나주시 중야2길 14 (빛가람동)</t>
  </si>
  <si>
    <t>(주)에이에스씨</t>
  </si>
  <si>
    <t>위성 및 기타 방송업</t>
  </si>
  <si>
    <t>경기도 안양시 동안구 동편로20번길 9 (관양동)</t>
  </si>
  <si>
    <t>(주)에브리벤트</t>
  </si>
  <si>
    <t>b101호</t>
  </si>
  <si>
    <t>부산광역시 영도구 동삼서로 52 (동삼동 장원빌라)</t>
  </si>
  <si>
    <t>(주)애드원플러스</t>
  </si>
  <si>
    <t>한울터빌딩 203호</t>
  </si>
  <si>
    <t>전라남도 순천시 해룡면 상성길 306</t>
  </si>
  <si>
    <t>(주)아이로</t>
  </si>
  <si>
    <t>서울특별시 동대문구 왕산로 104 (용두동)</t>
  </si>
  <si>
    <t>(주)서울애널리티카</t>
  </si>
  <si>
    <t>(주)바이탈린</t>
  </si>
  <si>
    <t>경상남도 김해시 상동면 상동로685번안길 37-3</t>
  </si>
  <si>
    <t>2층 104-7호</t>
  </si>
  <si>
    <t>경기도 안산시 상록구 안산천동로 170 (월피동)</t>
  </si>
  <si>
    <t>(주)랭킹피쉬</t>
  </si>
  <si>
    <t>(주)디피플래닝</t>
  </si>
  <si>
    <t>서울특별시 동작구 상도로 204 (상도동)</t>
  </si>
  <si>
    <t>(주)너와나의농촌</t>
  </si>
  <si>
    <t>대구광역시 동구 동내로 70 (동내동)</t>
  </si>
  <si>
    <t>휴카시스템 주식회사</t>
  </si>
  <si>
    <t>대전광역시 유성구 한밭대로492번길 16-15 (봉명동)</t>
  </si>
  <si>
    <t>한백전자</t>
  </si>
  <si>
    <t>서초에클라트 17층 1706호</t>
  </si>
  <si>
    <t>서울특별시 서초구 반포대로14길 71 (서초동)</t>
  </si>
  <si>
    <t>한도안전 주식회사</t>
  </si>
  <si>
    <t>산학협력관 B402</t>
  </si>
  <si>
    <t>파이온시스템</t>
  </si>
  <si>
    <t>부대동 가302호</t>
  </si>
  <si>
    <t>티에스아이씨주식회사</t>
  </si>
  <si>
    <t>경기도 화성시 남양읍 주석로 112</t>
  </si>
  <si>
    <t>태건엠티에스</t>
  </si>
  <si>
    <t>10공학관 창업지원센터 602호</t>
  </si>
  <si>
    <t>큰별팩토리</t>
  </si>
  <si>
    <t>코스믹블랙 주식회사</t>
  </si>
  <si>
    <t>최강하이텍</t>
  </si>
  <si>
    <t>광주광역시 광산구 진곡산단5번로 52 (진곡동)</t>
  </si>
  <si>
    <t>주식회사이음인터렉티브</t>
  </si>
  <si>
    <t>A405호(수원시창업지원센터 성장관)</t>
  </si>
  <si>
    <t>주식회사글로벌파이어킬</t>
  </si>
  <si>
    <t>224호</t>
  </si>
  <si>
    <t>주식회사 필로스</t>
  </si>
  <si>
    <t>디1동 3층 301호</t>
  </si>
  <si>
    <t>대전광역시 유성구 대학로 157 (궁동)</t>
  </si>
  <si>
    <t>주식회사 포엔</t>
  </si>
  <si>
    <t>킴스웰</t>
  </si>
  <si>
    <t>경기도 남양주시 오남읍 양지로 47-60</t>
  </si>
  <si>
    <t>주식회사 킴스웰</t>
  </si>
  <si>
    <t>주식회사 크린젠</t>
  </si>
  <si>
    <t>A1510</t>
  </si>
  <si>
    <t>주식회사 캣솔루션</t>
  </si>
  <si>
    <t>3층 103호</t>
  </si>
  <si>
    <t>경상북도 경산시 원효로34길 18-4 (사동)</t>
  </si>
  <si>
    <t>주식회사 우영엔텍</t>
  </si>
  <si>
    <t>경상남도 진주시 동진로 55 (칠암동)</t>
  </si>
  <si>
    <t>주식회사 와일드원</t>
  </si>
  <si>
    <t>비주거용 부동산 관리업</t>
  </si>
  <si>
    <t>부산광역시 사상구 낙동대로988번길 11 (감전동)</t>
  </si>
  <si>
    <t>주식회사 와우피엠디</t>
  </si>
  <si>
    <t>디동 502호(대덕비즈센터)</t>
  </si>
  <si>
    <t>주식회사 오션소프트</t>
  </si>
  <si>
    <t>희경재단 D동 306호</t>
  </si>
  <si>
    <t>서울특별시 서초구 매헌로8길 39 (양재동)</t>
  </si>
  <si>
    <t>주식회사 씨브이티</t>
  </si>
  <si>
    <t>주식회사 스페이스매직</t>
  </si>
  <si>
    <t>호스팅 및 관련 서비스업</t>
  </si>
  <si>
    <t>주식회사 솔비스</t>
  </si>
  <si>
    <t>(주)사모스</t>
  </si>
  <si>
    <t>대전광역시 동구 하소중로 22 (하소동)</t>
  </si>
  <si>
    <t>주식회사 사모스</t>
  </si>
  <si>
    <t>대륭테크노타운13차 703호</t>
  </si>
  <si>
    <t>주식회사 비앰에스</t>
  </si>
  <si>
    <t>서울특별시 서초구 반포대로14길 27 (서초동)</t>
  </si>
  <si>
    <t>주식회사 비브로</t>
  </si>
  <si>
    <t>1층 민들레기술사사무소</t>
  </si>
  <si>
    <t>강원도 강릉시 사천면 구라미등길 3</t>
  </si>
  <si>
    <t>주식회사 민들레기술사사무소</t>
  </si>
  <si>
    <t>1층 및 2층</t>
  </si>
  <si>
    <t>경기도 용인시 처인구 모현읍 외개일로 32</t>
  </si>
  <si>
    <t>주식회사 메가셀</t>
  </si>
  <si>
    <t>804805호</t>
  </si>
  <si>
    <t>서울특별시 강서구 마곡중앙로 59-17 (마곡동)</t>
  </si>
  <si>
    <t>주식회사 리얼리티</t>
  </si>
  <si>
    <t>경성대학교 사회관 B113 창업보육센터</t>
  </si>
  <si>
    <t>주식회사 로드위드</t>
  </si>
  <si>
    <t>cy타워 804호</t>
  </si>
  <si>
    <t>경기도 의정부시 오목로225번길 100 (민락동)</t>
  </si>
  <si>
    <t>주식회사 레츠프레소</t>
  </si>
  <si>
    <t>주식회사 래버리지</t>
  </si>
  <si>
    <t>서울특별시 마포구 월드컵북로2길 37 (동교동)</t>
  </si>
  <si>
    <t>주식회사 디지털클랜</t>
  </si>
  <si>
    <t>주식회사 디비엔텍</t>
  </si>
  <si>
    <t>제1창업보육센터 407호</t>
  </si>
  <si>
    <t>주식회사 더도슨트</t>
  </si>
  <si>
    <t>울산광역시 울주군 범서읍 천상4길 22-10</t>
  </si>
  <si>
    <t>주석종합건설주식회사</t>
  </si>
  <si>
    <t>경상북도 칠곡군 가산면 인동가산로 799-10</t>
  </si>
  <si>
    <t>정한퍼니처</t>
  </si>
  <si>
    <t>이우코퍼레이션(주)</t>
  </si>
  <si>
    <t>충청남도 보령시 청소면 충서로 3647-15</t>
  </si>
  <si>
    <t>다산진건블루웨일지식산업센터2차 F519520호</t>
  </si>
  <si>
    <t>경기도 남양주시 다산중앙로19번길 25-23 (다산동)</t>
  </si>
  <si>
    <t>은건축사사무소</t>
  </si>
  <si>
    <t>서울특별시 영등포구 양평로14길 12 (당산동6가)</t>
  </si>
  <si>
    <t>유한책임회사 폰드</t>
  </si>
  <si>
    <t>경기도 안양시 동안구 시민대로 383 (관양동)</t>
  </si>
  <si>
    <t>위플랙스</t>
  </si>
  <si>
    <t>602호(관양동 대명글로벌비즈스퀘어)</t>
  </si>
  <si>
    <t>역사문화환경연구소 주식회사</t>
  </si>
  <si>
    <t>기타 자동차 신품 부품 및 내장품 판매업</t>
  </si>
  <si>
    <t>A동 101호</t>
  </si>
  <si>
    <t>인천광역시 미추홀구 아암대로253번길 50 (학익동)</t>
  </si>
  <si>
    <t>엠팩토리</t>
  </si>
  <si>
    <t>BIZ 06팀</t>
  </si>
  <si>
    <t>엔드리스</t>
  </si>
  <si>
    <t>비동 1601호(342)(가산동 대성디폴리스지식산업센터)</t>
  </si>
  <si>
    <t>에이수 주식회사</t>
  </si>
  <si>
    <t>동원과기대 창업보육센터 2206호</t>
  </si>
  <si>
    <t>에스디지플러스 주식회사</t>
  </si>
  <si>
    <t>광주광역시 서구 화개중앙로15번길 3 (금호동)</t>
  </si>
  <si>
    <t>서진(SJ)메디칼</t>
  </si>
  <si>
    <t>동해시창업보육센터 L동 2층 202호</t>
  </si>
  <si>
    <t>서윤F&amp;B</t>
  </si>
  <si>
    <t>10관 521호</t>
  </si>
  <si>
    <t>비스테크(주)</t>
  </si>
  <si>
    <t>서울특별시 서초구 바우뫼로 220 (양재동)</t>
  </si>
  <si>
    <t>보울하우스 아카데미</t>
  </si>
  <si>
    <t>birdsole  104호</t>
  </si>
  <si>
    <t>인천광역시 서구 완정로10번길 23 (마전동)</t>
  </si>
  <si>
    <t>버드솔주식회사</t>
  </si>
  <si>
    <t>인천광역시 계양구 계양산로 161 (임학동)</t>
  </si>
  <si>
    <t>바스몽</t>
  </si>
  <si>
    <t>B109 (지하1층)</t>
  </si>
  <si>
    <t>서울특별시 성동구 천호대로 400 (용답동 신창비바패밀리)</t>
  </si>
  <si>
    <t>메디앤스토리</t>
  </si>
  <si>
    <t>304동 104호</t>
  </si>
  <si>
    <t>경기도 화성시 수노을1로 108 (새솔동 송산신도시 대방노블랜드 더센트럴 3차)</t>
  </si>
  <si>
    <t>머신메모리</t>
  </si>
  <si>
    <t>전라남도 순천시 연향1로 11 (연향동)</t>
  </si>
  <si>
    <t>랜드뷰환경계획연구소</t>
  </si>
  <si>
    <t>4층 412호(논현동 논현메디컬센터)</t>
  </si>
  <si>
    <t>인천광역시 남동구 청능대로 559 (논현동)</t>
  </si>
  <si>
    <t>디케이글로벌</t>
  </si>
  <si>
    <t>108호</t>
  </si>
  <si>
    <t>충청북도 진천군 덕산읍 연미1길 29</t>
  </si>
  <si>
    <t>디자인 범신</t>
  </si>
  <si>
    <t>디엘소프트 주식회사</t>
  </si>
  <si>
    <t>경기도 동두천시 삼육사로 983 (생연동)</t>
  </si>
  <si>
    <t>동반자</t>
  </si>
  <si>
    <t>203동 105호</t>
  </si>
  <si>
    <t>서울특별시 양천구 남부순환로83길 18 (신월동 목동 센트럴 아이파크 위브 2단지)</t>
  </si>
  <si>
    <t>더블유제이디자인</t>
  </si>
  <si>
    <t>나비아</t>
  </si>
  <si>
    <t>경상남도 함안군 칠원읍 동대이길 81</t>
  </si>
  <si>
    <t>경기도 남양주시 송산로339번길 4-4 (별내동)</t>
  </si>
  <si>
    <t>금한</t>
  </si>
  <si>
    <t>경기도 양주시 백석읍 부흥로 451</t>
  </si>
  <si>
    <t>감동크린협동조합</t>
  </si>
  <si>
    <t>(주)한줌</t>
  </si>
  <si>
    <t>(주)파로마아트</t>
  </si>
  <si>
    <t>인천광역시 강화군 불은면 강화동로 361-10</t>
  </si>
  <si>
    <t>창업보육센터 1104호</t>
  </si>
  <si>
    <t>(주)케이에스티</t>
  </si>
  <si>
    <t>209호(에이스케이원타워)</t>
  </si>
  <si>
    <t>서울특별시 금천구 가산디지털2로 166 (가산동)</t>
  </si>
  <si>
    <t>(주)율이앤씨</t>
  </si>
  <si>
    <t>남장빌딩 401호</t>
  </si>
  <si>
    <t>서울특별시 서초구 동작대로 58 (방배동)</t>
  </si>
  <si>
    <t>(주)와이오엘</t>
  </si>
  <si>
    <t>대전광역시 유성구 테크노8로 65-1 (용산동)</t>
  </si>
  <si>
    <t>(주)에스큐그리고</t>
  </si>
  <si>
    <t>a동 903-1</t>
  </si>
  <si>
    <t>(주)씨쓰리디</t>
  </si>
  <si>
    <t>B동 713호</t>
  </si>
  <si>
    <t>서울특별시 금천구 가산디지털1로 119 (가산동)</t>
  </si>
  <si>
    <t>(주)시네이노베이션</t>
  </si>
  <si>
    <t>(주)스타아미이엔텍</t>
  </si>
  <si>
    <t>송파구사회적경제지원센터</t>
  </si>
  <si>
    <t>서울특별시 송파구 문정로 246 (마천동)</t>
  </si>
  <si>
    <t>(주)술술</t>
  </si>
  <si>
    <t>부산광역시 기장군 정관읍 산단5로 76-38</t>
  </si>
  <si>
    <t>(주)블로킹버즈</t>
  </si>
  <si>
    <t>복합문화시설동 B 1006호(인천글로벌캠퍼스)</t>
  </si>
  <si>
    <t>(주)벤자민에듀</t>
  </si>
  <si>
    <t>서울특별시 강남구 선릉로103길 5 (역삼동)</t>
  </si>
  <si>
    <t>(주)디페</t>
  </si>
  <si>
    <t>경상북도 포항시 남구 양학천로 178 (대도동)</t>
  </si>
  <si>
    <t>(주)대국지앤에스</t>
  </si>
  <si>
    <t>경기도 김포시 양촌읍 대곶남로580번길 33-2</t>
  </si>
  <si>
    <t>(주) 칼라리베로</t>
  </si>
  <si>
    <t>전라남도 여수시 덕양로 145-37 (화장동)</t>
  </si>
  <si>
    <t>(유)유정에너지</t>
  </si>
  <si>
    <t>건국대학교 창업보육센터 407호</t>
  </si>
  <si>
    <t>코트립</t>
  </si>
  <si>
    <t>창업보육센터 308호</t>
  </si>
  <si>
    <t>코리안튜터</t>
  </si>
  <si>
    <t>화학섬유 방적업</t>
  </si>
  <si>
    <t>충청북도 진천군 문백면 문진로 652-4</t>
  </si>
  <si>
    <t>케이에프산업</t>
  </si>
  <si>
    <t>전라남도 함평군 해보면 해보농공길 78</t>
  </si>
  <si>
    <t>지앤비이엔지</t>
  </si>
  <si>
    <t>별관 401호 창업보육센터</t>
  </si>
  <si>
    <t>강원도 강릉시 공제로 357 (홍제동)</t>
  </si>
  <si>
    <t>주식회사 프리즘교육</t>
  </si>
  <si>
    <t>208호 (성수동2가 생각공장 데시앙플렉스)</t>
  </si>
  <si>
    <t>주식회사 서버앤컴퓨터</t>
  </si>
  <si>
    <t>서울특별시 성동구 고산자로6길 22 (행당동)</t>
  </si>
  <si>
    <t>주식회사 새롬이엔지</t>
  </si>
  <si>
    <t>경기도 파주시 하우고개길 450 (상지석동)</t>
  </si>
  <si>
    <t>주식회사 더코더</t>
  </si>
  <si>
    <t>서울특별시 송파구 백제고분로 446 (방이동)</t>
  </si>
  <si>
    <t>주식회사 건담앤컴퍼니</t>
  </si>
  <si>
    <t>전라북도 김제시 동서9길 52 (요촌동)</t>
  </si>
  <si>
    <t>원 메디칼</t>
  </si>
  <si>
    <t>강릉원주대학교 산학협력관 808호</t>
  </si>
  <si>
    <t>와바다다(주)</t>
  </si>
  <si>
    <t>벤처창업관 302-1호</t>
  </si>
  <si>
    <t>싸이언블루네이비</t>
  </si>
  <si>
    <t>에이스가산포휴 207호</t>
  </si>
  <si>
    <t>세컨트러스트(2NDTRUST)</t>
  </si>
  <si>
    <t>B동101호</t>
  </si>
  <si>
    <t>경기도 화성시 병점중앙로170번길 16-10 (진안동 장미파크빌라)</t>
  </si>
  <si>
    <t>전라남도 장성군 남면 녹진길 23</t>
  </si>
  <si>
    <t>다다산업</t>
  </si>
  <si>
    <t>관광기업지원센터 7층</t>
  </si>
  <si>
    <t>노마드노트</t>
  </si>
  <si>
    <t>타원타크라 가동 212호</t>
  </si>
  <si>
    <t>경기도 안산시 단원구 성곡로 176 (성곡동)</t>
  </si>
  <si>
    <t>(주)페스텍에스앤씨</t>
  </si>
  <si>
    <t>경기도 안양시 만안구 시민대로 34 (안양동)</t>
  </si>
  <si>
    <t>(주)투파이브</t>
  </si>
  <si>
    <t>서라벌대학교 산학협력단 2층 207호</t>
  </si>
  <si>
    <t>경상북도 경주시 태종로 516 (충효동)</t>
  </si>
  <si>
    <t>(주)칼만</t>
  </si>
  <si>
    <t>404호 (영진전문대학 칠곡캠퍼스 토탈테크노센터)</t>
  </si>
  <si>
    <t>경상북도 칠곡군 지천면 금송로 60</t>
  </si>
  <si>
    <t>(주)썬시엔비</t>
  </si>
  <si>
    <t>일반 교과학원</t>
  </si>
  <si>
    <t>204 601호</t>
  </si>
  <si>
    <t>(주)렛유인</t>
  </si>
  <si>
    <t>606동 602호</t>
  </si>
  <si>
    <t>경기도 시흥시 목감둘레로 80 (산현동 호반베르디움 더숲)</t>
  </si>
  <si>
    <t>휴심리치료연구소</t>
  </si>
  <si>
    <t>인천광역시 남동구 앵고개로621번길 28-9 (고잔동)</t>
  </si>
  <si>
    <t>한국환경전략연구소</t>
  </si>
  <si>
    <t>서울특별시 영등포구 양평로22마길 8 (양평동5가)</t>
  </si>
  <si>
    <t>프랍 서울(PROP SEOUL)</t>
  </si>
  <si>
    <t>218호</t>
  </si>
  <si>
    <t>충청북도 음성군 맹동면 두레로 23</t>
  </si>
  <si>
    <t>케이에스이씨 주식회사</t>
  </si>
  <si>
    <t>3동 101호</t>
  </si>
  <si>
    <t>울산광역시 남구 두왕로34번길 9-20 (상개동 크로바전원빌라아파트)</t>
  </si>
  <si>
    <t>케이무역</t>
  </si>
  <si>
    <t>제주특별자치도 서귀포시 동홍중앙로90번길 4-6 (동홍동)</t>
  </si>
  <si>
    <t>주식회사제주지키미</t>
  </si>
  <si>
    <t>기술창업센터202호</t>
  </si>
  <si>
    <t>주식회사이플로우</t>
  </si>
  <si>
    <t>대전광역시 서구 한밭대로570번길 8 (월평동)</t>
  </si>
  <si>
    <t>주식회사엑소텍</t>
  </si>
  <si>
    <t>창의관 203호</t>
  </si>
  <si>
    <t>주식회사앤틀러</t>
  </si>
  <si>
    <t>주식회사단디정보기술</t>
  </si>
  <si>
    <t>유정빌딩 지하 1층 푸딩 사무실</t>
  </si>
  <si>
    <t>대구광역시 동구 동부로30길 23-1 (신천동)</t>
  </si>
  <si>
    <t>주식회사 푸딩</t>
  </si>
  <si>
    <t>4층 팀삼층</t>
  </si>
  <si>
    <t>대전광역시 대덕구 대화로139번길 33 (대화동)</t>
  </si>
  <si>
    <t>주식회사 팀삼층</t>
  </si>
  <si>
    <t>817호</t>
  </si>
  <si>
    <t>주식회사 키사이트건축사사무소</t>
  </si>
  <si>
    <t>3층 일부</t>
  </si>
  <si>
    <t>경기도 부천시 송내대로42번길 44 (송내동)</t>
  </si>
  <si>
    <t>주식회사 키맥스에프엠에스</t>
  </si>
  <si>
    <t>에이동 2606호</t>
  </si>
  <si>
    <t>주식회사 케이엠에듀</t>
  </si>
  <si>
    <t>301호 (주)체크메인</t>
  </si>
  <si>
    <t>경기도 부천시 부일로 754 (역곡동)</t>
  </si>
  <si>
    <t>주식회사 체크메인</t>
  </si>
  <si>
    <t>32-1동 306호</t>
  </si>
  <si>
    <t>주식회사 올어바웃</t>
  </si>
  <si>
    <t>충청북도 음성군 대소면 오산로 77</t>
  </si>
  <si>
    <t>주식회사 올리브파크</t>
  </si>
  <si>
    <t>405호(야당동 에펠타워)</t>
  </si>
  <si>
    <t>경기도 파주시 경의로 1114 (야당동)</t>
  </si>
  <si>
    <t>주식회사 벤처스랩</t>
  </si>
  <si>
    <t>충남대학교산학협력지원센터 502호</t>
  </si>
  <si>
    <t>주식회사 강한손</t>
  </si>
  <si>
    <t>부산광역시 강서구 대저중앙로348번길 94 (대저1동)</t>
  </si>
  <si>
    <t>주식회사 가람테크</t>
  </si>
  <si>
    <t>로봇산업진흥원 로봇혁신센터 307호</t>
  </si>
  <si>
    <t>대구광역시 북구 노원로 75 (노원동3가)</t>
  </si>
  <si>
    <t>엠버바인</t>
  </si>
  <si>
    <t>충청북도 청주시 흥덕구 강촌로 260-1 (서촌동)</t>
  </si>
  <si>
    <t>에스(S)메디칼</t>
  </si>
  <si>
    <t>창업보육센터 109호</t>
  </si>
  <si>
    <t>바네컴퍼니</t>
  </si>
  <si>
    <t>11동229호</t>
  </si>
  <si>
    <t>럭스레이저</t>
  </si>
  <si>
    <t>1004호</t>
  </si>
  <si>
    <t>경기도 고양시 일산동구 무궁화로 8-28 (장항동)</t>
  </si>
  <si>
    <t>라이트하우스</t>
  </si>
  <si>
    <t>1층 4호</t>
  </si>
  <si>
    <t>충청북도 청주시 상당구 우암산로 22 (수동)</t>
  </si>
  <si>
    <t>디자인이루다</t>
  </si>
  <si>
    <t>C동 302호</t>
  </si>
  <si>
    <t>인천광역시 남동구 하촌로60번길 12 (만수동 정일빌라)</t>
  </si>
  <si>
    <t>디에이알</t>
  </si>
  <si>
    <t>B동210호</t>
  </si>
  <si>
    <t>서울특별시 용산구 청파로 113-12 (한강로2가)</t>
  </si>
  <si>
    <t>동양</t>
  </si>
  <si>
    <t>더블제이코퍼레이션</t>
  </si>
  <si>
    <t>콩나물 재배업</t>
  </si>
  <si>
    <t>경기도 이천시 신둔면 증신로475번길 39-6</t>
  </si>
  <si>
    <t>농업회사법인(주)그린들</t>
  </si>
  <si>
    <t>서울특별시 강남구 논현로26길 16 (도곡동)</t>
  </si>
  <si>
    <t>노아스파지오주식회사</t>
  </si>
  <si>
    <t>B1층 B101호 이경빌딩</t>
  </si>
  <si>
    <t>서울특별시 강남구 선릉로132길 69 (청담동)</t>
  </si>
  <si>
    <t>나니.퍼</t>
  </si>
  <si>
    <t>전라북도 군산시 옥구읍 광월안길 20</t>
  </si>
  <si>
    <t>글로벌랜드</t>
  </si>
  <si>
    <t>대구광역시 남구 현충로5길 98-2 (대명동)</t>
  </si>
  <si>
    <t>SUL LEE</t>
  </si>
  <si>
    <t>부강빌딩 1층 피트릭스</t>
  </si>
  <si>
    <t>서울특별시 강남구 역삼로17길 10 (역삼동)</t>
  </si>
  <si>
    <t>(주)피트릭스</t>
  </si>
  <si>
    <t>인하대학교 인하드림센터 1관 208호</t>
  </si>
  <si>
    <t>(주)포토메카닉</t>
  </si>
  <si>
    <t>AI양재허브 C동 402호</t>
  </si>
  <si>
    <t>서울특별시 서초구 매헌로8길 47 (양재동)</t>
  </si>
  <si>
    <t>(주)에이티에이엠</t>
  </si>
  <si>
    <t>서울특별시 강남구 강남대로 342 (역삼동)</t>
  </si>
  <si>
    <t>(주)아시아창의방송</t>
  </si>
  <si>
    <t>충청남도 아산시 둔포면 염작리 100-1번지</t>
  </si>
  <si>
    <t>충청남도 아산시 둔포면 이화서길 55-46</t>
  </si>
  <si>
    <t>(주)씨앤티오토메이션</t>
  </si>
  <si>
    <t>서울창업허브 본관 513호</t>
  </si>
  <si>
    <t>(주)마지막삼십분</t>
  </si>
  <si>
    <t>(주)글로벌이엔씨</t>
  </si>
  <si>
    <t>병우빌딩 8층</t>
  </si>
  <si>
    <t>서울특별시 마포구 서강로 133 (노고산동)</t>
  </si>
  <si>
    <t>(주)킨터치</t>
  </si>
  <si>
    <t>현명관 5305호</t>
  </si>
  <si>
    <t>광주광역시 광산구 호남대길 47 (서봉동)</t>
  </si>
  <si>
    <t>한국스마트드론주식회사</t>
  </si>
  <si>
    <t>강원도 영월군 북면 영월로 1246</t>
  </si>
  <si>
    <t>하늘기업</t>
  </si>
  <si>
    <t>1-1302</t>
  </si>
  <si>
    <t>서울특별시 용산구 이촌로 347 (서빙고동 신동아아파트)</t>
  </si>
  <si>
    <t>트리네오</t>
  </si>
  <si>
    <t>경기도 용인시 처인구 명지로 15-20 (김량장동)</t>
  </si>
  <si>
    <t>카라멜소프트</t>
  </si>
  <si>
    <t>배재대학교 하워드관 214호</t>
  </si>
  <si>
    <t>지원커머셜</t>
  </si>
  <si>
    <t>제주특별자치도 제주시 도근내길 19 (외도이동)</t>
  </si>
  <si>
    <t>지사이언스</t>
  </si>
  <si>
    <t>지브로디자인</t>
  </si>
  <si>
    <t>11층23호(상남동덕산베스트텔)</t>
  </si>
  <si>
    <t>경상남도 창원시 성산구 상남로 37 (상남동)</t>
  </si>
  <si>
    <t>지디에스코퍼레이션</t>
  </si>
  <si>
    <t>부산광역시 수영구 남천동로108번길 15 (남천동)</t>
  </si>
  <si>
    <t>주식회사스토리인가든</t>
  </si>
  <si>
    <t>기타 공연단체</t>
  </si>
  <si>
    <t>전라북도 전주시 덕진구 권삼득로 308 (덕진동1가)</t>
  </si>
  <si>
    <t>주식회사 휴먼피트니스랩</t>
  </si>
  <si>
    <t>주식회사 피치솔루션</t>
  </si>
  <si>
    <t>전라북도 전주시 덕진구 원만성로 39 (팔복동3가)</t>
  </si>
  <si>
    <t>주식회사 프로젝트흐름</t>
  </si>
  <si>
    <t>경기도 남양주시 진건읍 진관산단로54번길 3</t>
  </si>
  <si>
    <t>주식회사 쿠스</t>
  </si>
  <si>
    <t>충청북도 청주시 상당구 원봉로 96 (용암동)</t>
  </si>
  <si>
    <t>주식회사 충북그리드</t>
  </si>
  <si>
    <t>부성PINE 2층 207호</t>
  </si>
  <si>
    <t>인천광역시 미추홀구 미추홀대로719번길 4 (주안동)</t>
  </si>
  <si>
    <t>주식회사 체인시큐어</t>
  </si>
  <si>
    <t>연세대학교 공학원2층 214호</t>
  </si>
  <si>
    <t>주식회사 젬크로</t>
  </si>
  <si>
    <t>서울특별시 중랑구 면목로 224 (면목동)</t>
  </si>
  <si>
    <t>주식회사 제이치물산</t>
  </si>
  <si>
    <t>역삼이스타빌 B01</t>
  </si>
  <si>
    <t>서울특별시 강남구 도곡로 225 (역삼동)</t>
  </si>
  <si>
    <t>주식회사 이엠피이모션캡쳐</t>
  </si>
  <si>
    <t>경기도 평택시 정암로 42 (이충동 서정스마트빌듀오1차)</t>
  </si>
  <si>
    <t>주식회사 이디코어</t>
  </si>
  <si>
    <t>전라남도 목포시 고하대로 740 (산정동)</t>
  </si>
  <si>
    <t>주식회사 웨이스트에너지솔루션</t>
  </si>
  <si>
    <t>(12층)</t>
  </si>
  <si>
    <t>서울특별시 마포구 독막로9길 34 (서교동)</t>
  </si>
  <si>
    <t>주식회사 와이씨케이에프</t>
  </si>
  <si>
    <t>9층 927호</t>
  </si>
  <si>
    <t>대구광역시 중구 동성로 25 (사일동)</t>
  </si>
  <si>
    <t>주식회사 오키즈</t>
  </si>
  <si>
    <t>6층 T06</t>
  </si>
  <si>
    <t>주식회사 엘비에스테크</t>
  </si>
  <si>
    <t>건설 폐기물 수집 운반업</t>
  </si>
  <si>
    <t>경상북도 경주시 천북면 천북로 160</t>
  </si>
  <si>
    <t>주식회사 에코환경</t>
  </si>
  <si>
    <t>322호(청운대학교 창업보육센타)</t>
  </si>
  <si>
    <t>주식회사 에이디테크</t>
  </si>
  <si>
    <t>창업보육센터 2호관 1312호(대구대학교)</t>
  </si>
  <si>
    <t>주식회사 에스오</t>
  </si>
  <si>
    <t>서울특별시 도봉구 노해로63길 84-9 (창동)</t>
  </si>
  <si>
    <t>주식회사 에스앤브이테크</t>
  </si>
  <si>
    <t>416 A호</t>
  </si>
  <si>
    <t>서울특별시 영등포구 당산로41길 11 (당산동4가)</t>
  </si>
  <si>
    <t>주식회사 앤티에스</t>
  </si>
  <si>
    <t>서울특별시 영등포구 국제금융로6길 30 (여의도동)</t>
  </si>
  <si>
    <t>주식회사 액타소프트</t>
  </si>
  <si>
    <t>보듬관 704호</t>
  </si>
  <si>
    <t>주식회사 아이오테드</t>
  </si>
  <si>
    <t>4736호</t>
  </si>
  <si>
    <t>서울특별시 강남구 논현로72길 16 (역삼동)</t>
  </si>
  <si>
    <t>주식회사 아이앤씨기술</t>
  </si>
  <si>
    <t>지식산업센터 6층 618-1호</t>
  </si>
  <si>
    <t>주식회사 썬그린케어</t>
  </si>
  <si>
    <t>적층 합성 및 특수 표면처리 종이 제조업</t>
  </si>
  <si>
    <t>비187제이호(신촌동 연세대학교 공학원)</t>
  </si>
  <si>
    <t>주식회사 심바이오리빙텍</t>
  </si>
  <si>
    <t>1625호</t>
  </si>
  <si>
    <t>서울특별시 마포구 양화로 156 (동교동)</t>
  </si>
  <si>
    <t>주식회사 브리즈앤</t>
  </si>
  <si>
    <t>강원도 강릉시 용지각길 7-1 (포남동)</t>
  </si>
  <si>
    <t>주식회사 명주</t>
  </si>
  <si>
    <t>서울특별시 서초구 방배로 28 (방배동)</t>
  </si>
  <si>
    <t>주식회사 명성에스앤에프</t>
  </si>
  <si>
    <t>서울특별시 서초구 반포대로22길 35 (서초동)</t>
  </si>
  <si>
    <t>주식회사 메드고</t>
  </si>
  <si>
    <t>맥이엔에스</t>
  </si>
  <si>
    <t>충청북도 음성군 감곡면 오갑길192번길 35</t>
  </si>
  <si>
    <t>주식회사 맥이엔에스</t>
  </si>
  <si>
    <t>주식회사 마이스앤컴퍼니</t>
  </si>
  <si>
    <t>1008호(역삼동 비젼타워)</t>
  </si>
  <si>
    <t>주식회사 도시공간전략청람</t>
  </si>
  <si>
    <t>서울특별시 마포구 신촌로 150 (노고산동 신촌포스빌)</t>
  </si>
  <si>
    <t>주식회사 더지안</t>
  </si>
  <si>
    <t>B-1001</t>
  </si>
  <si>
    <t>주식회사 더에이치환경</t>
  </si>
  <si>
    <t>13층</t>
  </si>
  <si>
    <t>서울특별시 강남구 남부순환로 2621 (도곡동)</t>
  </si>
  <si>
    <t>주식회사 단비아이엔씨</t>
  </si>
  <si>
    <t>서울특별시 금천구 가산디지털2로 136 (가산동)</t>
  </si>
  <si>
    <t>주식회사 다빈정보통신</t>
  </si>
  <si>
    <t>주식회사 네스켓</t>
  </si>
  <si>
    <t>A동 602호</t>
  </si>
  <si>
    <t>주식회사 굿스윙</t>
  </si>
  <si>
    <t>경상북도 안동시 앙실3길 19-10 (수하동)</t>
  </si>
  <si>
    <t>정진농업회사법인주식회사</t>
  </si>
  <si>
    <t>602호 (농성동 도영빌딩)</t>
  </si>
  <si>
    <t>광주광역시 서구 경열로 38 (농성동)</t>
  </si>
  <si>
    <t>정성건축사사무소</t>
  </si>
  <si>
    <t>T-L143호</t>
  </si>
  <si>
    <t>이음기술주식회사</t>
  </si>
  <si>
    <t>전라남도 나주시 왕건길 33-7 (송월동)</t>
  </si>
  <si>
    <t>이루시설안전연구원(주)</t>
  </si>
  <si>
    <t>인천광역시 중구 축항대로296번길 60-38 (신흥동3가)</t>
  </si>
  <si>
    <t>위아이</t>
  </si>
  <si>
    <t>인천광역시 미추홀구 인주대로237번길 2 (용현동)</t>
  </si>
  <si>
    <t>위드마</t>
  </si>
  <si>
    <t>1층 우리교육</t>
  </si>
  <si>
    <t>경상북도 구미시 형곡동로 17 (형곡동)</t>
  </si>
  <si>
    <t>우리교육</t>
  </si>
  <si>
    <t>오시리스랩 주식회사</t>
  </si>
  <si>
    <t>대승코아 3층 303호</t>
  </si>
  <si>
    <t>부산광역시 해운대구 세실로27번길 11 (좌동)</t>
  </si>
  <si>
    <t>오스타미디어</t>
  </si>
  <si>
    <t>휴머니시아빌딩 2층</t>
  </si>
  <si>
    <t>인천광역시 동구 새천년로 32 (송림동)</t>
  </si>
  <si>
    <t>엠앤알소프트</t>
  </si>
  <si>
    <t>송림메디컬프라자 704호</t>
  </si>
  <si>
    <t>경기도 파주시 와석순환로515번길 61 (와동동)</t>
  </si>
  <si>
    <t>엘에프씨글로벌주식회사</t>
  </si>
  <si>
    <t>플라스틱 적층 도포 및 기타 표면처리 제품 제조업</t>
  </si>
  <si>
    <t>E-603</t>
  </si>
  <si>
    <t>세종특별자치시 조치원읍 세종로 2639</t>
  </si>
  <si>
    <t>에스제이나노텍(주)</t>
  </si>
  <si>
    <t>부산광역시 강서구 가달2로55번길 16 (생곡동)</t>
  </si>
  <si>
    <t>에스에스엘인터내셔널(주)</t>
  </si>
  <si>
    <t>성실관 5207호</t>
  </si>
  <si>
    <t>대구광역시 북구 영송로 15 (태전동)</t>
  </si>
  <si>
    <t>애드테일러 주식회사</t>
  </si>
  <si>
    <t>경상남도 창원시 진해구 안골로318번길 18 (안골동)</t>
  </si>
  <si>
    <t>알럽유통</t>
  </si>
  <si>
    <t>6층 75호</t>
  </si>
  <si>
    <t>인천광역시 남동구 구월남로 120 (구월동)</t>
  </si>
  <si>
    <t>아트퍼니처</t>
  </si>
  <si>
    <t>스테이션G 101호</t>
  </si>
  <si>
    <t>아토즈베베</t>
  </si>
  <si>
    <t>에리카BI센터604호</t>
  </si>
  <si>
    <t>아쿠아플렉스</t>
  </si>
  <si>
    <t>대전창업허브 406호</t>
  </si>
  <si>
    <t>씬택</t>
  </si>
  <si>
    <t>인천대학교 미추홀캠퍼스 에이동 511호</t>
  </si>
  <si>
    <t>센서블스페이스 유한책임회사</t>
  </si>
  <si>
    <t>BIC1-210호</t>
  </si>
  <si>
    <t>빅테크</t>
  </si>
  <si>
    <t>서울특별시 노원구 동일로193가길 26 (공릉동)</t>
  </si>
  <si>
    <t>비엘커피</t>
  </si>
  <si>
    <t>비디아이티주식회사</t>
  </si>
  <si>
    <t>B동 810호</t>
  </si>
  <si>
    <t>베스트 테크(BEST Tech)</t>
  </si>
  <si>
    <t>903동1504호</t>
  </si>
  <si>
    <t>서울특별시 강동구 상암로 251 (명일동 고덕주공아파트)</t>
  </si>
  <si>
    <t>명일기업</t>
  </si>
  <si>
    <t>영등포구사회적경제지원센터 302호</t>
  </si>
  <si>
    <t>서울특별시 영등포구 선유동1로 80 (당산동3가)</t>
  </si>
  <si>
    <t>도도한콜라보 주식회사</t>
  </si>
  <si>
    <t>경상북도 안동시 송현3길 3 (송현동)</t>
  </si>
  <si>
    <t>대신종합인쇄</t>
  </si>
  <si>
    <t>서울특별시 마포구 성미산로17길 99-2 (연남동)</t>
  </si>
  <si>
    <t>단순컴퍼니(Keep It Simple Dahnsoon)</t>
  </si>
  <si>
    <t>경기도 고양시 일산동구 장진천길46번길 89-39 (설문동)</t>
  </si>
  <si>
    <t>다연테크</t>
  </si>
  <si>
    <t>산학협력관 B518~520호</t>
  </si>
  <si>
    <t>네오에버텍(주)</t>
  </si>
  <si>
    <t>폴리스티렌 발포 성형제품 제조업</t>
  </si>
  <si>
    <t>B1-119</t>
  </si>
  <si>
    <t>나인오투랩</t>
  </si>
  <si>
    <t>1층 꿈꾸는 사회적협동조합</t>
  </si>
  <si>
    <t>경상남도 양산시 양주2길 61 (중부동)</t>
  </si>
  <si>
    <t>꿈꾸는사회적협동조합</t>
  </si>
  <si>
    <t>연마재 제조업</t>
  </si>
  <si>
    <t>창업지원센터 창업관내</t>
  </si>
  <si>
    <t>광림머티리얼즈주식회사</t>
  </si>
  <si>
    <t>B동 510호</t>
  </si>
  <si>
    <t>(주)해시스크래퍼</t>
  </si>
  <si>
    <t>(주)하나산업</t>
  </si>
  <si>
    <t>경기도 파주시 법원읍 가좌울길 131-31</t>
  </si>
  <si>
    <t>전라북도 전주시 완산구 전주객사5길 44-8 (고사동)</t>
  </si>
  <si>
    <t>(주)텔로스</t>
  </si>
  <si>
    <t>(주)지에스아이티</t>
  </si>
  <si>
    <t>울산광역시 남구 두왕로 22 (선암동)</t>
  </si>
  <si>
    <t>(주)제이정보통신</t>
  </si>
  <si>
    <t>경기벤처창업보육센터 108호</t>
  </si>
  <si>
    <t>(주)이노로드</t>
  </si>
  <si>
    <t>(주)우림아이씨티</t>
  </si>
  <si>
    <t>부산광역시 강서구 제도로 958 (강동동)</t>
  </si>
  <si>
    <t>(주)에코에어시스템</t>
  </si>
  <si>
    <t>507호  (이노즈비파크)</t>
  </si>
  <si>
    <t>(주)아이테드</t>
  </si>
  <si>
    <t>5층 506호(평동 중앙대학교 평동캠퍼스)</t>
  </si>
  <si>
    <t>서울특별시 종로구 경교장길 8 (평동)</t>
  </si>
  <si>
    <t>(주)스튜디오엑스코</t>
  </si>
  <si>
    <t>전라북도 전주시 덕진구 오정1길 33 (중동)</t>
  </si>
  <si>
    <t>(주)서림종합건설</t>
  </si>
  <si>
    <t>1810호</t>
  </si>
  <si>
    <t>(주)빛가람시스템</t>
  </si>
  <si>
    <t>대구광역시 달서구 호산동로 184 (호산동)</t>
  </si>
  <si>
    <t>(주)빅웨이브에이아이</t>
  </si>
  <si>
    <t>107-401</t>
  </si>
  <si>
    <t>경기도 김포시 고촌읍 수기로 8 (오룡마을한화아파트)</t>
  </si>
  <si>
    <t>(주)블루컴</t>
  </si>
  <si>
    <t>동작청년지원센터 3층</t>
  </si>
  <si>
    <t>(주)바로</t>
  </si>
  <si>
    <t>경상북도 청송군 청송읍 망미정3길 2</t>
  </si>
  <si>
    <t>(주)명성엔지니어링</t>
  </si>
  <si>
    <t>제주특별자치도 제주시 첨단로 245-13 (영평동)</t>
  </si>
  <si>
    <t>(주)매트릭스</t>
  </si>
  <si>
    <t>경공업2동 2층</t>
  </si>
  <si>
    <t>울산광역시 울주군 청량읍 처용산업3길 135</t>
  </si>
  <si>
    <t>(주)마린이노베이션</t>
  </si>
  <si>
    <t>(주)리얼메이커</t>
  </si>
  <si>
    <t>13층 1311호 (마곡동 푸리마타워)</t>
  </si>
  <si>
    <t>서울특별시 강서구 공항대로 190 (마곡동)</t>
  </si>
  <si>
    <t>(주)리안아이티컨설팅</t>
  </si>
  <si>
    <t>제주특별자치도 제주시 승천로 57 (아라이동)</t>
  </si>
  <si>
    <t>(주)네피리티</t>
  </si>
  <si>
    <t>경기도 시흥시 배곧2로 95 (정왕동)</t>
  </si>
  <si>
    <t>(주)경기코퍼레이션</t>
  </si>
  <si>
    <t>충청북도 청주시 청원구 오창읍 지게바위길 11</t>
  </si>
  <si>
    <t>(주)거성플랜트</t>
  </si>
  <si>
    <t>서울특별시 서초구 명달로8길 25-4 (서초동 상문빌라)</t>
  </si>
  <si>
    <t>협동조합가치공유연구소</t>
  </si>
  <si>
    <t>강원도 원주시 라옹정길 51-7 (관설동)</t>
  </si>
  <si>
    <t>티아이지 주식회사</t>
  </si>
  <si>
    <t>경기도 남양주시 수동면 소래비로440번길 38-27</t>
  </si>
  <si>
    <t>태신금속</t>
  </si>
  <si>
    <t>45681719층</t>
  </si>
  <si>
    <t>주식회사엘핀</t>
  </si>
  <si>
    <t>501-1호</t>
  </si>
  <si>
    <t>전라북도 완주군 이서면 안전로 151</t>
  </si>
  <si>
    <t>주식회사 해라플러스</t>
  </si>
  <si>
    <t>2동 5층 514호</t>
  </si>
  <si>
    <t>서울특별시 마포구 백범로31길 7 (공덕동 공덕SK리더스뷰)</t>
  </si>
  <si>
    <t>주식회사 프렌츠</t>
  </si>
  <si>
    <t>동국대학교 산학협력관 310호</t>
  </si>
  <si>
    <t>주식회사 판도라프로젝트</t>
  </si>
  <si>
    <t>주식회사 파인드커넥트</t>
  </si>
  <si>
    <t>서울특별시 용산구 청파로 46 (한강로3가)</t>
  </si>
  <si>
    <t>주식회사 파이퀀트</t>
  </si>
  <si>
    <t>부산광역시 해운대구 반여로155번나길 5 (반여동)</t>
  </si>
  <si>
    <t>주식회사 철인에프앤비</t>
  </si>
  <si>
    <t>서울특별시 영등포구 여의공원로 101 (여의도동)</t>
  </si>
  <si>
    <t>주식회사 지아이리서치</t>
  </si>
  <si>
    <t>항공 화물 운송업</t>
  </si>
  <si>
    <t>서울특별시 서초구 강남대로6길 20 (양재동)</t>
  </si>
  <si>
    <t>주식회사 이엔비에어</t>
  </si>
  <si>
    <t>서울특별시 송파구 석촌호수로 268 (송파동 경남레이크파크)</t>
  </si>
  <si>
    <t>주식회사 유니씨엘바이오</t>
  </si>
  <si>
    <t>대전광역시 유성구 대학로179번길 7-12 (궁동)</t>
  </si>
  <si>
    <t>주식회사 오렌지메딕스</t>
  </si>
  <si>
    <t>경기도 고양시 덕양구 고양대로 1393 (성사동)</t>
  </si>
  <si>
    <t>주식회사 엔터즈컴퍼니</t>
  </si>
  <si>
    <t>A동 804호</t>
  </si>
  <si>
    <t>주식회사 엑스플랜</t>
  </si>
  <si>
    <t>B동 904호</t>
  </si>
  <si>
    <t>주식회사 에코플래그</t>
  </si>
  <si>
    <t>경기도 파주시 문산읍 개포래로 34</t>
  </si>
  <si>
    <t>주식회사 에코메이커스</t>
  </si>
  <si>
    <t>동서울대학교 창업보육센터 5312호</t>
  </si>
  <si>
    <t>주식회사 에이오팜</t>
  </si>
  <si>
    <t>산학협력관 319호</t>
  </si>
  <si>
    <t>대구광역시 달서구 달구벌대로 1095 (신당동)</t>
  </si>
  <si>
    <t>주식회사 에너캠프</t>
  </si>
  <si>
    <t>1408호(가산동 대륭테크노타운20차)</t>
  </si>
  <si>
    <t>주식회사 씨문</t>
  </si>
  <si>
    <t>경기도 광주시 초월읍 두월길55번길 30</t>
  </si>
  <si>
    <t>주식회사 송광디자인</t>
  </si>
  <si>
    <t>제오비동 908호</t>
  </si>
  <si>
    <t>주식회사 세종이엔에스</t>
  </si>
  <si>
    <t>C동 1106~7호(광명무역센터 일직동)</t>
  </si>
  <si>
    <t>주식회사 선재</t>
  </si>
  <si>
    <t>서울특별시 강서구 가로공원로 181 (화곡동)</t>
  </si>
  <si>
    <t>주식회사 상상미디어웍스</t>
  </si>
  <si>
    <t>4층사회적공동체지원센터</t>
  </si>
  <si>
    <t>주식회사 사람과공기</t>
  </si>
  <si>
    <t>E19 9F 주식회사 모바휠</t>
  </si>
  <si>
    <t>주식회사 모바휠</t>
  </si>
  <si>
    <t>4층 (논현동 예진빌딩)</t>
  </si>
  <si>
    <t>서울특별시 강남구 논현로149길 13 (논현동)</t>
  </si>
  <si>
    <t>주식회사 맨오브크리에이션</t>
  </si>
  <si>
    <t>919호</t>
  </si>
  <si>
    <t>주식회사 로디스트</t>
  </si>
  <si>
    <t>오피스밸리 254호(미라클프라자)</t>
  </si>
  <si>
    <t>경기도 화성시 떡전골로 96-4 (병점동)</t>
  </si>
  <si>
    <t>주식회사 레아라이트</t>
  </si>
  <si>
    <t>경상남도 창원시 마산합포구 3·15대로 156 (중앙동2가)</t>
  </si>
  <si>
    <t>주식회사 동방큐비클</t>
  </si>
  <si>
    <t>명지대학교 창업보육센터 18110-4호</t>
  </si>
  <si>
    <t>주식회사 닥터프로랩</t>
  </si>
  <si>
    <t>(주)다올엔지니어링</t>
  </si>
  <si>
    <t>강원도 춘천시 신동면 정족길 86</t>
  </si>
  <si>
    <t>주식회사 다올엔지니어링</t>
  </si>
  <si>
    <t>5층 (에이아이양재허브)</t>
  </si>
  <si>
    <t>주식회사 뉴로라인즈</t>
  </si>
  <si>
    <t>부산시범공단 10층 1003호 제네스젠</t>
  </si>
  <si>
    <t>부산광역시 남구 용호로159번길 94 (용호동)</t>
  </si>
  <si>
    <t>제네스젠</t>
  </si>
  <si>
    <t>이지스퀘어</t>
  </si>
  <si>
    <t>전라남도 함평군 대동면 동함평산단길 61</t>
  </si>
  <si>
    <t>3층 304호</t>
  </si>
  <si>
    <t>이앤에이치</t>
  </si>
  <si>
    <t>107-202</t>
  </si>
  <si>
    <t>경기도 남양주시 와부읍 덕소로 286-1 (건영리버파크아파트)</t>
  </si>
  <si>
    <t>위인터랙트(주)</t>
  </si>
  <si>
    <t>축산 분뇨 처리업</t>
  </si>
  <si>
    <t>전라북도 완주군 고산면 읍내7길 45</t>
  </si>
  <si>
    <t>완주환경</t>
  </si>
  <si>
    <t>광주광역시 광산구 박호등임로 579-2 (등임동)</t>
  </si>
  <si>
    <t>와스텍 주식회사</t>
  </si>
  <si>
    <t>전남콘텐츠기업육성센타 기술혁신동 402호</t>
  </si>
  <si>
    <t>엘페</t>
  </si>
  <si>
    <t>서울특별시 서초구 서초대로 248 (서초동)</t>
  </si>
  <si>
    <t>에코다인 주식회사</t>
  </si>
  <si>
    <t>서울특별시 도봉구 노해로63길 43 (창동)</t>
  </si>
  <si>
    <t>아크텍</t>
  </si>
  <si>
    <t>11층 1105호</t>
  </si>
  <si>
    <t>대구광역시 중구 태평로 160 (북성로1가)</t>
  </si>
  <si>
    <t>아케인 주식회사</t>
  </si>
  <si>
    <t>미래혁신기술센터 209호</t>
  </si>
  <si>
    <t>씨이에스주식회사</t>
  </si>
  <si>
    <t>마곡747타워 1313호</t>
  </si>
  <si>
    <t>스튜디오22 건축사사무소</t>
  </si>
  <si>
    <t>강원도 원주시 원문로100번길 2-39 (단계동)</t>
  </si>
  <si>
    <t>스탬피플협동조합</t>
  </si>
  <si>
    <t>경기대진테크노파크 시험생산동 2층 202호</t>
  </si>
  <si>
    <t>섭플레임</t>
  </si>
  <si>
    <t>자동차 내장용 신품 전기ㆍ전자ㆍ정밀기기 판매업</t>
  </si>
  <si>
    <t>대구광역시 달서구 달구벌대로332길 46 (감삼동)</t>
  </si>
  <si>
    <t>선진컴퍼니</t>
  </si>
  <si>
    <t>E1동 425호</t>
  </si>
  <si>
    <t>삼영테크</t>
  </si>
  <si>
    <t>제주특별자치도 서귀포시 안덕면 사계남로84번길 4</t>
  </si>
  <si>
    <t>미카의달콤한작업실</t>
  </si>
  <si>
    <t>충청남도 천안시 서북구 성거읍 명우리길 72</t>
  </si>
  <si>
    <t>미르지엔아이 주식회사</t>
  </si>
  <si>
    <t>9층 920호</t>
  </si>
  <si>
    <t>라운드얼스</t>
  </si>
  <si>
    <t>도담 2층</t>
  </si>
  <si>
    <t>서울특별시 강남구 압구정로42길 25-13 (신사동)</t>
  </si>
  <si>
    <t>드래곤레이크랩</t>
  </si>
  <si>
    <t>도광컴퍼니</t>
  </si>
  <si>
    <t>제주특별자치도 제주시 아란3길 13-3 (아라일동)</t>
  </si>
  <si>
    <t>더함(Somnium)</t>
  </si>
  <si>
    <t>B동1107호</t>
  </si>
  <si>
    <t>다옴스퀘어</t>
  </si>
  <si>
    <t>401동 4층 C16호</t>
  </si>
  <si>
    <t>경상남도 창원시 마산회원구 합포로 274 (양덕동)</t>
  </si>
  <si>
    <t>다모아</t>
  </si>
  <si>
    <t>서울특별시 강서구 화곡로 218 (화곡동 등마루빌)</t>
  </si>
  <si>
    <t>그음건축사사무소</t>
  </si>
  <si>
    <t>한국전기연구원 기술창업센터 103호</t>
  </si>
  <si>
    <t>경상남도 창원시 성산구 전기의길 12 (성주동)</t>
  </si>
  <si>
    <t>굿라이프</t>
  </si>
  <si>
    <t>경상국립대학교 창업보육센터 C동 205호</t>
  </si>
  <si>
    <t>국가탄소은행</t>
  </si>
  <si>
    <t>부산광역시 강서구 생곡산단1로 51 (생곡동)</t>
  </si>
  <si>
    <t>YG메탈</t>
  </si>
  <si>
    <t>10층 1019호 (가산동벽산디지털밸리2차)</t>
  </si>
  <si>
    <t>(주)환경에스엔텍</t>
  </si>
  <si>
    <t>서울특별시 금천구 가산로3길 105 (독산동)</t>
  </si>
  <si>
    <t>(주)한울종합전기</t>
  </si>
  <si>
    <t>B동 214호</t>
  </si>
  <si>
    <t>서울특별시 중랑구 신내로 135 (신내동)</t>
  </si>
  <si>
    <t>(주)한국정밀소재산업</t>
  </si>
  <si>
    <t>SB플라자 510호</t>
  </si>
  <si>
    <t>(주)팜스킨</t>
  </si>
  <si>
    <t>A동 504호(독산동 현대지식산업센터)</t>
  </si>
  <si>
    <t>(주)투비</t>
  </si>
  <si>
    <t>인천광역시 서구 건지로97번길 33-33 (석남동)</t>
  </si>
  <si>
    <t>(주)케이원시스템</t>
  </si>
  <si>
    <t>1307호(가산동STX-V타워)</t>
  </si>
  <si>
    <t>(주)컨설팅앤컨설턴트</t>
  </si>
  <si>
    <t>B동 1610호</t>
  </si>
  <si>
    <t>(주)와치투</t>
  </si>
  <si>
    <t>서울특별시 강남구 봉은사로112길 27 (삼성동)</t>
  </si>
  <si>
    <t>(주)에이피오코리아</t>
  </si>
  <si>
    <t>(주)에스케이솔라에너지</t>
  </si>
  <si>
    <t>서울특별시 서초구 사임당로1길 10 (서초동)</t>
  </si>
  <si>
    <t>(주)알버트커뮤니케이션</t>
  </si>
  <si>
    <t>(주)서림정밀안전진단</t>
  </si>
  <si>
    <t>지하상가 101호</t>
  </si>
  <si>
    <t>(주)마이스</t>
  </si>
  <si>
    <t>#306</t>
  </si>
  <si>
    <t>(주)내일엔</t>
  </si>
  <si>
    <t>서울특별시 영등포구 도림로147길 22 (문래동4가)</t>
  </si>
  <si>
    <t>훈남하이 엔터테인먼트</t>
  </si>
  <si>
    <t>경상북도 경주시 외동읍 문구로 148-72</t>
  </si>
  <si>
    <t>호성테크</t>
  </si>
  <si>
    <t>중장년기술창업센터 5층 512호</t>
  </si>
  <si>
    <t>허버</t>
  </si>
  <si>
    <t>충청남도 당진시 당진중앙1로 59 (읍내동)</t>
  </si>
  <si>
    <t>하이월드테크</t>
  </si>
  <si>
    <t>포근한나무</t>
  </si>
  <si>
    <t>1102동 602호</t>
  </si>
  <si>
    <t>경기도 고양시 덕양구 원흥1로 25 (원흥동 고양삼송엘에이치원흥마을11단지)</t>
  </si>
  <si>
    <t>팬플랜(FANplan)</t>
  </si>
  <si>
    <t>미래빌 4층 (둔산동)</t>
  </si>
  <si>
    <t>대전광역시 서구 대덕대로195번길 55 (둔산동)</t>
  </si>
  <si>
    <t>팍스엠 주식회사</t>
  </si>
  <si>
    <t>판교우림W시티 506-1호</t>
  </si>
  <si>
    <t>튜링바이오</t>
  </si>
  <si>
    <t>A동 405호</t>
  </si>
  <si>
    <t>서울특별시 동대문구 답십리로38길 19 (답십리동)</t>
  </si>
  <si>
    <t>크랙원</t>
  </si>
  <si>
    <t>C-332호</t>
  </si>
  <si>
    <t>코드마이즈</t>
  </si>
  <si>
    <t>1806호</t>
  </si>
  <si>
    <t>서울특별시 강서구 화곡로 305 (화곡동)</t>
  </si>
  <si>
    <t>초코마켓</t>
  </si>
  <si>
    <t>서울특별시 마포구 희우정로20길 22-12 (망원동)</t>
  </si>
  <si>
    <t>주식회사포트럭테이블</t>
  </si>
  <si>
    <t>아이테크코리아 3층</t>
  </si>
  <si>
    <t>인천광역시 서구 가정로77번길 58 (가좌동)</t>
  </si>
  <si>
    <t>주식회사케이씨브이씨</t>
  </si>
  <si>
    <t>보람프라자 6층 603호</t>
  </si>
  <si>
    <t>주식회사청람문화유산연구원</t>
  </si>
  <si>
    <t>경상남도 창원시 진해구 웅천서로41번길 84 (제덕동)</t>
  </si>
  <si>
    <t>주식회사에이치디테크</t>
  </si>
  <si>
    <t>에이스비즈포레 516호</t>
  </si>
  <si>
    <t>주식회사에스웨이엠</t>
  </si>
  <si>
    <t>상가동 204호</t>
  </si>
  <si>
    <t>인천광역시 미추홀구 능해길 12 (용현동)</t>
  </si>
  <si>
    <t>주식회사나비아스굿즈</t>
  </si>
  <si>
    <t>태광산업 별관4층</t>
  </si>
  <si>
    <t>경기도 안양시 만안구 전파로 53 (안양동)</t>
  </si>
  <si>
    <t>주식회사 홍솔</t>
  </si>
  <si>
    <t>서울특별시 서초구 효령로 330-1 (서초동)</t>
  </si>
  <si>
    <t>주식회사 혜윰건설</t>
  </si>
  <si>
    <t>F동  주식회사 헥사</t>
  </si>
  <si>
    <t>대전광역시 유성구 테크노2로 240 (탑립동)</t>
  </si>
  <si>
    <t>주식회사 헥사</t>
  </si>
  <si>
    <t>전라남도 장성군 삼계면 사창로 8</t>
  </si>
  <si>
    <t>주식회사 해오름드론항공</t>
  </si>
  <si>
    <t>대구광역시 북구 한강로8길 14 (금호동)</t>
  </si>
  <si>
    <t>주식회사 해솔파트너스</t>
  </si>
  <si>
    <t>c동5호</t>
  </si>
  <si>
    <t>부산광역시 강서구 녹산산업중로 130 (송정동)</t>
  </si>
  <si>
    <t>주식회사 한국필텍</t>
  </si>
  <si>
    <t>106 101호 201호</t>
  </si>
  <si>
    <t>경기도 시흥시 만해로 41 (정왕동)</t>
  </si>
  <si>
    <t>주식회사 퓨리움</t>
  </si>
  <si>
    <t>902호(고운첨단과학기술연구원)</t>
  </si>
  <si>
    <t>주식회사 페니</t>
  </si>
  <si>
    <t>서울특별시 중구 퇴계로36나길 2 (필동2가)</t>
  </si>
  <si>
    <t>주식회사 팝콘솔루션</t>
  </si>
  <si>
    <t>경기도 안양시 동안구 관악대로374번길 8 (관양동)</t>
  </si>
  <si>
    <t>주식회사 팀스카이</t>
  </si>
  <si>
    <t>710호</t>
  </si>
  <si>
    <t>울산광역시 남구 월평로48번길 9 (신정동)</t>
  </si>
  <si>
    <t>주식회사 클레버클라우드</t>
  </si>
  <si>
    <t>경기도 파주시 월롱면 누현1길 121</t>
  </si>
  <si>
    <t>주식회사 케이리드</t>
  </si>
  <si>
    <t>서울특별시 강서구 마곡중앙6로 70 (마곡동)</t>
  </si>
  <si>
    <t>주식회사 지티아이씨</t>
  </si>
  <si>
    <t>주식회사 제나웰니스</t>
  </si>
  <si>
    <t>301호(신계동진성빌딩)</t>
  </si>
  <si>
    <t>서울특별시 용산구 새창로45길 78 (신계동)</t>
  </si>
  <si>
    <t>주식회사 웰메이드컴퓨터</t>
  </si>
  <si>
    <t>상가동903호</t>
  </si>
  <si>
    <t>경기도 고양시 일산동구 연리지로 50 (장항동)</t>
  </si>
  <si>
    <t>주식회사 오빌바이오</t>
  </si>
  <si>
    <t>335호(디원시티 지식산업센터)</t>
  </si>
  <si>
    <t>경기도 김포시 김포한강10로133번길 127 (구래동)</t>
  </si>
  <si>
    <t>주식회사 에어벤트</t>
  </si>
  <si>
    <t>세종특별자치시 부강면 부강금호로 521-39</t>
  </si>
  <si>
    <t>주식회사 에스케이씨바이오텍</t>
  </si>
  <si>
    <t>강원도 강릉시 주문진읍 농공단지길 40-22</t>
  </si>
  <si>
    <t>주식회사 어울림</t>
  </si>
  <si>
    <t>7층 733호</t>
  </si>
  <si>
    <t>주식회사 알엠테크</t>
  </si>
  <si>
    <t>경기도 남양주시 진건읍 진건오남로390번길 16</t>
  </si>
  <si>
    <t>주식회사 아테네벤처스</t>
  </si>
  <si>
    <t>충청북도 청주시 상당구 수영로118번길 11 (영운동)</t>
  </si>
  <si>
    <t>주식회사 아이센랩</t>
  </si>
  <si>
    <t>2층202-8씨호</t>
  </si>
  <si>
    <t>인천광역시 연수구 컨벤시아대로 55 (송도동 송도이안)</t>
  </si>
  <si>
    <t>주식회사 아이리아</t>
  </si>
  <si>
    <t>주식회사 써치플랜</t>
  </si>
  <si>
    <t>주식회사 슈퍼웍스컴퍼니</t>
  </si>
  <si>
    <t>서울특별시 광진구 아차산로40길 16-3 (자양동)</t>
  </si>
  <si>
    <t>주식회사 쉐이프웨이즈코리아</t>
  </si>
  <si>
    <t>809호</t>
  </si>
  <si>
    <t>대전광역시 중구 대종로550번길 5 (선화동)</t>
  </si>
  <si>
    <t>주식회사 민호</t>
  </si>
  <si>
    <t>주식회사 모자이크테일러</t>
  </si>
  <si>
    <t>가나빌딩 1103호</t>
  </si>
  <si>
    <t>인천광역시 부평구 부평대로 24 (부평동)</t>
  </si>
  <si>
    <t>주식회사 모두디자이너</t>
  </si>
  <si>
    <t>서울특별시 서초구 방배중앙로 14 (방배동)</t>
  </si>
  <si>
    <t>주식회사 리매진</t>
  </si>
  <si>
    <t>울산광역시 동구 방어진순환도로 1211 (서부동)</t>
  </si>
  <si>
    <t>주식회사 디알씨(DRC)</t>
  </si>
  <si>
    <t>서울특별시 서대문구 연희로 261-28 (홍은동)</t>
  </si>
  <si>
    <t>주식회사 더좋은공간</t>
  </si>
  <si>
    <t>전라남도 여수시 돌산읍 강남4길 29-12</t>
  </si>
  <si>
    <t>주식회사 대아씨푸드</t>
  </si>
  <si>
    <t>A동 115호</t>
  </si>
  <si>
    <t>서울특별시 서대문구 연희로2길 76 (창천동)</t>
  </si>
  <si>
    <t>조인</t>
  </si>
  <si>
    <t>스테이션 니오 A동 823호</t>
  </si>
  <si>
    <t>젠틀리스트</t>
  </si>
  <si>
    <t>제이에스테크</t>
  </si>
  <si>
    <t>제이앤코어</t>
  </si>
  <si>
    <t>인천광역시 부평구 충선로209번길 41 (삼산동)</t>
  </si>
  <si>
    <t>제이디랩주식회사</t>
  </si>
  <si>
    <t>2층 에이-253호 (삼송테크노밸리)</t>
  </si>
  <si>
    <t>정우물산</t>
  </si>
  <si>
    <t>인네이처주식회사</t>
  </si>
  <si>
    <t>634호(가산테라타워)</t>
  </si>
  <si>
    <t>이다웰(주)</t>
  </si>
  <si>
    <t>부산광역시 강서구 금호순서길7번길 4 (대저2동)</t>
  </si>
  <si>
    <t>엠와이시스템(주)</t>
  </si>
  <si>
    <t>경기도 광주시 곤지암읍 신만로 480</t>
  </si>
  <si>
    <t>에이스콤프레샤</t>
  </si>
  <si>
    <t>S104</t>
  </si>
  <si>
    <t>에스제이티</t>
  </si>
  <si>
    <t>207-1302</t>
  </si>
  <si>
    <t>서울특별시 구로구 개봉로20길 158 (개봉동 현대홈타운2단지)</t>
  </si>
  <si>
    <t>어흥 프로덕션</t>
  </si>
  <si>
    <t>경기도 포천시 소흘읍 소흘로 139</t>
  </si>
  <si>
    <t>아이엠프라스틱</t>
  </si>
  <si>
    <t>SK테크노파크 테크동 409호</t>
  </si>
  <si>
    <t>시원플러스주식회사</t>
  </si>
  <si>
    <t>609관 1109호</t>
  </si>
  <si>
    <t>스니피드</t>
  </si>
  <si>
    <t>경기도 포천시 군내면 포천로 931-29</t>
  </si>
  <si>
    <t>새숨바이오</t>
  </si>
  <si>
    <t>인천광역시 서구 가정로 288 (석남동)</t>
  </si>
  <si>
    <t>사회적협동조합 다원세상</t>
  </si>
  <si>
    <t>경상남도 창원시 의창구 신사로 58 (신월동)</t>
  </si>
  <si>
    <t>사회적경제플랫폼협동조합</t>
  </si>
  <si>
    <t>무광오피스 602호</t>
  </si>
  <si>
    <t>비즈컴퍼스</t>
  </si>
  <si>
    <t>경기도 부천시 조마루로386번길 52 (원미동)</t>
  </si>
  <si>
    <t>봄</t>
  </si>
  <si>
    <t>충청남도 천안시 동남구 통정7길 5-23 (신방동)</t>
  </si>
  <si>
    <t>벽산컴퓨터리싸이클(주)</t>
  </si>
  <si>
    <t>전라북도 전주시 완산구 서곡5길 9-6 (효자동3가)</t>
  </si>
  <si>
    <t>베네트</t>
  </si>
  <si>
    <t>경기도 시흥시 복지로63번길 4-11 (대야동)</t>
  </si>
  <si>
    <t>바른소방 주식회사</t>
  </si>
  <si>
    <t>바른로지스틱스(주)</t>
  </si>
  <si>
    <t>부산광역시 서구 대티로179번길 40 (서대신동3가)</t>
  </si>
  <si>
    <t>바른로지스틱스 주식회사</t>
  </si>
  <si>
    <t>2층 찰나</t>
  </si>
  <si>
    <t>광주광역시 광산구 월계로 74 (월계동)</t>
  </si>
  <si>
    <t>미디어협동조합 찰나</t>
  </si>
  <si>
    <t>420호(인창동)</t>
  </si>
  <si>
    <t>경기도 구리시 건원대로34번길 19 (인창동)</t>
  </si>
  <si>
    <t>맑은물건설 주식회사</t>
  </si>
  <si>
    <t>1410호</t>
  </si>
  <si>
    <t>마드라스체크 주식회사</t>
  </si>
  <si>
    <t>지동</t>
  </si>
  <si>
    <t>충청남도 아산시 음봉면 월암로 70-16</t>
  </si>
  <si>
    <t>로드테크주식회사</t>
  </si>
  <si>
    <t>경기도 양평군 서종면 황순원로 482-50</t>
  </si>
  <si>
    <t>라프미디어 주식회사</t>
  </si>
  <si>
    <t>울산광역시 울주군 범서읍 대리로 89</t>
  </si>
  <si>
    <t>다컴시스템</t>
  </si>
  <si>
    <t>충청남도 논산시 중앙로480번길 10 (반월동)</t>
  </si>
  <si>
    <t>논산 야자매트</t>
  </si>
  <si>
    <t>그 외 금속 파스너 및 나사제품 제조업</t>
  </si>
  <si>
    <t>연구동2층 R9208호(동해시창업보육센터)</t>
  </si>
  <si>
    <t>네모ENC</t>
  </si>
  <si>
    <t>경기도 안산시 단원구 별망로79번길 60 (성곡동)</t>
  </si>
  <si>
    <t>남양코스메틱 주식회사</t>
  </si>
  <si>
    <t>3층 구리시벤처창업보육센터303호</t>
  </si>
  <si>
    <t>경기도 구리시 동구릉로136번길 90 (인창동)</t>
  </si>
  <si>
    <t>나노굿즈주식회사</t>
  </si>
  <si>
    <t>전라남도 광양시 광양읍 서천2길 11</t>
  </si>
  <si>
    <t>AIN 건축사사무소</t>
  </si>
  <si>
    <t>충청남도 천안시 서북구 한들1로 95 (백석동)</t>
  </si>
  <si>
    <t>(주)희원티에스</t>
  </si>
  <si>
    <t>부산광역시 영도구 남항로19번길 8 (남항동1가)</t>
  </si>
  <si>
    <t>(주)홍우산업</t>
  </si>
  <si>
    <t>(주)현테크</t>
  </si>
  <si>
    <t>대영빌딩 4층</t>
  </si>
  <si>
    <t>인천광역시 부평구 경원대로 1438 (부평동)</t>
  </si>
  <si>
    <t>(주)클라우드텐</t>
  </si>
  <si>
    <t>411호(충무빌딩)</t>
  </si>
  <si>
    <t>서울특별시 중구 퇴계로 197 (필동2가)</t>
  </si>
  <si>
    <t>(주)채인지</t>
  </si>
  <si>
    <t>2층 (주)채움기술</t>
  </si>
  <si>
    <t>대전광역시 서구 유등로 641 (용문동)</t>
  </si>
  <si>
    <t>(주)채움기술</t>
  </si>
  <si>
    <t>302호 (벤처오피스)</t>
  </si>
  <si>
    <t>(주)지아이솔루션즈</t>
  </si>
  <si>
    <t>서울특별시 서초구 방배로 93 (방배동)</t>
  </si>
  <si>
    <t>(주)워크모드</t>
  </si>
  <si>
    <t>경기도 성남시 분당구 장미로122번길 2 (야탑동)</t>
  </si>
  <si>
    <t>(주)엘림</t>
  </si>
  <si>
    <t>(주)엔지엘(NGL)</t>
  </si>
  <si>
    <t>(주)알라딘시스템</t>
  </si>
  <si>
    <t>인천광역시 부평구 항동로 41 (부개동)</t>
  </si>
  <si>
    <t>(주)아모수</t>
  </si>
  <si>
    <t>대전광역시 동구 우암로255번길 7 (가양동)</t>
  </si>
  <si>
    <t>(주)스타시큐리티</t>
  </si>
  <si>
    <t>충청북도 음성군 대소면 대금로 742-53</t>
  </si>
  <si>
    <t>(주)성본기업</t>
  </si>
  <si>
    <t>조선산업지원센터 102호</t>
  </si>
  <si>
    <t>(주)빈센</t>
  </si>
  <si>
    <t>기타 여행 보조 및 예약 서비스업</t>
  </si>
  <si>
    <t>서울창업허브 본관 517호</t>
  </si>
  <si>
    <t>(주)무브</t>
  </si>
  <si>
    <t>경상북도 구미시 산호대로 335-13 (공단동)</t>
  </si>
  <si>
    <t>(주)라인텍</t>
  </si>
  <si>
    <t>경기도 파주시 소라지로195번길 2-23 (신촌동)</t>
  </si>
  <si>
    <t>(주)디자인이음</t>
  </si>
  <si>
    <t>대전 팁스타운 511호</t>
  </si>
  <si>
    <t>(주)돌봄드림</t>
  </si>
  <si>
    <t>공대6호관 211호</t>
  </si>
  <si>
    <t>(주)늘품내진이앤씨</t>
  </si>
  <si>
    <t>7층 732호</t>
  </si>
  <si>
    <t>(주)나스카랩</t>
  </si>
  <si>
    <t>(주)글로리케이제이</t>
  </si>
  <si>
    <t>부산광역시 사상구 가야대로11번길 10 (감전동)</t>
  </si>
  <si>
    <t>에이동 812호</t>
  </si>
  <si>
    <t>(주) 레드서브마린</t>
  </si>
  <si>
    <t>톱 및 호환성 공구 제조업</t>
  </si>
  <si>
    <t>흘산리 437-13</t>
  </si>
  <si>
    <t>전라북도 익산시 함열읍 용왕석재길 44</t>
  </si>
  <si>
    <t>(유)케이탄소다이아몬드</t>
  </si>
  <si>
    <t>서울특별시 강동구 천호대로 1057 (천호동)</t>
  </si>
  <si>
    <t>플러스솔루션</t>
  </si>
  <si>
    <t>C동 719호</t>
  </si>
  <si>
    <t>트루플러스</t>
  </si>
  <si>
    <t>스마트파크 지식산업센터 G동 209호</t>
  </si>
  <si>
    <t>코드케이</t>
  </si>
  <si>
    <t>경상남도 진주시 대신로 402 (초전동)</t>
  </si>
  <si>
    <t>진주바느질협동조합</t>
  </si>
  <si>
    <t>경기도 김포시 대곶면 수남로 123-7</t>
  </si>
  <si>
    <t>지엘케이</t>
  </si>
  <si>
    <t>유리 및 창호 도매업</t>
  </si>
  <si>
    <t>지엘산업</t>
  </si>
  <si>
    <t>4층 408호</t>
  </si>
  <si>
    <t>지붕뚫은친구들</t>
  </si>
  <si>
    <t>광주광역시 광산구 하남산단4번로 156 (장덕동)</t>
  </si>
  <si>
    <t>주식회사제이비코리아</t>
  </si>
  <si>
    <t>헤리움메트로타워 706호</t>
  </si>
  <si>
    <t>주식회사이음소프트</t>
  </si>
  <si>
    <t>경기도 평택시 원평로 12 (군문동)</t>
  </si>
  <si>
    <t>주식회사스마트안전신호등</t>
  </si>
  <si>
    <t>금속류 해체 및 선별업</t>
  </si>
  <si>
    <t>울산광역시 북구 호계로 366-3 (신천동)</t>
  </si>
  <si>
    <t>주식회사두바퀴</t>
  </si>
  <si>
    <t>충청북도 제천시 강저로2길 42 (강제동)</t>
  </si>
  <si>
    <t>주식회사 한성</t>
  </si>
  <si>
    <t>대전광역시 서구 신갈마로127번길 9 (갈마동)</t>
  </si>
  <si>
    <t>주식회사 트루밸류</t>
  </si>
  <si>
    <t>다산타워 501호</t>
  </si>
  <si>
    <t>경기도 성남시 분당구 대왕판교로644번길 49 (삼평동)</t>
  </si>
  <si>
    <t>주식회사 텐</t>
  </si>
  <si>
    <t>비1층 108-105호(서초동 강남효성해링턴타워)</t>
  </si>
  <si>
    <t>주식회사 진온</t>
  </si>
  <si>
    <t>주식회사 이콜트리</t>
  </si>
  <si>
    <t>경기도 안산시 단원구 원당길 4-2 (초지동)</t>
  </si>
  <si>
    <t>주식회사 더원플래닛</t>
  </si>
  <si>
    <t>강원도 강릉시 입암로 15-6 (입암동)</t>
  </si>
  <si>
    <t>주식회사 공간너머</t>
  </si>
  <si>
    <t>전라북도 전주시 완산구 쑥고개로 331 (효자동2가)</t>
  </si>
  <si>
    <t>유한회사 금손전공</t>
  </si>
  <si>
    <t>엔에이티통신기술</t>
  </si>
  <si>
    <t>B동 904-1호</t>
  </si>
  <si>
    <t>에스제이엠앤씨 주식회사</t>
  </si>
  <si>
    <t>어라운드플래닝</t>
  </si>
  <si>
    <t>오피스동 1303호</t>
  </si>
  <si>
    <t>알토</t>
  </si>
  <si>
    <t>C5동 615호</t>
  </si>
  <si>
    <t>경상북도 포항시 남구 지곡로 80 (지곡동)</t>
  </si>
  <si>
    <t>아이오크롭스(주)</t>
  </si>
  <si>
    <t>2층 R9204호</t>
  </si>
  <si>
    <t>백년미가</t>
  </si>
  <si>
    <t>경기도 화성시 팔탄면 하저자안로 169-9</t>
  </si>
  <si>
    <t>메트켐</t>
  </si>
  <si>
    <t>대구광역시 수성구 들안로29길 34-13 (중동)</t>
  </si>
  <si>
    <t>건축사사무소 수앤수</t>
  </si>
  <si>
    <t>경상남도 김해시 상동면 상동로197번길 2-24</t>
  </si>
  <si>
    <t>(주)해온테크</t>
  </si>
  <si>
    <t>충남대학교 산학연교육연구관 808</t>
  </si>
  <si>
    <t>(주)한밭아이오티</t>
  </si>
  <si>
    <t>대구광역시 수성구 범어천로 167 (수성동4가)</t>
  </si>
  <si>
    <t>(주)플로우</t>
  </si>
  <si>
    <t>경상남도 창원시 마산회원구 삼호로 269-1 (회성동)</t>
  </si>
  <si>
    <t>(주)케이엠씨</t>
  </si>
  <si>
    <t>C동 701702호(마곡동두산더랜드파크)</t>
  </si>
  <si>
    <t>(주)제이지파트너스</t>
  </si>
  <si>
    <t>대전광역시 대덕구 아리랑로 108 (읍내동)</t>
  </si>
  <si>
    <t>(주)제이원패널</t>
  </si>
  <si>
    <t>아리페리온 11층 1103호</t>
  </si>
  <si>
    <t>경기도 성남시 수정구 위례광장로 19 (창곡동)</t>
  </si>
  <si>
    <t>(주)제니스코리아</t>
  </si>
  <si>
    <t>대구광역시 수성구 성동로33길 9 (성동)</t>
  </si>
  <si>
    <t>(주)이노액트</t>
  </si>
  <si>
    <t>스타프라자 404 405호</t>
  </si>
  <si>
    <t>강원도 원주시 미래로 3 (반곡동)</t>
  </si>
  <si>
    <t>(주)시야인사이트</t>
  </si>
  <si>
    <t>충청남도 천안시 서북구 직산읍 상덕로 210-1</t>
  </si>
  <si>
    <t>(주)새롬오토코리아</t>
  </si>
  <si>
    <t>802~803호</t>
  </si>
  <si>
    <t>(주)다즐에듀</t>
  </si>
  <si>
    <t>서울특별시 강서구 양천로 482 (등촌동)</t>
  </si>
  <si>
    <t>휴식프로젝트 주식회사</t>
  </si>
  <si>
    <t>제주특별자치도 제주시 서광로 228 (삼도일동)</t>
  </si>
  <si>
    <t>호영주식회사</t>
  </si>
  <si>
    <t>상가동 303304호(풍암동한신아파트)</t>
  </si>
  <si>
    <t>광주광역시 서구 풍암순환로 42 (풍암동)</t>
  </si>
  <si>
    <t>호민전기 주식회사</t>
  </si>
  <si>
    <t>서울특별시 은평구 갈현로7가길 9-7 (역촌동)</t>
  </si>
  <si>
    <t>협동조합 청청</t>
  </si>
  <si>
    <t>대구광역시 서구 염색공단천로19길 31 (비산동)</t>
  </si>
  <si>
    <t>현대다이텍(주)</t>
  </si>
  <si>
    <t>기타 부동산 개발 및 공급업</t>
  </si>
  <si>
    <t>제가동 3층 301호</t>
  </si>
  <si>
    <t>경기도 포천시 중앙로110번길 9 (신읍동)</t>
  </si>
  <si>
    <t>한솔개발</t>
  </si>
  <si>
    <t>105동 1706호</t>
  </si>
  <si>
    <t>경상북도 포항시 북구 중앙로419번길 21 (우현동 대동우방타운)</t>
  </si>
  <si>
    <t>한국평가연구원</t>
  </si>
  <si>
    <t>1층134호</t>
  </si>
  <si>
    <t>한국에너지산업기술(주)</t>
  </si>
  <si>
    <t>산학협동관2동 320호</t>
  </si>
  <si>
    <t>경상남도 창원시 의창구 창원대학로 20 (퇴촌동)</t>
  </si>
  <si>
    <t>하이엠테크(주)</t>
  </si>
  <si>
    <t>하나가구</t>
  </si>
  <si>
    <t>1동 2015호(동아벤처타워)</t>
  </si>
  <si>
    <t>피와이에스 주식회사</t>
  </si>
  <si>
    <t>1층 플레이카니발</t>
  </si>
  <si>
    <t>서울특별시 성북구 서경로 106-2 (정릉동)</t>
  </si>
  <si>
    <t>플레이카니발</t>
  </si>
  <si>
    <t>충청남도 천안시 동남구 목천읍 진주골길 68</t>
  </si>
  <si>
    <t>프롬네이처 투네이처</t>
  </si>
  <si>
    <t>폴프랜즈 주식회사</t>
  </si>
  <si>
    <t>한라빌딩 606호</t>
  </si>
  <si>
    <t>펀텍플러스</t>
  </si>
  <si>
    <t>퍼니라이프</t>
  </si>
  <si>
    <t>광주광역시 북구 중흥로 147 (중흥동)</t>
  </si>
  <si>
    <t>트립소다</t>
  </si>
  <si>
    <t>1층 3호 4호</t>
  </si>
  <si>
    <t>경기도 파주시 문산읍 문현말길 14</t>
  </si>
  <si>
    <t>태흥농산</t>
  </si>
  <si>
    <t>9동 126호</t>
  </si>
  <si>
    <t>광주광역시 서구 매월2로 53 (매월동)</t>
  </si>
  <si>
    <t>태영이앤지주식회사</t>
  </si>
  <si>
    <t>3동 506호</t>
  </si>
  <si>
    <t>충청북도 청주시 흥덕구 복대로 159 (복대동 형석아파트)</t>
  </si>
  <si>
    <t>클링(cling)</t>
  </si>
  <si>
    <t>B동 4층 413호</t>
  </si>
  <si>
    <t>경기도 파주시 회동길 480 (문발동)</t>
  </si>
  <si>
    <t>클로버리 주식회사</t>
  </si>
  <si>
    <t>3층 3-B01호</t>
  </si>
  <si>
    <t>큐클래스컴퍼니 주식회사</t>
  </si>
  <si>
    <t>콤비로 주식회사</t>
  </si>
  <si>
    <t>경기도 화성시 남여울3길 34 (능동)</t>
  </si>
  <si>
    <t>코어컨설팅</t>
  </si>
  <si>
    <t>컴퓨터 학원</t>
  </si>
  <si>
    <t>울산광역시 남구 중앙로128번길 34 (달동)</t>
  </si>
  <si>
    <t>코딩LAB달동점코딩교습소</t>
  </si>
  <si>
    <t>경기도 안산시 단원구 광덕3로 55 (초지동)</t>
  </si>
  <si>
    <t>케이툴</t>
  </si>
  <si>
    <t>제조로봇기술센터103</t>
  </si>
  <si>
    <t>케이제이피기술</t>
  </si>
  <si>
    <t>대구광역시 북구 유통단지로 103 (산격동)</t>
  </si>
  <si>
    <t>케이스텝</t>
  </si>
  <si>
    <t>충청북도 청주시 상당구 대성로 99 (문화동)</t>
  </si>
  <si>
    <t>케어투케어 주식회사</t>
  </si>
  <si>
    <t>스페이스살림 지상공유오피스 2층</t>
  </si>
  <si>
    <t>서울특별시 동작구 노량진로 10 (대방동)</t>
  </si>
  <si>
    <t>커넥트위드</t>
  </si>
  <si>
    <t>지702 (성수동1가)</t>
  </si>
  <si>
    <t>캣벨컴퍼니 주식회사</t>
  </si>
  <si>
    <t>제과점업</t>
  </si>
  <si>
    <t>경기도 의정부시 용민로 70 (용현동)</t>
  </si>
  <si>
    <t>카페309(CAFE309)</t>
  </si>
  <si>
    <t>울산광역시 남구 화합로 243 (삼산동)</t>
  </si>
  <si>
    <t>채움씽크(삼산점)</t>
  </si>
  <si>
    <t>2011호</t>
  </si>
  <si>
    <t>채움건축사사무소</t>
  </si>
  <si>
    <t>경기도 남양주시 가운로2길 55 (다산동)</t>
  </si>
  <si>
    <t>창조조경(주)</t>
  </si>
  <si>
    <t>서울특별시 영등포구 양평로30길 14 (양평동6가)</t>
  </si>
  <si>
    <t>진솔오피스</t>
  </si>
  <si>
    <t>(재)충남테크노파크 영상관동 112호</t>
  </si>
  <si>
    <t>지니솔루션</t>
  </si>
  <si>
    <t>경기도 남양주시 오남읍 양지로 47-44</t>
  </si>
  <si>
    <t>주식회사헬스웰코리아</t>
  </si>
  <si>
    <t>2층 온앤미</t>
  </si>
  <si>
    <t>서울특별시 서초구 남부순환로356길 69 (양재동)</t>
  </si>
  <si>
    <t>주식회사온앤미</t>
  </si>
  <si>
    <t>대전광역시 유성구 대학로 227 (어은동)</t>
  </si>
  <si>
    <t>주식회사엠케이</t>
  </si>
  <si>
    <t>904호</t>
  </si>
  <si>
    <t>주식회사아크로노드</t>
  </si>
  <si>
    <t>대구광역시 북구 노원로 181 (침산동)</t>
  </si>
  <si>
    <t>주식회사씨투케이</t>
  </si>
  <si>
    <t>원당산업공장2동</t>
  </si>
  <si>
    <t>경기도 용인시 기흥구 고매로43번길 47-1 (공세동)</t>
  </si>
  <si>
    <t>주식회사미래기술연구소</t>
  </si>
  <si>
    <t>3동 103호 맨안쪽 건물(주식회사 가든)</t>
  </si>
  <si>
    <t>충청북도 청주시 서원구 현도면 죽전길 109</t>
  </si>
  <si>
    <t>주식회사가든</t>
  </si>
  <si>
    <t>2층 휴니버스글로벌</t>
  </si>
  <si>
    <t>서울특별시 성북구 안암로 81 (안암동5가)</t>
  </si>
  <si>
    <t>주식회사 휴니버스글로벌</t>
  </si>
  <si>
    <t>B동 화인테크</t>
  </si>
  <si>
    <t>광주광역시 북구 하서로 290-22 (양산동)</t>
  </si>
  <si>
    <t>주식회사 화인테크</t>
  </si>
  <si>
    <t>충청북도 보은군 보은읍 산외로 8-15</t>
  </si>
  <si>
    <t>주식회사 한국조경건설</t>
  </si>
  <si>
    <t>경기도 평택시 고덕면 방축길 111-7</t>
  </si>
  <si>
    <t>주식회사 하나기건</t>
  </si>
  <si>
    <t>서울특별시 중구 충무로 40 (초동)</t>
  </si>
  <si>
    <t>주식회사 플래너씨엠</t>
  </si>
  <si>
    <t>라이프오피스텔 1220호</t>
  </si>
  <si>
    <t>서울특별시 영등포구 63로 40 (여의도동)</t>
  </si>
  <si>
    <t>주식회사 풍경</t>
  </si>
  <si>
    <t>이노비즈파크 306호</t>
  </si>
  <si>
    <t>주식회사 폴리체인</t>
  </si>
  <si>
    <t>B동 410호</t>
  </si>
  <si>
    <t>주식회사 포스팩토리</t>
  </si>
  <si>
    <t>인천광역시 남동구 방축로 414 (간석동)</t>
  </si>
  <si>
    <t>주식회사 퀀텀케어시스템</t>
  </si>
  <si>
    <t>3F</t>
  </si>
  <si>
    <t>인천광역시 서구 마중로 158 (오류동)</t>
  </si>
  <si>
    <t>주식회사 코리아베스트네트워크</t>
  </si>
  <si>
    <t>블루오션별내주건축물제1동 제2층 제209호</t>
  </si>
  <si>
    <t>주식회사 컴텍시그널</t>
  </si>
  <si>
    <t>1층 공유공간 힘나 B2</t>
  </si>
  <si>
    <t>주식회사 컨텐츠다</t>
  </si>
  <si>
    <t>대전광역시 서구 문정로90번길 51 (탄방동 럭시드)</t>
  </si>
  <si>
    <t>주식회사 카스아이</t>
  </si>
  <si>
    <t>창업진흥센터 B동 206호</t>
  </si>
  <si>
    <t>주식회사 초록에이아이</t>
  </si>
  <si>
    <t>동국대학교 충무로관 신관 221호</t>
  </si>
  <si>
    <t>주식회사 종달랩</t>
  </si>
  <si>
    <t>대구창조경제혁신센터</t>
  </si>
  <si>
    <t>주식회사 조이드론</t>
  </si>
  <si>
    <t>경기도 성남시 중원구 사기막골로62번길 51 (상대원동)</t>
  </si>
  <si>
    <t>주식회사 제이티웍스</t>
  </si>
  <si>
    <t>상동 778</t>
  </si>
  <si>
    <t>전라북도 정읍시 벚꽃로 474 (상동)</t>
  </si>
  <si>
    <t>주식회사 제이케이에너지</t>
  </si>
  <si>
    <t>전라북도 익산시 익산대로 174 (창인동1가)</t>
  </si>
  <si>
    <t>주식회사 정완컴퍼니</t>
  </si>
  <si>
    <t>세종특별자치시 장군면 산학리길 16-5</t>
  </si>
  <si>
    <t>주식회사 장군소방</t>
  </si>
  <si>
    <t>4층 제티3-415호</t>
  </si>
  <si>
    <t>주식회사 이픽</t>
  </si>
  <si>
    <t>대전광역시 중구 선화서로 34-10 (선화동 엠제이아파트)</t>
  </si>
  <si>
    <t>주식회사 이지스랩</t>
  </si>
  <si>
    <t>(주)이음</t>
  </si>
  <si>
    <t>경기도 남양주시 오남읍 양지로125번길 23</t>
  </si>
  <si>
    <t>주식회사 이음</t>
  </si>
  <si>
    <t>산학협력단 502~504호</t>
  </si>
  <si>
    <t>주식회사 이에이치아이</t>
  </si>
  <si>
    <t>1701 1702</t>
  </si>
  <si>
    <t>주식회사 이디스텍(EDISTEC Co.Ltd.)</t>
  </si>
  <si>
    <t>15층 1호</t>
  </si>
  <si>
    <t>서울특별시 마포구 마포대로 49 (도화동)</t>
  </si>
  <si>
    <t>주식회사 윈드랩(Wind Lab Inc.)</t>
  </si>
  <si>
    <t>더퍼스트타워2차 1602호</t>
  </si>
  <si>
    <t>주식회사 위드썬바이오</t>
  </si>
  <si>
    <t>다목적안테나타워동 301호</t>
  </si>
  <si>
    <t>대전광역시 유성구 과학로 169-84 (어은동)</t>
  </si>
  <si>
    <t>피자 햄버거 샌드위치 및 유사 음식점업</t>
  </si>
  <si>
    <t>경상남도 진주시 도동로189번길 15-2 (하대동)</t>
  </si>
  <si>
    <t>주식회사 와로</t>
  </si>
  <si>
    <t>부산광역시 수영구 광안해변로 245-1 (민락동)</t>
  </si>
  <si>
    <t>주식회사 오랜지바다</t>
  </si>
  <si>
    <t>충청남도 보령시 웅천읍 산업단지길 27</t>
  </si>
  <si>
    <t>주식회사 연호</t>
  </si>
  <si>
    <t>나동 2층</t>
  </si>
  <si>
    <t>경기도 안성시 공도읍 서동대로 4016</t>
  </si>
  <si>
    <t>주식회사 엔이피콘</t>
  </si>
  <si>
    <t>주식회사 에이피그룹</t>
  </si>
  <si>
    <t>서울특별시 마포구 양화로 147 (동교동)</t>
  </si>
  <si>
    <t>주식회사 에이티브이코리아</t>
  </si>
  <si>
    <t>서울특별시 강서구 마곡서로 158 (마곡동)</t>
  </si>
  <si>
    <t>주식회사 에이치알링크</t>
  </si>
  <si>
    <t>중앙학술정보관 70505호</t>
  </si>
  <si>
    <t>서울특별시 종로구 성균관로 25-2 (명륜3가)</t>
  </si>
  <si>
    <t>주식회사 에이아이프로 (AIPro Inc.)</t>
  </si>
  <si>
    <t>서울특별시 강남구 언주로81길 13 (역삼동)</t>
  </si>
  <si>
    <t>주식회사 에이스랩</t>
  </si>
  <si>
    <t>A동 403호</t>
  </si>
  <si>
    <t>주식회사 에스에프에스</t>
  </si>
  <si>
    <t>(주)에스알하이텍</t>
  </si>
  <si>
    <t>경기도 화성시 향남읍 만년로 205-45</t>
  </si>
  <si>
    <t>주식회사 에스알하이텍</t>
  </si>
  <si>
    <t>충청북도 청주시 흥덕구 풍년로111번길 10-6 (가경동)</t>
  </si>
  <si>
    <t>주식회사 에디온</t>
  </si>
  <si>
    <t>전자카드 제조업</t>
  </si>
  <si>
    <t>505호(인천스타트업파크인스타1)</t>
  </si>
  <si>
    <t>주식회사 알에프아이오티</t>
  </si>
  <si>
    <t>c동 208호</t>
  </si>
  <si>
    <t>인천광역시 연수구 인천타워대로 257 (송도동)</t>
  </si>
  <si>
    <t>주식회사 아프로컴퍼니</t>
  </si>
  <si>
    <t>대전광역시 서구 계룡로491번길 86 (둔산동)</t>
  </si>
  <si>
    <t>주식회사 아이웰</t>
  </si>
  <si>
    <t>서울특별시 강남구 논현로 625 (논현동)</t>
  </si>
  <si>
    <t>주식회사 씨에이치에이컴퍼니</t>
  </si>
  <si>
    <t>경기도 평택시 청북읍 청북남로 254</t>
  </si>
  <si>
    <t>주식회사 심넷</t>
  </si>
  <si>
    <t>844호</t>
  </si>
  <si>
    <t>주식회사 스파이더실크</t>
  </si>
  <si>
    <t>H-201</t>
  </si>
  <si>
    <t>서울특별시 서초구 신반포로 22 (반포동)</t>
  </si>
  <si>
    <t>주식회사 스마트파워서플라이</t>
  </si>
  <si>
    <t>경성대학교 사회관 B113-1</t>
  </si>
  <si>
    <t>주식회사 스마트탑</t>
  </si>
  <si>
    <t>서울특별시 마포구 연남로 75 (연남동)</t>
  </si>
  <si>
    <t>주식회사 셀렉티드</t>
  </si>
  <si>
    <t>광주광역시 광산구 산월로 41 (월계동)</t>
  </si>
  <si>
    <t>주식회사 세주아이씨티</t>
  </si>
  <si>
    <t>우인2차 1404호</t>
  </si>
  <si>
    <t>경기도 고양시 일산동구 무궁화로 7-63 (장항동)</t>
  </si>
  <si>
    <t>주식회사 상상해</t>
  </si>
  <si>
    <t>스포츠 및 레크리에이션 용품 임대업</t>
  </si>
  <si>
    <t>제주특별자치도 제주시 신광로1길 10 (연동 연동학산맨션)</t>
  </si>
  <si>
    <t>주식회사 삼다기획</t>
  </si>
  <si>
    <t>대구광역시 동구 이노밸리로42길 20-2 (각산동)</t>
  </si>
  <si>
    <t>주식회사 비에스텍</t>
  </si>
  <si>
    <t>해양빌딩 1층</t>
  </si>
  <si>
    <t>부산광역시 중구 충장대로13번길 9 (중앙동4가)</t>
  </si>
  <si>
    <t>주식회사 브이마린</t>
  </si>
  <si>
    <t>경기도 부천시 도약로 1 (상동)</t>
  </si>
  <si>
    <t>주식회사 브론티어</t>
  </si>
  <si>
    <t>인천 스타트업파크 인스타Ⅰ 403호</t>
  </si>
  <si>
    <t>주식회사 모빅랩 (MOVIC Lab Inc.)</t>
  </si>
  <si>
    <t>101동 107호</t>
  </si>
  <si>
    <t>서울특별시 용산구 서빙고로 413 (한남동 한남동 하이페리온)</t>
  </si>
  <si>
    <t>주식회사 머스카</t>
  </si>
  <si>
    <t>원자력성과확산관 402-1</t>
  </si>
  <si>
    <t>대전광역시 유성구 대덕대로989번길 111 (덕진동)</t>
  </si>
  <si>
    <t>주식회사 맥텍</t>
  </si>
  <si>
    <t>서울특별시 중구 을지로 50 (을지로2가)</t>
  </si>
  <si>
    <t>주식회사 링크플러스온</t>
  </si>
  <si>
    <t>부산광역시 부산진구 자유평화로3번길 14-21 (범천동)</t>
  </si>
  <si>
    <t>주식회사 리얼코코글로벌</t>
  </si>
  <si>
    <t>5층 CS-520호(한국특허정보원빌딩)</t>
  </si>
  <si>
    <t>서울특별시 마포구 연희로 11 (동교동)</t>
  </si>
  <si>
    <t>주식회사 로직앤이모션</t>
  </si>
  <si>
    <t>주식회사 라돈프로텍</t>
  </si>
  <si>
    <t>경기도 용인시 처인구 남사읍 통삼로 445</t>
  </si>
  <si>
    <t>A동 2층</t>
  </si>
  <si>
    <t>경기도 파주시 지목로 163-6 (신촌동)</t>
  </si>
  <si>
    <t>주식회사 디씨티</t>
  </si>
  <si>
    <t>벤처창업관 5층 30호</t>
  </si>
  <si>
    <t>주식회사 두루소프트</t>
  </si>
  <si>
    <t>경상남도 김해시 주촌면 서부로1409번길 79</t>
  </si>
  <si>
    <t>주식회사 대흥글로벌</t>
  </si>
  <si>
    <t>7층 702호(서영아너시티2)</t>
  </si>
  <si>
    <t>주식회사 닻별플랜</t>
  </si>
  <si>
    <t>A동 1004호 1005호</t>
  </si>
  <si>
    <t>주식회사 닥터제이코스</t>
  </si>
  <si>
    <t>분당테크노파크 B동 604호</t>
  </si>
  <si>
    <t>경기도 성남시 분당구 판교로 723 (야탑동)</t>
  </si>
  <si>
    <t>주식회사 다모아텍</t>
  </si>
  <si>
    <t>4층 414호</t>
  </si>
  <si>
    <t>주식회사 넥스웹</t>
  </si>
  <si>
    <t>충북대학교 융합기술원 B동 424호</t>
  </si>
  <si>
    <t>주식회사 네오스텍</t>
  </si>
  <si>
    <t>1동 1306호</t>
  </si>
  <si>
    <t>전라북도 전주시 완산구 효자로 194 (효자동3가)</t>
  </si>
  <si>
    <t>주식회사 그레잇타임</t>
  </si>
  <si>
    <t>생수 생산업</t>
  </si>
  <si>
    <t>경상북도 경주시 탑리1길 24 (탑동)</t>
  </si>
  <si>
    <t>주식회사 경주신라수</t>
  </si>
  <si>
    <t>202동 1313호</t>
  </si>
  <si>
    <t>인천광역시 연수구 송도과학로27번길 55 (송도동 롯데캐슬 캠퍼스타운)</t>
  </si>
  <si>
    <t>주식회사 경인코이어</t>
  </si>
  <si>
    <t>주식회사 결</t>
  </si>
  <si>
    <t>해양2호관 512호</t>
  </si>
  <si>
    <t>주식회사 거품환경기술</t>
  </si>
  <si>
    <t>제이제이인터내셔널</t>
  </si>
  <si>
    <t>사곡공단1길53</t>
  </si>
  <si>
    <t>경상북도 성주군 용암면 사곡공단1길 53</t>
  </si>
  <si>
    <t>정훈산업</t>
  </si>
  <si>
    <t>1001호</t>
  </si>
  <si>
    <t>서울특별시 종로구 율곡로 190 (연지동)</t>
  </si>
  <si>
    <t>자이메드 주식회사</t>
  </si>
  <si>
    <t>경기도 파주시 문산읍 사목로 130</t>
  </si>
  <si>
    <t>자연엔 숲</t>
  </si>
  <si>
    <t>B4동</t>
  </si>
  <si>
    <t>경기도 김포시 양촌읍 황금로127번길 107</t>
  </si>
  <si>
    <t>이즈코퍼레이션</t>
  </si>
  <si>
    <t>충청남도 천안시 서북구 불당9길 38 (불당동)</t>
  </si>
  <si>
    <t>이수환경엔지니어링(주)</t>
  </si>
  <si>
    <t>전라남도 영암군 영암읍 군청로 2-3</t>
  </si>
  <si>
    <t>유한회사 영진산업개발</t>
  </si>
  <si>
    <t>102호(옥암동)</t>
  </si>
  <si>
    <t>전라남도 목포시 남악1로52번나길 5 (옥암동)</t>
  </si>
  <si>
    <t>유한회사 모란산업</t>
  </si>
  <si>
    <t>부산광역시 강서구 제도로 707 (강동동)</t>
  </si>
  <si>
    <t>유수테크</t>
  </si>
  <si>
    <t>213동 108호</t>
  </si>
  <si>
    <t>위히터</t>
  </si>
  <si>
    <t>임업 관련 서비스업</t>
  </si>
  <si>
    <t>104동 2305호</t>
  </si>
  <si>
    <t>대구광역시 달성군 논공읍 금포로 75-20 (우신미가뷰 아파트)</t>
  </si>
  <si>
    <t>울림 산림기술사사무소</t>
  </si>
  <si>
    <t>성화빌딩 5층</t>
  </si>
  <si>
    <t>우리정보기술</t>
  </si>
  <si>
    <t>경기도 양주시 남면 삼일로731번길 80</t>
  </si>
  <si>
    <t>와테크</t>
  </si>
  <si>
    <t>서울특별시 성동구 사근동길 55 (사근동)</t>
  </si>
  <si>
    <t>오티에스(Our Testing Solution)</t>
  </si>
  <si>
    <t>b103호</t>
  </si>
  <si>
    <t>경기도 용인시 수지구 죽전로 150 (죽전동)</t>
  </si>
  <si>
    <t>오웬스코</t>
  </si>
  <si>
    <t>대전광역시 유성구 대덕대로 593 (도룡동)</t>
  </si>
  <si>
    <t>연구개발특구에프엔에스(주)</t>
  </si>
  <si>
    <t>경상남도 양산시 동면 석산6길 6-19</t>
  </si>
  <si>
    <t>엠에스에스글로벌</t>
  </si>
  <si>
    <t>경남스타트업캠퍼스 3-03호</t>
  </si>
  <si>
    <t>엠아이디</t>
  </si>
  <si>
    <t>3층 398호</t>
  </si>
  <si>
    <t>서울특별시 강남구 논현로 80 (개포동)</t>
  </si>
  <si>
    <t>엘비더블유 주식회사</t>
  </si>
  <si>
    <t>323호</t>
  </si>
  <si>
    <t>엔터아이오티</t>
  </si>
  <si>
    <t>부산광역시 강서구 과학산단로333번길 32 (지사동)</t>
  </si>
  <si>
    <t>에코필텍(주)</t>
  </si>
  <si>
    <t>전라북도 정읍시 북면 3산단4길 78-12</t>
  </si>
  <si>
    <t>에코파크</t>
  </si>
  <si>
    <t>원광대학교 무빙테크노관 203호</t>
  </si>
  <si>
    <t>에코엔텍 주식회사</t>
  </si>
  <si>
    <t>3층3128호</t>
  </si>
  <si>
    <t>에이아이오티로봇(AIoTRobot)</t>
  </si>
  <si>
    <t>에스티아이 (주)</t>
  </si>
  <si>
    <t>2층 에스에스에너지</t>
  </si>
  <si>
    <t>에스에스에너지</t>
  </si>
  <si>
    <t>전라북도 김제시 동서17길 37 (신풍동)</t>
  </si>
  <si>
    <t>에브리윕스튜디오</t>
  </si>
  <si>
    <t>경기도 성남시 분당구 황새울로360번길 21 (서현동)</t>
  </si>
  <si>
    <t>에너지온실가스평가연구소</t>
  </si>
  <si>
    <t>610호(에이스테크노10차)</t>
  </si>
  <si>
    <t>어바스</t>
  </si>
  <si>
    <t>홍익대학교 산학협력관 305호</t>
  </si>
  <si>
    <t>어린이날이브 주식회사</t>
  </si>
  <si>
    <t>서울특별시 용산구 효창원로104나길 39-4 (서계동)</t>
  </si>
  <si>
    <t>애니스퀘어</t>
  </si>
  <si>
    <t>오-411 4층</t>
  </si>
  <si>
    <t>서울특별시 서초구 효령로67길 35 (서초동 서초극동스타클래스2)</t>
  </si>
  <si>
    <t>아이엠케이티</t>
  </si>
  <si>
    <t>5층 101호</t>
  </si>
  <si>
    <t>서울특별시 강남구 테헤란로 216 (역삼동)</t>
  </si>
  <si>
    <t>아이디비 주식회사</t>
  </si>
  <si>
    <t>상업용 사진 촬영업</t>
  </si>
  <si>
    <t>서울특별시 강남구 도산대로34길 5 (논현동)</t>
  </si>
  <si>
    <t>아더스튜디오</t>
  </si>
  <si>
    <t>26동 229-230호</t>
  </si>
  <si>
    <t>씨브이아이</t>
  </si>
  <si>
    <t>써니싸이드업</t>
  </si>
  <si>
    <t>sh밸리 706호</t>
  </si>
  <si>
    <t>스킨올리</t>
  </si>
  <si>
    <t>9층23호</t>
  </si>
  <si>
    <t>부산광역시 해운대구 세실로 79 (좌동)</t>
  </si>
  <si>
    <t>수지메디칼</t>
  </si>
  <si>
    <t>서울특별시 영등포구 여의공원로 111 (여의도동)</t>
  </si>
  <si>
    <t>수은플러스 주식회사</t>
  </si>
  <si>
    <t>한국폴리텍대학 인천캠퍼스 하이테크관 508호</t>
  </si>
  <si>
    <t>인천광역시 부평구 무네미로448번길 56 (구산동)</t>
  </si>
  <si>
    <t>수에너지 주식회사</t>
  </si>
  <si>
    <t>송원도시건축사사무소</t>
  </si>
  <si>
    <t>108호 소무나주식회사</t>
  </si>
  <si>
    <t>인천광역시 중구 축항대로296번길 183 (신흥동3가)</t>
  </si>
  <si>
    <t>소무나 주식회사</t>
  </si>
  <si>
    <t>경기도 용인시 기흥구 구성2로5번길 16 (청덕동)</t>
  </si>
  <si>
    <t>세굴라</t>
  </si>
  <si>
    <t>419호</t>
  </si>
  <si>
    <t>경기도 남양주시 순화궁로 272 (별내동)</t>
  </si>
  <si>
    <t>세광</t>
  </si>
  <si>
    <t>강원도 태백시 태백로 1082 (황지동)</t>
  </si>
  <si>
    <t>새론푸드</t>
  </si>
  <si>
    <t>인천광역시 남동구 함박뫼로347번길 162 (남촌동)</t>
  </si>
  <si>
    <t>상상이상3d프린팅</t>
  </si>
  <si>
    <t>2동 2층</t>
  </si>
  <si>
    <t>전라북도 전주시 덕진구 서당길 37 (용정동)</t>
  </si>
  <si>
    <t>사단법인 참복지</t>
  </si>
  <si>
    <t>사단법인 대한문화체육교육협회</t>
  </si>
  <si>
    <t>(2F) 뿌리건축사사무소</t>
  </si>
  <si>
    <t>전라남도 장흥군 장흥읍 중앙로 56-1</t>
  </si>
  <si>
    <t>뿌리건축사사무소</t>
  </si>
  <si>
    <t>전라남도 여수시 상암로 610-1 (상암동)</t>
  </si>
  <si>
    <t>비제이주식회사</t>
  </si>
  <si>
    <t>한화오벨리스크 213호</t>
  </si>
  <si>
    <t>서울특별시 동대문구 천호대로 319 (답십리동)</t>
  </si>
  <si>
    <t>비웍스</t>
  </si>
  <si>
    <t>경기도 부천시 상오정로 85 (오정동)</t>
  </si>
  <si>
    <t>비욘드머티어리얼에너지</t>
  </si>
  <si>
    <t>905호</t>
  </si>
  <si>
    <t>비오엠(BOM)</t>
  </si>
  <si>
    <t>비엔이티</t>
  </si>
  <si>
    <t>134호</t>
  </si>
  <si>
    <t>비디 주식회사</t>
  </si>
  <si>
    <t>토담빌 101호 베라테크</t>
  </si>
  <si>
    <t>경기도 화성시 병점중앙로242번길 25-2 (진안동)</t>
  </si>
  <si>
    <t>베라테크(Veritas Life Technology)</t>
  </si>
  <si>
    <t>울산광역시 울주군 온산읍 덕신5길 39</t>
  </si>
  <si>
    <t>버텍스액세스서비스 유한회사</t>
  </si>
  <si>
    <t>경기도 김포시 대곶면 대곶남로 511-21</t>
  </si>
  <si>
    <t>미크론텍</t>
  </si>
  <si>
    <t>미디어프렌드</t>
  </si>
  <si>
    <t>다호 모걸코리아</t>
  </si>
  <si>
    <t>서울특별시 종로구 청계천로 139-1 (장사동)</t>
  </si>
  <si>
    <t>모걸코리아</t>
  </si>
  <si>
    <t>5층 RA530호</t>
  </si>
  <si>
    <t>머텍솔루션</t>
  </si>
  <si>
    <t>대전광역시 대덕구 동심1길 9 (오정동)</t>
  </si>
  <si>
    <t>마이드론</t>
  </si>
  <si>
    <t>4-408</t>
  </si>
  <si>
    <t>경기도 구리시 이문안로 124 (수택동 럭키아파트)</t>
  </si>
  <si>
    <t>마더핸즈</t>
  </si>
  <si>
    <t>서울특별시 마포구 대흥로28길 3 (대흥동)</t>
  </si>
  <si>
    <t>리버블</t>
  </si>
  <si>
    <t>벤처창조융합관 306호</t>
  </si>
  <si>
    <t>로드에프</t>
  </si>
  <si>
    <t>부산 콘텐츠코리아 랩 5F-7</t>
  </si>
  <si>
    <t>레츠이매진</t>
  </si>
  <si>
    <t>1층 래디자인(RAE DESIGN)</t>
  </si>
  <si>
    <t>강원도 속초시 장안로 9 (동명동)</t>
  </si>
  <si>
    <t>래디자인</t>
  </si>
  <si>
    <t>교과서 및 학습 서적 출판업</t>
  </si>
  <si>
    <t>울산광역시 남구 삼산중로131번길 42-10 (삼산동)</t>
  </si>
  <si>
    <t>디자인문</t>
  </si>
  <si>
    <t>디오테크</t>
  </si>
  <si>
    <t>그 외 기타 달리 분류되지 않은 운송장비 제조업</t>
  </si>
  <si>
    <t>경상남도 김해시 한림면 한림로352번길 16</t>
  </si>
  <si>
    <t>디에이치이</t>
  </si>
  <si>
    <t>경기도 안산시 단원구 번영로10번길 22 (성곡동)</t>
  </si>
  <si>
    <t>디아이메탈</t>
  </si>
  <si>
    <t>서울특별시 관악구 신림로 117 (신림동)</t>
  </si>
  <si>
    <t>듀이</t>
  </si>
  <si>
    <t>서울특별시 마포구 독막로6길 21 (합정동)</t>
  </si>
  <si>
    <t>두림건축사사무소</t>
  </si>
  <si>
    <t>901호 B-10(궁동충남대학교 산학연교육연구관)</t>
  </si>
  <si>
    <t>동역엔지니어</t>
  </si>
  <si>
    <t>대동ev</t>
  </si>
  <si>
    <t>충청남도 보령시 주포면 배재길 6-51</t>
  </si>
  <si>
    <t>대동이브이주식회사</t>
  </si>
  <si>
    <t>경기도 김포시 고촌읍 아라육로 80</t>
  </si>
  <si>
    <t>다원파마</t>
  </si>
  <si>
    <t>서울특별시 영등포구 국회대로74길 20 (여의도동)</t>
  </si>
  <si>
    <t>다움커리어(주)</t>
  </si>
  <si>
    <t>충청북도 청주시 흥덕구 오송읍 오송생명로 178</t>
  </si>
  <si>
    <t>농업회사법인뽕나무한그루(주)</t>
  </si>
  <si>
    <t>경상북도 성주군 벽진면 봉흥로 140</t>
  </si>
  <si>
    <t>농업회사법인(주)지오</t>
  </si>
  <si>
    <t>401동 4705호</t>
  </si>
  <si>
    <t>충청남도 천안시 서북구 공원로 177 (불당동 천안불당 시티프라디움)</t>
  </si>
  <si>
    <t>농업회사법인 주식회사 오가닉씨허브</t>
  </si>
  <si>
    <t>서울특별시 구로구 경인로53길 90 (구로동)</t>
  </si>
  <si>
    <t>넥잼</t>
  </si>
  <si>
    <t>리치플러스 407호</t>
  </si>
  <si>
    <t>경기도 하남시 덕풍동로 111-15 (덕풍동)</t>
  </si>
  <si>
    <t>네오인터랙티브</t>
  </si>
  <si>
    <t>108호 (제주대 창업보육센타 1호관)</t>
  </si>
  <si>
    <t>나우펄스테크 주식회사</t>
  </si>
  <si>
    <t>경상북도 경산시 남산면 갈지로 36</t>
  </si>
  <si>
    <t>나눔커뮤니케이션</t>
  </si>
  <si>
    <t>308-319</t>
  </si>
  <si>
    <t>기용산업</t>
  </si>
  <si>
    <t>금수산업(구.하나기업)</t>
  </si>
  <si>
    <t>경상북도 경주시 외동읍 구어들밑길 132-61</t>
  </si>
  <si>
    <t>금수산업</t>
  </si>
  <si>
    <t>전라남도 나주시 남고문로 36-16 (송월동)</t>
  </si>
  <si>
    <t>그린시티</t>
  </si>
  <si>
    <t>대륭테크노타운12차 713호</t>
  </si>
  <si>
    <t>서울특별시 금천구 가산디지털2로 14 (가산동)</t>
  </si>
  <si>
    <t>구스텍(주)</t>
  </si>
  <si>
    <t>전라북도 정읍시 중앙로 38 (연지동)</t>
  </si>
  <si>
    <t>고은미래의원</t>
  </si>
  <si>
    <t>108-601</t>
  </si>
  <si>
    <t>경상남도 창원시 의창구 중동로 34 (중동 창원중동유니시티1단지)</t>
  </si>
  <si>
    <t>고마움기프트</t>
  </si>
  <si>
    <t>김해중소기업비즈니스센터 307호</t>
  </si>
  <si>
    <t>건강한사람들</t>
  </si>
  <si>
    <t>대전광역시 대덕구 홍도로135번길 45 (중리동)</t>
  </si>
  <si>
    <t>가치</t>
  </si>
  <si>
    <t>경기도 남양주시 진접읍 진벌로223번길 27-1</t>
  </si>
  <si>
    <t>moonfactory</t>
  </si>
  <si>
    <t>TBI 406</t>
  </si>
  <si>
    <t>충청북도 충주시 대소원면 대학로 50</t>
  </si>
  <si>
    <t>JS산업</t>
  </si>
  <si>
    <t>대구광역시 달서구 성서공단로22안길 13 (월암동)</t>
  </si>
  <si>
    <t>HJ중소기업지원센터</t>
  </si>
  <si>
    <t>B동 FITNESS365</t>
  </si>
  <si>
    <t>경기도 고양시 일산서구 송포로447번길 107-3 (가좌동)</t>
  </si>
  <si>
    <t>FITNESS365</t>
  </si>
  <si>
    <t>2층 지층102호</t>
  </si>
  <si>
    <t>(주)핀컴퍼니</t>
  </si>
  <si>
    <t>인천광역시 남동구 은봉로105번길 64-16 (논현동)</t>
  </si>
  <si>
    <t>(주)피씨씨테크</t>
  </si>
  <si>
    <t>대구광역시 수성구 수성로 287-2 (수성동1가)</t>
  </si>
  <si>
    <t>(주)포엔락</t>
  </si>
  <si>
    <t>기업동 8층 802호</t>
  </si>
  <si>
    <t>(주)포나인커뮤니케이션</t>
  </si>
  <si>
    <t>1동 2동</t>
  </si>
  <si>
    <t>강원도 춘천시 서면 방동길 35</t>
  </si>
  <si>
    <t>(주)퍼스트푸드랩</t>
  </si>
  <si>
    <t>코어스코리아</t>
  </si>
  <si>
    <t>경기도 고양시 일산동구 성석로146번길 66 (성석동)</t>
  </si>
  <si>
    <t>(주)코어스코리아</t>
  </si>
  <si>
    <t>(주)지이에스테크</t>
  </si>
  <si>
    <t>상가 201 203호</t>
  </si>
  <si>
    <t>충청남도 아산시 배방읍 공원로 69 (아산배방엘에이치4단지)</t>
  </si>
  <si>
    <t>(주)제너럴이노베이션즈</t>
  </si>
  <si>
    <t>경기도 광주시 도척면 방도길 103</t>
  </si>
  <si>
    <t>(주)정성</t>
  </si>
  <si>
    <t>전라북도 전주시 덕진구 우아10길 17-20 (우아동3가)</t>
  </si>
  <si>
    <t>(주)이에스테크</t>
  </si>
  <si>
    <t>경상남도 창원시 성산구 비음로4번길 37-4 (사파동)</t>
  </si>
  <si>
    <t>(주)유성이엔씨</t>
  </si>
  <si>
    <t>(주)유니온트리</t>
  </si>
  <si>
    <t>경기도 김포시 고촌읍 금포로549번길 183-34</t>
  </si>
  <si>
    <t>이타운3 205호</t>
  </si>
  <si>
    <t>경기도 화성시 병점1로 216-21 (병점동)</t>
  </si>
  <si>
    <t>(주)위브솔루션</t>
  </si>
  <si>
    <t>(주)웰에이블</t>
  </si>
  <si>
    <t>지역산학협력관 413호</t>
  </si>
  <si>
    <t>경상북도 안동시 경동로 1375(송천동)</t>
  </si>
  <si>
    <t>(주)웨이투메이크</t>
  </si>
  <si>
    <t>지곡연구동 101호</t>
  </si>
  <si>
    <t>(주)원소프트다임</t>
  </si>
  <si>
    <t>(주)온에어</t>
  </si>
  <si>
    <t>지하 1층 b1006 케어매트</t>
  </si>
  <si>
    <t>(주)엘케이피</t>
  </si>
  <si>
    <t>산학연협력관 407 408호</t>
  </si>
  <si>
    <t>(주)에프티에너지</t>
  </si>
  <si>
    <t>경기도 하남시 아리수로 570 (망월동)</t>
  </si>
  <si>
    <t>(주)에이피티</t>
  </si>
  <si>
    <t>대전광역시 유성구 가정로 79-1 (신성동)</t>
  </si>
  <si>
    <t>(주)앤트브릿지</t>
  </si>
  <si>
    <t>서울특별시 서초구 새정2길 7 (신원동)</t>
  </si>
  <si>
    <t>(주)아하컨설팅</t>
  </si>
  <si>
    <t>서울특별시 마포구 마포대로 12 (마포동)</t>
  </si>
  <si>
    <t>(주)아이티위드윈</t>
  </si>
  <si>
    <t>경기도 용인시 수지구 대지로 58 (죽전동)</t>
  </si>
  <si>
    <t>(주)신성종합관리</t>
  </si>
  <si>
    <t>1602호</t>
  </si>
  <si>
    <t>(주)상지개발</t>
  </si>
  <si>
    <t>경기대진테크노파크B101</t>
  </si>
  <si>
    <t>(주)삼흥플라넷</t>
  </si>
  <si>
    <t>본주소 흥업면 사제리 1572</t>
  </si>
  <si>
    <t>강원도 원주시 흥업면 수루니길 113-5</t>
  </si>
  <si>
    <t>(주)삼우그린</t>
  </si>
  <si>
    <t>멀티미디어응용랩 206-209 (동국대학교 혜화별관)</t>
  </si>
  <si>
    <t>서울특별시 중구 필동로1길 30 (필동3가)</t>
  </si>
  <si>
    <t>(주)비즈아이엔에프</t>
  </si>
  <si>
    <t>경상북도 구미시 선산읍 선상동로 354</t>
  </si>
  <si>
    <t>(주)백상</t>
  </si>
  <si>
    <t>연산MS빌딩 6층</t>
  </si>
  <si>
    <t>서울특별시 강남구 논현로 134 (도곡동)</t>
  </si>
  <si>
    <t>(주)무브컬쳐</t>
  </si>
  <si>
    <t>1층 우측 1호</t>
  </si>
  <si>
    <t>경기도 고양시 덕양구 도래울안길 42 (도내동)</t>
  </si>
  <si>
    <t>(주)메디북스</t>
  </si>
  <si>
    <t>서울특별시 동대문구 장한로28가길 45 (장안동)</t>
  </si>
  <si>
    <t>(주)디자인호아</t>
  </si>
  <si>
    <t>(주)디에스엠알오</t>
  </si>
  <si>
    <t>경상북도 포항시 남구 대이로5번길 14-3 (대잠동)</t>
  </si>
  <si>
    <t>경기도 부천시 수도로140번길 18 (도당동)</t>
  </si>
  <si>
    <t>(주)디에스에이티</t>
  </si>
  <si>
    <t>(주)드림파트너</t>
  </si>
  <si>
    <t>제일프라자 501-3호</t>
  </si>
  <si>
    <t>인천광역시 서구 고산후로121번길 25 (원당동)</t>
  </si>
  <si>
    <t>(주)두굿이엔지</t>
  </si>
  <si>
    <t>1203호(두산벤처다임)</t>
  </si>
  <si>
    <t>(주)닉스앤에스</t>
  </si>
  <si>
    <t>A동 1715호</t>
  </si>
  <si>
    <t>(주)나우</t>
  </si>
  <si>
    <t>318호 (하이포트)</t>
  </si>
  <si>
    <t>서울특별시 강서구 금낭화로 128 (방화동)</t>
  </si>
  <si>
    <t>(주)굿코리아</t>
  </si>
  <si>
    <t>제 디동 (주)유앤에스에너지</t>
  </si>
  <si>
    <t>충청남도 천안시 서북구 직산읍 4산단3로 52</t>
  </si>
  <si>
    <t>(주) 유앤에스에너지</t>
  </si>
  <si>
    <t>한밭대학교 대덕산학융합캠퍼스 203호 204호</t>
  </si>
  <si>
    <t>(주) 바론</t>
  </si>
  <si>
    <t>B103</t>
  </si>
  <si>
    <t>서울특별시 광진구 아차산로39가길 4 (자양동)</t>
  </si>
  <si>
    <t>(주) 맑은바다</t>
  </si>
  <si>
    <t>강원도 영월군 영월읍 하송안길 18</t>
  </si>
  <si>
    <t>현성기전주식회사</t>
  </si>
  <si>
    <t>기타 금융 투자업</t>
  </si>
  <si>
    <t>서울특별시 강남구 봉은사로 304 (역삼동)</t>
  </si>
  <si>
    <t>헤브론스타벤처스(주)</t>
  </si>
  <si>
    <t>기술지원동 비07호</t>
  </si>
  <si>
    <t>대전광역시 유성구 가정로 267 (도룡동)</t>
  </si>
  <si>
    <t>한선에스티 주식회사</t>
  </si>
  <si>
    <t>수산식물 가공 및 저장 처리업</t>
  </si>
  <si>
    <t>경기도 파주시 문산읍 사목로 93</t>
  </si>
  <si>
    <t>한김푸드</t>
  </si>
  <si>
    <t>한신아파트상가 103호</t>
  </si>
  <si>
    <t>서울특별시 동대문구 제기로 131 (청량리동 한신아파트)</t>
  </si>
  <si>
    <t>트루아이비씨</t>
  </si>
  <si>
    <t>태영건업 주식회사</t>
  </si>
  <si>
    <t>태명</t>
  </si>
  <si>
    <t>부산광역시 강서구 녹산산단261로60번길 43 (송정동)</t>
  </si>
  <si>
    <t>경상남도 창원시 진해구 청안로 157 (청안동)</t>
  </si>
  <si>
    <t>코아(COA)</t>
  </si>
  <si>
    <t>광주광역시 북구 경열로233번길 7 (유동)</t>
  </si>
  <si>
    <t>초인시스템</t>
  </si>
  <si>
    <t>서울특별시 동대문구 망우로 38 (휘경동)</t>
  </si>
  <si>
    <t>청년협동조합 몽땅</t>
  </si>
  <si>
    <t>부산광역시 강서구 낙동북로108번길 31 (강동동)</t>
  </si>
  <si>
    <t>창해정밀</t>
  </si>
  <si>
    <t>2층 2호 BI</t>
  </si>
  <si>
    <t>전라북도 전주시 완산구 홍산로 245 (효자동2가)</t>
  </si>
  <si>
    <t>창작제작소 선</t>
  </si>
  <si>
    <t>경기도 김포시 걸포로 134-86(걸포동)</t>
  </si>
  <si>
    <t>진영창호</t>
  </si>
  <si>
    <t>세신인창종합상가 212호</t>
  </si>
  <si>
    <t>지엔지(G&amp;G)</t>
  </si>
  <si>
    <t>4층 404호</t>
  </si>
  <si>
    <t>지니</t>
  </si>
  <si>
    <t>하나클리닉 302호</t>
  </si>
  <si>
    <t>대전광역시 대덕구 한밭대로 1015 (오정동)</t>
  </si>
  <si>
    <t>주식회사휴테크</t>
  </si>
  <si>
    <t>9층 906 907호</t>
  </si>
  <si>
    <t>경기도 시흥시 마산로 100 (조남동)</t>
  </si>
  <si>
    <t>주식회사하늘공간</t>
  </si>
  <si>
    <t>한복 제조업</t>
  </si>
  <si>
    <t>부산광역시 동구 자성로108번길 7 (범일동)</t>
  </si>
  <si>
    <t>주식회사조방</t>
  </si>
  <si>
    <t>상가동104호</t>
  </si>
  <si>
    <t>인천광역시 미추홀구 인하로430번길 9 (관교동)</t>
  </si>
  <si>
    <t>주식회사디에스아이앤씨</t>
  </si>
  <si>
    <t>부산광역시 강서구 화전산단1로63번길 10 (화전동)</t>
  </si>
  <si>
    <t>주식회사뉴그린에코</t>
  </si>
  <si>
    <t>주식회사나누리코리아</t>
  </si>
  <si>
    <t>1201호</t>
  </si>
  <si>
    <t>경기도 하남시 미사강변동로 79 (망월동)</t>
  </si>
  <si>
    <t>주식회사 한국이러닝교육원</t>
  </si>
  <si>
    <t>계림빌딩 806호</t>
  </si>
  <si>
    <t>제주특별자치도 제주시 신광로 20 (연동)</t>
  </si>
  <si>
    <t>주식회사 피컨벡스</t>
  </si>
  <si>
    <t>A-1014</t>
  </si>
  <si>
    <t>주식회사 포세일즈</t>
  </si>
  <si>
    <t>1동 319호 (동탄아이티밸리 2차)</t>
  </si>
  <si>
    <t>경기도 화성시 동탄대로 706 (영천동)</t>
  </si>
  <si>
    <t>주식회사 코어셀</t>
  </si>
  <si>
    <t>충청남도 예산군 덕산면 덕산온천로 352</t>
  </si>
  <si>
    <t>주식회사 청림</t>
  </si>
  <si>
    <t>637호</t>
  </si>
  <si>
    <t>주식회사 진연</t>
  </si>
  <si>
    <t>성본리 699-10</t>
  </si>
  <si>
    <t>주식회사 종명산업</t>
  </si>
  <si>
    <t>창업동 105 106호</t>
  </si>
  <si>
    <t>주식회사 제이케이코리아</t>
  </si>
  <si>
    <t>KT대덕2연구센터 연구1동 1층</t>
  </si>
  <si>
    <t>주식회사 제이엔제이테크</t>
  </si>
  <si>
    <t>경기도 파주시 광인사길 68 (문발동)</t>
  </si>
  <si>
    <t>주식회사 장미맨숀</t>
  </si>
  <si>
    <t>1~2층</t>
  </si>
  <si>
    <t>경상남도 김해시 진영읍 김해대로 132</t>
  </si>
  <si>
    <t>주식회사 인큐스</t>
  </si>
  <si>
    <t>기타 비철금속 제련 정련 및 합금 제조업</t>
  </si>
  <si>
    <t>주식회사 이엠엘</t>
  </si>
  <si>
    <t>서울특별시 용산구 이촌로 105 (한강로3가)</t>
  </si>
  <si>
    <t>주식회사 윅랩</t>
  </si>
  <si>
    <t>주식회사 연호이엔지</t>
  </si>
  <si>
    <t>부산광역시 강서구 미음산단4로62번길 13 (미음동)</t>
  </si>
  <si>
    <t>주식회사 엠알티코리아</t>
  </si>
  <si>
    <t>메트로비즈타워 410호 411호 412호</t>
  </si>
  <si>
    <t>주식회사 에스엘씨넷</t>
  </si>
  <si>
    <t>주식회사 어메스</t>
  </si>
  <si>
    <t>충청북도 증평군 증평읍 벌말길 103</t>
  </si>
  <si>
    <t>주식회사 아인트</t>
  </si>
  <si>
    <t>서울특별시 종로구 종로66가길 12 (숭인동)</t>
  </si>
  <si>
    <t>주식회사 쓰리알큐브시스템</t>
  </si>
  <si>
    <t>문래 SK V1 Center</t>
  </si>
  <si>
    <t>서울특별시 영등포구 선유로9길 10 (문래동6가)</t>
  </si>
  <si>
    <t>주식회사 심포니이미징</t>
  </si>
  <si>
    <t>로제니아 1동 1119호</t>
  </si>
  <si>
    <t>경상북도 김천시 혁신3로 16 (율곡동)</t>
  </si>
  <si>
    <t>주식회사 스마틀리</t>
  </si>
  <si>
    <t>경기도 성남시 분당구 판교역로 235 (삼평동)</t>
  </si>
  <si>
    <t>주식회사 세찬아이앤씨</t>
  </si>
  <si>
    <t>서울특별시 용산구 한강대로46길 25 (한강로2가)</t>
  </si>
  <si>
    <t>주식회사 사이버앤네트워크연구원</t>
  </si>
  <si>
    <t>401-N43호</t>
  </si>
  <si>
    <t>경기도 성남시 분당구 황새울로351번길 10 (서현동)</t>
  </si>
  <si>
    <t>주식회사 브이디</t>
  </si>
  <si>
    <t>블루마운틴빌딩</t>
  </si>
  <si>
    <t>서울특별시 강남구 강남대로162길 27-8 (신사동)</t>
  </si>
  <si>
    <t>주식회사 뷰티라이즈</t>
  </si>
  <si>
    <t>8층 803호(가산동 아이에스비즈타워)</t>
  </si>
  <si>
    <t>서울특별시 금천구 가산디지털1로 75-24 (가산동)</t>
  </si>
  <si>
    <t>주식회사 백스인백</t>
  </si>
  <si>
    <t>경기도 안산시 단원구 연수원로 104-14 (원곡동)</t>
  </si>
  <si>
    <t>주식회사 렘스</t>
  </si>
  <si>
    <t>테크노빌 B동 107호</t>
  </si>
  <si>
    <t>주식회사 랜드로드</t>
  </si>
  <si>
    <t>주식회사 노브소프트</t>
  </si>
  <si>
    <t>순천대학교 산학협력관(B7) 604호</t>
  </si>
  <si>
    <t>주식회사 나눔바이오</t>
  </si>
  <si>
    <t>1층 전략컨설팅 혜안(주)</t>
  </si>
  <si>
    <t>대전광역시 서구 용소로60번길 20 (가수원동)</t>
  </si>
  <si>
    <t>전략컨설팅 혜안(주)</t>
  </si>
  <si>
    <t>강원도 삼척시 도계읍 도계로 129</t>
  </si>
  <si>
    <t>장백푸드</t>
  </si>
  <si>
    <t>212-802</t>
  </si>
  <si>
    <t>경기도 김포시 걸포2로 74 (걸포동 한강메트로자이2단지)</t>
  </si>
  <si>
    <t>윤소프트</t>
  </si>
  <si>
    <t>부산광역시 남구 용호로232번길 21 (용호동)</t>
  </si>
  <si>
    <t>와이낫프로덕션</t>
  </si>
  <si>
    <t>온유</t>
  </si>
  <si>
    <t>제주특별자치도 제주시 능산길 73 (영평동)</t>
  </si>
  <si>
    <t>오땡스</t>
  </si>
  <si>
    <t>대구광역시 달성군 하빈면 하산4길 76</t>
  </si>
  <si>
    <t>에치에스테크</t>
  </si>
  <si>
    <t>4111호</t>
  </si>
  <si>
    <t>에이치원세미콘</t>
  </si>
  <si>
    <t>세종특별자치시 금남면 도남1길 114</t>
  </si>
  <si>
    <t>에스비건설 주식회사</t>
  </si>
  <si>
    <t>H502호 하이테크관</t>
  </si>
  <si>
    <t>아리</t>
  </si>
  <si>
    <t>가동 202호</t>
  </si>
  <si>
    <t>경기도 양평군 양평읍 백안길 84</t>
  </si>
  <si>
    <t>송운산림기술사 사무소</t>
  </si>
  <si>
    <t>1동 929호</t>
  </si>
  <si>
    <t>충청남도 아산시 배방읍 연화로 133</t>
  </si>
  <si>
    <t>솔라솔루션</t>
  </si>
  <si>
    <t>경기도 안양시 동안구 시민대로 267 (관양동)</t>
  </si>
  <si>
    <t>선역사문화연구원 주식회사</t>
  </si>
  <si>
    <t>본관 421호</t>
  </si>
  <si>
    <t>브리엑스</t>
  </si>
  <si>
    <t>삼성리더스타워 1107-IF33</t>
  </si>
  <si>
    <t>벳진 VetGene</t>
  </si>
  <si>
    <t>바른석면</t>
  </si>
  <si>
    <t>20동 329호</t>
  </si>
  <si>
    <t>라온피앤엠</t>
  </si>
  <si>
    <t>4802-1502</t>
  </si>
  <si>
    <t>경기도 용인시 수지구 상현로 30-10 (상현동 광교상떼빌파크뷰)</t>
  </si>
  <si>
    <t>라뉴에</t>
  </si>
  <si>
    <t>경기도 김포시 하성면 후평로 60</t>
  </si>
  <si>
    <t>디엠블러썸</t>
  </si>
  <si>
    <t>2동 8층</t>
  </si>
  <si>
    <t>디에이치솔루션 주식회사</t>
  </si>
  <si>
    <t>스타프라자 302</t>
  </si>
  <si>
    <t>디건축사사무소</t>
  </si>
  <si>
    <t>더밝음</t>
  </si>
  <si>
    <t>전라북도 완주군 용진읍 하이1길 61-25</t>
  </si>
  <si>
    <t>기타 의복 소매업</t>
  </si>
  <si>
    <t>서울특별시 동작구 상도로47아길 28 (상도동)</t>
  </si>
  <si>
    <t>니들고릴라</t>
  </si>
  <si>
    <t>선영이네</t>
  </si>
  <si>
    <t>전라북도 부안군 진서면 청자로 1119-25</t>
  </si>
  <si>
    <t>농업회사법인주식회사선영이네</t>
  </si>
  <si>
    <t>2동 605호</t>
  </si>
  <si>
    <t>넷록스 주식회사</t>
  </si>
  <si>
    <t>9층 9034호</t>
  </si>
  <si>
    <t>서울특별시 구로구 가마산로 282 (구로동)</t>
  </si>
  <si>
    <t>나누스</t>
  </si>
  <si>
    <t>건축사사무소마루</t>
  </si>
  <si>
    <t>710호 711호</t>
  </si>
  <si>
    <t>㈜이옴텍</t>
  </si>
  <si>
    <t>6층 J-Interaction Inc</t>
  </si>
  <si>
    <t>J-Interaction Inc</t>
  </si>
  <si>
    <t>(주)피엠오에스</t>
  </si>
  <si>
    <t>금오테크노밸리내 경북창조경제혁신센터내 보육공간</t>
  </si>
  <si>
    <t>(주)프로젝트레인보우</t>
  </si>
  <si>
    <t>울산광역시 울주군 언양읍 구수길 27</t>
  </si>
  <si>
    <t>(주)케이울산고래</t>
  </si>
  <si>
    <t>전북대 창업보육센타 105호 203호</t>
  </si>
  <si>
    <t>전라북도 군산시 산단남북로 193 (오식도동)</t>
  </si>
  <si>
    <t>(주)웨니테크</t>
  </si>
  <si>
    <t>창원지식산업센터 4동 102호</t>
  </si>
  <si>
    <t>(주)오케이글로벌</t>
  </si>
  <si>
    <t>3동201호(연세원주창업보육센터)</t>
  </si>
  <si>
    <t>(주)엘케이에스글로벌</t>
  </si>
  <si>
    <t>경기도 화성시 정남면 만년로303번길 25</t>
  </si>
  <si>
    <t>(주)에이멕스엔지니어링</t>
  </si>
  <si>
    <t>서울창업디딤터 212호</t>
  </si>
  <si>
    <t>(주)에스오엑스</t>
  </si>
  <si>
    <t>101동 204호</t>
  </si>
  <si>
    <t>서울특별시 성동구 독서당로 343 (금호동1가 금호 삼성래미안 아파트)</t>
  </si>
  <si>
    <t>(주)에스앤지엔지니어링</t>
  </si>
  <si>
    <t>경북테크노파크 글로벌벤처동 2407</t>
  </si>
  <si>
    <t>(주)씨엠</t>
  </si>
  <si>
    <t>부산광역시 강서구 금호순서길89번길 32 (대저2동)</t>
  </si>
  <si>
    <t>(주)성화에프티</t>
  </si>
  <si>
    <t>2동3층</t>
  </si>
  <si>
    <t>(주)새론솔루션</t>
  </si>
  <si>
    <t xml:space="preserve"> 1806호 (대륭테크노타운20차)</t>
  </si>
  <si>
    <t>(주)리매진</t>
  </si>
  <si>
    <t>6층 11호</t>
  </si>
  <si>
    <t>(주)러닝모티브</t>
  </si>
  <si>
    <t>601602호 (소사본동복사골빌딩)</t>
  </si>
  <si>
    <t>해냄기획사회적협동조합</t>
  </si>
  <si>
    <t>3층 302-3-3호</t>
  </si>
  <si>
    <t>팜커넥트 주식회사</t>
  </si>
  <si>
    <t>톡톡팩토리 103호</t>
  </si>
  <si>
    <t>울산광역시 남구 돋질로390번길 7 (삼산동)</t>
  </si>
  <si>
    <t>티엑스니어바이(TxNEARBY)</t>
  </si>
  <si>
    <t>주식회사진성씨지테크</t>
  </si>
  <si>
    <t>세종특별자치시 보듬3로 8-27 (도담동)</t>
  </si>
  <si>
    <t>주식회사에바헬스</t>
  </si>
  <si>
    <t>82호관 3층 304호</t>
  </si>
  <si>
    <t>주식회사 한국고서이엔지</t>
  </si>
  <si>
    <t>광진빌딩 4층 401호</t>
  </si>
  <si>
    <t>서울특별시 서초구 서초대로24길 38 (방배동)</t>
  </si>
  <si>
    <t>주식회사 큐브릭디지털</t>
  </si>
  <si>
    <t>메가동 1512호</t>
  </si>
  <si>
    <t>주식회사 이온메디칼(Ion Medical Inc.)</t>
  </si>
  <si>
    <t>주식회사 웰스케어</t>
  </si>
  <si>
    <t>주식회사 엔오엠</t>
  </si>
  <si>
    <t>2층(소촌동)</t>
  </si>
  <si>
    <t>광주광역시 광산구 소촌로 105 (소촌동)</t>
  </si>
  <si>
    <t>주식회사 에이아이테크</t>
  </si>
  <si>
    <t>1019호</t>
  </si>
  <si>
    <t>주식회사 에스알커뮤니케이션즈</t>
  </si>
  <si>
    <t>2동 227호</t>
  </si>
  <si>
    <t>주식회사 액손시스</t>
  </si>
  <si>
    <t>28청춘창업소(N동 104호)</t>
  </si>
  <si>
    <t>주식회사 쉼</t>
  </si>
  <si>
    <t>주식회사 비즐</t>
  </si>
  <si>
    <t>경기도 성남시 수정구 심곡로 42 (심곡동)</t>
  </si>
  <si>
    <t>주식회사 디에스메디피아</t>
  </si>
  <si>
    <t>신문 발행업</t>
  </si>
  <si>
    <t>1층 크리에이터스 스페이스</t>
  </si>
  <si>
    <t>서울특별시 동대문구 안암로 86-1 (제기동)</t>
  </si>
  <si>
    <t>주식회사 더크리에이터스</t>
  </si>
  <si>
    <t>20층 7호</t>
  </si>
  <si>
    <t>주식회사 다테크니끄</t>
  </si>
  <si>
    <t>경기도 평택시 현신2길 10 (용이동)</t>
  </si>
  <si>
    <t>주식회사 다올엘앤씨</t>
  </si>
  <si>
    <t>단야</t>
  </si>
  <si>
    <t>전라북도 김제시 부량면 벽골제로 393-116</t>
  </si>
  <si>
    <t>제이앤제이글로벌트레이드</t>
  </si>
  <si>
    <t>경기도 화성시 동탄대로시범길 235 (청계동 동탄역 시범 금강펜테리움 센트럴파크 III)</t>
  </si>
  <si>
    <t>역량평가 솔루션 센터</t>
  </si>
  <si>
    <t>D동 2302호</t>
  </si>
  <si>
    <t>아도컴퍼니</t>
  </si>
  <si>
    <t>씨마</t>
  </si>
  <si>
    <t>경기도 파주시 문산읍 사임당로365번길 20-2</t>
  </si>
  <si>
    <t>서울특별시 강서구 까치산로12길 54 (화곡동 삼성홈타운)</t>
  </si>
  <si>
    <t>스테이지알렉스</t>
  </si>
  <si>
    <t>경기도 수원시 권선구 당수로 209 (당수동)</t>
  </si>
  <si>
    <t>바른푸드</t>
  </si>
  <si>
    <t>서울특별시 종로구 대학로8가길 66 (동숭동)</t>
  </si>
  <si>
    <t>문카데미 주식회사</t>
  </si>
  <si>
    <t>서울특별시 성동구 성덕정9가길 14 (성수동1가)</t>
  </si>
  <si>
    <t>모노스페이스 유한책임회사</t>
  </si>
  <si>
    <t>경상남도 진주시 가좌길40번길 10-1 (가좌동)</t>
  </si>
  <si>
    <t>메디버디</t>
  </si>
  <si>
    <t>서울특별시 강남구 논현로2길 54 (개포동)</t>
  </si>
  <si>
    <t>링크플로우주식회사</t>
  </si>
  <si>
    <t>드림디포진주점</t>
  </si>
  <si>
    <t>전라남도 나주시 왕건길 52 (송월동)</t>
  </si>
  <si>
    <t>다온솔루션</t>
  </si>
  <si>
    <t>곡물 혼합 분말 및 반죽 제조업</t>
  </si>
  <si>
    <t>(학동리)</t>
  </si>
  <si>
    <t>전라북도 김제시 백구면 공술길 65</t>
  </si>
  <si>
    <t>농업회사법인 주식회사 태성식품</t>
  </si>
  <si>
    <t>충청북도 청주시 청원구 직지대로 874-2 (우암동)</t>
  </si>
  <si>
    <t>강주연건축사사무소</t>
  </si>
  <si>
    <t>806호</t>
  </si>
  <si>
    <t>4D 트래블러</t>
  </si>
  <si>
    <t>우주빌딩 2층</t>
  </si>
  <si>
    <t>서울특별시 동작구 사당로30길 41 (사당동)</t>
  </si>
  <si>
    <t>(주)플렉시스</t>
  </si>
  <si>
    <t>1405~1408호</t>
  </si>
  <si>
    <t>(주)에스아이지</t>
  </si>
  <si>
    <t>공존동 10층 1007호</t>
  </si>
  <si>
    <t>(주)애플망고</t>
  </si>
  <si>
    <t>부산창업지원센터 412호</t>
  </si>
  <si>
    <t>(주)아트프린텍</t>
  </si>
  <si>
    <t>대구경북과학기술원(DGIST) 산학협력관 304-B호</t>
  </si>
  <si>
    <t>대구광역시 달성군 현풍읍 테크노중앙대로 333</t>
  </si>
  <si>
    <t>(주)아임시스템</t>
  </si>
  <si>
    <t>이노비즈파크 506호</t>
  </si>
  <si>
    <t>(주)아림사이언스</t>
  </si>
  <si>
    <t>608호~610호</t>
  </si>
  <si>
    <t>(주)신넥앤테크</t>
  </si>
  <si>
    <t>서울특별시 강남구 봉은사로 630 (삼성동)</t>
  </si>
  <si>
    <t>(주)쉬프트베리</t>
  </si>
  <si>
    <t>대덕프라자 412호</t>
  </si>
  <si>
    <t>경기도 안산시 단원구 광덕4로 116 (고잔동)</t>
  </si>
  <si>
    <t>(주)명산엔지니어링</t>
  </si>
  <si>
    <t>경상남도 김해시 진영읍 하계로240번길 103</t>
  </si>
  <si>
    <t>(주)덕산이엔지</t>
  </si>
  <si>
    <t>한국딥러닝(주)</t>
  </si>
  <si>
    <t>경기도 용인시 처인구 포곡읍 포곡로118번길 51</t>
  </si>
  <si>
    <t>한국딥러닝 주식회사</t>
  </si>
  <si>
    <t>포레루체오피스텔 상가 207호</t>
  </si>
  <si>
    <t>하라기획</t>
  </si>
  <si>
    <t>공대4동 304호</t>
  </si>
  <si>
    <t>전라북도 전주시 덕진구 백제대로 567(금암동)</t>
  </si>
  <si>
    <t>포스(POS)</t>
  </si>
  <si>
    <t>오피스동 202a호</t>
  </si>
  <si>
    <t>서울특별시 강남구 테헤란로64길 13 (대치동 선릉역 풍림아이원레몬)</t>
  </si>
  <si>
    <t>케이제이코스</t>
  </si>
  <si>
    <t>서울특별시 용산구 서빙고로20길 19 (한강로3가)</t>
  </si>
  <si>
    <t>주식회사에어나인</t>
  </si>
  <si>
    <t>가호 3층</t>
  </si>
  <si>
    <t>서울특별시 서초구 강남대로 265 (서초동)</t>
  </si>
  <si>
    <t>주식회사 효건축사사무소</t>
  </si>
  <si>
    <t>서울특별시 강동구 천호대로200길 54 (둔촌동)</t>
  </si>
  <si>
    <t>주식회사 코스윌</t>
  </si>
  <si>
    <t>울산광역시 울주군 웅촌면 은현작동로 296</t>
  </si>
  <si>
    <t>주식회사 케이엔아이테크</t>
  </si>
  <si>
    <t>대전광역시 서구 용문로 89-39 (용문동)</t>
  </si>
  <si>
    <t>주식회사 이수엔지니어링</t>
  </si>
  <si>
    <t>W1 산학연교육연구관 801호</t>
  </si>
  <si>
    <t>주식회사 이루미</t>
  </si>
  <si>
    <t>대전팁스타운 408호</t>
  </si>
  <si>
    <t>주식회사 유펜솔루션</t>
  </si>
  <si>
    <t>서울특별시 서초구 반포대로22길 38 (서초동)</t>
  </si>
  <si>
    <t>주식회사 유스비</t>
  </si>
  <si>
    <t>경기도 포천시 소흘읍 응골1길 27</t>
  </si>
  <si>
    <t>주식회사 오이코스</t>
  </si>
  <si>
    <t>생명공학대학동 제61154호</t>
  </si>
  <si>
    <t>주식회사 에스비휴먼텍</t>
  </si>
  <si>
    <t>A 4-0066 A 4-0067</t>
  </si>
  <si>
    <t>주식회사 아이엔이솔루션</t>
  </si>
  <si>
    <t>전라남도 목포시 남악1로52번가길 16 (옥암동)</t>
  </si>
  <si>
    <t>1010호</t>
  </si>
  <si>
    <t>서울특별시 금천구 가산디지털1로 5(가산동)</t>
  </si>
  <si>
    <t>주식회사 사람누리</t>
  </si>
  <si>
    <t>주식회사 마싯지우</t>
  </si>
  <si>
    <t>12동 1212-117</t>
  </si>
  <si>
    <t>주식회사 두니코프</t>
  </si>
  <si>
    <t>14층 1430호</t>
  </si>
  <si>
    <t>주식회사 나인텍</t>
  </si>
  <si>
    <t>유니온필텍 주식회사</t>
  </si>
  <si>
    <t>제주특별자치도 제주시 선덕로4길 16 (연동)</t>
  </si>
  <si>
    <t>엠아이건축사사무소</t>
  </si>
  <si>
    <t>서울특별시 영등포구 버드나루로14길 25(당산동)</t>
  </si>
  <si>
    <t>에이오이(AoE)</t>
  </si>
  <si>
    <t>에디터팀워크</t>
  </si>
  <si>
    <t>클린에너지파크 환경체육센터 2층 업싸이클창작기술터</t>
  </si>
  <si>
    <t>충청북도 충주시 대소원면 성종두담길 21</t>
  </si>
  <si>
    <t>업싸이클창작기술협동조합</t>
  </si>
  <si>
    <t>전라북도 전주시 완산구 고사평5길 8-3(서신동)</t>
  </si>
  <si>
    <t>아폴론바이오</t>
  </si>
  <si>
    <t>대전광역시 중구 중앙로170번길 48 (은행동)</t>
  </si>
  <si>
    <t>아리아갤러리</t>
  </si>
  <si>
    <t>충청남도 보령시 웅천읍 가라티3길 7</t>
  </si>
  <si>
    <t>성덕건설</t>
  </si>
  <si>
    <t>연구실험동 303호</t>
  </si>
  <si>
    <t>서울특별시 동대문구 회기로 117 (회기동)</t>
  </si>
  <si>
    <t>사피엔메드 주식회사</t>
  </si>
  <si>
    <t>부산광역시 북구 금곡대로 280-9(화명동 시영아파트)</t>
  </si>
  <si>
    <t>비케이디</t>
  </si>
  <si>
    <t>내트럭하우스 103</t>
  </si>
  <si>
    <t>전라남도 광양시 중마로 15(도이동)</t>
  </si>
  <si>
    <t>비제이컴퍼니</t>
  </si>
  <si>
    <t>경기도 안양시 만안구 장내로 54 (안양동)</t>
  </si>
  <si>
    <t>미스터리컴퍼니</t>
  </si>
  <si>
    <t>3층4-1호</t>
  </si>
  <si>
    <t>경상남도 창원시 성산구 동산로 162 (사파동)</t>
  </si>
  <si>
    <t>미래창조교육원</t>
  </si>
  <si>
    <t>삼성타워 205호</t>
  </si>
  <si>
    <t>부산광역시 사하구 마하로 81 (당리동 삼성타워맨션)</t>
  </si>
  <si>
    <t>리주기업</t>
  </si>
  <si>
    <t>서울특별시 마포구 동교로9길 92(망원동)</t>
  </si>
  <si>
    <t>리오프로덕션</t>
  </si>
  <si>
    <t>8동 1층 2호</t>
  </si>
  <si>
    <t>경기도 안양시 만안구 안양로468번길 25-18 (석수동 우주타운)</t>
  </si>
  <si>
    <t>루다네트웍스</t>
  </si>
  <si>
    <t>서울특별시 중구 동호로17길 277 (신당동)</t>
  </si>
  <si>
    <t>디올림(주)</t>
  </si>
  <si>
    <t>경상북도 경주시 양정로314번길 13(용강동)</t>
  </si>
  <si>
    <t>드림상사</t>
  </si>
  <si>
    <t>다온플레이스 주식회사</t>
  </si>
  <si>
    <t>401동 1704호</t>
  </si>
  <si>
    <t>충청북도 진천군 덕산읍 대하로 150 (뉴스테이 우미린 아파트)</t>
  </si>
  <si>
    <t>고은기획</t>
  </si>
  <si>
    <t>전라북도 장수군 장수읍 노하신기길 6-35</t>
  </si>
  <si>
    <t>(주)혜원이엔지</t>
  </si>
  <si>
    <t>경상남도 김해시 생림면 생림대로 281</t>
  </si>
  <si>
    <t>(주)해강에이스</t>
  </si>
  <si>
    <t>에너지방재지원센터 306호</t>
  </si>
  <si>
    <t>강원도 삼척시 언장1길 27 (교동)</t>
  </si>
  <si>
    <t>(주)포인정보</t>
  </si>
  <si>
    <t>충청남도 천안시 동남구 목천읍 응원1길 69-79</t>
  </si>
  <si>
    <t>(주)파이콤이엔씨</t>
  </si>
  <si>
    <t>서울창업허브 별관 303호</t>
  </si>
  <si>
    <t>(주)케이디아이덴</t>
  </si>
  <si>
    <t>2019호</t>
  </si>
  <si>
    <t>울산광역시 남구 테크노산업로55번길 10 (두왕동)</t>
  </si>
  <si>
    <t>(주)케이넷이엔지</t>
  </si>
  <si>
    <t>강원도 춘천시 사우3길 11 (우두동)</t>
  </si>
  <si>
    <t>(주)청솔이엔씨</t>
  </si>
  <si>
    <t>103-806(광교지웰홈스)</t>
  </si>
  <si>
    <t>경기도 용인시 수지구 광교마을로 134 (상현동)</t>
  </si>
  <si>
    <t>(주)제이피세미텍</t>
  </si>
  <si>
    <t>지하 108호 (관양동 금강펜테리움아이티타워)</t>
  </si>
  <si>
    <t>경기도 안양시 동안구 학의로 282 (관양동)</t>
  </si>
  <si>
    <t>(주)제로지텍</t>
  </si>
  <si>
    <t>이온폴리스 타워3층</t>
  </si>
  <si>
    <t>인천광역시 서구 가정로77번길 28 (가좌동)</t>
  </si>
  <si>
    <t>(주)이온폴리스</t>
  </si>
  <si>
    <t>서울특별시 송파구 정의로 70 (문정동)</t>
  </si>
  <si>
    <t>(주)어반랩엔지니어링건축사사무소</t>
  </si>
  <si>
    <t>(주)아이밀</t>
  </si>
  <si>
    <t>생각공장데시앙플렉스 1110호</t>
  </si>
  <si>
    <t>(주)스팀솔루션</t>
  </si>
  <si>
    <t>경상남도 합천군 합천읍 충효로3길 4</t>
  </si>
  <si>
    <t>(주)산엔숲이엔지</t>
  </si>
  <si>
    <t>주업종</t>
  </si>
  <si>
    <t>상세주소</t>
  </si>
  <si>
    <t>일반주소</t>
  </si>
  <si>
    <t>유효기간 종료일</t>
  </si>
  <si>
    <t>유효기간 시작일</t>
  </si>
  <si>
    <t>신청일자</t>
  </si>
  <si>
    <t>표준산업분류</t>
  </si>
  <si>
    <t>업체명</t>
  </si>
  <si>
    <t>사업자등록번호</t>
  </si>
  <si>
    <t>확인서 발급번호</t>
  </si>
  <si>
    <t>목표 - 지출</t>
    <phoneticPr fontId="7" type="noConversion"/>
  </si>
  <si>
    <t>녹색제품(친환경)</t>
    <phoneticPr fontId="7" type="noConversion"/>
  </si>
  <si>
    <t>달성률</t>
    <phoneticPr fontId="7" type="noConversion"/>
  </si>
  <si>
    <t>17-0557</t>
  </si>
  <si>
    <t>GS시험인증</t>
  </si>
  <si>
    <t>2018-06-07 ~ 2021-06-06</t>
  </si>
  <si>
    <t>전북-20180225-0-01호</t>
  </si>
  <si>
    <t>(55367) 전북 완주군 이서면 콩쥐팥쥐로 1043-7 (이문리, 전북대학교창업보육3센터) 2동 201호</t>
  </si>
  <si>
    <t>전라북도</t>
  </si>
  <si>
    <t>keh1722@saenoon.co.kr</t>
  </si>
  <si>
    <t>0637156531</t>
  </si>
  <si>
    <t>김의형</t>
  </si>
  <si>
    <t>백청열</t>
  </si>
  <si>
    <t>402-86-06811</t>
  </si>
  <si>
    <t>주식회사 새눈</t>
  </si>
  <si>
    <t>창업</t>
    <phoneticPr fontId="19" type="noConversion"/>
  </si>
  <si>
    <t>시스템관리소프트웨어</t>
  </si>
  <si>
    <t>CCTV 상태관리 솔루션</t>
  </si>
  <si>
    <t>유효</t>
  </si>
  <si>
    <t>2018-09-04</t>
  </si>
  <si>
    <t>18-공고(상반기)</t>
  </si>
  <si>
    <t>일반과제</t>
  </si>
  <si>
    <t>2018-00088</t>
  </si>
  <si>
    <t>2018-05-08 ~ 2023-11-07</t>
  </si>
  <si>
    <t>인천-20180180-2-01</t>
  </si>
  <si>
    <t>2015-S2363159</t>
  </si>
  <si>
    <t>민관공동투자</t>
  </si>
  <si>
    <t>(21315) 인천광역시 서구 가석로 30, 902호, 903호(가좌동,광양프런티어밸리3차)</t>
  </si>
  <si>
    <t>인천광역시</t>
  </si>
  <si>
    <t>pckwin@sinnotech.kr</t>
  </si>
  <si>
    <t>박종규</t>
  </si>
  <si>
    <t>121-81-78347</t>
  </si>
  <si>
    <t>(주)씨노텍</t>
  </si>
  <si>
    <t>일반</t>
    <phoneticPr fontId="19" type="noConversion"/>
  </si>
  <si>
    <t>계장제어장치</t>
  </si>
  <si>
    <t>KSMF Rv1A</t>
  </si>
  <si>
    <t>현장 맞춤형 무선 원격감시제어설비 기술개발</t>
  </si>
  <si>
    <t>2018-00119</t>
  </si>
  <si>
    <t>2018-03-06 ~ 2024-03-05</t>
  </si>
  <si>
    <t>경기-20180074-2-01</t>
  </si>
  <si>
    <t>(16642) 경기 수원시 권선구 오목천로132번길 33 (고색동, 휴먼스카이밸리) 505호 외</t>
  </si>
  <si>
    <t>경기도</t>
  </si>
  <si>
    <t>jae0311@hanmail.net</t>
  </si>
  <si>
    <t>0318954545</t>
  </si>
  <si>
    <t>신재성</t>
  </si>
  <si>
    <t>홍성권</t>
  </si>
  <si>
    <t>135-81-26741</t>
  </si>
  <si>
    <t>에이치제이산전주식회사</t>
  </si>
  <si>
    <t>첫걸음</t>
    <phoneticPr fontId="19" type="noConversion"/>
  </si>
  <si>
    <t>분전반</t>
  </si>
  <si>
    <t>HJ-D52, HJ-D604등</t>
  </si>
  <si>
    <t>다중보호분전반</t>
  </si>
  <si>
    <t>2018-00139</t>
  </si>
  <si>
    <t>20180614 ~ 20210613</t>
  </si>
  <si>
    <t>전북-20180232-5-01</t>
  </si>
  <si>
    <t>(55069) 전북 전주시 완산구 천잠로 303 (효자동2가, 전주대학교) 벤처창업관 207호</t>
  </si>
  <si>
    <t>plan@etish.net</t>
  </si>
  <si>
    <t>0632227721</t>
  </si>
  <si>
    <t>김인규</t>
  </si>
  <si>
    <t>김상규</t>
  </si>
  <si>
    <t>136-86-00036</t>
  </si>
  <si>
    <t>(주)수테크놀로지</t>
  </si>
  <si>
    <t>창업/첫걸음</t>
    <phoneticPr fontId="19" type="noConversion"/>
  </si>
  <si>
    <t>에어커튼</t>
  </si>
  <si>
    <t>ETISH-D1st</t>
  </si>
  <si>
    <t>용변 중 발생하는 냄새를 제거하는 변기에어커튼 기술을 적용한 ETISH 제품</t>
  </si>
  <si>
    <t>창업과제</t>
  </si>
  <si>
    <t>2018-00243</t>
  </si>
  <si>
    <t>2018-07-20 ~ 2021-07-19</t>
  </si>
  <si>
    <t>NEP-MOTIE-2015-015</t>
  </si>
  <si>
    <t>신제품(NEP)</t>
  </si>
  <si>
    <t>(46721) 부산 강서구 유통단지1로 41 (대저2동) 110동 120, 220호 (부산티플렉스)</t>
  </si>
  <si>
    <t>부산광역시</t>
  </si>
  <si>
    <t>mac@servokorea.co.kr</t>
  </si>
  <si>
    <t>0513165650</t>
  </si>
  <si>
    <t>전욱경</t>
  </si>
  <si>
    <t>윤계천</t>
  </si>
  <si>
    <t>603-02-56627</t>
  </si>
  <si>
    <t>미래자동화</t>
  </si>
  <si>
    <t>일반</t>
    <phoneticPr fontId="19" type="noConversion"/>
  </si>
  <si>
    <t>유압시험기</t>
  </si>
  <si>
    <t>MR-PHST-10-150</t>
  </si>
  <si>
    <t>터비증기밸브 엑츄에이터의 계통비분리 이동식 시험기</t>
  </si>
  <si>
    <t>2018-11-20</t>
  </si>
  <si>
    <t>18-공고(하반기)</t>
  </si>
  <si>
    <t>2018-00289</t>
  </si>
  <si>
    <t>2018-06-26 ~ 2021-06-25</t>
  </si>
  <si>
    <t>20180253-1-01</t>
  </si>
  <si>
    <t>(42905) 대구 달성군 하빈면 하빈남로 350-11 (봉촌리) 350-11</t>
  </si>
  <si>
    <t>대구광역시</t>
  </si>
  <si>
    <t>gj.ha@dh-valve.co.kr</t>
  </si>
  <si>
    <t>0535856994</t>
  </si>
  <si>
    <t>하군주</t>
  </si>
  <si>
    <t>함영준</t>
  </si>
  <si>
    <t>514-81-84599</t>
  </si>
  <si>
    <t>(주)동해</t>
  </si>
  <si>
    <t>제수밸브</t>
  </si>
  <si>
    <t>DH-SK-600-RHS 등 182종</t>
  </si>
  <si>
    <t>수도용 소프트시트게이트밸브</t>
  </si>
  <si>
    <t>2018-00290</t>
  </si>
  <si>
    <t>2018-05-28 ~ 2021-05-27</t>
  </si>
  <si>
    <t>제27-436호</t>
  </si>
  <si>
    <t>(31415) 충남 아산시 음봉면 음봉로 258 (송촌리) (주)세원센추리</t>
  </si>
  <si>
    <t>충청남도</t>
  </si>
  <si>
    <t>popomeya@nate.com</t>
  </si>
  <si>
    <t>07043354537</t>
  </si>
  <si>
    <t>김성환</t>
  </si>
  <si>
    <t>원종순</t>
  </si>
  <si>
    <t>312-81-19449</t>
  </si>
  <si>
    <t>(주)세원센추리</t>
  </si>
  <si>
    <t>첫걸음</t>
    <phoneticPr fontId="19" type="noConversion"/>
  </si>
  <si>
    <t>항온항습기</t>
  </si>
  <si>
    <t>HT-I4GD1,HT-I7.5GD1,HT-I10GD1,HT-I15GD1,HT-I20GD1</t>
  </si>
  <si>
    <t>2018-00304</t>
  </si>
  <si>
    <t>2017-12-28 ~ 2023-12-27</t>
  </si>
  <si>
    <t>2017204</t>
  </si>
  <si>
    <t>우수조달</t>
  </si>
  <si>
    <t>(17033) 경기 용인시 처인구 모현읍 곡현로 831 (일산리) 0</t>
  </si>
  <si>
    <t>ise2016@nate.com</t>
  </si>
  <si>
    <t>0313336646</t>
  </si>
  <si>
    <t>이한솔</t>
  </si>
  <si>
    <t>김영미</t>
  </si>
  <si>
    <t>836-88-00348</t>
  </si>
  <si>
    <t>주식회사 일산이엔지</t>
  </si>
  <si>
    <t>폐쇄형배전반</t>
  </si>
  <si>
    <t>ISE-SHV-ALTS외</t>
  </si>
  <si>
    <t>광통신 방식의 온도측정 및 인체근접형 음성경보장치를 구비한 내진형 수배전반</t>
  </si>
  <si>
    <t>2018-00328</t>
  </si>
  <si>
    <t>2018-07-25 ~ 2021-07-24</t>
  </si>
  <si>
    <t>서울20180323101</t>
  </si>
  <si>
    <t>(08594) 서울 금천구 가산디지털1로 19 (가산동, 대륭테크노타운18차) 1405호</t>
  </si>
  <si>
    <t>서울특별시</t>
  </si>
  <si>
    <t>kim62789@nate.com</t>
  </si>
  <si>
    <t>028667333</t>
  </si>
  <si>
    <t>김미영</t>
  </si>
  <si>
    <t>방영찬</t>
  </si>
  <si>
    <t>214-86-75711</t>
  </si>
  <si>
    <t>주식회사 아이티시에스</t>
  </si>
  <si>
    <t>철근부식방지제</t>
  </si>
  <si>
    <t>no-blast (nob-101)</t>
  </si>
  <si>
    <t>철강재의 열화부문 부식층에 녹 제거없이 도포하여 표면을 보호하는 방식제</t>
  </si>
  <si>
    <t>2018-00338</t>
  </si>
  <si>
    <t>경기-20180252-4-01</t>
  </si>
  <si>
    <t>(10935) 경기 파주시 조리읍 능안로 193-30 (능안리) (주)원일공기정화</t>
  </si>
  <si>
    <t>wonilfilter@naver.com</t>
  </si>
  <si>
    <t>01087510569</t>
  </si>
  <si>
    <t>정희정</t>
  </si>
  <si>
    <t>118-81-07792</t>
  </si>
  <si>
    <t>(주)원일공기정화</t>
  </si>
  <si>
    <t>탈취기</t>
  </si>
  <si>
    <t>WI-EPUC-1210</t>
  </si>
  <si>
    <t>저온산화플라즈마탈취장치</t>
  </si>
  <si>
    <t>2018-00339</t>
  </si>
  <si>
    <t>2018-08-01 ~ 2021-07-31</t>
  </si>
  <si>
    <t>A2016-1210083</t>
  </si>
  <si>
    <t>성과공유제</t>
  </si>
  <si>
    <t>2017-08-28 ~ 2020-07-27</t>
  </si>
  <si>
    <t>s2364546</t>
  </si>
  <si>
    <t>NEP-MOTIE-2018-001</t>
  </si>
  <si>
    <t>(08203) 서울 구로구 신도림로11라길 54 (신도림동) 삼일빌딩</t>
  </si>
  <si>
    <t>ok@samilpnu.com</t>
  </si>
  <si>
    <t>01095931957</t>
  </si>
  <si>
    <t>백금봉</t>
  </si>
  <si>
    <t>유경미</t>
  </si>
  <si>
    <t>113-86-02628</t>
  </si>
  <si>
    <t>(주)삼일피엔유</t>
  </si>
  <si>
    <t>온도트랜스미터</t>
  </si>
  <si>
    <t>31TT</t>
  </si>
  <si>
    <t>랙타입 자동절체 듀얼 온도전송기</t>
  </si>
  <si>
    <t>2018-00348</t>
  </si>
  <si>
    <t>2018-08-01 ~ 2018-09-12</t>
  </si>
  <si>
    <t>S2357080</t>
  </si>
  <si>
    <t>(15433) 경기 안산시 단원구 산단로 278 (원시동, 반월 하이테크 빌리지) 206,207호</t>
  </si>
  <si>
    <t>lth1919@naver.com</t>
  </si>
  <si>
    <t>01081510974</t>
  </si>
  <si>
    <t>이태희</t>
  </si>
  <si>
    <t>134-25-56042</t>
  </si>
  <si>
    <t>태영이엔씨</t>
  </si>
  <si>
    <t>부하개폐형지상변압기</t>
  </si>
  <si>
    <t>PT LBS-04</t>
  </si>
  <si>
    <t>수동식 부하개폐형 지상변압기 원격조작 및 감시장치</t>
  </si>
  <si>
    <t>2018-00353</t>
  </si>
  <si>
    <t>2014-11-10 ~ 2022-11-09</t>
  </si>
  <si>
    <t>746</t>
  </si>
  <si>
    <t>신기술(NET)</t>
  </si>
  <si>
    <t>27-435</t>
  </si>
  <si>
    <t>(06802) 서울 서초구 청계산로 197 (신원동, 서울영동농협 종합시설) 302호</t>
  </si>
  <si>
    <t>nicetank@hanmail.net</t>
  </si>
  <si>
    <t>01031061104</t>
  </si>
  <si>
    <t>신주영</t>
  </si>
  <si>
    <t>주순화</t>
  </si>
  <si>
    <t>220-87-97172</t>
  </si>
  <si>
    <t>(주)엔아이씨이</t>
  </si>
  <si>
    <t>물탱크</t>
  </si>
  <si>
    <t>외부보강구조의 내진성능 물탱크</t>
  </si>
  <si>
    <t>2018-00367</t>
  </si>
  <si>
    <t>기업협력기술평가실-3275</t>
  </si>
  <si>
    <t>(05646) 서울 송파구 오금로31길 27 (방이동, 코오롱아파트) 코오롱상가 205호</t>
  </si>
  <si>
    <t>sosad10@naver.com</t>
  </si>
  <si>
    <t>01053924881</t>
  </si>
  <si>
    <t>윤창원</t>
  </si>
  <si>
    <t>이미자</t>
  </si>
  <si>
    <t>316-81-23644</t>
  </si>
  <si>
    <t>주식회사 지엔씨원</t>
  </si>
  <si>
    <t>창업</t>
    <phoneticPr fontId="19" type="noConversion"/>
  </si>
  <si>
    <t>스위칭모드전원공급장치</t>
  </si>
  <si>
    <t>KXT-424</t>
  </si>
  <si>
    <t>지능형 DCS Power Supply &amp; Monitoring Module</t>
  </si>
  <si>
    <t>2018-00368</t>
  </si>
  <si>
    <t>2017-12-28 ~ 2020-12-27</t>
  </si>
  <si>
    <t>2017197</t>
  </si>
  <si>
    <t>2017-04-03 ~ 2020-04-02</t>
  </si>
  <si>
    <t>2017053</t>
  </si>
  <si>
    <t>NEP-MOTIE-2017-024</t>
  </si>
  <si>
    <t>2018-08-09 ~ 2021-08-08</t>
  </si>
  <si>
    <t>부산-20180346-0-01</t>
  </si>
  <si>
    <t>(46257) 부산 금정구 개좌로 263 (회동동, 비젼테크) (동동555-4)</t>
  </si>
  <si>
    <t>vt0000@naver.com</t>
  </si>
  <si>
    <t>0515297001</t>
  </si>
  <si>
    <t>김경민</t>
  </si>
  <si>
    <t>이호석</t>
  </si>
  <si>
    <t>607-81-88354</t>
  </si>
  <si>
    <t>(주)비젼테크</t>
  </si>
  <si>
    <t>LED가로등기구</t>
  </si>
  <si>
    <t>VTSL-01ST80-E1 외 가로등 24종, 투광등 18종, 매입등 10종</t>
  </si>
  <si>
    <t>누설전류 제한기술을 적용한 LED 등기구</t>
  </si>
  <si>
    <t>2018-00384</t>
  </si>
  <si>
    <t>2018-08-06 ~ 2021-08-05</t>
  </si>
  <si>
    <t>경기-20180335-2-01</t>
  </si>
  <si>
    <t>(15588) 경기 안산시 상록구 한양대학로 55 (사동) BI센터 628호</t>
  </si>
  <si>
    <t>jkgisa@nate.com</t>
  </si>
  <si>
    <t>0314003790</t>
  </si>
  <si>
    <t>배정균</t>
  </si>
  <si>
    <t>배태완</t>
  </si>
  <si>
    <t>134-87-08534</t>
  </si>
  <si>
    <t>주식회사 모일</t>
  </si>
  <si>
    <t>LED투광등기구</t>
  </si>
  <si>
    <t>VTA-MB0150C 외 9종</t>
  </si>
  <si>
    <t>L형 히트파이프 기술을 적용하여 방열성을 향상시킨 LED 투광등기구</t>
  </si>
  <si>
    <t>2018-00390</t>
  </si>
  <si>
    <t>2018-06-28 ~ 2021-06-27</t>
  </si>
  <si>
    <t>2018097</t>
  </si>
  <si>
    <t>(04782) 서울 성동구 아차산로 116 (성수동2가) 5층 이피코리아</t>
  </si>
  <si>
    <t>hylee@epkorea.com</t>
  </si>
  <si>
    <t>024653100</t>
  </si>
  <si>
    <t>이해용</t>
  </si>
  <si>
    <t>배문찬</t>
  </si>
  <si>
    <t>218-81-17533</t>
  </si>
  <si>
    <t>이피코리아(주)</t>
  </si>
  <si>
    <t>LED실내조명등</t>
  </si>
  <si>
    <t>LED등기구(EPKF3657MC1N7A / EPKF3657MC1NDA)</t>
  </si>
  <si>
    <t>리플렉터 간접광 기술을 적용한 LED등기구</t>
  </si>
  <si>
    <t>2018-00392</t>
  </si>
  <si>
    <t>2018-07-12 ~ 2021-07-11</t>
  </si>
  <si>
    <t>경기-20180354-2-07</t>
  </si>
  <si>
    <t>(13207) 경기 성남시 중원구 사기막골로 124 (상대원동, SKn테크노파크) 메가센터동 107호</t>
  </si>
  <si>
    <t>fine@chromait.co.kr</t>
  </si>
  <si>
    <t>0317762400</t>
  </si>
  <si>
    <t>박세훈</t>
  </si>
  <si>
    <t>박윤서</t>
  </si>
  <si>
    <t>220-86-03115</t>
  </si>
  <si>
    <t>크로마아이티</t>
  </si>
  <si>
    <t>무정전전원장치</t>
  </si>
  <si>
    <t>UPS, RODEM/NEWBETEL</t>
  </si>
  <si>
    <t>IoT기반의 실시간 원격감시, 제어 및 비대칭 상태 복구 기능을 갖는 병렬형 고효율 UPS</t>
  </si>
  <si>
    <t>2018-00394</t>
  </si>
  <si>
    <t>2017-09-29 ~ 2023-09-28</t>
  </si>
  <si>
    <t>2017156</t>
  </si>
  <si>
    <t>(16229) 경기 수원시 영통구 광교로 107 (이의동, 경기도중소기업지원센터) 401호</t>
  </si>
  <si>
    <t>chpark@pintel.co.kr</t>
  </si>
  <si>
    <t>01084848236</t>
  </si>
  <si>
    <t>박충헌</t>
  </si>
  <si>
    <t>김동기</t>
  </si>
  <si>
    <t>203-88-00359</t>
  </si>
  <si>
    <t>(주)핀텔</t>
  </si>
  <si>
    <t>영상감시장치</t>
  </si>
  <si>
    <t>AVAX-SVP-HBR, AVAX-SVP-PH232, AVAX-SVP-PT230, AVAX-SVP-PH237,AVAX-SVP-PT336, AVAX-SVP-BH242, AVAX-SVP-BT220, AVAX-SVP-BH244,AVAX-SVP-BT512, AVAX-SVP-DH242, AVAX-SVP-DT204, AVAX-SVP-DH244,AVAX-SVP-DT525, AVAX-SVP-HT20, AVAX-SVP-HBR01, AVAX-SVP-HBR01S,AVAX-SVP-HBRC, AVAX-SVP-NS16, AVAX-SVP-NS32, AVAX-SVP-NS64,AVAX-SVP-SS01,AVAX-SVP-P139, AVAX-SVP-P140, AVAX-SVP-P141, AVAX-SVP-P142,AVAX-SVP-P143, AVAX-SVP-P144, AVAX-SVP-P145, AVAX-SVP-P146,AVAX-SVP-P143, AVAX-SVP-P143, AVAX-SVP-P143, AVAX-SVP-P143,AVAX-SVP-P147, AVAX-SVP-P148, AVAX-SVP-P149, AVAX-SVP-P150,AVAX-SVP-P151, AVAX-SVP-P152, AVAX-SVP-P153, AVAX-SVP-P156,AVAX-SVP-P157, AVAX-SVP-P158, AVAX-SVP-P159, AVAX-SVP-P160,AVAX-SVP-P161, AVAX-SVP-P162, AVAX-SVP-P163, AVAX-SVP-P164,AVAX-SVP-P165, AVAX-SVP-P166, AVAX-SVP-P167, AVAX-SVP-P168,AVAX-SVP-P169, AVAX-SVP-P170, AVAX-SVP-P171, AVAX-SVP-P172,AVAX-SVP-P173, AVAX-SVP-P174, AVAX-SVP-P175, AVAX-SVP-P176,AVAX-SVP-P177, AVAX-SVP-P178, AVAX-SVP-P179, AVAX-SVP-P180,AVAX-SVP-P181, AVAX-SVP-P182, AVAX-SVP-P183, AVAX-SVP-P184,AVAX-SVP-P185, AVAX-SVP-P186, AVAX-SVP-P187, AVAX-SVP-P188,AVAX-SVP-P189, AVAX-SVP-P190, AVAX-SVP-P191, AVAX-SVP-P192,AVAX-SVP-P193, AVAX-SVP-P194, AVAX-SVP-P195, AVAX-SVP-P196,AVAX-SVP-P197, AVAX-SVP-P198, AVAX-SVP-P199, AVAX-SVP-P200,AVAX-SVP-P201, AVAX-SVP-P202, AVAX-SVP-P203, AVAX-SVP-P204,AVAX-SVP-P205</t>
  </si>
  <si>
    <t>Full HD 해상도 기반의 객체 인식형 방범용 CCTV 시스템</t>
  </si>
  <si>
    <t>2018-00396</t>
  </si>
  <si>
    <t>NEP-MOTIE-2018-016</t>
  </si>
  <si>
    <t>(11183) 경기 포천시 소흘읍 소흘로 154-24 (무봉리)</t>
  </si>
  <si>
    <t>tlseh8725@naver.com</t>
  </si>
  <si>
    <t>0315418722</t>
  </si>
  <si>
    <t>임균석</t>
  </si>
  <si>
    <t>길은석</t>
  </si>
  <si>
    <t>127-86-19303</t>
  </si>
  <si>
    <t>신도(주)</t>
  </si>
  <si>
    <t>금속제창</t>
  </si>
  <si>
    <t>SD-APW-170-ICW2, SD-APW-255AS-DSL1, SDW-APW-230-1DSL, SDW-AW-230-1DSL, SDW-AW-230-2DSL, SDW-AW-230-4DSL, SDW-AW-158-SL, SDW-APW-230-2DSL, SDW-APW-230-4DSL, SDW-APW-160-SL, SDW-CAPW-FW2, DW-CAW-FW,
SDW-CAW-FW2, SDW-CAPW-FW3, SDW-APW-160-SL-1,
SDW-AW-154-SL-1, SDW-AW-230-4DSL-1, SDW-APW-230-4DSL-1,
SDW-CAW-PJ-1, SDW-CAW-PJ-1, SDW-CAW-CM-1</t>
  </si>
  <si>
    <t>원터치 끼움결합 구조의 커튼월(폭:170mm)과 가동프레임 스프링 기술이 적용된 금속제 미서기 창호(폭:255mm)</t>
  </si>
  <si>
    <t>2018-00410</t>
  </si>
  <si>
    <t>2017-02-27 ~ 2022-02-26</t>
  </si>
  <si>
    <t>제15-1505호</t>
  </si>
  <si>
    <t>(18279) 경기 화성시 남양읍 무하로110번길 40-18 (온석리) 파워코리아(주)</t>
  </si>
  <si>
    <t>kpj8474@hanmail.net</t>
  </si>
  <si>
    <t>0313599293</t>
  </si>
  <si>
    <t>이상선</t>
  </si>
  <si>
    <t>김판준</t>
  </si>
  <si>
    <t>124-86-39595</t>
  </si>
  <si>
    <t>파워코리아(주)</t>
  </si>
  <si>
    <t>디젤발전기</t>
  </si>
  <si>
    <t>PKG-D1000외 46종</t>
  </si>
  <si>
    <t>파워서플라이를 이용하여 회전자 전류를 제어하는 동기발전기</t>
  </si>
  <si>
    <t>2018-00414</t>
  </si>
  <si>
    <t>2018069</t>
  </si>
  <si>
    <t>제인천-20180210-1-01호</t>
  </si>
  <si>
    <t>(21314) 인천 부평구 부평북로 163 (청천동) 청천동</t>
  </si>
  <si>
    <t>gwkim@djkostal.co.kr</t>
  </si>
  <si>
    <t>0325174418</t>
  </si>
  <si>
    <t>김광현</t>
  </si>
  <si>
    <t>강성공</t>
  </si>
  <si>
    <t>122-81-18599</t>
  </si>
  <si>
    <t>(주)대진코스탈</t>
  </si>
  <si>
    <t>문서세단기</t>
  </si>
  <si>
    <t>문서세단기 (KS-230A외 48종)</t>
  </si>
  <si>
    <t>투입감지센서 자동감도조절과 세단성능유지 기능이 향상된 문서세단기</t>
  </si>
  <si>
    <t>2018-00418</t>
  </si>
  <si>
    <t>2018-09-19 ~ 2021-09-18</t>
  </si>
  <si>
    <t>경기-20180413-2-01</t>
  </si>
  <si>
    <t>2017-08-11 ~ 2020-08-10</t>
  </si>
  <si>
    <t>제0931호</t>
  </si>
  <si>
    <t>2016-06-30 ~ 2019-06-29</t>
  </si>
  <si>
    <t>2016064</t>
  </si>
  <si>
    <t>(13407) 경기 성남시 중원구 마지로 123-1 (하대원동) 아이엘벨리 2층</t>
  </si>
  <si>
    <t>jkoh@ilgroup.co.kr</t>
  </si>
  <si>
    <t>0317599356</t>
  </si>
  <si>
    <t>오정근</t>
  </si>
  <si>
    <t>송성근</t>
  </si>
  <si>
    <t>129-86-28128</t>
  </si>
  <si>
    <t>주식회사 아이엘사이언스</t>
    <phoneticPr fontId="20" type="noConversion"/>
  </si>
  <si>
    <t>IL-HST100-001-01,IL-HST125-001-02,IL-HST150-001</t>
  </si>
  <si>
    <t>LED 가로등기구</t>
  </si>
  <si>
    <t>2018-00423</t>
  </si>
  <si>
    <t>(13407) 경기 성남시 중원구 마지로 123-1 (하대원동) 아이엘벨리</t>
  </si>
  <si>
    <t>LED보안등기구</t>
  </si>
  <si>
    <t>IL-HSE50-002, IL-HSE75-002-01</t>
  </si>
  <si>
    <t>LED 보안등기구</t>
  </si>
  <si>
    <t>2018-00433</t>
  </si>
  <si>
    <t>2016-12-07 ~ 2019-12-08</t>
  </si>
  <si>
    <t>주식회사 아이엘사이언스</t>
    <phoneticPr fontId="20" type="noConversion"/>
  </si>
  <si>
    <t>LED터널용등기구</t>
  </si>
  <si>
    <t>IL-TL50-001-01,IL-75-001-01,IL-TL100-001-02,IL-125-001-03,IL-TL150-001-04,STL-L002,STL-L003</t>
  </si>
  <si>
    <t>LED 터널등기구</t>
  </si>
  <si>
    <t>2018-00435</t>
  </si>
  <si>
    <t>2017-06-30 ~ 2021-06-29</t>
  </si>
  <si>
    <t>2017109</t>
  </si>
  <si>
    <t>(14944) 경기 시흥시 미산로 111 (미산동, (주)원방엔지니어링) , 시흥대로 908-19</t>
  </si>
  <si>
    <t>wonbeng@chol.com</t>
  </si>
  <si>
    <t>0313120071</t>
  </si>
  <si>
    <t>김민배</t>
  </si>
  <si>
    <t>손석환</t>
  </si>
  <si>
    <t>134-81-80096</t>
  </si>
  <si>
    <t>(주)원방엔지니어링</t>
  </si>
  <si>
    <t>WBEHV-01-VCB520M-2(고압배전반), WBELV-01-ACBMC13(저압배전반), WBEM-01-15DM-2(전동기제어반), WBEB-01-M204-MGF20-A(분전반) 등 316건</t>
  </si>
  <si>
    <t>초음파, 자외선 기반의 아크 및 코로나 방전 감시 진단 시스템을 갖춘 고압배전반, 저압배전반, 전동기제어반, 분전반</t>
  </si>
  <si>
    <t>2018-00436</t>
  </si>
  <si>
    <t>2016-11-25 ~ 2018-11-25</t>
  </si>
  <si>
    <t>M2015-1210050</t>
  </si>
  <si>
    <t>2012-12-01 ~ 2014-11-30</t>
  </si>
  <si>
    <t>2012-S2074185</t>
  </si>
  <si>
    <t>구매조건부</t>
  </si>
  <si>
    <t>(07209) 서울 영등포구 선유로43길 32 (양평동4가) (주)협성히스코</t>
  </si>
  <si>
    <t>cbkim@hiscoi.com</t>
  </si>
  <si>
    <t>0263393234</t>
  </si>
  <si>
    <t>김창복</t>
  </si>
  <si>
    <t>양경돈</t>
  </si>
  <si>
    <t>107-81-35022</t>
  </si>
  <si>
    <t>(주)협성히스코</t>
  </si>
  <si>
    <t>펌프효율검정장비</t>
  </si>
  <si>
    <t>PEMS9200</t>
  </si>
  <si>
    <t>실시간 펌프모터 성능 및 상태감시를 통한 Smart Pump Station 구축</t>
  </si>
  <si>
    <t>2018-00461</t>
  </si>
  <si>
    <t>18-0077</t>
  </si>
  <si>
    <t>2018-04-17 ~ 2022-04-16</t>
  </si>
  <si>
    <t>27-432</t>
  </si>
  <si>
    <t>(34069) 대전광역시 반석로 32, 302-2호(반석동, 양지타워)</t>
  </si>
  <si>
    <t>대전광역시</t>
  </si>
  <si>
    <t>bestceo@best-bas.com</t>
  </si>
  <si>
    <t>0448667017</t>
  </si>
  <si>
    <t>남상미</t>
  </si>
  <si>
    <t>445-87-00640</t>
  </si>
  <si>
    <t>창업/첫걸음</t>
    <phoneticPr fontId="19" type="noConversion"/>
  </si>
  <si>
    <t>빌딩자동제어장치</t>
  </si>
  <si>
    <t>SMART-IoT-BAS-500 외 28종</t>
  </si>
  <si>
    <t>지능형 화재(이상 징후) 예찰 시스템을 내장한 빌딩자동제어시스템</t>
  </si>
  <si>
    <t>2018-00473</t>
  </si>
  <si>
    <t>2017-11-28 ~ 2020-11-27</t>
  </si>
  <si>
    <t>부산-20170350-2-01</t>
  </si>
  <si>
    <t>2018108</t>
  </si>
  <si>
    <t>(46059) 부산 기장군 기장읍 차성서로 147 (서부리, 유환) (주)유환</t>
  </si>
  <si>
    <t>bendits@naver.com</t>
  </si>
  <si>
    <t>01055870025</t>
  </si>
  <si>
    <t>조성호</t>
  </si>
  <si>
    <t>이수영</t>
  </si>
  <si>
    <t>605-81-58460</t>
  </si>
  <si>
    <t>(주)유환</t>
  </si>
  <si>
    <t>태양광발전장치</t>
  </si>
  <si>
    <t>UHPV-3K 외 66종</t>
  </si>
  <si>
    <t>방재기능을 갖춘 내진 태양광 발전시스템</t>
  </si>
  <si>
    <t>2018-00477</t>
  </si>
  <si>
    <t>2018-08-07 ~ 2021-08-06</t>
  </si>
  <si>
    <t>부산20180344101</t>
  </si>
  <si>
    <t>(46027) 부산 기장군 정관읍 산단3로 101-4 (달산리, (주)한하산업) (주)한하산업</t>
  </si>
  <si>
    <t>hanha1159@hanmail.net</t>
  </si>
  <si>
    <t>0516121159</t>
  </si>
  <si>
    <t>송화선</t>
  </si>
  <si>
    <t>김정실</t>
  </si>
  <si>
    <t>617-81-88012</t>
  </si>
  <si>
    <t>(주)한하산업</t>
  </si>
  <si>
    <t>HAN-CDM-001외</t>
  </si>
  <si>
    <t>촉매산화수 공급장치가 적용된 복합탈취기</t>
  </si>
  <si>
    <t>2018-00479</t>
  </si>
  <si>
    <t>2016-08-03 ~ 2019-08-02</t>
  </si>
  <si>
    <t>S2198376</t>
  </si>
  <si>
    <t>2015-09-03 ~ 2018-09-02</t>
  </si>
  <si>
    <t>제25-122호</t>
  </si>
  <si>
    <t>(50827) 경남 김해시 삼안로16번길 13 (지내동) 포스텍</t>
  </si>
  <si>
    <t>경상남도</t>
  </si>
  <si>
    <t>lhg@postbn.com</t>
  </si>
  <si>
    <t>0553148344</t>
  </si>
  <si>
    <t>이홍국</t>
  </si>
  <si>
    <t>조정봉</t>
  </si>
  <si>
    <t>615-17-49521</t>
  </si>
  <si>
    <t>포스텍</t>
  </si>
  <si>
    <t>금속실</t>
  </si>
  <si>
    <t>Main TBN OIL DEFLECTOR (T1~T10), FWPT OIL DEFLECTOR(LP1,LP2, HP), HIP TBN OIL DEFLECTOR (T1~T2)</t>
  </si>
  <si>
    <t>누유 초저감 오일 디플렉터</t>
  </si>
  <si>
    <t>2018-00484</t>
  </si>
  <si>
    <t>2016-08-11 ~ 2021-08-10</t>
  </si>
  <si>
    <t>제502호</t>
  </si>
  <si>
    <t>(17543) 경기 안성시 대덕면 모산로 58-11 (모산리, (주)진행워터웨이) 1,2,3층</t>
  </si>
  <si>
    <t>ejkang@waterway.kr</t>
  </si>
  <si>
    <t>0234888097</t>
  </si>
  <si>
    <t>강은정</t>
  </si>
  <si>
    <t>심학섭</t>
  </si>
  <si>
    <t>214-86-79978</t>
  </si>
  <si>
    <t>(주)진행워터웨이</t>
  </si>
  <si>
    <t>부식억제장비</t>
  </si>
  <si>
    <t>SB ALPHA 50, 65, 80, 100, 125, 150, 200, 250, 300</t>
  </si>
  <si>
    <t>스케일버스터 알파(물리적 수처리기)</t>
  </si>
  <si>
    <t>2018-00485</t>
  </si>
  <si>
    <t>20180628 ~ 20210627</t>
  </si>
  <si>
    <t>2018105</t>
  </si>
  <si>
    <t>(03970) 서울 마포구 월드컵로 134 (성산동, 금수빌딩)</t>
  </si>
  <si>
    <t>navy6612@hanmail.net</t>
  </si>
  <si>
    <t>023305059</t>
  </si>
  <si>
    <t>김창석</t>
  </si>
  <si>
    <t>김낙경</t>
  </si>
  <si>
    <t>111-81-28082</t>
  </si>
  <si>
    <t>(주)디투엔지니어링</t>
  </si>
  <si>
    <t>d2-DPC-10-J-204-F2042-F1042 등 261종</t>
  </si>
  <si>
    <t>래버형 부스바 접속키트를 이용하여 개보수가 용이한 적층형 분전반</t>
  </si>
  <si>
    <t>2018-00488</t>
  </si>
  <si>
    <t>2018-05-16 ~ 2021-05-15</t>
  </si>
  <si>
    <t>제 2018-212호</t>
  </si>
  <si>
    <t>우수발명품</t>
  </si>
  <si>
    <t>2018-09-06 ~ 2021-09-05</t>
  </si>
  <si>
    <t>제 GT-18-00502</t>
  </si>
  <si>
    <t>녹색인증</t>
  </si>
  <si>
    <t>(31094) 충남 천안시 서북구 백석공단4길 15 (백석동) 7동 101호 주식회사 한국환경기술</t>
  </si>
  <si>
    <t>mylee0315@hanmail.net</t>
  </si>
  <si>
    <t>0415587700</t>
  </si>
  <si>
    <t>이명영</t>
  </si>
  <si>
    <t>양혜정</t>
  </si>
  <si>
    <t>808-81-00437</t>
  </si>
  <si>
    <t>(주) 한국환경기술</t>
  </si>
  <si>
    <t>산업용탈취제</t>
  </si>
  <si>
    <t>바이오매직-플러스 K-BL 20L</t>
  </si>
  <si>
    <t>복합처리용 탈취제</t>
  </si>
  <si>
    <t>2018-11-06</t>
  </si>
  <si>
    <t>18-소액(1차)</t>
  </si>
  <si>
    <t>소액과제</t>
  </si>
  <si>
    <t>2018-00529</t>
  </si>
  <si>
    <t>2017191</t>
  </si>
  <si>
    <t>2018-06-12 ~ 2021-06-11</t>
  </si>
  <si>
    <t>제인천-20180231-2-01 호</t>
  </si>
  <si>
    <t>(21990) 인천 연수구 송도미래로 30 (송도동, 송도 BRC 스마트밸리 지식산업센터) A동 1809호</t>
  </si>
  <si>
    <t>ksnman@bktechnology.kr</t>
  </si>
  <si>
    <t>023657312</t>
  </si>
  <si>
    <t>강성남</t>
  </si>
  <si>
    <t>이동우</t>
  </si>
  <si>
    <t>110-81-89543</t>
  </si>
  <si>
    <t>주식회사 비케이테크놀로지</t>
  </si>
  <si>
    <t>LED램프</t>
  </si>
  <si>
    <t>HSS1BXE-W060-3000, HSS1BXE-W060-5700, HSS1BXE-W075-3000, HSS1BXE-W075-5700, HSS1BXE-W090-3000, HSS1BXE-W090-5700, HSS1BXE-W120-3000, HSS1BXE-W120-5700, HSS1BXE-W150-3000, HSS1BXE-W150-5700, HSS1BXE-W060-4000L, HSS1BXE-W060-5000L, HSS1BXE-W075-4000L, HSS1BXE-W075-5000L, HSS1BXE-W090-4000L, HSS1BXE-W090-5000L, HSS1BXE-W120-4000L, HSS1BXE-W120-5000L, HSS1BXE-W150-4000L, HSS1BXE-W150-5000L</t>
  </si>
  <si>
    <t>비타민전구(Vitamin Bulb)</t>
  </si>
  <si>
    <t>2018-12-11</t>
  </si>
  <si>
    <t>18-소액(2차)</t>
  </si>
  <si>
    <t>2018-00596</t>
  </si>
  <si>
    <t>2018-11-15 ~ 2021-11-14</t>
  </si>
  <si>
    <t>GT-18-00554</t>
  </si>
  <si>
    <t>(50802) 경남 김해시 생림면 인제로 707-80 (나전리) 부림산기주식회사</t>
  </si>
  <si>
    <t>burimind@hanmail.net</t>
  </si>
  <si>
    <t>055-723-3043</t>
  </si>
  <si>
    <t>박순돈</t>
  </si>
  <si>
    <t>최승환</t>
  </si>
  <si>
    <t>610-81-32856</t>
  </si>
  <si>
    <t>부림산기주식회사</t>
  </si>
  <si>
    <t>화산석타일</t>
  </si>
  <si>
    <t>PiN Foam 3호</t>
  </si>
  <si>
    <t>친환경 불연 단열 내외장 마감재</t>
  </si>
  <si>
    <t>2019-02-19</t>
  </si>
  <si>
    <t>19-소액(1차)</t>
  </si>
  <si>
    <t>2018-00611</t>
  </si>
  <si>
    <t>2018-09-04 ~ 2021-09-03</t>
  </si>
  <si>
    <t>2018-09-10 ~ 2029-09-09</t>
  </si>
  <si>
    <t>2019-01-31 ~ 2022-01-30</t>
  </si>
  <si>
    <t>NEP-MOTIE-2019-032</t>
  </si>
  <si>
    <t>경기도 성남시 분당구 정자일로 248</t>
  </si>
  <si>
    <t>yjkim@suprema.co.kr</t>
  </si>
  <si>
    <t>031-710-5668</t>
  </si>
  <si>
    <t>김영진</t>
  </si>
  <si>
    <t>송봉섭 문영수</t>
  </si>
  <si>
    <t>431-87-00369</t>
  </si>
  <si>
    <t>주식회사 슈프리마</t>
  </si>
  <si>
    <t>출입통제시스템</t>
  </si>
  <si>
    <t>FS2-AWB FS2-D</t>
  </si>
  <si>
    <t xml:space="preserve">근적외선을 이용한 실내용 얼굴인식단말기(1000~25000lux) </t>
  </si>
  <si>
    <t>2019-05-06</t>
  </si>
  <si>
    <t>19-공고(1차)</t>
  </si>
  <si>
    <t>2019-00047</t>
  </si>
  <si>
    <t>2018-06-04 ~ 2024-06-03</t>
  </si>
  <si>
    <t>19-BBD0015</t>
  </si>
  <si>
    <t>인천광역시 서구 검단로 110</t>
  </si>
  <si>
    <t>choisj@celetra.com</t>
  </si>
  <si>
    <t>032-561-6700</t>
  </si>
  <si>
    <t>최성준</t>
  </si>
  <si>
    <t>배동호</t>
  </si>
  <si>
    <t>137-81-63058</t>
  </si>
  <si>
    <t>삼영쎌레트라(주)</t>
  </si>
  <si>
    <t>무선송수신기</t>
  </si>
  <si>
    <t>CT405</t>
  </si>
  <si>
    <t>스퓨리어스 프리 PLL 주파수 합성기 기술을 적용한 DMR방식의 디지털 무전기</t>
  </si>
  <si>
    <t>2019-00095</t>
  </si>
  <si>
    <t>2018-07-02 ~ 2021-07-01</t>
  </si>
  <si>
    <t>경기-20180276-1-01</t>
  </si>
  <si>
    <t>경기도 안양시 만안구 석천로 200</t>
  </si>
  <si>
    <t>sjeco@naver.com</t>
  </si>
  <si>
    <t>031-432-8839</t>
  </si>
  <si>
    <t>최영근</t>
  </si>
  <si>
    <t>김은수</t>
  </si>
  <si>
    <t>140-09-23809</t>
  </si>
  <si>
    <t>성진</t>
  </si>
  <si>
    <t>스크루프레스형탈수기</t>
  </si>
  <si>
    <t>SJP-201 SJP-252 SJP-303</t>
  </si>
  <si>
    <t>파쇄돌기형 커팅부와 탈수용 스크린을 적용한 협잡물 처리용 스크류 프레스</t>
  </si>
  <si>
    <t>2019-00100</t>
  </si>
  <si>
    <t>2018-12-18 ~ 2021-12-17</t>
  </si>
  <si>
    <t>경기도 부천시 오정구 석천로 397</t>
  </si>
  <si>
    <t>hsc@jungsin.co.kr</t>
  </si>
  <si>
    <t>032-673-5511</t>
  </si>
  <si>
    <t>한승철</t>
  </si>
  <si>
    <t>류종태</t>
  </si>
  <si>
    <t>130-86-91387</t>
  </si>
  <si>
    <t>(주)정신</t>
  </si>
  <si>
    <t xml:space="preserve">1122C 1123C  1124C 1125C 1126C 1127C  1128C  1129C  1131C  1132C </t>
  </si>
  <si>
    <t>2019-00104</t>
  </si>
  <si>
    <t>2018-09-03 ~ 2021-09-03</t>
  </si>
  <si>
    <t>18-0452</t>
  </si>
  <si>
    <t>GS 시험인증</t>
  </si>
  <si>
    <t>경기도 안양시 동안구 시민대로327번길 11-41</t>
  </si>
  <si>
    <t>jooy@spacosa.com</t>
  </si>
  <si>
    <t>031-360-3655</t>
  </si>
  <si>
    <t>조병주</t>
  </si>
  <si>
    <t>조우주</t>
  </si>
  <si>
    <t>135-86-23114</t>
  </si>
  <si>
    <t>주식회사 스파코사</t>
  </si>
  <si>
    <t>데스크탑용통신소프트웨어</t>
  </si>
  <si>
    <t>CatchLoc location cloud 1</t>
  </si>
  <si>
    <t>캐치락 위치관제 솔루션 1</t>
  </si>
  <si>
    <t>2019-00112</t>
  </si>
  <si>
    <t>NEP-MOTIE-2018-002</t>
  </si>
  <si>
    <t>충청남도 천안시 동남구 수신면 수신로 142</t>
  </si>
  <si>
    <t>taewon-100@hanmail.net</t>
  </si>
  <si>
    <t>041-552-1460</t>
  </si>
  <si>
    <t>권태원</t>
  </si>
  <si>
    <t>송순왕</t>
  </si>
  <si>
    <t>243-82-00132</t>
  </si>
  <si>
    <t>사단법인 한마음장애인복지회</t>
    <phoneticPr fontId="20" type="noConversion"/>
  </si>
  <si>
    <t>특고압배전반 고압배전반 저압배전반 전동기제어반</t>
  </si>
  <si>
    <t>3상 전선로에서의 급변누설 전류를 이용한 인체 감전 보호용 내진 배전반</t>
  </si>
  <si>
    <t>2019-00114</t>
  </si>
  <si>
    <t>NEP-MOTIE-2018-011</t>
  </si>
  <si>
    <t>경기도 성남시 분당구 황새울로258번길 37</t>
  </si>
  <si>
    <t>dodohyoun@hanmail.net</t>
  </si>
  <si>
    <t>심현숙</t>
  </si>
  <si>
    <t>장성일</t>
  </si>
  <si>
    <t>144-81-17663</t>
  </si>
  <si>
    <t>(주)피움이노베이션</t>
  </si>
  <si>
    <t>수성페인트</t>
  </si>
  <si>
    <t>기능성 무기질도료 (GR-P3)</t>
  </si>
  <si>
    <t>열린미세기공형 실리카계 무기질 도료(건축내장최종마감재용)</t>
  </si>
  <si>
    <t>2019-00123</t>
  </si>
  <si>
    <t>2018-10-12 ~ 2021-10-11</t>
  </si>
  <si>
    <t>경남-20180468-1-01</t>
  </si>
  <si>
    <t>부산광역시 서구 충무대로 264 우양빌딩 8층 (충무동1가)</t>
  </si>
  <si>
    <t>jhbyun@kpyro.com</t>
  </si>
  <si>
    <t>070-7455-3714</t>
  </si>
  <si>
    <t>변지호</t>
  </si>
  <si>
    <t>조영준</t>
  </si>
  <si>
    <t>603-81-10704</t>
  </si>
  <si>
    <t>고려화공(주)</t>
  </si>
  <si>
    <t>분말자동소화장치</t>
  </si>
  <si>
    <t>KF-5P(4.5kg)</t>
  </si>
  <si>
    <t>2019-00128</t>
  </si>
  <si>
    <t>2019-01-02 ~ 2022-01-01</t>
  </si>
  <si>
    <t>19-AAK0001</t>
  </si>
  <si>
    <t>충청북도</t>
  </si>
  <si>
    <t>yeonkh@firekim.co.kr</t>
  </si>
  <si>
    <t>070-4209-5030</t>
  </si>
  <si>
    <t>김호연</t>
  </si>
  <si>
    <t>김병열</t>
  </si>
  <si>
    <t>219-88-00602</t>
  </si>
  <si>
    <t>파이어킴 주식회사 (FIREKIM CO..LTD.)</t>
  </si>
  <si>
    <t>자동식소화기</t>
  </si>
  <si>
    <t>STICK130 STICK200 STICK250 STICK300</t>
  </si>
  <si>
    <t>소공간용 자동소화용구 'STICK'</t>
  </si>
  <si>
    <t>2019-00139</t>
  </si>
  <si>
    <t>2018-08-26 ~ 2021-08-25</t>
  </si>
  <si>
    <t>14-260</t>
  </si>
  <si>
    <t>2017-09-29 ~ 2020-09-28</t>
  </si>
  <si>
    <t>경상남도 고성군 고성읍 중앙로15번길 62</t>
  </si>
  <si>
    <t>sgke0401@naver.com</t>
  </si>
  <si>
    <t>070-8666-7185</t>
  </si>
  <si>
    <t>김태성</t>
  </si>
  <si>
    <t>410-86-94806</t>
  </si>
  <si>
    <t>주식회사 에스지케이</t>
  </si>
  <si>
    <t>SGK-EHV SGK-LV SGK-MCC SGK-DIST</t>
  </si>
  <si>
    <t>비 접촉 복합센서 기반 열화상태 모니터링 배전반 개발</t>
  </si>
  <si>
    <t>2019-00178</t>
  </si>
  <si>
    <t>서울특별시 중구 다산로 240</t>
  </si>
  <si>
    <t>parkji2895@hanmail.net</t>
  </si>
  <si>
    <t>02-2236-1500</t>
  </si>
  <si>
    <t>박종일</t>
  </si>
  <si>
    <t>강현상</t>
  </si>
  <si>
    <t>137-81-87986</t>
  </si>
  <si>
    <t>(주)광희보일러</t>
  </si>
  <si>
    <t xml:space="preserve"> 주철제보일러</t>
  </si>
  <si>
    <t>주철제보일러 5.0T/h 외 23종 (KDS-5000GN 외 23종)</t>
  </si>
  <si>
    <t>이중주관식 주철제 보일러</t>
  </si>
  <si>
    <t>2019-00181</t>
  </si>
  <si>
    <t>2018-10-04 ~ 2021-10-03</t>
  </si>
  <si>
    <t>충청남도 천안시 서북구 입장면 연곡길 172-32</t>
  </si>
  <si>
    <t>hsenb@naver.com</t>
  </si>
  <si>
    <t>041-580-9273</t>
  </si>
  <si>
    <t>강수빈</t>
  </si>
  <si>
    <t>유승진</t>
  </si>
  <si>
    <t>312-86-58054</t>
  </si>
  <si>
    <t>(주)화신코리아</t>
  </si>
  <si>
    <t>SL-HO1200A 외 12제품(제품설명서상의 전체모델명 표기함)</t>
  </si>
  <si>
    <t>LED투광등기구 스포츠조명</t>
  </si>
  <si>
    <t>2019-00217</t>
  </si>
  <si>
    <t>2019-02-27 ~ 2022-02-26</t>
  </si>
  <si>
    <t>27-461</t>
  </si>
  <si>
    <t>서울특별시 관악구 신림로 117</t>
  </si>
  <si>
    <t>skb0109@naver.com</t>
  </si>
  <si>
    <t>심규빈</t>
  </si>
  <si>
    <t>양승찬</t>
  </si>
  <si>
    <t>853-87-00953</t>
  </si>
  <si>
    <t>고상제설제</t>
  </si>
  <si>
    <t>불가사리 유래 다공성 구조체를 활용한 저부식성 친환경 고상 제설제</t>
  </si>
  <si>
    <t>2019-00243</t>
  </si>
  <si>
    <t>2018-09-21 ~ 2021-09-20</t>
  </si>
  <si>
    <t>제주-20180398-2-02</t>
  </si>
  <si>
    <t>제주특별자치도 제주시 번영로 231</t>
  </si>
  <si>
    <t>제주특별자치도</t>
  </si>
  <si>
    <t>ecoec@naver.com</t>
  </si>
  <si>
    <t>064-723-7216</t>
  </si>
  <si>
    <t>고동민</t>
  </si>
  <si>
    <t>송기택</t>
  </si>
  <si>
    <t>616-81-92599</t>
  </si>
  <si>
    <t>(주)에코파워텍</t>
  </si>
  <si>
    <t>전동기제어반</t>
  </si>
  <si>
    <t>ECO-MCC</t>
  </si>
  <si>
    <t>부스바 접속부의 광통신기반 열화 및 아크 감시 진단기능을 갖는 전동기제어반</t>
  </si>
  <si>
    <t>2019-00296</t>
  </si>
  <si>
    <t>2015-07-03 ~ 2020-07-02</t>
  </si>
  <si>
    <t>경기도 성남시 중원구 둔촌대로 484 시콕스타워 115호 (상대원동)</t>
  </si>
  <si>
    <t>himax@himax119.co.kr</t>
  </si>
  <si>
    <t>031-742-1190</t>
  </si>
  <si>
    <t>신선아</t>
  </si>
  <si>
    <t>김강호</t>
  </si>
  <si>
    <t>106-81-40575</t>
  </si>
  <si>
    <t>주식회사 하이맥스</t>
  </si>
  <si>
    <t>화재수신기</t>
  </si>
  <si>
    <t>GR형 화재수신기 (HIP600M-500~8000 - 총10개 품목)</t>
  </si>
  <si>
    <t>원격점검이 가능한 지능형 화재감시 시스템</t>
  </si>
  <si>
    <t>2019-00302</t>
  </si>
  <si>
    <t>2018-03-16 ~ 2021-03-15</t>
  </si>
  <si>
    <t>제2018-01-0024호</t>
  </si>
  <si>
    <t>벤처창업혁신 조달상품</t>
  </si>
  <si>
    <t>2017-12-15 ~ 2021-12-14</t>
  </si>
  <si>
    <t>제17-1-0050호</t>
  </si>
  <si>
    <t>ICT</t>
  </si>
  <si>
    <t>서울특별시 서대문구 통일로 484</t>
  </si>
  <si>
    <t>master@sonowiz.com</t>
  </si>
  <si>
    <t>02-6748-5001</t>
  </si>
  <si>
    <t>하동경</t>
  </si>
  <si>
    <t>215-87-93209</t>
  </si>
  <si>
    <t>보행신호음성안내보조장치</t>
  </si>
  <si>
    <t>SWTC-SR100S</t>
  </si>
  <si>
    <t>레이더 기반 스마트 이동객체 감지 및 운전자용 경보 장치</t>
  </si>
  <si>
    <t>2019-06-03</t>
  </si>
  <si>
    <t>19-소액(3차)</t>
  </si>
  <si>
    <t>2019-00347</t>
  </si>
  <si>
    <t xml:space="preserve"> ~ </t>
  </si>
  <si>
    <t>2018206</t>
  </si>
  <si>
    <t xml:space="preserve">32718 충청남도 금산군 군북면 가목길 13 </t>
  </si>
  <si>
    <t>shbusduct@daum.net</t>
  </si>
  <si>
    <t>02-2632-9567</t>
  </si>
  <si>
    <t>장현아</t>
  </si>
  <si>
    <t>정수상</t>
  </si>
  <si>
    <t>305-81-85387</t>
  </si>
  <si>
    <t>주식회사신화기전</t>
  </si>
  <si>
    <t>부스덕트</t>
  </si>
  <si>
    <t>우수제품지정서 내에 있는 모든 제품</t>
  </si>
  <si>
    <t>2Leaf Spring 체결방식을 적용한 부스덕트시스템(밀착형 : 600V이하, 알루미늄 (AL)형)</t>
  </si>
  <si>
    <t>2019-07-30</t>
  </si>
  <si>
    <t>19-공고(2차)</t>
  </si>
  <si>
    <t>2019-00411</t>
  </si>
  <si>
    <t>2018-11-22 ~ 2021-11-21</t>
  </si>
  <si>
    <t>경남-20180532-5-01</t>
  </si>
  <si>
    <t xml:space="preserve">50588 경상남도 양산시 원동면 화제로 260 </t>
  </si>
  <si>
    <t>gw2910@daum.net</t>
  </si>
  <si>
    <t>055-388-3196</t>
  </si>
  <si>
    <t>이규열</t>
  </si>
  <si>
    <t>박정미</t>
  </si>
  <si>
    <t>617-15-93956</t>
  </si>
  <si>
    <t>그린우드</t>
  </si>
  <si>
    <t>가정용싱크대</t>
  </si>
  <si>
    <t>주방가구(GWP-SIP-0001, GWP-SIM-0001)</t>
  </si>
  <si>
    <t>중밀도 섬유판 및 파티클 보드의 엣지 접착 기술을 이용한 가정용 가구 제품</t>
  </si>
  <si>
    <t>2019-00414</t>
  </si>
  <si>
    <t>2018-09-17 ~ 2021-09-16</t>
  </si>
  <si>
    <t>제 2018-02호</t>
  </si>
  <si>
    <t>부산광역시 사상구 대동로 303</t>
  </si>
  <si>
    <t>wwd9512@naver.com</t>
  </si>
  <si>
    <t>051-611-6273</t>
  </si>
  <si>
    <t>정지원</t>
  </si>
  <si>
    <t>이인정</t>
  </si>
  <si>
    <t>617-81-73940</t>
  </si>
  <si>
    <t>(주)수림디앤씨</t>
  </si>
  <si>
    <t>목재덱</t>
  </si>
  <si>
    <t>SLG-LAR-900 외 23종</t>
  </si>
  <si>
    <t>녹화용 목재데크</t>
  </si>
  <si>
    <t>2019-07-23</t>
  </si>
  <si>
    <t>19-소액(4차)</t>
  </si>
  <si>
    <t>2019-00434</t>
  </si>
  <si>
    <t>2018-12-31 ~ 2021-12-30</t>
  </si>
  <si>
    <t>서울-20180603-2-01</t>
  </si>
  <si>
    <t>08649 서울특별시 금천구 시흥대로 156 고려엔지니어링</t>
  </si>
  <si>
    <t>rnd@igkec.com</t>
  </si>
  <si>
    <t>02-862-8414</t>
  </si>
  <si>
    <t>이재찬</t>
  </si>
  <si>
    <t>안상근, 조미영</t>
  </si>
  <si>
    <t>119-86-47865</t>
  </si>
  <si>
    <t>(주)고려엔지니어링</t>
  </si>
  <si>
    <t>자동전압조정기</t>
  </si>
  <si>
    <t xml:space="preserve">GT-IG-0000 / BLR-IG-000 </t>
  </si>
  <si>
    <t xml:space="preserve">자가진단 및 방전횟수 조절과 점화장치 이중화를 통한 점화신뢰성 향상 산업용 점화장치 </t>
  </si>
  <si>
    <t>2019-00436</t>
  </si>
  <si>
    <t>2018-12-07 ~ 2021-12-06</t>
  </si>
  <si>
    <t>S2340301</t>
  </si>
  <si>
    <t>10808 경기도 파주시 문산읍 돈유2로 119 (주)동양화공기계</t>
  </si>
  <si>
    <t>kihyw8@dycp.co.kr</t>
  </si>
  <si>
    <t>031-935-9730</t>
  </si>
  <si>
    <t>김현웅</t>
  </si>
  <si>
    <t>하기영</t>
  </si>
  <si>
    <t>128-81-19859</t>
  </si>
  <si>
    <t>(주)동양화공기계</t>
  </si>
  <si>
    <t>입축축류펌프</t>
  </si>
  <si>
    <t>TVP 18P (API 610 Vertical Pump (VS1, VS2))</t>
  </si>
  <si>
    <t>수력발전소 흡출관 배수설비 장축(18M) 펌프 국산화 개발</t>
  </si>
  <si>
    <t>2019-00441</t>
  </si>
  <si>
    <t>2019-04-11 ~ 2022-04-10</t>
  </si>
  <si>
    <t>제2019-협력-001호</t>
  </si>
  <si>
    <t>개발선정품</t>
  </si>
  <si>
    <t>13558 경기도 성남시 분당구 성남대로331번길 8 킨스타워 1801(정자동)</t>
  </si>
  <si>
    <t>marketing@nada.co.kr</t>
  </si>
  <si>
    <t>031-8017-7820</t>
  </si>
  <si>
    <t>장성호</t>
  </si>
  <si>
    <t>김민호</t>
  </si>
  <si>
    <t>214-86-19096</t>
  </si>
  <si>
    <t>(주)나다</t>
  </si>
  <si>
    <t>주파수분석기</t>
  </si>
  <si>
    <t>휴대용 진동분석기</t>
  </si>
  <si>
    <t>터빈 및 주요회전기기 정밀진단을 위한 휴대용 진동분석기</t>
  </si>
  <si>
    <t>2019-00447</t>
  </si>
  <si>
    <t>2018-07-18 ~ 2021-07-17</t>
  </si>
  <si>
    <t>서울-20180299-2-01</t>
  </si>
  <si>
    <t>07217 서울특별시 영등포구 당산로41길 11 SK V1 322호</t>
  </si>
  <si>
    <t>hsi@wixcon.co.kr</t>
  </si>
  <si>
    <t>010-3595-3670</t>
  </si>
  <si>
    <t>황성일</t>
  </si>
  <si>
    <t>박태준</t>
  </si>
  <si>
    <t>460-87-00144</t>
  </si>
  <si>
    <t>주식회사 윅스콘</t>
  </si>
  <si>
    <t>라우터</t>
  </si>
  <si>
    <t>네트워크라우터 (WG-200)</t>
  </si>
  <si>
    <t>유선에서 이종 무선 전환이 가능한 선거용 라우터</t>
  </si>
  <si>
    <t>2019-00480</t>
  </si>
  <si>
    <t>2018-06-25 ~ 2021-06-24</t>
  </si>
  <si>
    <t>S2455603</t>
  </si>
  <si>
    <t>39379 경북 구미시 1공단로10길 68 (공단동)</t>
  </si>
  <si>
    <t>경상북도</t>
  </si>
  <si>
    <t>skchun@world2002.com</t>
  </si>
  <si>
    <t>054-461-3995</t>
  </si>
  <si>
    <t>천세기</t>
  </si>
  <si>
    <t>이종경</t>
  </si>
  <si>
    <t>513-81-26427</t>
  </si>
  <si>
    <t>월드시스템주식회사</t>
  </si>
  <si>
    <t>누출시험기</t>
  </si>
  <si>
    <t>EDG엔진스캐너V1</t>
  </si>
  <si>
    <t>EDG 엔진 실린더 내부 자동검사장비</t>
  </si>
  <si>
    <t>2019-00489</t>
  </si>
  <si>
    <t>S2339422</t>
  </si>
  <si>
    <t>22808 인천광역시 서구 건지로250번길 75-1 (가좌동)</t>
  </si>
  <si>
    <t>wkplant@hanmail.net</t>
  </si>
  <si>
    <t>032-772-7035</t>
  </si>
  <si>
    <t>도우정</t>
  </si>
  <si>
    <t>하재민</t>
  </si>
  <si>
    <t>121-81-96781</t>
  </si>
  <si>
    <t>(주)한종이엔지</t>
  </si>
  <si>
    <t>원심력집진장치</t>
  </si>
  <si>
    <t xml:space="preserve">HRSG 선회유동 집진장치 </t>
  </si>
  <si>
    <t>2019-00491</t>
  </si>
  <si>
    <t>2017-04-03 ~ 2022-04-02</t>
  </si>
  <si>
    <t>제2017021호</t>
  </si>
  <si>
    <t>38491 경상북도 경산시 압량면 가일길24길 13 (주)세화금속</t>
  </si>
  <si>
    <t>kb9526@naver.com</t>
  </si>
  <si>
    <t>053-817-8868</t>
  </si>
  <si>
    <t>권동희</t>
  </si>
  <si>
    <t>김동욱</t>
  </si>
  <si>
    <t>515-81-41706</t>
  </si>
  <si>
    <t>(주)세화금속</t>
  </si>
  <si>
    <t>주철맨홀뚜껑</t>
  </si>
  <si>
    <t>SH-U1.SHU5.SH-U6.SH-U7</t>
  </si>
  <si>
    <t>소음 및 이탈이탈방지용 테이퍼형 맨홀</t>
  </si>
  <si>
    <t>2019-00507</t>
  </si>
  <si>
    <t>2018-11-19 ~ 2021-11-18</t>
  </si>
  <si>
    <t>18-0561</t>
  </si>
  <si>
    <t>01811 서울특별시 노원구 공릉로 232 911호(공릉동, 서울테크노파크)(공릉동)</t>
  </si>
  <si>
    <t>swlee@u-sys.kr</t>
  </si>
  <si>
    <t>02-432-4411</t>
  </si>
  <si>
    <t>이승우</t>
  </si>
  <si>
    <t>이경재</t>
  </si>
  <si>
    <t>204-86-20636</t>
  </si>
  <si>
    <t>(주)유시스</t>
  </si>
  <si>
    <t>스마트 통합 장애관리 프로그램 v1.0</t>
  </si>
  <si>
    <t>2019-00514</t>
  </si>
  <si>
    <t>19-AAI0071</t>
  </si>
  <si>
    <t>17818 경기도 평택시 오성면 오성산단1로 24-19하나산업</t>
  </si>
  <si>
    <t>hanaecotech@naver.com</t>
  </si>
  <si>
    <t>010-2209-0181</t>
  </si>
  <si>
    <t>김태진</t>
  </si>
  <si>
    <t>홍석범</t>
  </si>
  <si>
    <t>392-34-00258</t>
  </si>
  <si>
    <t>제진기</t>
  </si>
  <si>
    <t xml:space="preserve">HN-ES1-2, HN-ES2-4, HN-ES2.7-4.9, HN-ES3-5, HN-ES4-4, HN-ES4-5, HN-ES5-4, HN-ES5-5,HN-ES6-6, HN-ES7.4-6.6 </t>
  </si>
  <si>
    <t>확장형 스크린을 구비한 제진기</t>
  </si>
  <si>
    <t>2019-00525</t>
  </si>
  <si>
    <t>2019-02-21 ~ 2022-02-20</t>
  </si>
  <si>
    <t>19-AGK0114</t>
  </si>
  <si>
    <t>27721 충청북도 음성군 원남면 원남산단1길 62 다동</t>
  </si>
  <si>
    <t>wasd83@naver.com</t>
  </si>
  <si>
    <t>043-750-7017</t>
  </si>
  <si>
    <t>김태형</t>
  </si>
  <si>
    <t>김동원</t>
  </si>
  <si>
    <t>555-86-01046</t>
  </si>
  <si>
    <t>디자인형울타리</t>
  </si>
  <si>
    <t>SLOAL-1001 외 63종</t>
  </si>
  <si>
    <t>밴드와 연결구를 이용한 자유각 방호울타리</t>
  </si>
  <si>
    <t>2019-00541</t>
  </si>
  <si>
    <t>2019-05-31 ~ 2022-05-30</t>
  </si>
  <si>
    <t>19-AAC0311</t>
  </si>
  <si>
    <t>13510 경기도 성남시 분당구 판교로 744 C동 408호</t>
  </si>
  <si>
    <t>hspark@midni.co.kr</t>
  </si>
  <si>
    <t>053-263-5101</t>
  </si>
  <si>
    <t>박학순</t>
  </si>
  <si>
    <t>최인종</t>
  </si>
  <si>
    <t>129-86-42208</t>
  </si>
  <si>
    <t>주식회사미드니</t>
  </si>
  <si>
    <t>워터필터</t>
  </si>
  <si>
    <t>MDABF-50M-020; MDABF-50M-030; MDABF-50M-050; MDABF-50M-100; MDABF-50M-150; MDABF-50M-200;</t>
  </si>
  <si>
    <t>원심 분리와 막여과를 융합한 자동필터시스템</t>
  </si>
  <si>
    <t>2019-00561</t>
  </si>
  <si>
    <t>2019-03-14 ~ 2022-03-13</t>
  </si>
  <si>
    <t>제 GTP-19-01143호</t>
  </si>
  <si>
    <t>녹색인증제품</t>
  </si>
  <si>
    <t>제 GTP-19-01142호</t>
  </si>
  <si>
    <t>울산광역시 울주군 청량면 처용산업3길 135</t>
  </si>
  <si>
    <t>울산광역시</t>
  </si>
  <si>
    <t>water0203@daum.net</t>
  </si>
  <si>
    <t>052-254-1112</t>
  </si>
  <si>
    <t>정효언</t>
  </si>
  <si>
    <t>엄흥수</t>
  </si>
  <si>
    <t>620-81-35302</t>
  </si>
  <si>
    <t>(주)금오산업</t>
  </si>
  <si>
    <t>KI-MSL-R70W 75W90W 100W 125W 130W 150W / KI-MSL-S90W 120W 150W / KI-MSL-TRE100W 150W 200W</t>
  </si>
  <si>
    <t>조립식 방열체를 활용한 도로조명용 LED 가로등기구</t>
  </si>
  <si>
    <t>2019-00578</t>
  </si>
  <si>
    <t>2019-05-15 ~ 2022-05-14</t>
  </si>
  <si>
    <t>19-AGJ0282</t>
  </si>
  <si>
    <t>26349 강원도 원주시 호저면 쉬고개길 135 주식회사 이노스</t>
  </si>
  <si>
    <t>강원도</t>
  </si>
  <si>
    <t>inos0722@daum.net</t>
  </si>
  <si>
    <t>033-746-8953</t>
  </si>
  <si>
    <t>정원용</t>
  </si>
  <si>
    <t>정세영</t>
  </si>
  <si>
    <t>416-88-00412</t>
  </si>
  <si>
    <t>기타조경시설물</t>
  </si>
  <si>
    <t>INOS-D001외 15종</t>
  </si>
  <si>
    <t>논브라켓 울타리를 포함한 데크로드 시스템</t>
  </si>
  <si>
    <t>2019-00592</t>
  </si>
  <si>
    <t>2018-11-15 ~ 2021-07-11</t>
  </si>
  <si>
    <t>제 GTP-18-01008호</t>
  </si>
  <si>
    <t>KI-FL-100W KI-FL-150W</t>
  </si>
  <si>
    <t>조립식 방열체를 활용한 LED투광등기구</t>
  </si>
  <si>
    <t>2019-00593</t>
  </si>
  <si>
    <t>2018-11-16 ~ 2023-11-15</t>
  </si>
  <si>
    <t>18DG010009</t>
  </si>
  <si>
    <t>우수산업디자인상품</t>
  </si>
  <si>
    <t>경상남도 양산시 새목1길 16 (어곡동)</t>
  </si>
  <si>
    <t>blueind@daum.net</t>
  </si>
  <si>
    <t>055-604-0068</t>
  </si>
  <si>
    <t>이병규</t>
  </si>
  <si>
    <t>정천식</t>
  </si>
  <si>
    <t>621-81-77722</t>
  </si>
  <si>
    <t>보건용마스크</t>
  </si>
  <si>
    <t>블루 방역마스크 Kf94</t>
  </si>
  <si>
    <t>19-소액(5차)</t>
  </si>
  <si>
    <t>2019-00600</t>
  </si>
  <si>
    <t>(주)금오산업</t>
    <phoneticPr fontId="19" type="noConversion"/>
  </si>
  <si>
    <t>KI-MSL-BR40W KI-MSL-BR50W KI-MSL-BR60W</t>
  </si>
  <si>
    <t>조립식 방열체를 활용한 도로조명용 LED보안등기구</t>
  </si>
  <si>
    <t>2019-00622</t>
  </si>
  <si>
    <t>2019-06-05 ~ 2022-06-04</t>
  </si>
  <si>
    <t>19-ABC0314</t>
  </si>
  <si>
    <t>대구광역시 달서구 호산로2길 23</t>
  </si>
  <si>
    <t>dneng@dno.co.kr</t>
  </si>
  <si>
    <t>053-584-3545</t>
  </si>
  <si>
    <t>우승택</t>
  </si>
  <si>
    <t>박성정</t>
  </si>
  <si>
    <t>514-81-36985</t>
  </si>
  <si>
    <t>(주)디넷</t>
  </si>
  <si>
    <t>레이더</t>
  </si>
  <si>
    <t>DND-30 DND-60 DND-90</t>
  </si>
  <si>
    <t>12 Zone 분할 Radar 감지기</t>
  </si>
  <si>
    <t>2019-00630</t>
  </si>
  <si>
    <t>2019-03-13 ~ 2022-03-12</t>
  </si>
  <si>
    <t>19-AAI0181</t>
  </si>
  <si>
    <t>10397 경기도 고양시 일산동구 장대길 42-46 (장항동)</t>
  </si>
  <si>
    <t>dyparking@naver.com</t>
  </si>
  <si>
    <t>031-908-0467</t>
  </si>
  <si>
    <t>하종식</t>
  </si>
  <si>
    <t>이권이</t>
  </si>
  <si>
    <t>128-02-36493</t>
  </si>
  <si>
    <t>대영</t>
  </si>
  <si>
    <t>바리케이드</t>
  </si>
  <si>
    <t>DY-RB-650-2500, DY-RB-650-3000, DY-RB-650-3500, DY-RB-650-4000, DY-RB-650-5000</t>
  </si>
  <si>
    <t>고속차단기술을 적용한 유압식 바리케이드</t>
  </si>
  <si>
    <t>19-공고(3차)</t>
  </si>
  <si>
    <t>2019-00659</t>
  </si>
  <si>
    <t>2019-03-11 ~ 2022-03-10</t>
  </si>
  <si>
    <t>190113</t>
  </si>
  <si>
    <t>13477 경기도 성남시 분당구 운중로 249 더제이에스빌딩 5, 6층</t>
  </si>
  <si>
    <t>jhjeong@e8-korea.com</t>
  </si>
  <si>
    <t>031-726-2707</t>
  </si>
  <si>
    <t>정준희</t>
  </si>
  <si>
    <t>김진현</t>
  </si>
  <si>
    <t>215-87-68656</t>
  </si>
  <si>
    <t>이에이트(주)</t>
  </si>
  <si>
    <t>패키지소프트웨어개발및도입서비스</t>
  </si>
  <si>
    <t>NFLOW SPH GREEN V2</t>
  </si>
  <si>
    <t>2019-00697</t>
  </si>
  <si>
    <t>2019-01-14 ~ 2022-01-13</t>
  </si>
  <si>
    <t>19-0024</t>
  </si>
  <si>
    <t>47340 부산광역시 부산진구 엄광로 176 산학협력관 110호</t>
  </si>
  <si>
    <t>hapgang@hanmail.net</t>
  </si>
  <si>
    <t>051-890-2316</t>
  </si>
  <si>
    <t>김창영</t>
  </si>
  <si>
    <t>605-25-96643</t>
  </si>
  <si>
    <t>합강테크</t>
  </si>
  <si>
    <t>수질고려 유량관리 시스템 v1.0</t>
  </si>
  <si>
    <t>수질고려 유량관리 시스템</t>
  </si>
  <si>
    <t>2019-00711</t>
  </si>
  <si>
    <t>2018175</t>
  </si>
  <si>
    <t>31027 충청남도 천안시 서북구 입장면 연곡길 172-32 (주)화신코리아</t>
  </si>
  <si>
    <t>041-589-0400</t>
  </si>
  <si>
    <t>정백신</t>
  </si>
  <si>
    <t>SL-HO300S, SL-HO400S, SL-HO600S, SL-HO800S, SL-HO1000S, SL-HO1200S, HO-HO400S, HO-HO600S, HO-HO800S, WP150S, WP200S, WP80A, SL-HO400EX, SL-HO600EX, WP100S, WP120S, BL100M, BL120M, BL150M, CW-HS80A, CW-HS120A, CW-HS160A, CW-HS180A</t>
  </si>
  <si>
    <t>2019-00746</t>
  </si>
  <si>
    <t>기업협력기술평가실-2399</t>
  </si>
  <si>
    <t>57248 전라남도 장성군 남면 나노산단2로 106 B동</t>
  </si>
  <si>
    <t>전라남도</t>
  </si>
  <si>
    <t>hmchoi@epskorea.kr</t>
  </si>
  <si>
    <t>061-392-0628</t>
  </si>
  <si>
    <t>최현묵</t>
  </si>
  <si>
    <t>이창호, 정성우</t>
  </si>
  <si>
    <t>493-88-00118</t>
  </si>
  <si>
    <t>(주)지엔이피에스</t>
  </si>
  <si>
    <t>비상발전기 친환경 운전과 경제성 향상을 위한 동기 절환기 개발</t>
  </si>
  <si>
    <t>2019-00747</t>
  </si>
  <si>
    <t>2016-12-22 ~ 2021-12-21</t>
  </si>
  <si>
    <t>2016147</t>
  </si>
  <si>
    <t>62381 광주광역시 광산구 소촌로 25-12 (소촌동)</t>
  </si>
  <si>
    <t>광주광역시</t>
  </si>
  <si>
    <t>anyche@daum.net</t>
  </si>
  <si>
    <t>062-942-1814</t>
  </si>
  <si>
    <t>정경복</t>
  </si>
  <si>
    <t>박점희</t>
  </si>
  <si>
    <t>410-86-68763</t>
  </si>
  <si>
    <t>유한회사 애니체</t>
  </si>
  <si>
    <t>작업용의자</t>
  </si>
  <si>
    <t>MOTION100외 15개 제품(YA-C28,29,42,43,55,56,MOTION200,300,400,500,600,700,800,1000,1100</t>
  </si>
  <si>
    <t>등받이가 척추형태에 반응하는 의자</t>
  </si>
  <si>
    <t>2019-00752</t>
  </si>
  <si>
    <t>2019-08-20 ~ 2021-08-19</t>
  </si>
  <si>
    <t>제A2018-1210433호</t>
  </si>
  <si>
    <t>성과공유과제</t>
  </si>
  <si>
    <t>34026 대전광역시 유성구 테크노2로 231 (탑립동) (주)세화</t>
  </si>
  <si>
    <t>shbm@sehwa.biz</t>
  </si>
  <si>
    <t>042-939-7021</t>
  </si>
  <si>
    <t>박예춘</t>
  </si>
  <si>
    <t>이종현</t>
  </si>
  <si>
    <t>305-81-67040</t>
  </si>
  <si>
    <t>(주)세화</t>
  </si>
  <si>
    <t>전기전철기간류</t>
  </si>
  <si>
    <t>절연코팅결합형 연결간</t>
  </si>
  <si>
    <t>분기기 연결간 절연 및 결합기술</t>
  </si>
  <si>
    <t>2019-00753</t>
  </si>
  <si>
    <t>2019-01-03 ~ 2022-01-02</t>
  </si>
  <si>
    <t>19AAN0002</t>
  </si>
  <si>
    <t>2019-06-13 ~ 2022-06-12</t>
  </si>
  <si>
    <t>2019078</t>
  </si>
  <si>
    <t>52061 경상남도 함안군 군북면 함안산단3길 40 (주)와이제이솔루션</t>
  </si>
  <si>
    <t>jung8988@hanmail.net</t>
  </si>
  <si>
    <t>055-231-1210</t>
  </si>
  <si>
    <t>정성학</t>
  </si>
  <si>
    <t>608-86-04522</t>
  </si>
  <si>
    <t>(주)와이제이솔루션</t>
  </si>
  <si>
    <t>YJ-HV-630외 다수</t>
  </si>
  <si>
    <t xml:space="preserve">영상처리 기반의 안전장치와 하중분포분석 기술이 적용된 내진형 </t>
  </si>
  <si>
    <t>2019-00786</t>
  </si>
  <si>
    <t>18-0355</t>
  </si>
  <si>
    <t>08591 서울특별시 금천구 가산디지털1로 2 207호(가산동)</t>
  </si>
  <si>
    <t>hope@humanstar.co.kr</t>
  </si>
  <si>
    <t>02-6672-4360</t>
  </si>
  <si>
    <t>이학노</t>
  </si>
  <si>
    <t>남궁규정</t>
  </si>
  <si>
    <t>105-87-39553</t>
  </si>
  <si>
    <t>㈜코아맥스테크놀로지</t>
    <phoneticPr fontId="20" type="noConversion"/>
  </si>
  <si>
    <t>크로첵 SDNS 2.0</t>
  </si>
  <si>
    <t>2019-00793</t>
  </si>
  <si>
    <t>2018-06-18 ~ 2021-06-17</t>
  </si>
  <si>
    <t>18-0320</t>
  </si>
  <si>
    <t>보안소프트웨어</t>
  </si>
  <si>
    <t>크로첵 PP 2.0</t>
  </si>
  <si>
    <t>2019-00795</t>
  </si>
  <si>
    <t>2019076</t>
  </si>
  <si>
    <t>03965 서울특별시 마포구 월드컵로 134 (성산동,금수빌딩)</t>
  </si>
  <si>
    <t>02-330-5059</t>
  </si>
  <si>
    <t xml:space="preserve">d2-MCC-20 외 </t>
  </si>
  <si>
    <t>고조파 감소를 통해 전력절감효과를 갖는 내진형 수·배전반</t>
  </si>
  <si>
    <t>2019-00801</t>
  </si>
  <si>
    <t>NEP-MOTIE-2018-007</t>
  </si>
  <si>
    <t>2019-07-04 ~ 2022-07-03</t>
  </si>
  <si>
    <t>19-ABJ0346</t>
  </si>
  <si>
    <t>24465 강원도 춘천시 남산면 해오름길 130 디아이케이(주)</t>
  </si>
  <si>
    <t>jck3261@naver.com</t>
  </si>
  <si>
    <t>033-245-8641</t>
  </si>
  <si>
    <t>정천기</t>
  </si>
  <si>
    <t>강문수</t>
  </si>
  <si>
    <t>107-81-32520</t>
  </si>
  <si>
    <t>디아이케이(주)</t>
  </si>
  <si>
    <t>고주파유도가열기</t>
  </si>
  <si>
    <t>FPSD-50SB</t>
  </si>
  <si>
    <t>유도가열 방식의 히팅볼트 &amp; 너트 분해/조립 시스템</t>
  </si>
  <si>
    <t>2019-00803</t>
  </si>
  <si>
    <t>2019-07-11 ~ 2022-07-10</t>
  </si>
  <si>
    <t>19-AGI0350</t>
  </si>
  <si>
    <t xml:space="preserve">10030 경기도 김포시 통진읍 가현로105번길 175 </t>
  </si>
  <si>
    <t>info@earthgreen.co.kr</t>
  </si>
  <si>
    <t>02-858-2970</t>
  </si>
  <si>
    <t>허혁</t>
  </si>
  <si>
    <t>박용순</t>
  </si>
  <si>
    <t>137-86-05989</t>
  </si>
  <si>
    <t>어스그린코리아(주)</t>
  </si>
  <si>
    <t>잔디보호매트</t>
  </si>
  <si>
    <t>400×600×34㎜(EGK-GR100-4060)</t>
  </si>
  <si>
    <t>빗물 저장 기능이 적용된 천연잔디보호매트</t>
  </si>
  <si>
    <t>2019-00804</t>
  </si>
  <si>
    <t>2019-07-15 ~ 2022-07-14</t>
  </si>
  <si>
    <t>19-AAI0356</t>
  </si>
  <si>
    <t xml:space="preserve">10250 경기도 고양시 일산동구 성현로93번길 45-1 </t>
  </si>
  <si>
    <t>dysecurity1@naver.com</t>
  </si>
  <si>
    <t>010-2938-2801</t>
  </si>
  <si>
    <t>하대길</t>
  </si>
  <si>
    <t>706-81-00349</t>
  </si>
  <si>
    <t>(주)신길씨큐리티</t>
  </si>
  <si>
    <t>볼라드</t>
  </si>
  <si>
    <t>DYS-B-215, DYS-B-265</t>
  </si>
  <si>
    <t>대테러 자동 볼라드</t>
  </si>
  <si>
    <t>2019-00828</t>
  </si>
  <si>
    <t>2019066</t>
  </si>
  <si>
    <t>10252 경기도 고양시 일산동구 은마길 31-22 가동(성석동)</t>
  </si>
  <si>
    <t>kgtech1@naver.com</t>
  </si>
  <si>
    <t>031-977-6511</t>
  </si>
  <si>
    <t>장성희</t>
  </si>
  <si>
    <t>이진욱</t>
  </si>
  <si>
    <t>128-86-38389</t>
  </si>
  <si>
    <t>주식회사 케이지테크</t>
  </si>
  <si>
    <t>KGPL-PGP02-50</t>
  </si>
  <si>
    <t>방열기능을 갖는 LED 등기구</t>
  </si>
  <si>
    <t>2019-00834</t>
  </si>
  <si>
    <t>2018211</t>
  </si>
  <si>
    <t xml:space="preserve">15405 경기도 안산시 단원구 범락길 143 (신길동) </t>
  </si>
  <si>
    <t>energy@hisaver.com</t>
  </si>
  <si>
    <t>031-492-3771</t>
  </si>
  <si>
    <t>박현태</t>
  </si>
  <si>
    <t>이근진</t>
  </si>
  <si>
    <t>134-81-01878</t>
  </si>
  <si>
    <t>(주) 웰바스</t>
  </si>
  <si>
    <t>멀티탭</t>
  </si>
  <si>
    <t>Q100,Q101,Q102,Q103,Q104,Q105</t>
  </si>
  <si>
    <t>인공지능형 절전제어 콘센트</t>
  </si>
  <si>
    <t>2019-00842</t>
  </si>
  <si>
    <t>2018095</t>
  </si>
  <si>
    <t>16073 경기도 의왕시 고산로 38 , 3층 (고천동)</t>
  </si>
  <si>
    <t>lch@insled.com</t>
  </si>
  <si>
    <t>031-689-4482</t>
  </si>
  <si>
    <t>이창현</t>
  </si>
  <si>
    <t>조주희</t>
  </si>
  <si>
    <t>123-86-44469</t>
  </si>
  <si>
    <t>인스엘이디 주식회사</t>
  </si>
  <si>
    <t>INS-SSE25E-S1, INS-SSE50E-S1, INS-SSE70E-S1</t>
  </si>
  <si>
    <t>2019-00862</t>
  </si>
  <si>
    <t>2019-01-18 ~ 2022-01-17</t>
  </si>
  <si>
    <t>19-ABI0021</t>
  </si>
  <si>
    <t>04758 서울특별시 성동구 마장로 302 열산빌딩 10층</t>
  </si>
  <si>
    <t>gold00728@hanmail.net</t>
  </si>
  <si>
    <t>02-354-5544</t>
  </si>
  <si>
    <t>채희준</t>
  </si>
  <si>
    <t>717-81-00728</t>
  </si>
  <si>
    <t>GTDP-508 외 120(총 121종)</t>
  </si>
  <si>
    <t>PCC에 의한 실시간 고조파제어 기능을 가진 면진형 배전반</t>
  </si>
  <si>
    <t>2019-00890</t>
  </si>
  <si>
    <t>2018-11-28 ~ 2021-11-27</t>
  </si>
  <si>
    <t>제18-087호</t>
  </si>
  <si>
    <t>03760 서울특별시 서대문구 이화여대길 52 산학협력관 106호(대현동, 이화여자대학교)</t>
  </si>
  <si>
    <t>jzone@daum.net</t>
  </si>
  <si>
    <t>02-717-7242</t>
  </si>
  <si>
    <t>정성욱</t>
  </si>
  <si>
    <t>105-21-39348</t>
  </si>
  <si>
    <t>화이트웨일</t>
  </si>
  <si>
    <t>보온병</t>
  </si>
  <si>
    <t>트위스티 티 메이커 (트위스티)</t>
  </si>
  <si>
    <t xml:space="preserve">트위스티 티 메이커 / 트위스티 / 우수산업디자인상품 / 우수디자인상품선정증 </t>
  </si>
  <si>
    <t>19-소액(8차)</t>
  </si>
  <si>
    <t>2019-00900</t>
  </si>
  <si>
    <t>2016-12-22 ~ 2022-12-21</t>
  </si>
  <si>
    <t>2016007-28</t>
  </si>
  <si>
    <t>공동상표</t>
  </si>
  <si>
    <t xml:space="preserve">10857 경기도 파주시 탄현면 방촌로955번길 34-58 </t>
  </si>
  <si>
    <t>plpump@hanmail.net</t>
  </si>
  <si>
    <t>031-903-3857</t>
  </si>
  <si>
    <t>전황룡</t>
  </si>
  <si>
    <t>김미숙</t>
  </si>
  <si>
    <t>128-86-66847</t>
  </si>
  <si>
    <t>(주)풍림정공</t>
  </si>
  <si>
    <t>수중펌프</t>
  </si>
  <si>
    <t>수중펌프(공사용) 0.75KW-150KW, 수중펌프(배수용) 0.75KW-150KW, 수중펌프(볼텍스형) 0.75KW-30KW, _x000D_
수중펌프(그라인더형) 0.75KW-55KW, 수중펌프(커터형) 0.75KW-15KW, 수중펌프(대용량이송용) 0.75KW-55KW, 수중펌프(오물용) 2.2KW-30KW 103종</t>
  </si>
  <si>
    <t>19-소액(9차)</t>
  </si>
  <si>
    <t>2019-00914</t>
  </si>
  <si>
    <t>2019-08-01 ~ 2022-07-31</t>
  </si>
  <si>
    <t>19-0337</t>
  </si>
  <si>
    <t>03925 서울특별시 마포구 월드컵북로 396 누리꿈스퀘어 비즈니스타워 5층 501호</t>
  </si>
  <si>
    <t>hgcon@cslee.co.kr</t>
  </si>
  <si>
    <t>010-5584-3487</t>
  </si>
  <si>
    <t>전혜경</t>
  </si>
  <si>
    <t>이춘식</t>
  </si>
  <si>
    <t>105-87-86298</t>
  </si>
  <si>
    <t>주식회사 씨에스리</t>
  </si>
  <si>
    <t>데이터베이스관리소프트웨어</t>
  </si>
  <si>
    <t>빅재미 v1.0</t>
  </si>
  <si>
    <t>2019-00916</t>
  </si>
  <si>
    <t>2018180</t>
  </si>
  <si>
    <t>14055 경기도 안양시 동안구 시민대로327번길 11-25 관양동, 에프알텍타워 10층</t>
  </si>
  <si>
    <t>shha@frtek.com</t>
  </si>
  <si>
    <t>031-470-1558</t>
  </si>
  <si>
    <t>하상혁</t>
  </si>
  <si>
    <t>남재국</t>
  </si>
  <si>
    <t>214-86-69728</t>
  </si>
  <si>
    <t>(주)에프알텍</t>
  </si>
  <si>
    <t>FR1280EFMT050-57LGL  외 7종</t>
  </si>
  <si>
    <t>디밍 가능한 절전형 LED 등기구</t>
  </si>
  <si>
    <t>19-공고(4차)</t>
  </si>
  <si>
    <t>2019-00917</t>
  </si>
  <si>
    <t>2019-09-27 ~ 2022-09-26</t>
  </si>
  <si>
    <t>19-ABZ0449</t>
  </si>
  <si>
    <t>50591 경상남도 양산시 대동로 58 101,201호</t>
  </si>
  <si>
    <t>solleds@daum.net</t>
  </si>
  <si>
    <t>055-367-7682</t>
  </si>
  <si>
    <t>홍준식</t>
  </si>
  <si>
    <t>김종희</t>
  </si>
  <si>
    <t>212-88-00673</t>
  </si>
  <si>
    <t>주식회사 솔레즈</t>
  </si>
  <si>
    <t>LED 가로등기구(SL-S150W-C1S7, SL-S150W-C1L3, SL-S120W-C1S7)</t>
  </si>
  <si>
    <t>병렬 연결된 LED모듈의 PWM제어를 통한 LED등기구의 전류 컨트롤방법을 적용한 LED 가로등기구</t>
  </si>
  <si>
    <t>2019-00925</t>
  </si>
  <si>
    <t>2018-05-14 ~ 2023-05-13</t>
  </si>
  <si>
    <t>서울-20180192-2-01</t>
  </si>
  <si>
    <t>07286 서울특별시 영등포구 경인로71길 70 1005호~1006호 (문래동5가, 벽산디지털밸리)</t>
  </si>
  <si>
    <t>mint@kanasm.co.kr</t>
  </si>
  <si>
    <t>02-2671-2686</t>
  </si>
  <si>
    <t>임다솜</t>
  </si>
  <si>
    <t>강재선</t>
  </si>
  <si>
    <t>107-86-74016</t>
  </si>
  <si>
    <t>MBro-WVT-TR-0001_x000D_
MBro-WVR-TR-0001</t>
  </si>
  <si>
    <t>통합형 무선영상전송장치 및 이를 이용한 무선 CCTV 시스템</t>
  </si>
  <si>
    <t>2019-00931</t>
  </si>
  <si>
    <t>2019-05-09 ~ 2022-05-08</t>
  </si>
  <si>
    <t>19-CBI0378</t>
  </si>
  <si>
    <t>16523 경기도 수원시 영통구 매영로269번길 39 (영통동) 동일테크 주식회사</t>
  </si>
  <si>
    <t>dongil_ssk@nate.com</t>
  </si>
  <si>
    <t>031-427-7128</t>
  </si>
  <si>
    <t>송석규</t>
  </si>
  <si>
    <t>안광길</t>
  </si>
  <si>
    <t>123-81-60799</t>
  </si>
  <si>
    <t>동일테크주식회사</t>
  </si>
  <si>
    <t>지진계</t>
  </si>
  <si>
    <t>32 bit A/D변환기의 9채널 분리형 지진기록계 (DSS1030, DSS1090)</t>
  </si>
  <si>
    <t>32 bit A/D변환기의 9채널 분리형 지진기록계</t>
  </si>
  <si>
    <t>2019-00933</t>
  </si>
  <si>
    <t>2019-10-25 ~ 2021-10-24</t>
  </si>
  <si>
    <t>A2017-1210446</t>
  </si>
  <si>
    <t>15609 경기도 안산시 단원구 첨단로 401 기가에이치앤티(주)</t>
  </si>
  <si>
    <t>mistjnam@naver.com</t>
  </si>
  <si>
    <t>070-5056-0011</t>
  </si>
  <si>
    <t>남창우</t>
  </si>
  <si>
    <t>강영석</t>
  </si>
  <si>
    <t>140-81-68985</t>
  </si>
  <si>
    <t>기가에이치앤티(주)</t>
  </si>
  <si>
    <t>철도용필터</t>
  </si>
  <si>
    <t>전기기관차 공기압축기 마이크로필터</t>
  </si>
  <si>
    <t>2019-00938</t>
  </si>
  <si>
    <t>2019-04-15 ~ 2022-04-14</t>
  </si>
  <si>
    <t>19-0163</t>
  </si>
  <si>
    <t xml:space="preserve">08590 서울특별시 금천구 가산디지털1로 70, 호서대벤처타워 805호 (가산동) </t>
  </si>
  <si>
    <t>sangi402@nate.com</t>
  </si>
  <si>
    <t>02-2627-5403</t>
  </si>
  <si>
    <t>김상이</t>
  </si>
  <si>
    <t>오인수</t>
  </si>
  <si>
    <t>119-86-00157</t>
  </si>
  <si>
    <t>(주)제스엔지니어링</t>
  </si>
  <si>
    <t>산업관리소프트웨어</t>
  </si>
  <si>
    <t>3D-MCMS v1.0</t>
  </si>
  <si>
    <t>3D 주제어설비 관리시스템 v1.0</t>
  </si>
  <si>
    <t>2019-00960</t>
  </si>
  <si>
    <t>2019-10-02 ~ 2022-10-01</t>
  </si>
  <si>
    <t>S2519738</t>
  </si>
  <si>
    <t>14036 경기도 안양시 만안구 시민대로 34 안양동, 성일디지털타워 601,602,603호</t>
  </si>
  <si>
    <t>shin7788@bellution.com</t>
  </si>
  <si>
    <t>031-456-0951</t>
  </si>
  <si>
    <t>신성열</t>
  </si>
  <si>
    <t>박종운</t>
  </si>
  <si>
    <t>123-86-02095</t>
  </si>
  <si>
    <t>(주)벨루션네트웍스</t>
  </si>
  <si>
    <t>전동차용열차정보제어장치</t>
  </si>
  <si>
    <t>SSMS (Signal Strength Measuring System)_x000D_
VPC (VHF PTT Controller)_x000D_
SS-CMS (Signal Strength - Central Management System)</t>
  </si>
  <si>
    <t>열차무선(VHF)용 전계강도 원격 검측시스템 기술개발</t>
  </si>
  <si>
    <t>2019-00963</t>
  </si>
  <si>
    <t>2019-04-12 ~ 2022-04-11</t>
  </si>
  <si>
    <t>19-AAI0221</t>
  </si>
  <si>
    <t xml:space="preserve">11182 경기도 포천시 소흘읍 응골1길 27 </t>
  </si>
  <si>
    <t>jmk57916n@naver.com</t>
  </si>
  <si>
    <t>031-534-5607</t>
  </si>
  <si>
    <t>조명기</t>
  </si>
  <si>
    <t>127-86-08015</t>
  </si>
  <si>
    <t>(주)온수텍</t>
  </si>
  <si>
    <t>전기온수보일러</t>
  </si>
  <si>
    <t xml:space="preserve">OSTB-4250 K, 5kW 이하_x000D_
파생제품 4 개_x000D_
</t>
  </si>
  <si>
    <t xml:space="preserve">전기온수보일러 </t>
  </si>
  <si>
    <t>19-소액(10차)</t>
  </si>
  <si>
    <t>2019-00965</t>
  </si>
  <si>
    <t>2016-09-29 ~ 2020-09-28</t>
  </si>
  <si>
    <t>2016138</t>
  </si>
  <si>
    <t>2018-09-07 ~ 2021-09-06</t>
  </si>
  <si>
    <t>NEP-MOTAE-2018-023</t>
  </si>
  <si>
    <t xml:space="preserve">57304 전라남도 담양군 담양읍 에코길 56 </t>
  </si>
  <si>
    <t>khc2500@hanmail.net</t>
  </si>
  <si>
    <t>061-382-2500</t>
  </si>
  <si>
    <t>정찬오</t>
  </si>
  <si>
    <t>정성훈</t>
  </si>
  <si>
    <t>409-86-27189</t>
  </si>
  <si>
    <t>경향셀(유)</t>
  </si>
  <si>
    <t>고무발포단열재</t>
  </si>
  <si>
    <t>고무발포단열재 KHT-CB101609C ø16 x T9mm 동관용 외 348종</t>
  </si>
  <si>
    <t>고강도 난연성 NBR 고무발포단열재</t>
  </si>
  <si>
    <t>2019-00971</t>
  </si>
  <si>
    <t>2018-12-31 ~ 2021-12-31</t>
  </si>
  <si>
    <t>S2121357</t>
  </si>
  <si>
    <t>06258 서울특별시 강남구 도곡로 112 3,5F</t>
  </si>
  <si>
    <t>kimbyul@ritco.co.kr</t>
  </si>
  <si>
    <t>02-2009-1802</t>
  </si>
  <si>
    <t>김별</t>
  </si>
  <si>
    <t>정종경</t>
  </si>
  <si>
    <t>214-81-86794</t>
  </si>
  <si>
    <t>주식회사 리트코</t>
  </si>
  <si>
    <t>전기집진장치</t>
  </si>
  <si>
    <t>REP-BV-1000</t>
  </si>
  <si>
    <t>도시철도 본선환기구 미세먼지 제거시스템</t>
  </si>
  <si>
    <t>2019-00978</t>
  </si>
  <si>
    <t>2019-06-27 ~ 2022-06-26</t>
  </si>
  <si>
    <t>19-0278</t>
  </si>
  <si>
    <t>05854 서울특별시 송파구 송파대로 201 송파테라타워2  B동 1603호</t>
  </si>
  <si>
    <t>sykwon@mobiletown.net</t>
  </si>
  <si>
    <t>02-881-5956</t>
  </si>
  <si>
    <t>권수연</t>
  </si>
  <si>
    <t>조병성</t>
  </si>
  <si>
    <t>120-86-34017</t>
  </si>
  <si>
    <t>(주)모바일타운</t>
  </si>
  <si>
    <t>통신소프트웨어</t>
  </si>
  <si>
    <t>MSP Plus v1.0</t>
  </si>
  <si>
    <t>모바일 설문조사 솔루션 v1.0</t>
  </si>
  <si>
    <t>2019-00980</t>
  </si>
  <si>
    <t>2017-06-26 ~ 2020-06-25</t>
  </si>
  <si>
    <t>17-0241</t>
  </si>
  <si>
    <t>2018-07-09 ~ 2021-07-08</t>
  </si>
  <si>
    <t>광주전남-20180287-3-01</t>
  </si>
  <si>
    <t>58218 전라남도 나주시 산포면 신도산단길 51-54 대한이앤아이</t>
  </si>
  <si>
    <t>han210@daehaneni.com</t>
  </si>
  <si>
    <t>010-8544-2697</t>
  </si>
  <si>
    <t>손한승</t>
  </si>
  <si>
    <t>구익순</t>
  </si>
  <si>
    <t>409-81-78965</t>
  </si>
  <si>
    <t>주식회사대한이앤아이</t>
  </si>
  <si>
    <t>콘텐츠관리소프트웨어</t>
  </si>
  <si>
    <t>ThinkView v1.0(싱크뷰 v1.0)</t>
  </si>
  <si>
    <t>2019-00983</t>
  </si>
  <si>
    <t>2019-07-02 ~ 2022-07-01</t>
  </si>
  <si>
    <t>19-ABI0341</t>
  </si>
  <si>
    <t xml:space="preserve">15405 경기도 안산시 단원구 능안로 81, 안산디지털파크 4006호 (신길동) </t>
  </si>
  <si>
    <t>hangilhckorea@naver.com</t>
  </si>
  <si>
    <t>010-6767-6781</t>
  </si>
  <si>
    <t>정이나</t>
  </si>
  <si>
    <t>김홍길</t>
  </si>
  <si>
    <t>134-86-38104</t>
  </si>
  <si>
    <t>(주) 한길에이치씨</t>
  </si>
  <si>
    <t>시각장애인용음성안내기</t>
  </si>
  <si>
    <t xml:space="preserve">HG-Smart-18A-01 / HG-Smart-18A-02 / HG-Smart-18A-03 / HG-Smart-18A-04 </t>
  </si>
  <si>
    <t>IOT 시각장애인용 음향신호기</t>
  </si>
  <si>
    <t>2019-00984</t>
  </si>
  <si>
    <t>2019-11-07 ~ 2022-11-06</t>
  </si>
  <si>
    <t>2019213</t>
  </si>
  <si>
    <t xml:space="preserve">17813 경기도 평택시 포승읍 포승장안로 542-58 </t>
  </si>
  <si>
    <t>dustin@uniaze.com</t>
  </si>
  <si>
    <t>031-686-9537</t>
  </si>
  <si>
    <t>이사</t>
  </si>
  <si>
    <t>최한영</t>
  </si>
  <si>
    <t>124-01-48194</t>
  </si>
  <si>
    <t>일진하이테크</t>
  </si>
  <si>
    <t>탐조등</t>
  </si>
  <si>
    <t>UNIAZE-H42DM</t>
  </si>
  <si>
    <t>반사경의 초점과 중심거리가 일정하게 설치 가능한 탐조등</t>
  </si>
  <si>
    <t>2019-00986</t>
  </si>
  <si>
    <t>2019-09-18 ~ 2022-12-21</t>
  </si>
  <si>
    <t>2016007-14</t>
  </si>
  <si>
    <t>10847 경기도 파주시 방촌로348번길 14 (맥금동 426-2)(맥금동)</t>
  </si>
  <si>
    <t>fluxys.pump@gmail.com</t>
  </si>
  <si>
    <t>031-948-0920</t>
  </si>
  <si>
    <t>김윤성</t>
  </si>
  <si>
    <t>197-16-00057</t>
  </si>
  <si>
    <t>수중모터펌프 0.5kW / 0.75kW/ 1.0kW/ 1.2kW/ 1.5kW/ 2.0kW/ 2.2kW/ 3.0kW/ 3.7kW/ 5.5kW/ 7.5kW/ 11kW/ 15kW/ 19kW/ 22kW/ 30kW/ 37kW/ 45kW/ 55kW/ 75kW/ 90kW/ 100kW/ 110kW/ 132kW/ 150kW/ 190kW/ 200kW/ 220kW/ 250kW/ 275kW/ 300kW/ 335kW/ 350kW/ 375kW/ 400kW/ 450kW/ 500kW/ 550kW/ 600kW</t>
  </si>
  <si>
    <t>Self-Cleaning이 가능한 Backswept impeller 수중모터펌프</t>
  </si>
  <si>
    <t>2019-00988</t>
  </si>
  <si>
    <t>2019-06-05 ~ 2021-06-04</t>
  </si>
  <si>
    <t>S2357947</t>
  </si>
  <si>
    <t>16648 경기도 수원시 권선구 산업로155번길 264 인터콘시스템스</t>
  </si>
  <si>
    <t>hdkim@icsys.co.kr</t>
  </si>
  <si>
    <t>031-218-1287</t>
  </si>
  <si>
    <t>김한도</t>
  </si>
  <si>
    <t>손강호</t>
  </si>
  <si>
    <t>214-86-82100</t>
  </si>
  <si>
    <t>인터콘시스템스(주)</t>
  </si>
  <si>
    <t>고속철도객차분전함</t>
  </si>
  <si>
    <t>ALM11</t>
  </si>
  <si>
    <t>KTX차량 RPU랙 전원공급카드(ALM11)</t>
  </si>
  <si>
    <t>2019-00993</t>
  </si>
  <si>
    <t>s2403425</t>
  </si>
  <si>
    <t>cate7788@d2eng.co.kr</t>
  </si>
  <si>
    <t>02-330-5050</t>
  </si>
  <si>
    <t>김인철</t>
  </si>
  <si>
    <t>장력조정장치</t>
  </si>
  <si>
    <t>활차식 자동장력조정장치(KR PW 0010, 0011)</t>
  </si>
  <si>
    <t>활차식 자동장력조정장치</t>
  </si>
  <si>
    <t>2019-00997</t>
  </si>
  <si>
    <t>2019-10-30 ~ 2022-10-29</t>
  </si>
  <si>
    <t>s2449893</t>
  </si>
  <si>
    <t>융·복합기술개발</t>
  </si>
  <si>
    <t>31450 충청남도 아산시 염치읍 은행나무길 223 충청남도경제진흥원 3층</t>
  </si>
  <si>
    <t>jjic0505@hanafos.com</t>
  </si>
  <si>
    <t>010-3994-2999</t>
  </si>
  <si>
    <t>박태섭</t>
  </si>
  <si>
    <t>312-86-04859</t>
  </si>
  <si>
    <t>(주)진진이앤티</t>
  </si>
  <si>
    <t>살균수제조장치</t>
  </si>
  <si>
    <t>플라즈마 살균장비 (FKC-20TH)</t>
  </si>
  <si>
    <t>HYBRID형 전자제어방식의 제충국융합플라즈마 발생장치</t>
  </si>
  <si>
    <t>2019-01005</t>
  </si>
  <si>
    <t>2018-10-31 ~ 2021-10-30</t>
  </si>
  <si>
    <t>S2435778</t>
  </si>
  <si>
    <t>22112 인천광역시 미추홀구 장고개로92번길 12 (도화동)</t>
  </si>
  <si>
    <t>spic@spic.co.kr</t>
  </si>
  <si>
    <t>032-865-0411</t>
  </si>
  <si>
    <t>전병주</t>
  </si>
  <si>
    <t>전충락</t>
  </si>
  <si>
    <t>131-81-41153</t>
  </si>
  <si>
    <t>신한정밀(주)</t>
  </si>
  <si>
    <t>적산열량계</t>
  </si>
  <si>
    <t>TUS20-F, TUS25-F, TUS40-F, TUS50-F, TUS65-F, TUS80-F, TUS100-F, TUS125-F, TUS150-F, TUS200-F, TUS250-F (Heat Meter Ultra Sonic)</t>
  </si>
  <si>
    <t>지역난방 적산열량계 초음파유량부 개발</t>
  </si>
  <si>
    <t>2019-01017</t>
  </si>
  <si>
    <t>2018176</t>
  </si>
  <si>
    <t>07795 서울특별시 강서구 마곡중앙8로3길 5 소룩스 5층</t>
  </si>
  <si>
    <t>kwj@solux.co.kr</t>
  </si>
  <si>
    <t>010-6428-1606</t>
  </si>
  <si>
    <t>김우진</t>
  </si>
  <si>
    <t>김복덕</t>
  </si>
  <si>
    <t>130-81-66262</t>
  </si>
  <si>
    <t>(주)소룩스</t>
  </si>
  <si>
    <t>LED다운라이트</t>
  </si>
  <si>
    <t>SDN01006HSB6-5785 / DL01206HSB6-5785 / DL01506HSB6-5785 / N01506HSB6-5785,
DL02007HSB6-5785 / DL03008HSB6-5785 / DL04008HSB6-5785 / DL04010HSB6-5785</t>
  </si>
  <si>
    <t>다컬러빈 LED실내조명(다운라이트)</t>
  </si>
  <si>
    <t>2019-01025</t>
  </si>
  <si>
    <t>2018098</t>
  </si>
  <si>
    <t>SRL100JC4-5080 / SRL125JC4-5080 / SRL150JC4-5080 / SRL100LC7-5080 / SRL150LC7-5080_x000D_
SRL250LC7-5080 / SRL100ES4-5080 / SRL150ES4-5080 / SRL250ES4-5080</t>
  </si>
  <si>
    <t>LED실외조명(가로등)</t>
  </si>
  <si>
    <t>2019-01027</t>
  </si>
  <si>
    <t>2017169</t>
  </si>
  <si>
    <t>18297 경기도 화성시 봉담읍 효행로20번길 30 엔비동 2층 케이호</t>
  </si>
  <si>
    <t>kjssj1103@eco-device.co.kr</t>
  </si>
  <si>
    <t>031-8032-8211</t>
  </si>
  <si>
    <t>권소라</t>
  </si>
  <si>
    <t>김화주</t>
  </si>
  <si>
    <t>134-87-22410</t>
  </si>
  <si>
    <t>에코디바이스코리아주식회사</t>
  </si>
  <si>
    <t>EE0660M-040DS 외 40개 제품</t>
  </si>
  <si>
    <t>1+1회로방식의 전원공급부를 포함하는 장수명 조명장치</t>
  </si>
  <si>
    <t>2019-01029</t>
  </si>
  <si>
    <t xml:space="preserve">kwj@solux.co.kr </t>
  </si>
  <si>
    <t>SGU050JC4-4080 / SGU075JC4-5080 / SGU025MS4-5080 / SGU025SS4-3080 / SGU025CS4-5080_x000D_
SGU050SS4-3080 / SGU075SS4-3080 / SGU075CS4-5080</t>
  </si>
  <si>
    <t>LED실외조명(보안등)</t>
  </si>
  <si>
    <t>2019-01030</t>
  </si>
  <si>
    <t>STU050JC5-5080 / STU075JC5-5080 / STU100JC5-5080 / STU150JC5-5080 / STU200JC5-5080_x000D_
STU100LC7-5080 / STU200LC7-5080</t>
  </si>
  <si>
    <t>LED실외조명(터널등)</t>
  </si>
  <si>
    <t>2019-01031</t>
  </si>
  <si>
    <t>SFC080SL6-5780 / SFC100SL6-5780 / SFC120SL6-5780 / SFC150SL6-5780 / SFC200SL6-5780</t>
  </si>
  <si>
    <t>LED실외조명(투광등)</t>
  </si>
  <si>
    <t>2019-01033</t>
  </si>
  <si>
    <t>2019-07-01 ~ 2022-06-30</t>
  </si>
  <si>
    <t>19-0282</t>
  </si>
  <si>
    <t>04626 서울특별시 중구 퇴계로36길 2 318호</t>
  </si>
  <si>
    <t>littlekdh@naver.com</t>
  </si>
  <si>
    <t>070-7764-0100</t>
  </si>
  <si>
    <t>김대환</t>
  </si>
  <si>
    <t>송창민</t>
  </si>
  <si>
    <t>384-81-00232</t>
  </si>
  <si>
    <t>소프트웨어유지및지원서비스</t>
  </si>
  <si>
    <t>ZeroupSolution ver2.0</t>
  </si>
  <si>
    <t>제로업솔루션 ver2.0</t>
  </si>
  <si>
    <t>2019-01036</t>
  </si>
  <si>
    <t>2019-08-09 ~ 2022-08-08</t>
  </si>
  <si>
    <t>S2449540</t>
  </si>
  <si>
    <t xml:space="preserve">34109 대전광역시 유성구 유성대로1184번길 20 </t>
  </si>
  <si>
    <t>smkim@smins.co.kr</t>
  </si>
  <si>
    <t>070-4895-3425</t>
  </si>
  <si>
    <t>김승민</t>
  </si>
  <si>
    <t>김영기</t>
  </si>
  <si>
    <t>314-81-79972</t>
  </si>
  <si>
    <t>(주)에스엠인스트루먼트</t>
  </si>
  <si>
    <t>음향분석기</t>
  </si>
  <si>
    <t>초음파 카메라(BATCAM2.0)</t>
  </si>
  <si>
    <t>초음파와 영상을 활용한 설비 기계진단 측정장비 개발</t>
  </si>
  <si>
    <t>2019-01055</t>
  </si>
  <si>
    <t>2019-02-20 ~ 2022-02-19</t>
  </si>
  <si>
    <t>19-GAI0156</t>
  </si>
  <si>
    <t xml:space="preserve">10940 경기도 파주시 조리읍 명봉산로 207-20 </t>
  </si>
  <si>
    <t>pump012@naver.com</t>
  </si>
  <si>
    <t>031-977-0400</t>
  </si>
  <si>
    <t>김정운</t>
  </si>
  <si>
    <t>김정호</t>
  </si>
  <si>
    <t>128-86-90255</t>
  </si>
  <si>
    <t>삼흥산업(주)</t>
  </si>
  <si>
    <t>슬러지펌프</t>
  </si>
  <si>
    <t>SH40, SH50, SH65, SH80, SH100, SH125, SH150, SH200</t>
  </si>
  <si>
    <t>반폐쇄형 임펠러기술을 적용한 스프르트 펌프</t>
  </si>
  <si>
    <t>2019-01056</t>
  </si>
  <si>
    <t>2019-10-16 ~ 2022-10-15</t>
  </si>
  <si>
    <t>G2019A04-00044</t>
  </si>
  <si>
    <t xml:space="preserve">18625 경기도 화성시 향남읍 증거길 53-43 </t>
  </si>
  <si>
    <t>flysnowysky@gmail.com</t>
  </si>
  <si>
    <t>031-238-2632</t>
  </si>
  <si>
    <t>김원석</t>
  </si>
  <si>
    <t>권영일</t>
  </si>
  <si>
    <t>566-81-00659</t>
  </si>
  <si>
    <t>마음담은협동조합</t>
  </si>
  <si>
    <t>비</t>
  </si>
  <si>
    <t>MB1W65</t>
  </si>
  <si>
    <t>마음담은비-마담비</t>
  </si>
  <si>
    <t>2019-01059</t>
  </si>
  <si>
    <t>2019231</t>
  </si>
  <si>
    <t xml:space="preserve">17790 경기도 평택시 청북면 어소길 109-37 </t>
  </si>
  <si>
    <t>gomajor@naver.com</t>
  </si>
  <si>
    <t>031-683-8700</t>
  </si>
  <si>
    <t>엄태현</t>
  </si>
  <si>
    <t>이봉자</t>
  </si>
  <si>
    <t>125-81-31515</t>
  </si>
  <si>
    <t>(주)세광산업조명</t>
  </si>
  <si>
    <t>2개의 분리형 절연링으로 내부 및 외부기둥으로 결합되는 2중구조로 이뤄진 감전예방 가로등주</t>
  </si>
  <si>
    <t>철제가로등주</t>
  </si>
  <si>
    <t>S-KM-POL12-A-1001 등 200모델</t>
  </si>
  <si>
    <t>분리형 2중 외벽으로 절연이 보강된 가로등주</t>
  </si>
  <si>
    <t>20-공고(1차)</t>
  </si>
  <si>
    <t>2020-00018</t>
  </si>
  <si>
    <t>2019-10-29 ~ 2022-10-28</t>
  </si>
  <si>
    <t>G2019A01-00141</t>
  </si>
  <si>
    <t>2019-11-15 ~ 2022-11-14</t>
  </si>
  <si>
    <t>19-1-0086</t>
  </si>
  <si>
    <t>2020-01-01 ~ 2021-12-31</t>
  </si>
  <si>
    <t>제2019-693호</t>
  </si>
  <si>
    <t>산업융합품목</t>
  </si>
  <si>
    <t>05854 서울특별시 송파구 송파대로 201 송파테라타워2차 A동  1610호</t>
  </si>
  <si>
    <t>wtjang@purium.kr</t>
  </si>
  <si>
    <t>010-5322-7103</t>
  </si>
  <si>
    <t>장원탁</t>
  </si>
  <si>
    <t>남동규</t>
  </si>
  <si>
    <t>409-87-00547</t>
  </si>
  <si>
    <t>(주)퓨리움</t>
  </si>
  <si>
    <t xml:space="preserve">다중이용시설(공공,교육,기타)의 출입구에 GATE 형태로 설치 공기청정, 유해물질의 차단 </t>
  </si>
  <si>
    <t>에어샤워</t>
  </si>
  <si>
    <t xml:space="preserve">PURIUM-10000-P_x000D_
</t>
  </si>
  <si>
    <t>인공지능 스마트 IoT 에어샤워</t>
  </si>
  <si>
    <t>2020-00020</t>
  </si>
  <si>
    <t>경기-20180411-3-07</t>
  </si>
  <si>
    <t>11124 경기도 포천시 화현면 봉화로 683 (주)현대표지</t>
  </si>
  <si>
    <t>hdsign111@daum.net</t>
  </si>
  <si>
    <t>02-6458-7000</t>
  </si>
  <si>
    <t>진태영</t>
  </si>
  <si>
    <t>정종환</t>
  </si>
  <si>
    <t>127-81-56040</t>
  </si>
  <si>
    <t>(주)현대표지</t>
  </si>
  <si>
    <t>소음,먼지를 저감할수있는 흡음형 방음</t>
  </si>
  <si>
    <t>흡음형방음벽및방음판</t>
  </si>
  <si>
    <t>HD500-19 외 17개</t>
  </si>
  <si>
    <t>활성탄소필터 기술을 적용한 친환경 방음판</t>
  </si>
  <si>
    <t>2020-00024</t>
  </si>
  <si>
    <t>2019-08-19 ~ 2022-08-18</t>
  </si>
  <si>
    <t>2019182</t>
  </si>
  <si>
    <t>52350 경상남도 하동군 금남면 섬진강대로 861 대왕철강(주)</t>
  </si>
  <si>
    <t>dws7301@hanmail.net</t>
  </si>
  <si>
    <t>010-4859-3939</t>
  </si>
  <si>
    <t>박성현</t>
  </si>
  <si>
    <t>서상만</t>
  </si>
  <si>
    <t>614-81-04309</t>
  </si>
  <si>
    <t>대왕철강(주)</t>
  </si>
  <si>
    <t>내식성 및 수밀성이 향상된 파형강관</t>
  </si>
  <si>
    <t>파형강관</t>
  </si>
  <si>
    <t>DWSPU-1 ~ DWSPU-84, DWSPU-85 ø200x1.6(PU양면피복) 등 14종(총 98종)</t>
  </si>
  <si>
    <t>폴리우레아 피복 소켓일체형 파형강관</t>
  </si>
  <si>
    <t>2020-00026</t>
  </si>
  <si>
    <t>2020-01-23 ~ 2023-01-22</t>
  </si>
  <si>
    <t>20-AGZ0029</t>
  </si>
  <si>
    <t>57116 전라남도 함평군 해보면 해보농공길 19 (주)제이엔텍</t>
  </si>
  <si>
    <t>yhonisty@hanmail.net</t>
  </si>
  <si>
    <t>061-324-1075</t>
  </si>
  <si>
    <t>정순식</t>
  </si>
  <si>
    <t>박준상</t>
  </si>
  <si>
    <t>409-86-31965</t>
  </si>
  <si>
    <t>(주)제이엔텍</t>
  </si>
  <si>
    <t>UV LED를 이용한 수질 살균장치</t>
  </si>
  <si>
    <t>자외선살균기</t>
  </si>
  <si>
    <t>JT-SWSTL-D9-25A</t>
  </si>
  <si>
    <t>자외선(UV)LED를 이용한 수질 살균장치</t>
  </si>
  <si>
    <t>2020-00029</t>
  </si>
  <si>
    <t>2020-02-13 ~ 2023-02-12</t>
  </si>
  <si>
    <t>제 20-1-0093호</t>
  </si>
  <si>
    <t>54932 전라북도 전주시 덕진구 가리내로 52 (금암동) 3층</t>
  </si>
  <si>
    <t>ceo@entix.co.kr</t>
  </si>
  <si>
    <t>063-271-5170</t>
  </si>
  <si>
    <t>최종진</t>
  </si>
  <si>
    <t>418-81-27999</t>
  </si>
  <si>
    <t>(주)엔틱스</t>
  </si>
  <si>
    <t>비콘과 스마트폰을 이용하여 승용형 농기계의 전복/충돌사고 발생시 실시간으로 사고상황 전파</t>
  </si>
  <si>
    <t>Safe-T2O</t>
  </si>
  <si>
    <t>세이프티투오 농기계사고 실시간 응급알림 장치 및 서비스, Safe-T2O</t>
  </si>
  <si>
    <t>2020-00039</t>
  </si>
  <si>
    <t>경기-20180527-2-01</t>
  </si>
  <si>
    <t>15847 경기도 군포시 공단로140번길 46 B105호, B106호</t>
  </si>
  <si>
    <t>omj1016@fascoeng.co.kr</t>
  </si>
  <si>
    <t>031-453-9700</t>
  </si>
  <si>
    <t>안동호</t>
  </si>
  <si>
    <t>이동헌</t>
  </si>
  <si>
    <t>617-86-12730</t>
  </si>
  <si>
    <t>파스코이엔지(주)</t>
  </si>
  <si>
    <t>화력발전소 호퍼 슈트 막힘 방지용</t>
  </si>
  <si>
    <t>전동해머</t>
  </si>
  <si>
    <t>FAEH-D01T01, FAEHL</t>
  </si>
  <si>
    <t>타격과 진동을 동시에 일으키는 전자 바이브레이터(전자해머)</t>
  </si>
  <si>
    <t>2020-00061</t>
  </si>
  <si>
    <t>2020-01-22 ~ 2060-12-31</t>
  </si>
  <si>
    <t>2016S2403667</t>
  </si>
  <si>
    <t>48069 부산광역시 해운대구 해운대로 1164-21 4층</t>
  </si>
  <si>
    <t>hkkang.ants@gmail.com</t>
  </si>
  <si>
    <t>051-742-1324</t>
  </si>
  <si>
    <t>강호경</t>
  </si>
  <si>
    <t>안태성</t>
  </si>
  <si>
    <t>617-81-60561</t>
  </si>
  <si>
    <t>(주)앤츠</t>
  </si>
  <si>
    <t>자동 열차 방호장치 상태 모니터</t>
  </si>
  <si>
    <t>터치스크린</t>
  </si>
  <si>
    <t>KRCS-B530-00_3종</t>
  </si>
  <si>
    <t>디젤기관차, 전기기관차의 봄바르디아 ATP 화면표시기</t>
  </si>
  <si>
    <t>2020-00070</t>
  </si>
  <si>
    <t>2018-01-23 ~ 2022-11-27</t>
  </si>
  <si>
    <t>S2152135</t>
  </si>
  <si>
    <t>17015 경기도 용인시 기흥구 동백중앙로16번길 16-25 103호</t>
  </si>
  <si>
    <t>envata@naver.com</t>
  </si>
  <si>
    <t>031-526-0544</t>
  </si>
  <si>
    <t>황상윤</t>
  </si>
  <si>
    <t>김병훈</t>
  </si>
  <si>
    <t>129-81-78152</t>
  </si>
  <si>
    <t>(주)씨엠엔텍</t>
  </si>
  <si>
    <t>구경 3~10mm 관로 내를 흐르는 약품(PAC,폴리머 등)의 유량을 측정하는 계측기</t>
  </si>
  <si>
    <t>유량계</t>
  </si>
  <si>
    <t>i-Pro 3A,5A,7A,10A</t>
  </si>
  <si>
    <t>초음파 미소유량계(약품용)</t>
  </si>
  <si>
    <t>2020-00074</t>
  </si>
  <si>
    <t>2019-10-18 ~ 2022-10-17</t>
  </si>
  <si>
    <t>G2019A0400156</t>
  </si>
  <si>
    <t>38542 경상북도 경산시 삼풍로 27 (재)경북테크노파크 글로벌벤처동 3층 306호</t>
  </si>
  <si>
    <t>sbangsales1@naver.com</t>
  </si>
  <si>
    <t>053-716-5355</t>
  </si>
  <si>
    <t>이인태</t>
  </si>
  <si>
    <t>윤해진</t>
  </si>
  <si>
    <t>727-88-01325</t>
  </si>
  <si>
    <t>신발 내부의 건조 살균을 통해, 발 냄새, 발 질환 에 원인이 되는 박테리아와 각종 세균</t>
  </si>
  <si>
    <t>신발건조기</t>
  </si>
  <si>
    <t>SY-100</t>
  </si>
  <si>
    <t>SIN藥(신약)</t>
  </si>
  <si>
    <t>2020-00080</t>
  </si>
  <si>
    <t>2016156</t>
  </si>
  <si>
    <t>2019-08-30 ~ 2022-08-29</t>
  </si>
  <si>
    <t>20-CAC0013</t>
  </si>
  <si>
    <t xml:space="preserve">41700 대구광역시 서구 가르뱅이로6길 47 (이현동) </t>
  </si>
  <si>
    <t>hs02938@naver.com</t>
  </si>
  <si>
    <t>053-526-6701</t>
  </si>
  <si>
    <t>최정임</t>
  </si>
  <si>
    <t>여신동</t>
  </si>
  <si>
    <t>504-30-76182</t>
  </si>
  <si>
    <t>화성산업사</t>
  </si>
  <si>
    <t>물건을 적재하여 이동시키는 기능을 가지고있음,무소음바퀴장착으로 소음을 최소화,브레이크장착</t>
  </si>
  <si>
    <t>플랫폼트럭</t>
  </si>
  <si>
    <t>HWC-300/HWC-150</t>
  </si>
  <si>
    <t>플랫폼 트럭</t>
  </si>
  <si>
    <t>2020-00082</t>
  </si>
  <si>
    <t>2019-11-29 ~ 2021-11-28</t>
  </si>
  <si>
    <t>제A2017-1210455호</t>
  </si>
  <si>
    <t>분기기의 방향을 변환시켜 주고, 개통 된 상태를 쇄정시켜 주는 장치</t>
  </si>
  <si>
    <t>전기전철기</t>
  </si>
  <si>
    <t>KRCS-C329-00</t>
  </si>
  <si>
    <t>분기기별 호환(일반, 고속)과 안전성(직접쇄정, 자기진단)이 향상된 선로전환기</t>
  </si>
  <si>
    <t>2020-00091</t>
  </si>
  <si>
    <t>2019-12-22 ~ 2022-12-21</t>
  </si>
  <si>
    <t>2016007-12</t>
  </si>
  <si>
    <t xml:space="preserve">10025 경기도 김포시 대곶면 대곶북로 422 </t>
  </si>
  <si>
    <t>piw@hanjinpump.com</t>
  </si>
  <si>
    <t>031-996-3600</t>
  </si>
  <si>
    <t>박인원</t>
  </si>
  <si>
    <t>김영운</t>
  </si>
  <si>
    <t>130-81-44574</t>
  </si>
  <si>
    <t>(주)한진펌프</t>
  </si>
  <si>
    <t>흡입성능 개선으로 배수 및 수처리 전과정에서 사용 가능하도록 효율을 높인 수중펌프</t>
  </si>
  <si>
    <t>수중펌프 11kW 외 144종</t>
  </si>
  <si>
    <t>2020-00095</t>
  </si>
  <si>
    <t>2019181</t>
  </si>
  <si>
    <t>27845 충청북도 진천군 진천읍 송두4길 56-33 성은종합철강(주)</t>
  </si>
  <si>
    <t>sungeun1521@hanmail.net</t>
  </si>
  <si>
    <t>043-535-5900</t>
  </si>
  <si>
    <t xml:space="preserve">오범식 </t>
  </si>
  <si>
    <t>박봉수</t>
  </si>
  <si>
    <t>301-86-33316</t>
  </si>
  <si>
    <t>키토산 세라믹 PE 3층 피복강관은 항균성 및 내구성을 향상시킨 제품입니다.</t>
  </si>
  <si>
    <t>폴리에틸렌피복강관</t>
  </si>
  <si>
    <t>SE3LP-K200A 등 54품목</t>
  </si>
  <si>
    <t>키토산 세라믹 PE 3층 피복강관</t>
  </si>
  <si>
    <t>2020-00096</t>
  </si>
  <si>
    <t>오범식</t>
  </si>
  <si>
    <t>폴리에틸렌피복강관이음관</t>
  </si>
  <si>
    <t>SE3LP-K200AL 등 135품목</t>
  </si>
  <si>
    <t>키토산 세라믹 PE 3층 피복강관(이음관)</t>
  </si>
  <si>
    <t>2020-00097</t>
  </si>
  <si>
    <t>2019-12-30 ~ 2022-12-29</t>
  </si>
  <si>
    <t>2019254</t>
  </si>
  <si>
    <t xml:space="preserve">15655 경기도 안산시 단원구 시화벤처로 481 </t>
  </si>
  <si>
    <t>tongfyo@sanil.co.kr</t>
  </si>
  <si>
    <t>02-6291-7172</t>
  </si>
  <si>
    <t>한승훈</t>
  </si>
  <si>
    <t>박동석</t>
  </si>
  <si>
    <t>139-81-25410</t>
  </si>
  <si>
    <t>산일전기(주)</t>
  </si>
  <si>
    <t>열화상 카메라 및 분석장치를 적용하여 SCR 온도를 감시하는 기능을 갖는 전동기 시동기</t>
  </si>
  <si>
    <t>전동기시동기</t>
  </si>
  <si>
    <t>SDS-06S-0010-6외 149종</t>
  </si>
  <si>
    <t>열화상 카메라를 이용하여 SCR 온도를 감시하는 기능을 갖는 전동기 시동기</t>
  </si>
  <si>
    <t>2020-00100</t>
  </si>
  <si>
    <t>2019-08-26 ~ 2022-08-25</t>
  </si>
  <si>
    <t>제2019-협력-002호</t>
  </si>
  <si>
    <t xml:space="preserve">08376 서울특별시 구로구 디지털로31길 19, 에이스테크노타워2차 207호 (구로동) </t>
  </si>
  <si>
    <t>dyscyg@chol.com</t>
  </si>
  <si>
    <t>02-858-6870</t>
  </si>
  <si>
    <t>김권석</t>
  </si>
  <si>
    <t>서인호</t>
  </si>
  <si>
    <t>113-81-32146</t>
  </si>
  <si>
    <t>대윤계기산업(주)</t>
  </si>
  <si>
    <t>발전설비에사용되는고온, 고압의보일러수를안정적인상태로전처리하여수질상태를 모니터링하는시스템</t>
  </si>
  <si>
    <t>프로세스제어반</t>
  </si>
  <si>
    <t>DY-P2SWAS12000</t>
  </si>
  <si>
    <t>보일러수 전처리설비 및 다채널측정 통합관리시스템</t>
  </si>
  <si>
    <t>2020-00105</t>
  </si>
  <si>
    <t>2019-03-04 ~ 2022-03-03</t>
  </si>
  <si>
    <t>2019-4</t>
  </si>
  <si>
    <t>31441 충청남도 아산시 염치읍 서원길 78 2</t>
  </si>
  <si>
    <t>ecohitek@naver.com</t>
  </si>
  <si>
    <t>041-543-8877</t>
  </si>
  <si>
    <t>히재국</t>
  </si>
  <si>
    <t>이윤근</t>
  </si>
  <si>
    <t>125-86-16538</t>
  </si>
  <si>
    <t>(주)에코하이테크</t>
  </si>
  <si>
    <t>자연석 판석에 베이스프레임 및 간극재를 적용하여 시공 시 시멘트몰탈(습식시공) 불필요</t>
  </si>
  <si>
    <t>자연석판석</t>
  </si>
  <si>
    <t>MON440W, MON440R, MON440B_x000D_
MON450W, MON450R, MON450B_x000D_
MON460W, MON460R, MON460B_x000D_
MON480W, MON480R, MON480B</t>
  </si>
  <si>
    <t>석재와 베이스프레임을 이용하여 부등침하방지 및 빗물투수가 용이한 보도블록시스템</t>
  </si>
  <si>
    <t>2020-00110</t>
  </si>
  <si>
    <t>2017-04-19 ~ 2020-04-18</t>
  </si>
  <si>
    <t>제1053호</t>
  </si>
  <si>
    <t>2019-06-20 ~ 2022-06-19</t>
  </si>
  <si>
    <t>NEP-MOTIE-2019-039</t>
  </si>
  <si>
    <t>2017201</t>
  </si>
  <si>
    <t>10040 경기도 김포시 대곶면 소래로 104 (주)엘파워</t>
  </si>
  <si>
    <t>vaq13@smart-power.kr</t>
  </si>
  <si>
    <t>010-9049-7418</t>
  </si>
  <si>
    <t>황성우</t>
  </si>
  <si>
    <t>신예원</t>
  </si>
  <si>
    <t>221-81-44564</t>
  </si>
  <si>
    <t>(주)엘파워</t>
  </si>
  <si>
    <t>LED 실내조명, 투광등, 터널등, 보안등 등.. NEP 인증을 받은 A/S 5년 제품</t>
  </si>
  <si>
    <t>LPFT-S-331C/H, LPFT-S-366C/H, LPFT-S-431C/H, LPFT-S-466C/H, LPFT-S-331E/H, LPFT-S-366E/H, LPFT-S-431E/H, LPFT-S-466E/H, LPFT-S-256E/H, LPFT-S-241R/C, LPFT-S-381R/C, LPFT-S-251B/B, LPFT-S-25S/H(D), LPFT-S-255D/H, LPFT-S-406D/H</t>
  </si>
  <si>
    <t>예측수명이 증대된 전해커패시터 제거형 정전력 구동회로 적용 LED 등기구 (100W 이하)</t>
  </si>
  <si>
    <t>2020-00113</t>
  </si>
  <si>
    <t>G2219D03-00093</t>
  </si>
  <si>
    <t>특허 제10-1407990호</t>
  </si>
  <si>
    <t>18552 경기도 화성시 송산면 화성로 316-63 (주)유안개발</t>
  </si>
  <si>
    <t>uan0013@gmail.com</t>
  </si>
  <si>
    <t>031-413-1450</t>
  </si>
  <si>
    <t>엄성섭</t>
  </si>
  <si>
    <t>손승오</t>
  </si>
  <si>
    <t>134-87-12310</t>
  </si>
  <si>
    <t>주식회사 유안개발</t>
  </si>
  <si>
    <t>핑거판 협착 및 중/대형 차량 반복 통과의 충격 하중으로부터 후타부 파손 방지 신축이음장치</t>
  </si>
  <si>
    <t>교량이음장치</t>
  </si>
  <si>
    <t xml:space="preserve"> UAN-SRFC 100</t>
  </si>
  <si>
    <t>후타부 파손을 개선한 신축이음장치</t>
  </si>
  <si>
    <t>2020-00115</t>
  </si>
  <si>
    <t>2019199</t>
  </si>
  <si>
    <t>22664 인천광역시 서구 검단로54번길 7 (주) 아이스트로</t>
  </si>
  <si>
    <t>mwlee@icetro.com</t>
  </si>
  <si>
    <t>032-814-0693</t>
  </si>
  <si>
    <t>이민욱</t>
  </si>
  <si>
    <t>유세훈</t>
  </si>
  <si>
    <t>139-81-13175</t>
  </si>
  <si>
    <t>(주)아이스트로</t>
  </si>
  <si>
    <t>외부에서 공급받은 물을 냉매를 이용하여 얼음을 생성하는 기계</t>
  </si>
  <si>
    <t>제빙기</t>
  </si>
  <si>
    <t>ICI-100VADS 등 16종</t>
  </si>
  <si>
    <t>2020-00117</t>
  </si>
  <si>
    <t>2019-12-04 ~ 2022-12-03</t>
  </si>
  <si>
    <t>S2455287</t>
  </si>
  <si>
    <t>51395 경상남도 창원시 의창구 소계로 12 창원테크노밸리 드림동 501호</t>
  </si>
  <si>
    <t>js.song@smh.co.kr</t>
  </si>
  <si>
    <t>070-7505-6454</t>
  </si>
  <si>
    <t>송정섭</t>
  </si>
  <si>
    <t>정장영</t>
  </si>
  <si>
    <t>609-81-78681</t>
  </si>
  <si>
    <t>에스엠에이치 주식회사</t>
  </si>
  <si>
    <t xml:space="preserve">세라믹볼 홈형 래깅은 기존 고무래깅 대비 3배이상의 수명, 높은 마찰계수, 내마모성 가짐 </t>
  </si>
  <si>
    <t>롤러컨베이어</t>
  </si>
  <si>
    <t>Φ339(315) 외 19종</t>
  </si>
  <si>
    <t>컨베이어 구동용 세라믹 Groove형 고무래깅 풀리</t>
  </si>
  <si>
    <t>2020-00124</t>
  </si>
  <si>
    <t>2017-08-03 ~ 2023-08-02</t>
  </si>
  <si>
    <t>제15-1577(경기-20170227-2-01)</t>
  </si>
  <si>
    <t>12203 경기도 남양주시 와부읍 덕소로 72 222호(벽산메가트리움내상가)</t>
  </si>
  <si>
    <t>srengms@gmail.com</t>
  </si>
  <si>
    <t>031-521-0951</t>
  </si>
  <si>
    <t>김민수</t>
  </si>
  <si>
    <t>107-81-90501</t>
  </si>
  <si>
    <t>상림이엔지(주)</t>
  </si>
  <si>
    <t>핫스팟, 테더링 기능을 이용하여 무인시설물의 운영효율성과 경제성을 향상시키는 시스템</t>
  </si>
  <si>
    <t>계장제어장치(SRTMC-C1000)</t>
  </si>
  <si>
    <t>핫스팟, 테더링 기능을 이용한 수처리 현장제어반</t>
  </si>
  <si>
    <t>2020-00125</t>
  </si>
  <si>
    <t>제 27-445</t>
  </si>
  <si>
    <t>21582 인천광역시 남동구 선수촌공원로17번길 1 A동 910호</t>
  </si>
  <si>
    <t>123psh@hanmail.net</t>
  </si>
  <si>
    <t>041-415-2883</t>
  </si>
  <si>
    <t>박성희</t>
  </si>
  <si>
    <t>허성우</t>
  </si>
  <si>
    <t>131-81-92690</t>
  </si>
  <si>
    <t>(주) 아루미존</t>
  </si>
  <si>
    <t>상부에 월담방지장치,월담감지센서및경보를 설치하여 중요시설물의 침입방지경계용 울타리</t>
  </si>
  <si>
    <t>창살형울타리</t>
  </si>
  <si>
    <t>ALZ-L-030-2, ALZ-L-032-1, ALZ-L-016A-3</t>
  </si>
  <si>
    <t>월담방지 회전롤러 및 감지기술을 적용한 보안용 울타리(월담감지 보안 울타리)</t>
  </si>
  <si>
    <t>2020-00131</t>
  </si>
  <si>
    <t>스테인리스가로등주</t>
  </si>
  <si>
    <t>S-KM-POL12-A-1002 등 197모델</t>
  </si>
  <si>
    <t>2020-00132</t>
  </si>
  <si>
    <t>2019-10-14 ~ 2021-10-13</t>
  </si>
  <si>
    <t>A2018-0710150</t>
  </si>
  <si>
    <t>14521 경기도 부천시 옥산로 234 (도당동)</t>
  </si>
  <si>
    <t>wtkim@csin.kr</t>
  </si>
  <si>
    <t>032-714-2523</t>
  </si>
  <si>
    <t>김원태</t>
  </si>
  <si>
    <t>김남성</t>
  </si>
  <si>
    <t>130-86-07332</t>
  </si>
  <si>
    <t>(주)씨에스아이엔테크</t>
  </si>
  <si>
    <t>MMI장치는 차상신호장치에서 전달되는 실제속도, 제한속도를 기관사에게 현시하는 장치입니다.</t>
  </si>
  <si>
    <t>KRCS B530 02 (4종)</t>
  </si>
  <si>
    <t>철도차량(KTX-산천, 8200호대, 8500호대, 7600호대) ATP MMI 국산화개발</t>
  </si>
  <si>
    <t>2020-00133</t>
  </si>
  <si>
    <t>2019-11-26 ~ 2022-11-25</t>
  </si>
  <si>
    <t>제2019-02호</t>
  </si>
  <si>
    <t>14501 경기 부천시 오정구  석천로 345, 302동603호(삼정동,부천테크노파크)</t>
  </si>
  <si>
    <t>rbh@e-kyoung.com</t>
  </si>
  <si>
    <t>032-234-1731</t>
  </si>
  <si>
    <t>이병호</t>
  </si>
  <si>
    <t>이을재</t>
  </si>
  <si>
    <t>134-81-36396</t>
  </si>
  <si>
    <t>이경산전(주)</t>
  </si>
  <si>
    <t>전기기관차내의 가변 교류전원(3상/440V)을 공급하는 C/I형태의 보조전원장치</t>
  </si>
  <si>
    <t>전기기관차용보조전원장치(VVVF형)</t>
  </si>
  <si>
    <t>KRCS B564</t>
  </si>
  <si>
    <t>전기기관차(8200호대) 보조전원장치</t>
  </si>
  <si>
    <t>2020-00134</t>
  </si>
  <si>
    <t>경기-20180606-3-01</t>
  </si>
  <si>
    <t>2019173</t>
  </si>
  <si>
    <t>18522 경기도 화성시 정남면 서봉로851번길 85-13 주)명신기업</t>
  </si>
  <si>
    <t>myungsin8206@korea.com</t>
  </si>
  <si>
    <t>031-366-0439</t>
  </si>
  <si>
    <t>전종오</t>
  </si>
  <si>
    <t>김명열</t>
  </si>
  <si>
    <t>189-81-00637</t>
  </si>
  <si>
    <t>주식회사 명신기업</t>
  </si>
  <si>
    <t>건물 천장 마감재로서 알루미늄 평판에 사각엠보싱 형태를 상,하 교차성형으로 디자인이 뛰어남</t>
  </si>
  <si>
    <t>알루미늄천장재</t>
  </si>
  <si>
    <t>MMC-1,MMC-2,MMC-3</t>
  </si>
  <si>
    <t>알루미늄 천장용 판넬</t>
  </si>
  <si>
    <t>2020-00139</t>
  </si>
  <si>
    <t>2019229</t>
  </si>
  <si>
    <t>19-AGI0183</t>
  </si>
  <si>
    <t>07528 서울특별시 강서구 양천로 401 강서한강자이타워 B동 1412호</t>
  </si>
  <si>
    <t>nanakgil@nate.com</t>
  </si>
  <si>
    <t>02-2659-2060</t>
  </si>
  <si>
    <t>박한길</t>
  </si>
  <si>
    <t>109-86-45967</t>
  </si>
  <si>
    <t>스카이패널</t>
  </si>
  <si>
    <t>태양광 전지 모듈을 상부패널로 하는 태양광 발전장치 시스템</t>
  </si>
  <si>
    <t>SKY-BIPV-S-1 등 63종</t>
  </si>
  <si>
    <t>태양광발전을 포함한 일체형 지붕패널 시스템(BIPV)</t>
  </si>
  <si>
    <t>2020-00140</t>
  </si>
  <si>
    <t>2019-03-18 ~ 2022-03-17</t>
  </si>
  <si>
    <t>19-AAM0194</t>
  </si>
  <si>
    <t>36755 경상북도 안동시 남후면 농공길 76 (남후농공단지내)</t>
  </si>
  <si>
    <t>js-engad@daum.net</t>
  </si>
  <si>
    <t>054-857-9998</t>
  </si>
  <si>
    <t>이성영</t>
  </si>
  <si>
    <t>유묘숙</t>
  </si>
  <si>
    <t>191-87-01266</t>
  </si>
  <si>
    <t>주식회사 제이에스엔지니어링</t>
  </si>
  <si>
    <t>흡입측유도기술을적용하여펌프효율향상에의한에너지절감과흡입이적거리최소화에따른공사비절감</t>
  </si>
  <si>
    <t>JS-SP-350,400,450,500,600,700,800,900,1000,1100,1200,1350,1500,1650,1800</t>
  </si>
  <si>
    <t>흡입측 유도기술을 적용한 고효율 펌프</t>
  </si>
  <si>
    <t>2020-00148</t>
  </si>
  <si>
    <t>2020-01-29 ~ 2023-01-28</t>
  </si>
  <si>
    <t>20-ACZ0034</t>
  </si>
  <si>
    <t xml:space="preserve">13403 경기도 성남시 중원구 둔촌대로 388, 크란츠테크노빌딩 816호 (상대원동) </t>
  </si>
  <si>
    <t>simply@hivesystem.co.kr</t>
  </si>
  <si>
    <t>070-4344-2101</t>
  </si>
  <si>
    <t>정승환</t>
  </si>
  <si>
    <t>박정실</t>
  </si>
  <si>
    <t>129-81-42746</t>
  </si>
  <si>
    <t>(주)하이브시스템</t>
  </si>
  <si>
    <t>24시간 운영되는 상황실 관제실에 사용되는 영상정보 디스플레이 장치입니다.</t>
  </si>
  <si>
    <t>영상정보디스플레이장치</t>
  </si>
  <si>
    <t>Contra LFH 70 / Contra LFS 60 / Contra LFH 60 / Contra LFH 50</t>
  </si>
  <si>
    <t>멀티 큐브 영상 보정 시스템 기술을 적용한 디스플레이 장치</t>
  </si>
  <si>
    <t>2020-00154</t>
  </si>
  <si>
    <t>2019-07-19 ~ 2022-07-18</t>
  </si>
  <si>
    <t>20-FDZ0004</t>
  </si>
  <si>
    <t>34364 대전광역시 대덕구 대화로50번길 47 (대화동)</t>
  </si>
  <si>
    <t>hjchoi@safelab.co.kr</t>
  </si>
  <si>
    <t>042-334-4664</t>
  </si>
  <si>
    <t>최호진</t>
  </si>
  <si>
    <t>최근화</t>
  </si>
  <si>
    <t>305-81-41040</t>
  </si>
  <si>
    <t>주식회사 랩죤</t>
  </si>
  <si>
    <t>다중시설, 실험실, 교실, 의료기관에 최적화된 천정 설치형 대용량 공기정화-살균장치</t>
  </si>
  <si>
    <t>공기청정기</t>
  </si>
  <si>
    <t>TAMREIN-CEIL</t>
  </si>
  <si>
    <t>고농도 유해가스 정화 및 살균 성능을 갖는 대용량 공기정화 살균장치</t>
  </si>
  <si>
    <t>2020-00155</t>
  </si>
  <si>
    <t>2019-03-15 ~ 2022-03-14</t>
  </si>
  <si>
    <t>19AAI0189</t>
  </si>
  <si>
    <t>12790 경기도 광주시 오포읍 세피내길 51 (고산리 90-4)</t>
  </si>
  <si>
    <t>newtork@newtork.co.kr</t>
  </si>
  <si>
    <t>031-711-3096</t>
  </si>
  <si>
    <t>허연우</t>
  </si>
  <si>
    <t>허응무</t>
  </si>
  <si>
    <t>129-86-07195</t>
  </si>
  <si>
    <t>뉴토크코리아주식회사</t>
  </si>
  <si>
    <t xml:space="preserve">전기를 동력으로 사용자의 설정에 따라 밸블르 개폐시키는 산업용 기계 </t>
  </si>
  <si>
    <t>동력밸브개폐기</t>
  </si>
  <si>
    <t>NTI-01, NTI-02, NTI-03, NTI-04, NTI-05, NTI-06</t>
  </si>
  <si>
    <t>과부하 감지시 정역회전 반복동작 기능이 적용된 전동액츄에이터</t>
  </si>
  <si>
    <t>2020-00159</t>
  </si>
  <si>
    <t>2019180</t>
  </si>
  <si>
    <t xml:space="preserve">25244 강원도 횡성군 우천면 우천산업단지로 38-20 </t>
  </si>
  <si>
    <t>sharp0s@naver.com</t>
  </si>
  <si>
    <t>033-345-8602</t>
  </si>
  <si>
    <t>심춘식</t>
  </si>
  <si>
    <t>김명식</t>
  </si>
  <si>
    <t>290-88-00275</t>
  </si>
  <si>
    <t>외면을 분말용착법으로 PE3층 코팅, 내면을 폴리우레탄으로 도장하여 내구성을 향상시킨 강관</t>
  </si>
  <si>
    <t>HD3LP-P200A 등 54종</t>
  </si>
  <si>
    <t>유무기 복합 강화 폴리우레탄 PE 3층 피복강관</t>
  </si>
  <si>
    <t>2020-00166</t>
  </si>
  <si>
    <t>19-ABI0185</t>
  </si>
  <si>
    <t>15427 경기도 안산시 단원구 산단로35번길 110 (목내동)(주)윈텍피앤이비동</t>
  </si>
  <si>
    <t>sdj1000@testonic.co.kr</t>
  </si>
  <si>
    <t>010-9297-2214</t>
  </si>
  <si>
    <t>신동준</t>
  </si>
  <si>
    <t>강옥남</t>
  </si>
  <si>
    <t>140-81-60703</t>
  </si>
  <si>
    <t>(주)테스토닉</t>
  </si>
  <si>
    <t>신발 바닥에 묻어있는 이물질을 자동으로 흡입하여 실내유입을 차단해주는 제품</t>
  </si>
  <si>
    <t>신발털이기</t>
  </si>
  <si>
    <t>TSTN-0510, TSTN-0706, TSTN-0710, TSTN-1010</t>
  </si>
  <si>
    <t>공기유입량 조절 기능을 가지는 먼지 흡입 매트</t>
  </si>
  <si>
    <t>2020-00167</t>
  </si>
  <si>
    <t>2018-12-18 ~ 2022-12-17</t>
  </si>
  <si>
    <t>2018196</t>
  </si>
  <si>
    <t>14059 경기도 안양시 동안구 흥안대로 415 102 (평촌동)</t>
  </si>
  <si>
    <t>g2b@neoslight.co.kr</t>
  </si>
  <si>
    <t>031-478-2497</t>
  </si>
  <si>
    <t>임채운</t>
  </si>
  <si>
    <t>황철현</t>
  </si>
  <si>
    <t>220-87-24174</t>
  </si>
  <si>
    <t>(주)네오스라이트</t>
  </si>
  <si>
    <t>공공기관, 사무실 등 건물내부에 사용하는 LED실내조명등</t>
  </si>
  <si>
    <t>NL-BC040B001 외 20종</t>
  </si>
  <si>
    <t>탄소계 방열 인쇄회로기판을 적용한 방열구조를 갖는 LED 조명(LED실내조명등)</t>
  </si>
  <si>
    <t>2020-00175</t>
  </si>
  <si>
    <t>2016191</t>
  </si>
  <si>
    <t>15807 경기도 군포시 엘에스로182번길 3-4 (산본동) 대진전기</t>
  </si>
  <si>
    <t>sales@daijinelec.com</t>
  </si>
  <si>
    <t>031-451-5355</t>
  </si>
  <si>
    <t>윤종현</t>
  </si>
  <si>
    <t>임채현</t>
  </si>
  <si>
    <t>123-81-16008</t>
  </si>
  <si>
    <t>대진전기(주)</t>
  </si>
  <si>
    <t>최적 전력 이용 효율관리 수배전반</t>
  </si>
  <si>
    <t>DJ-HPNL-AIO-01 외 211가지 모델</t>
  </si>
  <si>
    <t>수배전반</t>
  </si>
  <si>
    <t>2020-06-29</t>
  </si>
  <si>
    <t>20-공고(2차)</t>
  </si>
  <si>
    <t>2020-00184</t>
  </si>
  <si>
    <t>2020-04-07 ~ 2023-04-06</t>
  </si>
  <si>
    <t>s2682858</t>
  </si>
  <si>
    <t>16079 경기도 의왕시 오봉산단1로 50-8 SR공장</t>
  </si>
  <si>
    <t>srd@mysr.co.kr</t>
  </si>
  <si>
    <t>070-4940-2557</t>
  </si>
  <si>
    <t>홍성용</t>
  </si>
  <si>
    <t>강춘기</t>
  </si>
  <si>
    <t>138-81-47051</t>
  </si>
  <si>
    <t>주식회사 에스알</t>
  </si>
  <si>
    <t>열차검출신호를정확하게 출력하고,신뢰성,가용성,유지보수성,안전성을 갖춘 임펄스궤도회로장치</t>
  </si>
  <si>
    <t>임펄스궤도회로장치</t>
  </si>
  <si>
    <t>KRCS_C331_00(통합모듈형임펄스궤도회로장치)</t>
  </si>
  <si>
    <t>자가감시기능을 탑재한 이중화 궤도회로 통합모듈</t>
  </si>
  <si>
    <t>2020-00185</t>
  </si>
  <si>
    <t>2020-01-31 ~ 2023-01-30</t>
  </si>
  <si>
    <t>20-ABZ0051</t>
  </si>
  <si>
    <t xml:space="preserve">10809 경기도 파주시 파평면 파평산로 328 </t>
  </si>
  <si>
    <t>jmr@dreamnetwork98.co.kr</t>
  </si>
  <si>
    <t>010-2086-0893</t>
  </si>
  <si>
    <t>조미란</t>
  </si>
  <si>
    <t>이상무</t>
  </si>
  <si>
    <t>128-03-98410</t>
  </si>
  <si>
    <t>드림네트워크</t>
  </si>
  <si>
    <t>화재경보과 비상조명이 하나로 결합된 비상라이트</t>
  </si>
  <si>
    <t>비상라이트</t>
  </si>
  <si>
    <t>BL-SS4</t>
  </si>
  <si>
    <t>비상라이트(화재경보기/LED비상조명등)</t>
  </si>
  <si>
    <t>2020-00186</t>
  </si>
  <si>
    <t>2019-11-25 ~ 2022-11-24</t>
  </si>
  <si>
    <t>19-0514</t>
  </si>
  <si>
    <t>08507 서울특별시 금천구 가산디지털1로 128 1105-4</t>
  </si>
  <si>
    <t>hspark@atsoft.kr</t>
  </si>
  <si>
    <t>010-4522-2218</t>
  </si>
  <si>
    <t>박호성</t>
  </si>
  <si>
    <t>371-81-01064</t>
  </si>
  <si>
    <t>서버에 레포팅 툴과 연동하여 민원문서의 내용을 전자점자로 자동 변환하는 솔루션</t>
  </si>
  <si>
    <t>eDotXPress Report v1.0</t>
  </si>
  <si>
    <t>이닷익스프레스 레포트 v1.0 (민원문서 점자변환(전자점자) 솔루션)</t>
  </si>
  <si>
    <t>2020-00191</t>
  </si>
  <si>
    <t>2018-10-25 ~ 2021-10-24</t>
  </si>
  <si>
    <t>S2357925</t>
  </si>
  <si>
    <t>18625 경기도 화성시 향남읍 만년로151번길 88 유림기술(주)</t>
  </si>
  <si>
    <t>sales@yurimtech.co.kr</t>
  </si>
  <si>
    <t>031-432-4721</t>
  </si>
  <si>
    <t>김성호</t>
  </si>
  <si>
    <t>전택수</t>
  </si>
  <si>
    <t>126-81-79512</t>
  </si>
  <si>
    <t>유림기술(주)</t>
  </si>
  <si>
    <t>첫걸음</t>
    <phoneticPr fontId="19" type="noConversion"/>
  </si>
  <si>
    <t>발전용수의 수질을 제어하기 위해 화학성분을 측정, 분석하는 설비(부식,손실,발전정지 방지)</t>
  </si>
  <si>
    <t>수질시료채취기</t>
  </si>
  <si>
    <t>YR-SWAS001</t>
  </si>
  <si>
    <t>계통수 시료채취 설비(Sample Rack System)</t>
  </si>
  <si>
    <t>2020-00203</t>
  </si>
  <si>
    <t>2020-04-17 ~ 2023-04-16</t>
  </si>
  <si>
    <t>제2020-04-0080</t>
  </si>
  <si>
    <t>10228 경기도 고양시 일산서구 덕이로172번길 36 덕이동</t>
  </si>
  <si>
    <t>misceo@naver.com</t>
  </si>
  <si>
    <t>070-4064-8555</t>
  </si>
  <si>
    <t>김영춘</t>
  </si>
  <si>
    <t>658-81-01113</t>
  </si>
  <si>
    <t>(주)엠아이솔루션</t>
  </si>
  <si>
    <t xml:space="preserve"> 횡단보도 대기선 바닥에 보행신호를 점등하여 보행자에게 추가적인 신호정보를 제공</t>
  </si>
  <si>
    <t>바닥형보행신호등</t>
  </si>
  <si>
    <t>MI-V300</t>
  </si>
  <si>
    <t>바닥형 보행신호등 보조장치</t>
  </si>
  <si>
    <t>2020-00204</t>
  </si>
  <si>
    <t>2019-04-19 ~ 2022-04-18</t>
  </si>
  <si>
    <t>2019-04-0026</t>
  </si>
  <si>
    <t xml:space="preserve">57141 전라남도 함평군 대동면 동함평산단길 19-135 </t>
  </si>
  <si>
    <t>fog6603@naver.com</t>
  </si>
  <si>
    <t>062-381-3898</t>
  </si>
  <si>
    <t>민재상</t>
  </si>
  <si>
    <t>장경옥</t>
  </si>
  <si>
    <t>771-86-00805</t>
  </si>
  <si>
    <t>물을 미립화하여 인공안개 생성. 폭염, 미세먼지 대응 설비. 야외온도 저감, 공기청정효과.</t>
  </si>
  <si>
    <t>증발냉방장치</t>
  </si>
  <si>
    <t>폭염저감 지주식 쿨링포그 시스템(8식)</t>
  </si>
  <si>
    <t>고압분무 쿨링포그 시스템</t>
  </si>
  <si>
    <t>2020-00205</t>
  </si>
  <si>
    <t>2019-12-13 ~ 2022-12-27</t>
  </si>
  <si>
    <t xml:space="preserve">제 2019-12-0113 호 </t>
  </si>
  <si>
    <t>47246 부산광역시 부산진구 동천로 109 9층</t>
  </si>
  <si>
    <t>cktech2016@gmail.com</t>
  </si>
  <si>
    <t>051-903-1302</t>
  </si>
  <si>
    <t>임성우</t>
  </si>
  <si>
    <t>795-27-00139</t>
  </si>
  <si>
    <t xml:space="preserve">압축공기(에어)로 작동하여 자체 감전/화재/폭발을 방지합니다.  </t>
  </si>
  <si>
    <t>건습식진공청소기</t>
  </si>
  <si>
    <t>건습식진공에어청소기 SA20/SA40/SA70/SA100,  자동물배출 습식진공에어청소기 SAW100(드레인타입)</t>
  </si>
  <si>
    <t>감전 폭팔 화재 방지 습건식 에어청소기/감전 폭팔 화재 방지 자동물배출(드레인타입) 습식 에어청소기</t>
  </si>
  <si>
    <t>2020-00207</t>
  </si>
  <si>
    <t>2019-10-19 ~ 2022-10-18</t>
  </si>
  <si>
    <t>G2019A01-00134</t>
  </si>
  <si>
    <t>06748 서울특별시 서초구 강남대로 148 상록빌딩 2층 클레어</t>
  </si>
  <si>
    <t>cjh@clair.kr</t>
  </si>
  <si>
    <t>070-4304-2641</t>
  </si>
  <si>
    <t>채지훈</t>
  </si>
  <si>
    <t>이우헌</t>
  </si>
  <si>
    <t>264-81-35970</t>
  </si>
  <si>
    <t>주식회사 클레어</t>
  </si>
  <si>
    <t>정전기필터와 헤파필터를 결합하여 분징청정 능력 높였으며 백자 형태로 세련된 디자인이 특징</t>
  </si>
  <si>
    <t>clair-H</t>
  </si>
  <si>
    <t>가정용 소형 공기청정기</t>
  </si>
  <si>
    <t>2020-00210</t>
  </si>
  <si>
    <t>2019-04-10 ~ 2022-04-09</t>
  </si>
  <si>
    <t>19-ABA0217</t>
  </si>
  <si>
    <t>08203 서울특별시 구로구 신도림로11라길 54 (신도림동,삼일빌딩)</t>
  </si>
  <si>
    <t>02-2619-8738</t>
  </si>
  <si>
    <t>산업체 생산공정의 파이프 라인의 히팅케이블 온도를 측정, 제어 및 감시하는 제품</t>
  </si>
  <si>
    <t>온도조절기</t>
  </si>
  <si>
    <t>31EHT</t>
  </si>
  <si>
    <t>히팅케이블 온도제어 감시시스템</t>
  </si>
  <si>
    <t>2020-00218</t>
  </si>
  <si>
    <t>2019-04-26 ~ 2022-04-25</t>
  </si>
  <si>
    <t>2019-0222</t>
  </si>
  <si>
    <t>17969 경기도 평택시 현덕면 덕목3길 30 덕목3리</t>
  </si>
  <si>
    <t>brushworld@naver.com</t>
  </si>
  <si>
    <t>031-245-3235</t>
  </si>
  <si>
    <t>이상호</t>
  </si>
  <si>
    <t>125-81-64511</t>
  </si>
  <si>
    <t>주)브러시월드</t>
  </si>
  <si>
    <t>생분해성칫솔로서 환경 및 위생보건 관련 국가 공인인증기준을 완료한 친환경 칫솔입니다</t>
  </si>
  <si>
    <t>칫솔</t>
  </si>
  <si>
    <t>에코닛시1A1, 친환경칫솔</t>
  </si>
  <si>
    <t xml:space="preserve">친환경칫솔 </t>
  </si>
  <si>
    <t>2020-00219</t>
  </si>
  <si>
    <t>2016-03-31 ~ 2021-09-23</t>
  </si>
  <si>
    <t>GTP-16-00098</t>
  </si>
  <si>
    <t>57500 전라남도 곡성군 오산면 무옥로 359 농업회사법인 (주)자연과미래</t>
  </si>
  <si>
    <t>nfagro@nfagro.co.kr</t>
  </si>
  <si>
    <t>061-363-8488</t>
  </si>
  <si>
    <t>김창숙</t>
  </si>
  <si>
    <t>박매호</t>
  </si>
  <si>
    <t>412-81-30986</t>
  </si>
  <si>
    <t>농업회사법인 (주)자연과미래</t>
  </si>
  <si>
    <t xml:space="preserve">천연 식물추출물(회화나무 등)을 이용하여 작물 해충방제에 효과효능을 가지는 유기농업자재 </t>
  </si>
  <si>
    <t>살충제</t>
  </si>
  <si>
    <t>멸충대장골드(친환경농업의 작물병해충관리용자재), 그린포수(친환경농업의 작물충해관리용자재)</t>
  </si>
  <si>
    <t>식물추출물을 이용한 친환경 해충 방제 기술</t>
  </si>
  <si>
    <t>2020-00226</t>
  </si>
  <si>
    <t>2019-12-18 ~ 2022-12-17</t>
  </si>
  <si>
    <t>19-ABZ0544</t>
  </si>
  <si>
    <t>54853 전라북도 전주시 덕진구 반룡로 109 테크노빌B동 211, 213호</t>
  </si>
  <si>
    <t>hulab@hulab.in</t>
  </si>
  <si>
    <t>063-723-3001</t>
  </si>
  <si>
    <t>박종부</t>
  </si>
  <si>
    <t>정우중</t>
  </si>
  <si>
    <t>403-81-78609</t>
  </si>
  <si>
    <t>(주)디앤티</t>
  </si>
  <si>
    <t>수돗물과 소금만으로 전기분해를 통해 살균, 탈취수 생성모듈이 탑재되어 있는 물걸레 청소기</t>
  </si>
  <si>
    <t>바닥청소기</t>
  </si>
  <si>
    <t>HSM-210</t>
  </si>
  <si>
    <t>전해수 생성기술을 적용한 배터리 교체형 무선 물걸레 청소기</t>
  </si>
  <si>
    <t>2020-00228</t>
  </si>
  <si>
    <t>19-CAI0502</t>
  </si>
  <si>
    <t>14086 경기도 안양시 만안구 전파로 30 516호 삼정산업</t>
  </si>
  <si>
    <t>samjungind@netsgo.com</t>
  </si>
  <si>
    <t>031-467-3522</t>
  </si>
  <si>
    <t>손지헌</t>
  </si>
  <si>
    <t>손양순</t>
  </si>
  <si>
    <t>138-05-60273</t>
  </si>
  <si>
    <t>삼정산업</t>
  </si>
  <si>
    <t>발전소및대형보일러 공연비제어 및 배기가스 측정용  가스유도방식 지르코니아 산소분석기</t>
  </si>
  <si>
    <t>산소분석기</t>
  </si>
  <si>
    <t>SJ5000</t>
  </si>
  <si>
    <t>가스유도방식 산소분석기</t>
  </si>
  <si>
    <t>2020-00231</t>
  </si>
  <si>
    <t>2020-04-01 ~ 2023-03-31</t>
  </si>
  <si>
    <t>2020036</t>
  </si>
  <si>
    <t>58544 전라남도 무안군 청계면 청계공단길 45 주식회사 삼진우드</t>
  </si>
  <si>
    <t>samjin2678@hanmail.net</t>
  </si>
  <si>
    <t>061-453-9117</t>
  </si>
  <si>
    <t>박 효자</t>
  </si>
  <si>
    <t>이화수</t>
  </si>
  <si>
    <t>694-86-00866</t>
  </si>
  <si>
    <t>지방자치단체관공서등에서산책로등산로등에방부목대체용으로사용되는내구성이향상된합성목재</t>
  </si>
  <si>
    <t>합성목재</t>
  </si>
  <si>
    <t>SJWOOD-E25150A, EC25140, E30150, D25140, D25145, D25150A, D30150</t>
  </si>
  <si>
    <t>2020-00239</t>
  </si>
  <si>
    <t>19-0273</t>
  </si>
  <si>
    <t>07235 서울특별시 영등포구 국회대로62길 14 한국보이스카우트연맹회관 4층</t>
  </si>
  <si>
    <t>bhhan@edentns.com</t>
  </si>
  <si>
    <t>010-8384-8355</t>
  </si>
  <si>
    <t>한범희</t>
  </si>
  <si>
    <t>김연기</t>
  </si>
  <si>
    <t>113-86-29442</t>
  </si>
  <si>
    <t>(주)이든티앤에스</t>
  </si>
  <si>
    <t xml:space="preserve"> PC에서 수행하는 반복적인 작업을 스크립트를 통해 자동화 하는 프로그</t>
  </si>
  <si>
    <t>프로그램개발용소프트웨어</t>
  </si>
  <si>
    <t xml:space="preserve">DigitalWorker52 v1.8.2 </t>
  </si>
  <si>
    <t>2020-00242</t>
  </si>
  <si>
    <t>제2018256호</t>
  </si>
  <si>
    <t>55069 전라북도 전주시 완산구 천잠로 303 116호, 전주대학교 창업보육센터</t>
  </si>
  <si>
    <t>gaonwood7@naver.com</t>
  </si>
  <si>
    <t>063-432-0400</t>
  </si>
  <si>
    <t>김영윤</t>
  </si>
  <si>
    <t>송태연</t>
  </si>
  <si>
    <t>418-81-52334</t>
  </si>
  <si>
    <t>(주)가온우드</t>
  </si>
  <si>
    <t>천연 목재의 장점을 유지하면서 방염성능을 부여한 목재 벽천장용 흡음재 및 천장재</t>
  </si>
  <si>
    <t>벽천장용흡음재</t>
  </si>
  <si>
    <t xml:space="preserve">H-Re-36,H-Ra-36, H-Re-612,_x000D_
 H-Ra-612, R-Re-36, R-Ra-36_x000D_
R-Re-612, R-Ra-612,GW-H-7_x000D_
GW-H-8 </t>
  </si>
  <si>
    <t>방염성 벽천장용 흡음재</t>
  </si>
  <si>
    <t>2020-00250</t>
  </si>
  <si>
    <t>2019-12-27 ~ 2022-12-26</t>
  </si>
  <si>
    <t>제2019-12-0117호</t>
  </si>
  <si>
    <t>46562 부산광역시 북구 만덕3로33번길 8 1층 1호(만덕동)</t>
  </si>
  <si>
    <t>momseesoap@naver.com</t>
  </si>
  <si>
    <t>051-923-0011</t>
  </si>
  <si>
    <t>송수민</t>
  </si>
  <si>
    <t>김현주</t>
  </si>
  <si>
    <t>747-87-00435</t>
  </si>
  <si>
    <t>화학공정을 배제한 기능성 수제자연비누로, 대한민국 전통문양을 형상화한 디자인비누입니다.</t>
  </si>
  <si>
    <t>화장비누</t>
  </si>
  <si>
    <t>전통8각 수제 자연비누 8종 / 전통8각 수제 자연 이중비누 6종 / 전통문양 수제 자연비누 7종</t>
  </si>
  <si>
    <t>더이니퓨어 천연비누</t>
  </si>
  <si>
    <t>2020-00253</t>
  </si>
  <si>
    <t>2018-12-28 ~ 2021-12-27</t>
  </si>
  <si>
    <t>제2018-12-0073호</t>
  </si>
  <si>
    <t>44213 울산광역시 북구 이화1길 29 101동 1202호</t>
  </si>
  <si>
    <t>gdr365@naver.com</t>
  </si>
  <si>
    <t>1544-4609</t>
  </si>
  <si>
    <t>박순영</t>
  </si>
  <si>
    <t>김도윤</t>
  </si>
  <si>
    <t>620-14-18387</t>
  </si>
  <si>
    <t>보명스포텍</t>
  </si>
  <si>
    <t>유아기 아이 발이 부모의 발등 위에 발을 올려 고정시켜 발등춤 놀이를 할수 있는 유아장난감</t>
  </si>
  <si>
    <t>소프트형놀이기구</t>
  </si>
  <si>
    <t>PG250-140</t>
  </si>
  <si>
    <t>이층신발 뿡가</t>
  </si>
  <si>
    <t>2020-00256</t>
  </si>
  <si>
    <t>2017-12-28 ~ 2022-12-27</t>
  </si>
  <si>
    <t>2017237</t>
  </si>
  <si>
    <t>46741 부산광역시 강서구 화전산단5로38번길 24 (화전동)</t>
  </si>
  <si>
    <t>donga@donga1973.co.kr</t>
  </si>
  <si>
    <t>010-4740-0875</t>
  </si>
  <si>
    <t>윤종필</t>
  </si>
  <si>
    <t>윤병화</t>
  </si>
  <si>
    <t>603-25-95949</t>
  </si>
  <si>
    <t>동아정밀공업사</t>
  </si>
  <si>
    <t>배수장 등의 시설의 유입 수로에 물과 함께 유입되는 협잡물을 신속하게 제거하는 설비</t>
  </si>
  <si>
    <t>DA-BPD-3041, DA-BPD-1841 등 5008종</t>
  </si>
  <si>
    <t>레이크 변형방지장치를 장착한 로터리 제진기</t>
  </si>
  <si>
    <t>2020-00266</t>
  </si>
  <si>
    <t>2019-10-07 ~ 2022-10-06</t>
  </si>
  <si>
    <t>G2019A04-00085</t>
  </si>
  <si>
    <t>39037 경상북도 군위군 효령면 용매로 1011-7 대현테크</t>
  </si>
  <si>
    <t>drain66@hanmail.net</t>
  </si>
  <si>
    <t>054-383-6662</t>
  </si>
  <si>
    <t>박장호</t>
  </si>
  <si>
    <t>504-26-55536</t>
  </si>
  <si>
    <t>대현테크</t>
  </si>
  <si>
    <t>기존 봉수트랩(습식)을 대체하고자 기술개발한 건식트랩으로 구성된 악취차단용 바닥 배수구</t>
  </si>
  <si>
    <t>바닥배수구</t>
  </si>
  <si>
    <t>홈드레인 S150</t>
  </si>
  <si>
    <t>2020-00268</t>
  </si>
  <si>
    <t>2019-1-2190010</t>
  </si>
  <si>
    <t>혁신시제품 시범구매제품</t>
  </si>
  <si>
    <t>31544 충청남도 아산시 선장면 아산만로 592-20 충청남도 아산시 선장면 선창리 310-25</t>
  </si>
  <si>
    <t>cha591004@hanmail.net</t>
  </si>
  <si>
    <t>041-543-2012</t>
  </si>
  <si>
    <t>차우수</t>
  </si>
  <si>
    <t>임성호</t>
  </si>
  <si>
    <t>109-81-47510</t>
  </si>
  <si>
    <t>(주)한국미야마</t>
    <phoneticPr fontId="20" type="noConversion"/>
  </si>
  <si>
    <t>맨홀 뚜껑 개폐시 맨홀에 추락하는 것을 방지 안전사고 예방하는 제품입니다.</t>
  </si>
  <si>
    <t>사다리</t>
  </si>
  <si>
    <t>SG1004</t>
  </si>
  <si>
    <t>지하구조물(맨홀) 안전 사다리</t>
  </si>
  <si>
    <t>2020-00269</t>
  </si>
  <si>
    <t>2017-08-04 ~ 2021-08-03</t>
  </si>
  <si>
    <t>17-1-0045</t>
  </si>
  <si>
    <t>17-1-0046</t>
  </si>
  <si>
    <t>08506 서울특별시 금천구 가산디지털2로 108 609호, 610호</t>
  </si>
  <si>
    <t>otg@rifatron.com</t>
  </si>
  <si>
    <t>010-3380-0847</t>
  </si>
  <si>
    <t>오태근</t>
  </si>
  <si>
    <t>임종완</t>
  </si>
  <si>
    <t>119-86-64898</t>
  </si>
  <si>
    <t>이화트론 주식회사</t>
  </si>
  <si>
    <t>영상보안시스템용 네트워크 영상 저장장치( 8,16채널/8Poe 포트/4TB,8TB )</t>
  </si>
  <si>
    <t>FX7-1608 ( 16채널 / 8Poe 포트 )_x000D_
FX7-0808 ( 8채널 / 8Poe 포트 )</t>
  </si>
  <si>
    <t>영상보안시스템용 네트워크 영상 저장장치</t>
  </si>
  <si>
    <t>2020-00271</t>
  </si>
  <si>
    <t>2019137</t>
  </si>
  <si>
    <t>14055 경기도 안양시 동안구 시민대로365번길 52 (관양동) 아이엔아이 B/D</t>
  </si>
  <si>
    <t>kyj@cctv.co.kr</t>
  </si>
  <si>
    <t>031-423-7700</t>
  </si>
  <si>
    <t>김영장</t>
  </si>
  <si>
    <t>이상우</t>
  </si>
  <si>
    <t>119-81-08907</t>
  </si>
  <si>
    <t>(주)아이엔아이</t>
  </si>
  <si>
    <t>보안강화형 CCTV 시스템 영상감시장치</t>
  </si>
  <si>
    <t>CGS-VD2-101,_x000D_
CGS-VD8-102,_x000D_
CGS-BL2-103,_x000D_
CGS-BL8-104,_x000D_
CGS-SD3-205,_x000D_
CGS-SD4-206,_x000D_
CGS-SD2-207,_x000D_
CGS-SD2-208,_x000D_
CGS-BL2-S101,_x000D_
CGS-BL2-P101,_x000D_
CGS-SD4-P202,_x000D_
CGS-SD4-P203,_x000D_
CGS-SD4-S202,_x000D_
CGS-MS-100,_x000D_
CGS-BL2-301,_x000D_
CGS-BL2-302,_x000D_
CGS-BL2-303,_x000D_
CGS-SD4-304</t>
  </si>
  <si>
    <t>CCTV 펌웨어 검증유닛을 적용한 영상감시장치</t>
  </si>
  <si>
    <t>2020-00272</t>
  </si>
  <si>
    <t>2019-02-08 ~ 2022-02-07</t>
  </si>
  <si>
    <t>19-AGP0089</t>
  </si>
  <si>
    <t>2020034</t>
  </si>
  <si>
    <t>우수조달물품, 성능인증</t>
  </si>
  <si>
    <t>59310 전라남도 장흥군 부산면 장흥농공단지길 93 93</t>
  </si>
  <si>
    <t>lsh6181@hanmail.net</t>
  </si>
  <si>
    <t>070-7864-7770</t>
  </si>
  <si>
    <t>이지연</t>
  </si>
  <si>
    <t>이상현</t>
  </si>
  <si>
    <t>373-88-00380</t>
  </si>
  <si>
    <t>(주)세진산업</t>
  </si>
  <si>
    <t>휨강도 및 인장강도, 내충격성 등을 향상시키는 콘크리트 보강섬유재</t>
  </si>
  <si>
    <t>콘크리트보강섬유</t>
  </si>
  <si>
    <t>콘크리트 보강섬유(슈퍼셀)</t>
  </si>
  <si>
    <t>셀룰로오스 섬유보강재를 통하여 내구성 및 분산성을 향상시킨 농로포장용 콘크리트 보강섬유</t>
  </si>
  <si>
    <t>2020-00283</t>
  </si>
  <si>
    <t>2019-05-03 ~ 2022-05-02</t>
  </si>
  <si>
    <t>19-GDD0410</t>
  </si>
  <si>
    <t>2019274</t>
  </si>
  <si>
    <t>22793 인천광역시 서구 길주로 10 2층 (석남동)</t>
  </si>
  <si>
    <t>kingsjh0515@naver.com</t>
  </si>
  <si>
    <t>032-881-4128</t>
  </si>
  <si>
    <t>서진호</t>
  </si>
  <si>
    <t>김용, 이상찬</t>
  </si>
  <si>
    <t>805-88-01149</t>
  </si>
  <si>
    <t>주식회사 스톰앤</t>
  </si>
  <si>
    <t>보건/금연, 소방/비상, 안전/시설, 일반분야등 적용가능한 표시용 부착물 및 정보전달인쇄물</t>
  </si>
  <si>
    <t>기타인쇄물</t>
  </si>
  <si>
    <t>STN-S-001포함 18종</t>
  </si>
  <si>
    <t>유연성 및 내환경성이 향상된 정보관리기능을 내장한 인쇄물</t>
  </si>
  <si>
    <t>2020-00288</t>
  </si>
  <si>
    <t>2020004</t>
  </si>
  <si>
    <t>16439 경기도 수원시 팔달구 팔달로 169 301</t>
  </si>
  <si>
    <t>sehan245@hanmail.net</t>
  </si>
  <si>
    <t>031-245-2415</t>
  </si>
  <si>
    <t>김선민</t>
  </si>
  <si>
    <t>김선희</t>
  </si>
  <si>
    <t>135-86-11073</t>
  </si>
  <si>
    <t>(주) 세한이노테크</t>
  </si>
  <si>
    <t>목적부 조명방식과 내부반사구조를 사용하여 에너지 효율을 높인 LED 내부조명식 표지판</t>
  </si>
  <si>
    <t>도로표지</t>
  </si>
  <si>
    <t>SHI-R-001 등 93종</t>
  </si>
  <si>
    <t>목적부 조명방식과 내부반사구조를 이용하여 시인성과 광효율이 향상된 최적전력 LED 조명식 표지판</t>
  </si>
  <si>
    <t>2020-00290</t>
  </si>
  <si>
    <t>2018-09-11 ~ 2023-09-10</t>
  </si>
  <si>
    <t>2018-9</t>
  </si>
  <si>
    <t>제2019273호</t>
  </si>
  <si>
    <t>경기-20180560-3-01호</t>
  </si>
  <si>
    <t>성능인증, 우수조달물품, 신기술</t>
  </si>
  <si>
    <t>46708 부산광역시 강서구 호계로145번길 2 이디씨라이프(주)</t>
  </si>
  <si>
    <t>edclife1225@naver.com</t>
  </si>
  <si>
    <t>031-294-1225</t>
  </si>
  <si>
    <t>고지연</t>
  </si>
  <si>
    <t>변재호</t>
  </si>
  <si>
    <t>480-88-00432</t>
  </si>
  <si>
    <t>이디씨라이프 주식회사</t>
  </si>
  <si>
    <t xml:space="preserve">물순환장애 문제를 해결하기 위한 저영향개발 LID 솔루션! 친환경 무기질 투수콘크리트 </t>
  </si>
  <si>
    <t>투수콘크리트</t>
  </si>
  <si>
    <t>CEMAX-B-001, CEMAX-S-001, CEMAX-S-002</t>
  </si>
  <si>
    <t>무기질 바인더를 이용하여 투수성능과 강도를 증대시킨 무기질 투수콘크리트</t>
  </si>
  <si>
    <t>2020-00292</t>
  </si>
  <si>
    <t>gtax@neoslight.co.kr</t>
  </si>
  <si>
    <t>카본블랙, 그래파이트 인쇄회로기판을 적용한 방열구조를 갖는 열전도성 및 수명이 향상된 조명</t>
  </si>
  <si>
    <t>NL-BD010B008 외 5종</t>
  </si>
  <si>
    <t>탄소계 방열 인쇄회로기판을 적용한 방열구조를 갖는 LED조명_ LED 다운라이트</t>
  </si>
  <si>
    <t>2020-00294</t>
  </si>
  <si>
    <t xml:space="preserve"> NL-AS1500B002 외 2종</t>
  </si>
  <si>
    <t>탄소계 방열 인쇄회로기판을 적용한 방열구조를 갖는 LED 조명_LED 가로등기구</t>
  </si>
  <si>
    <t>2020-00302</t>
  </si>
  <si>
    <t>2020-02-10 ~ 2023-02-09</t>
  </si>
  <si>
    <t>20-0074</t>
  </si>
  <si>
    <t>04782 서울특별시 성동구 연무장5가길 7 현대테라스타워 W701-704</t>
  </si>
  <si>
    <t>hr@aispera.com</t>
  </si>
  <si>
    <t>02-6419-1088</t>
  </si>
  <si>
    <t>송단비</t>
  </si>
  <si>
    <t>강병탁</t>
  </si>
  <si>
    <t>899-88-00811</t>
  </si>
  <si>
    <t>(주)에이아이스페라</t>
  </si>
  <si>
    <t>전 세계 IP주소에 대한 위협정보를 수집하여 특정 IP에 대한 보안정보를 제공해주는 기술</t>
  </si>
  <si>
    <t>정보시스템개발서비스</t>
  </si>
  <si>
    <t>크리미널 아이피 v1.17</t>
  </si>
  <si>
    <t>크리미널 아이피</t>
  </si>
  <si>
    <t>2020-00307</t>
  </si>
  <si>
    <t>NL-AG050B001 외 2종</t>
  </si>
  <si>
    <t>탄소계 방열 인쇄회로기판을 적용한 방열구조를 갖는 LED 조명_LED 보안등기구</t>
  </si>
  <si>
    <t>2020-00308</t>
  </si>
  <si>
    <t>2019-03-22 ~ 2022-03-21</t>
  </si>
  <si>
    <t>2019030016</t>
  </si>
  <si>
    <t>46757 부산광역시 강서구 녹산산단382로14번길 55 303호</t>
  </si>
  <si>
    <t>sobong@sobong.net</t>
  </si>
  <si>
    <t>051-207-0306</t>
  </si>
  <si>
    <t>김민채</t>
  </si>
  <si>
    <t>제오수</t>
  </si>
  <si>
    <t>602-81-47848</t>
  </si>
  <si>
    <t>(주)에스비</t>
  </si>
  <si>
    <t>전기가 필요하지 않은 낮에 태양빛을 축척, 밤에 자체 LED가 점등하도록 제작된 도로표지병</t>
  </si>
  <si>
    <t>도로표지병</t>
  </si>
  <si>
    <t xml:space="preserve">Φ130×80mm (Solar eyes)_x000D_
</t>
  </si>
  <si>
    <t>도로분리표지병</t>
  </si>
  <si>
    <t>2020-00309</t>
  </si>
  <si>
    <t>NL-AT100B004 외 3종</t>
  </si>
  <si>
    <t>탄소계 방열 인쇄회로기판을 적용한 방열구조를 갖는 LED 조명_LED 터널등기구</t>
  </si>
  <si>
    <t>2020-00310</t>
  </si>
  <si>
    <t>NL-AF180B002 외 13종</t>
  </si>
  <si>
    <t>탄소계 방열 인쇄회로기판을 적용한 방열구조를 갖는 LED 조명_LED 투광등기구</t>
  </si>
  <si>
    <t>2020-00311</t>
  </si>
  <si>
    <t>2019030070</t>
  </si>
  <si>
    <t>51347 경상남도 창원시 마산회원구 봉암북7길 21 5동 201호</t>
  </si>
  <si>
    <t>miraesb1@daum.net</t>
  </si>
  <si>
    <t>070-7514-7772</t>
  </si>
  <si>
    <t>정시식</t>
  </si>
  <si>
    <t>736-86-00364</t>
  </si>
  <si>
    <t>주식회사 미래에스비</t>
  </si>
  <si>
    <t>신발바닥에 묻어오는 오염물질을 제거하여 실내환경을 조성하는 제품</t>
  </si>
  <si>
    <t>MSB-AFCM0812N / ACM0615 / ACM0615-02 / ACM0615-03 / ACM0615-07 / ACM0615-10 / ACM0615-12 / ACM0615-20</t>
  </si>
  <si>
    <t>신발바닥청소기(슈크린)</t>
  </si>
  <si>
    <t>2020-00312</t>
  </si>
  <si>
    <t>2020-02-17 ~ 2023-02-16</t>
  </si>
  <si>
    <t>20-0082</t>
  </si>
  <si>
    <t>63169 제주특별자치도 제주시 중앙로14길 21 5층 504호(삼도이동, 예술공간이아)</t>
  </si>
  <si>
    <t>cmnanum@naver.com</t>
  </si>
  <si>
    <t>064-721-3462</t>
  </si>
  <si>
    <t>강상찬</t>
  </si>
  <si>
    <t>699-87-00382</t>
  </si>
  <si>
    <t>(주)나눔건설사업관리</t>
  </si>
  <si>
    <t>쉽게 건축할 수 있도록 도와주는 나눔in 건설사업관리 솔루션</t>
  </si>
  <si>
    <t>콘텐츠사용서비스</t>
  </si>
  <si>
    <t>나눔in v1.0</t>
  </si>
  <si>
    <t>2020-00313</t>
  </si>
  <si>
    <t>2018-11-27 ~ 2021-11-26</t>
  </si>
  <si>
    <t>2018-1479</t>
  </si>
  <si>
    <t>04147 서울특별시 마포구 백범로31길 21 서울창업허브 본관 5층 528호</t>
  </si>
  <si>
    <t>goodkks@daum.net</t>
  </si>
  <si>
    <t>02-6325-6935</t>
  </si>
  <si>
    <t>김관석</t>
  </si>
  <si>
    <t>201-86-39422</t>
  </si>
  <si>
    <t>주식회사 프레도</t>
  </si>
  <si>
    <t>기존의 아날로그 저금통에 IoT기술을 융합해, 저금통을 생활플랫폼화한 기술혁신 스마트저금통</t>
  </si>
  <si>
    <t>저금통</t>
  </si>
  <si>
    <t>PP-A01</t>
  </si>
  <si>
    <t>스마트 저금통 BiBo (삐뽀)</t>
  </si>
  <si>
    <t>2020-00319</t>
  </si>
  <si>
    <t>2017-12-29 ~ 2022-12-28</t>
  </si>
  <si>
    <t>2017040041</t>
  </si>
  <si>
    <t>46722 부산광역시 강서구 금호순서길282번나길 66-1 (주)케이마루</t>
  </si>
  <si>
    <t>yk9292@daum.net</t>
  </si>
  <si>
    <t>010-3598-6306</t>
  </si>
  <si>
    <t>김인석</t>
  </si>
  <si>
    <t>606-86-55194</t>
  </si>
  <si>
    <t>주식회사 케이마루</t>
  </si>
  <si>
    <t>전기를 통해 프레임의 온도를 올려 널어둔 수건이나 행주를 건조</t>
  </si>
  <si>
    <t>세탁물건조대</t>
  </si>
  <si>
    <t>K-1180, K-1150, K-250, KR-1120</t>
  </si>
  <si>
    <t>따솜피아(수건 건조장치)</t>
  </si>
  <si>
    <t>2020-00320</t>
  </si>
  <si>
    <t>2019-01-24 ~ 2022-01-23</t>
  </si>
  <si>
    <t>GTP-19-01065</t>
  </si>
  <si>
    <t>2017-08-16 ~ 2020-08-15</t>
  </si>
  <si>
    <t>170321</t>
  </si>
  <si>
    <t>GS 시험인증, 녹색인증</t>
  </si>
  <si>
    <t>04781 서울특별시 성동구 성수일로4길 25 505호</t>
  </si>
  <si>
    <t>lhh524@synerzen.co.kr</t>
  </si>
  <si>
    <t>070-4160-1347</t>
  </si>
  <si>
    <t>이현희</t>
  </si>
  <si>
    <t>윤금란</t>
  </si>
  <si>
    <t>215-87-35193</t>
  </si>
  <si>
    <t>(주)시너젠</t>
  </si>
  <si>
    <t>건물에너지관리시스템</t>
  </si>
  <si>
    <t>EnerMONS v1.0</t>
  </si>
  <si>
    <t>2020-00322</t>
  </si>
  <si>
    <t>2018-12-0088</t>
  </si>
  <si>
    <t>10911 경기도 파주시 상지석길 404-50 이쎌 주식회사</t>
  </si>
  <si>
    <t>kjk@ecell.kr</t>
  </si>
  <si>
    <t>031-944-0793</t>
  </si>
  <si>
    <t>강진기</t>
  </si>
  <si>
    <t>양영모</t>
  </si>
  <si>
    <t>267-88-00085</t>
  </si>
  <si>
    <t>이쎌(주)</t>
    <phoneticPr fontId="20" type="noConversion"/>
  </si>
  <si>
    <t>건물내 또는 버스정류장 등에서 LED, LCD 디스플레이 장치를 통해 버스정보를 제공</t>
  </si>
  <si>
    <t>버스및차량정보안내장치</t>
  </si>
  <si>
    <t>버스도착알림이 LCD형_x000D_
(R-R-504-ECBT-ULSC032P1)_x000D_
버스도착알림이 LED형_x000D_
(R-R-504-ECBT-ULSC310P1)</t>
  </si>
  <si>
    <t>버스도착알림이_2종(LCD형, LED형)</t>
  </si>
  <si>
    <t>2020-00323</t>
  </si>
  <si>
    <t>2019-04-22 ~ 2022-04-21</t>
  </si>
  <si>
    <t>19-CAO0134</t>
  </si>
  <si>
    <t>56152 전라북도 정읍시 고부면 고부농단길 29 덕산엔지니어링(주)</t>
  </si>
  <si>
    <t>hy5365010@daum.net</t>
  </si>
  <si>
    <t>063-536-5010</t>
  </si>
  <si>
    <t>김찬희</t>
  </si>
  <si>
    <t>김재선</t>
  </si>
  <si>
    <t>404-81-02155</t>
  </si>
  <si>
    <t>덕산엔지니어링주식회사</t>
    <phoneticPr fontId="20" type="noConversion"/>
  </si>
  <si>
    <t>기존제품이 걸러내지 못한 하부 협잡물을 더블 스프라켓에 의해 이물질을 완벽하게 제거하는기술</t>
  </si>
  <si>
    <t>DS-RTRM-RD40</t>
  </si>
  <si>
    <t>하부더블스프로켓로터리제진기</t>
  </si>
  <si>
    <t>2020-00326</t>
  </si>
  <si>
    <t>2019-06-21 ~ 2022-06-20</t>
  </si>
  <si>
    <t>2019060013</t>
  </si>
  <si>
    <t>48059 부산광역시 해운대구 센텀중앙로 90 큐비e센텀 1106호</t>
  </si>
  <si>
    <t>wjchoi@vmsco.co.kr</t>
  </si>
  <si>
    <t>051-782-2362</t>
  </si>
  <si>
    <t>최우진</t>
  </si>
  <si>
    <t>홍태용</t>
  </si>
  <si>
    <t>606-86-34471</t>
  </si>
  <si>
    <t>(주)브이엠에스</t>
  </si>
  <si>
    <t>각종 회전기계 설비(펌프, 모터, 팬, 컴프레셔 등)에서의 사전 고장예지 감지 시스템</t>
  </si>
  <si>
    <t>소음및진동정밀분석시스템</t>
  </si>
  <si>
    <t>VMRS 200W-01-01-01-01-S_x000D_
VMRS 200W-06-06-06-06-S_x000D_
VMRS 200W-02-02-02-02-S</t>
  </si>
  <si>
    <t>4채널 기계 모니터링 시스템</t>
  </si>
  <si>
    <t>2020-00330</t>
  </si>
  <si>
    <t>2019-04-04 ~ 2022-04-03</t>
  </si>
  <si>
    <t>S2403670</t>
  </si>
  <si>
    <t xml:space="preserve">18329 경기도 화성시 봉담읍 최루백로 225-38 </t>
  </si>
  <si>
    <t>gjmdrg@entecene.co.kr</t>
  </si>
  <si>
    <t>031-299-8438</t>
  </si>
  <si>
    <t>곽종민</t>
  </si>
  <si>
    <t>고인석</t>
  </si>
  <si>
    <t>138-81-12945</t>
  </si>
  <si>
    <t>인텍전기전자(주)</t>
  </si>
  <si>
    <t xml:space="preserve">29kV급 일반철도 고속철도 급전계통에 사용하는 다빈도 동작 차단기 인출형 고체절개폐장치 </t>
  </si>
  <si>
    <t>고체절연개폐장치</t>
  </si>
  <si>
    <t>29kV D-SIS</t>
  </si>
  <si>
    <t>29kV 다빈도 동작 에폭시절연 급전개폐장치</t>
  </si>
  <si>
    <t>2020-00331</t>
  </si>
  <si>
    <t>2020-05-21 ~ 2023-05-20</t>
  </si>
  <si>
    <t>2020-0189</t>
  </si>
  <si>
    <t>08505 서울특별시 금천구 디지털로 121 1803호(가산동, 에이스가산타워)</t>
  </si>
  <si>
    <t>nicey1@asonetech.co.kr</t>
  </si>
  <si>
    <t>02-2088-0920</t>
  </si>
  <si>
    <t>윤호찬</t>
  </si>
  <si>
    <t>이정재</t>
  </si>
  <si>
    <t>581-86-00629</t>
  </si>
  <si>
    <t>주식회사 애즈원</t>
  </si>
  <si>
    <t>LED광원을 사용하여 영상을 표출하고  환경센서 값을 측정하고 표출하는 LED스마트사이니지</t>
  </si>
  <si>
    <t>안내전광판</t>
  </si>
  <si>
    <t>5512190301</t>
  </si>
  <si>
    <t>A1LED-0101등 22종</t>
  </si>
  <si>
    <t>LED키오스크(복수의 디스플레이유닛을 개향된 이더넷 망으로 연결한 전광판 시스템)</t>
  </si>
  <si>
    <t>20-공고(3차)</t>
  </si>
  <si>
    <t>2020-00338</t>
  </si>
  <si>
    <t>2019062</t>
  </si>
  <si>
    <t>08588 서울특별시 금천구 가산디지털2로 53 609호</t>
  </si>
  <si>
    <t>tj2588si@naver.com</t>
  </si>
  <si>
    <t>02-707-2588</t>
  </si>
  <si>
    <t>최용석</t>
  </si>
  <si>
    <t>최정국</t>
  </si>
  <si>
    <t>106-86-56301</t>
  </si>
  <si>
    <t>(주)티제이원</t>
  </si>
  <si>
    <t>물리적 망분리장치로 악성코드 필터링과 영상 데이터의 일방향성을 유지하여 해킹을 방지합니다</t>
  </si>
  <si>
    <t>4617162201</t>
  </si>
  <si>
    <t>TONS-D-P 포함 112종</t>
  </si>
  <si>
    <t>네트워크 CCTV 영상보안 및 영상공유 시스템</t>
  </si>
  <si>
    <t>2020-00339</t>
  </si>
  <si>
    <t>2017052</t>
  </si>
  <si>
    <t xml:space="preserve">34301 대전광역시 대덕구 문평서로 8-24 </t>
  </si>
  <si>
    <t>engle001@hanmail.net</t>
  </si>
  <si>
    <t>042-671-3716</t>
  </si>
  <si>
    <t>오진경</t>
  </si>
  <si>
    <t>황순화</t>
  </si>
  <si>
    <t>305-81-90648</t>
  </si>
  <si>
    <t>(주)레딕스</t>
  </si>
  <si>
    <t>방열효과가 뛰어난 조명으로 AC구동 드라이버 IC칩을 사용하여 SMPS 교체 불필요한 제품</t>
  </si>
  <si>
    <t>3911161102</t>
  </si>
  <si>
    <t>ES-HBLAC-80S, ES-HBLAC-100S</t>
  </si>
  <si>
    <t>2020-00341</t>
  </si>
  <si>
    <t>2016007-30</t>
  </si>
  <si>
    <t>22600 인천광역시 서구 설원로138번길 71-5 주식회사 세원수중펌프</t>
  </si>
  <si>
    <t>heohj1230@nate.com</t>
  </si>
  <si>
    <t>010-8995-8997</t>
  </si>
  <si>
    <t>허효진</t>
  </si>
  <si>
    <t>김용건</t>
  </si>
  <si>
    <t>137-86-12059</t>
  </si>
  <si>
    <t>주식회사 세원수중펌프</t>
  </si>
  <si>
    <t>주물 및 금속표면처리 및 표면코팅(특허) 처리된 산업용 오수,배수용 수중펌프 및 교반기</t>
  </si>
  <si>
    <t>4015151301</t>
  </si>
  <si>
    <t>수중펌프, 세원수중펌프, 0.75kW, 배수용 등 62종</t>
  </si>
  <si>
    <t>2020-00349</t>
  </si>
  <si>
    <t>2020-0136</t>
  </si>
  <si>
    <t>12728 경기도 광주시 초월읍 지월로16번길 69 2층</t>
  </si>
  <si>
    <t>ginnotech@daum.net</t>
  </si>
  <si>
    <t>031-795-9270</t>
  </si>
  <si>
    <t>이기섭</t>
  </si>
  <si>
    <t>424-12-00359</t>
  </si>
  <si>
    <t>사고예방을 위한 휴대용 도로 비상상황 표지 장치</t>
  </si>
  <si>
    <t>경보등</t>
  </si>
  <si>
    <t>4616157701</t>
  </si>
  <si>
    <t>GTMU-001</t>
  </si>
  <si>
    <t>휴대용 교통 안전 신호기</t>
  </si>
  <si>
    <t>2020-00363</t>
  </si>
  <si>
    <t>제2020-0150호</t>
  </si>
  <si>
    <t>14424 경기도 부천시 원종로66번길 36 4층(원종동, 펜타드빌딩)</t>
  </si>
  <si>
    <t>bskim@pentad.co.kr</t>
  </si>
  <si>
    <t>032-710-3354</t>
  </si>
  <si>
    <t>김봉식</t>
  </si>
  <si>
    <t>지용수</t>
  </si>
  <si>
    <t>753-87-00901</t>
  </si>
  <si>
    <t>PSB는 구면 스페리컬 받침으로서 철도, 도로 등의 교량 내진보강에 적용되는 장치임</t>
  </si>
  <si>
    <t>교량받침</t>
  </si>
  <si>
    <t>3012171601</t>
  </si>
  <si>
    <t>PSB-A-F0-0100 외 266개</t>
  </si>
  <si>
    <t>PSB(Performance based Spherical Bearing)</t>
  </si>
  <si>
    <t>2020-00366</t>
  </si>
  <si>
    <t>2019-09-20 ~ 2022-09-19</t>
  </si>
  <si>
    <t>제2019-09-0074호</t>
  </si>
  <si>
    <t>03370 서울특별시 은평구 통일로 680 8층(녹번동, 대일빌딩)</t>
  </si>
  <si>
    <t>davidkim@tovnet.co.kr</t>
  </si>
  <si>
    <t>02-3216-3983</t>
  </si>
  <si>
    <t>김찬영</t>
  </si>
  <si>
    <t>105-87-79797</t>
  </si>
  <si>
    <t>(주)토브넷</t>
  </si>
  <si>
    <t>4차 산업 기반 무선 네트워크를 결합한 친환경 에너지 및 탄소 저감형 녹색 성장 대응카메라</t>
  </si>
  <si>
    <t>보안용카메라</t>
  </si>
  <si>
    <t>4617161002</t>
  </si>
  <si>
    <t>TOVNET WiFi SolarCam</t>
  </si>
  <si>
    <t>독립형 태양광 무선 CCTV 카메라</t>
  </si>
  <si>
    <t>2020-00368</t>
  </si>
  <si>
    <t>2019-0217</t>
  </si>
  <si>
    <t>04107 서울특별시 마포구 백범로 35 아루페관 3층 306호</t>
  </si>
  <si>
    <t>hugo@magpie-tech.com</t>
  </si>
  <si>
    <t>02-6954-3145</t>
  </si>
  <si>
    <t>연성욱</t>
  </si>
  <si>
    <t>신웅철</t>
  </si>
  <si>
    <t>688-81-01002</t>
  </si>
  <si>
    <t>주식회사 맥파이테크</t>
  </si>
  <si>
    <t>거리 측정에 대한 불편함을 해소하기 위해 개발된 세계 최초 양방향 레이저 거리측정기</t>
  </si>
  <si>
    <t>거리측정기</t>
  </si>
  <si>
    <t>4111161302</t>
  </si>
  <si>
    <t>VH-80</t>
  </si>
  <si>
    <t>양방향레이저거리측정기</t>
  </si>
  <si>
    <t>2020-00380</t>
  </si>
  <si>
    <t>2019267</t>
  </si>
  <si>
    <t xml:space="preserve">58600 전라남도 목포시 대양산단로97번길 75 </t>
  </si>
  <si>
    <t>sw7675@naver.com</t>
  </si>
  <si>
    <t>1670-1972</t>
  </si>
  <si>
    <t>박은영</t>
  </si>
  <si>
    <t>나민영</t>
  </si>
  <si>
    <t>411-81-77974</t>
  </si>
  <si>
    <t>(유)송원이엔지</t>
  </si>
  <si>
    <t>데크클립 체결방식과 해수에 강한 포스맥각관 적용 등으로 조달우수제품등록</t>
  </si>
  <si>
    <t>4924159601</t>
  </si>
  <si>
    <t>SONGWONDK-001 등 148종</t>
  </si>
  <si>
    <t>클립형 천연목재 데크로드시스템</t>
  </si>
  <si>
    <t>2020-00389</t>
  </si>
  <si>
    <t>2020-03-30 ~ 2023-03-29</t>
  </si>
  <si>
    <t>제2020-03-0115호</t>
  </si>
  <si>
    <t>22111 인천광역시 미추홀구 염전로201번길 81 101호</t>
  </si>
  <si>
    <t>e-inop@naver.com</t>
  </si>
  <si>
    <t>032-201-4301</t>
  </si>
  <si>
    <t>차재우</t>
  </si>
  <si>
    <t>김기렬,김대철</t>
  </si>
  <si>
    <t>490-81-00537</t>
  </si>
  <si>
    <t>이노피(주)</t>
  </si>
  <si>
    <t>레버형 접속키트를 사용하여 메인차단기의 차단 없이도 분기 차단기를 안전하게 교체가능한 제품</t>
  </si>
  <si>
    <t>3912110101</t>
  </si>
  <si>
    <t>INOP-D052-WE외 98종</t>
  </si>
  <si>
    <t>2020-00392</t>
  </si>
  <si>
    <t>2020-0176</t>
  </si>
  <si>
    <t xml:space="preserve">24743 강원도 고성군 죽왕면 향목서길 26 </t>
  </si>
  <si>
    <t>ingx1142@hanmail.net</t>
  </si>
  <si>
    <t>070-4349-0081</t>
  </si>
  <si>
    <t>염영재</t>
  </si>
  <si>
    <t>변준성</t>
  </si>
  <si>
    <t>314-86-62326</t>
  </si>
  <si>
    <t>가온조경건설 주식회사</t>
  </si>
  <si>
    <t>풀림방지 볼트를 이용한 무피스 공법인 데크클립의 데크조립체</t>
  </si>
  <si>
    <t>조경공사</t>
  </si>
  <si>
    <t>7214910101</t>
  </si>
  <si>
    <t>GO-MA외 13개 품목</t>
  </si>
  <si>
    <t>데크조립체 및 그 시공방법</t>
  </si>
  <si>
    <t>2020-00393</t>
  </si>
  <si>
    <t>HSP0153</t>
  </si>
  <si>
    <t xml:space="preserve">10011 경기도 김포시 하성면 마곡로 69-24 </t>
  </si>
  <si>
    <t>haeok016@daum.net</t>
  </si>
  <si>
    <t>010-2324-3862</t>
  </si>
  <si>
    <t>정이준</t>
  </si>
  <si>
    <t>이혜옥</t>
  </si>
  <si>
    <t>137-86-15982</t>
  </si>
  <si>
    <t>(주)행산산업</t>
  </si>
  <si>
    <t>시공기술 및 제작 특허소지 / 배수성 아스팔트의 배수성능을 향상시킨 합성수제제 측구수로관</t>
  </si>
  <si>
    <t>합성수지조립식배수로</t>
  </si>
  <si>
    <t>4014178205</t>
  </si>
  <si>
    <t>1000x165x440(HSP0153)</t>
  </si>
  <si>
    <t>배수성 아스팔트의 배수성능을 향상시킨 합성수제제 측구수로관</t>
  </si>
  <si>
    <t>2020-00398</t>
  </si>
  <si>
    <t>2019-12-09 ~ 2022-12-08</t>
  </si>
  <si>
    <t>19-0542</t>
  </si>
  <si>
    <t>30150 세종특별자치시 한누리대로 2129 410호</t>
  </si>
  <si>
    <t>세종특별자치시</t>
  </si>
  <si>
    <t>ceo@omsecurity.kr</t>
  </si>
  <si>
    <t>010-7208-3076</t>
  </si>
  <si>
    <t>김민식</t>
  </si>
  <si>
    <t>735-88-01175</t>
  </si>
  <si>
    <t>(주)원모어시큐리티</t>
  </si>
  <si>
    <t>커널 통제 기반의 주요정보 유출방지 정보보호 올인원 솔루션(랜섬웨어 대응, 매체제어 가능)</t>
  </si>
  <si>
    <t>4323320501</t>
  </si>
  <si>
    <t>에스캡슐 v1.0</t>
  </si>
  <si>
    <t>2020-00401</t>
  </si>
  <si>
    <t>2020-03-0064</t>
  </si>
  <si>
    <t>28762 충청북도 청주시 상당구 호미로165번길 33-2 1층 (주)에프엘테크</t>
  </si>
  <si>
    <t>fltech2018@naver.com</t>
  </si>
  <si>
    <t>010-4266-4608</t>
  </si>
  <si>
    <t>조남호</t>
  </si>
  <si>
    <t>신인순</t>
  </si>
  <si>
    <t>564-86-01133</t>
  </si>
  <si>
    <t>기존 일반방충망을 나노방진망으로 대체설치하여 미세먼지의 유입을 차단 및 환기가 가능한 제품</t>
  </si>
  <si>
    <t>합성수지제창</t>
  </si>
  <si>
    <t>3017169501</t>
  </si>
  <si>
    <t>미세먼지방진창 먼지잼 고정형 FL-01_x000D_
미세먼지방진창 먼지잼 슬라이딩형 FL-02</t>
  </si>
  <si>
    <t>미세먼지 방진창</t>
  </si>
  <si>
    <t>2020-00402</t>
  </si>
  <si>
    <t>제2020-0153호</t>
  </si>
  <si>
    <t>14548 경기도 부천시 길주로 252 금광베네스타 201호</t>
  </si>
  <si>
    <t>ysm1411@nate.com</t>
  </si>
  <si>
    <t>032-325-9850</t>
  </si>
  <si>
    <t>양성모</t>
  </si>
  <si>
    <t>215-60-00246</t>
  </si>
  <si>
    <t>윈데크코리아</t>
  </si>
  <si>
    <t>표면에 못이없는 천연목재데크, 목재난간, 목재데크로드로 내구력업 인장력업 시공한계성을 극복</t>
  </si>
  <si>
    <t>WD109021_I 외 92종</t>
  </si>
  <si>
    <t>도시공원과 생태하천에 적용되는 데크시스템</t>
  </si>
  <si>
    <t>2020-00412</t>
  </si>
  <si>
    <t>2020-05-27 ~ 2023-05-26</t>
  </si>
  <si>
    <t>20-ABZ0179</t>
  </si>
  <si>
    <t>33448 충청남도 보령시 주교면 관창공단길 266 (주)파워닉스</t>
  </si>
  <si>
    <t>khj@powernix.kr</t>
  </si>
  <si>
    <t>070-8633-4660</t>
  </si>
  <si>
    <t>김호주</t>
  </si>
  <si>
    <t>윤광희</t>
  </si>
  <si>
    <t>125-81-53601</t>
  </si>
  <si>
    <t>(주)파워닉스</t>
  </si>
  <si>
    <t>계통에 병렬로 사이리스터를 이용한 진상 무효전력 공급설비로 역률개선, 전압조정, 안정도향상</t>
  </si>
  <si>
    <t>상불평형및역율보상장치</t>
  </si>
  <si>
    <t>3210153601</t>
  </si>
  <si>
    <t>LTT-SC-23kV 5MVAr</t>
  </si>
  <si>
    <t>광트리거 사이리스터를 이용한 특고압용 전력전자형 무효전력 보상설비</t>
  </si>
  <si>
    <t>2020-00413</t>
  </si>
  <si>
    <t>2019244</t>
  </si>
  <si>
    <t>14449 경기도 부천시 오정구 석천로 397 301-408 (삼정동)</t>
  </si>
  <si>
    <t>support@doowoninc.com</t>
  </si>
  <si>
    <t>032-624-3600</t>
  </si>
  <si>
    <t>김형욱</t>
  </si>
  <si>
    <t>이상석</t>
  </si>
  <si>
    <t>130-86-41567</t>
  </si>
  <si>
    <t>(주)두원전자통신</t>
  </si>
  <si>
    <t>심층신경망알고리즘을 통해 객체를 보다 신속·정확하게 감시·판독하는 옥외 도로방범시스템</t>
  </si>
  <si>
    <t>차량번호판독기</t>
  </si>
  <si>
    <t>4616151601</t>
  </si>
  <si>
    <t>SPL-L0101 등 53종</t>
  </si>
  <si>
    <t>심층 신경망 알고리즘 기반의 스마트 플랫폼 CCTV 시스템</t>
  </si>
  <si>
    <t>2020-00414</t>
  </si>
  <si>
    <t>2020-0200</t>
  </si>
  <si>
    <t>54853 전라북도 전주시 덕진구 반룡로 109 테크노빌 A동 201호</t>
  </si>
  <si>
    <t>edw7132@naver.com</t>
  </si>
  <si>
    <t>010-8073-0001</t>
  </si>
  <si>
    <t>엄대웅</t>
  </si>
  <si>
    <t>402-81-98301</t>
  </si>
  <si>
    <t>주식회사 해건</t>
  </si>
  <si>
    <t>도로의 선형을 유도하고 자전거나 교통약자에게 걸림 등의 위험을 제거한 LED 도로표지병</t>
  </si>
  <si>
    <t>4616158501</t>
  </si>
  <si>
    <t>HG-Y-01, HG-W-01</t>
  </si>
  <si>
    <t>탄력 LED 도로표지병</t>
  </si>
  <si>
    <t>2020-00422</t>
  </si>
  <si>
    <t>2019-07-18 ~ 2022-07-17</t>
  </si>
  <si>
    <t>19-ACA0370</t>
  </si>
  <si>
    <t>04779 서울특별시 성동구 상원1길 26 8층 806호 (성수동1가, 서울숲A타워)</t>
  </si>
  <si>
    <t>sjcha@corners.co.kr</t>
  </si>
  <si>
    <t>02-6077-7802</t>
  </si>
  <si>
    <t>차소진</t>
  </si>
  <si>
    <t>김동오</t>
  </si>
  <si>
    <t>220-88-92965</t>
  </si>
  <si>
    <t>(주)코너스</t>
  </si>
  <si>
    <t>화재 등의 위험 상황 발생 시 상황에 따른 안전한 위치 안내를 재난 현장에 전달하는 시스템</t>
  </si>
  <si>
    <t>무선통신장치</t>
  </si>
  <si>
    <t>4322172101</t>
  </si>
  <si>
    <t>SIGS V1.0</t>
  </si>
  <si>
    <t>실시간 경로탐색 알고리즘 기술이 적용된 상황인지형 위치안내설비</t>
  </si>
  <si>
    <t>2020-00429</t>
  </si>
  <si>
    <t>2019-02-28 ~ 2022-02-27</t>
  </si>
  <si>
    <t>19-0102</t>
  </si>
  <si>
    <t>13449 경기도 성남시 수정구 창업로 42 판교제2테크노밸리 경기기업성장센터 716,717호</t>
  </si>
  <si>
    <t>jckang@intentsecure.com</t>
  </si>
  <si>
    <t>031-689-3001</t>
  </si>
  <si>
    <t>강재천</t>
  </si>
  <si>
    <t>박성훈</t>
  </si>
  <si>
    <t>144-81-35337</t>
  </si>
  <si>
    <t>주식회사 인텐트시큐어</t>
  </si>
  <si>
    <t xml:space="preserve">사용자PC의 보안 제품의 정상 작동 유/무 모니터링 및 이상행위 탐지/차단 제품   </t>
  </si>
  <si>
    <t>권한우회탐지시스템 v1.0 (DAP v1.0)</t>
  </si>
  <si>
    <t>권한우회탐지시스템 v1.0</t>
  </si>
  <si>
    <t>2020-00434</t>
  </si>
  <si>
    <t>제19-400호</t>
  </si>
  <si>
    <t>11650 경기도 의정부시 범골로 137 107호</t>
  </si>
  <si>
    <t>shlim@88hood.com</t>
  </si>
  <si>
    <t>031-826-9822</t>
  </si>
  <si>
    <t>임정민</t>
  </si>
  <si>
    <t>743-86-00848</t>
  </si>
  <si>
    <t>주식회사 88후드</t>
  </si>
  <si>
    <t>액자형 게시판을 건물계단에 부착하고 필요한 내용물을 수시로 교체할 수 있도록 설계된 제품</t>
  </si>
  <si>
    <t>게시판또는액세서리</t>
  </si>
  <si>
    <t>4411190701</t>
  </si>
  <si>
    <t>갤러리 계단(액자형, 포켓형)</t>
  </si>
  <si>
    <t>액자형 내용교체 가능한 계단부착물</t>
  </si>
  <si>
    <t>2020-00436</t>
  </si>
  <si>
    <t>2019-01-29 ~ 2022-01-28</t>
  </si>
  <si>
    <t>19-AGE0056</t>
  </si>
  <si>
    <t>62227 광주광역시 광산구 하남산단4번로 131-22 (주)신일세라믹스(장덕동)</t>
  </si>
  <si>
    <t>ds4erv@daum.net</t>
  </si>
  <si>
    <t>062-952-7852</t>
  </si>
  <si>
    <t>윤인석</t>
  </si>
  <si>
    <t>이상민</t>
  </si>
  <si>
    <t>501-87-00130</t>
  </si>
  <si>
    <t>(주)신일세라믹스</t>
  </si>
  <si>
    <t>기존 저널 헤드라이너의 단점을 보완하여 내마모성능, 수명향상으로 경제성 우수 제품임</t>
  </si>
  <si>
    <t>자기질타일</t>
  </si>
  <si>
    <t>3013170402</t>
  </si>
  <si>
    <t>화력발전소 미분기 Coal Shield용 저널헤드라이너 1195x470(R421-60°)_x000D_</t>
  </si>
  <si>
    <t>화력발전소용 세라믹 트랜지션, 저널헤드라이너</t>
  </si>
  <si>
    <t>2020-00445</t>
  </si>
  <si>
    <t>2020-06-18 ~ 2023-06-17</t>
  </si>
  <si>
    <t>제GT-20-00885호</t>
  </si>
  <si>
    <t>27709 충청북도 음성군 소이면 충청대로2031번길 58-16 (주)푸른공간</t>
  </si>
  <si>
    <t>greenspace10@naver.com</t>
  </si>
  <si>
    <t>031-336-9993</t>
  </si>
  <si>
    <t>임춘석</t>
  </si>
  <si>
    <t>한남수</t>
  </si>
  <si>
    <t>676-81-00034</t>
  </si>
  <si>
    <t>(주)푸른공간</t>
  </si>
  <si>
    <t>구획화된 사각철망상자 내부에 천공부직포, 녹화토 및 종자를 포설하여 제작한 호안식생블록</t>
  </si>
  <si>
    <t>식생매트</t>
  </si>
  <si>
    <t>3012170208</t>
  </si>
  <si>
    <t>Green B1-A, Green B1-B</t>
  </si>
  <si>
    <t>수리안정성 강화형 호안식생블록</t>
  </si>
  <si>
    <t>2020-00453</t>
  </si>
  <si>
    <t>2019-693</t>
  </si>
  <si>
    <t>06710 서울특별시 서초구 효령로 242 서양빌딩5층</t>
  </si>
  <si>
    <t>kpchoi@grib.co.kr</t>
  </si>
  <si>
    <t>02-521-6542</t>
  </si>
  <si>
    <t>최관표</t>
  </si>
  <si>
    <t>서미선</t>
  </si>
  <si>
    <t>220-87-99772</t>
  </si>
  <si>
    <t>(주)그립</t>
  </si>
  <si>
    <t>통신사와 클라우드 서버 없이 단독으로 디바이스 제어와 센서 모니터링 IoT서비스 제공 제품</t>
  </si>
  <si>
    <t>게이트웨이</t>
  </si>
  <si>
    <t>4322260501</t>
  </si>
  <si>
    <t>GIHG-20</t>
  </si>
  <si>
    <t>IoT 독립형 허브</t>
  </si>
  <si>
    <t>2020-00454</t>
  </si>
  <si>
    <t>2016007-24</t>
  </si>
  <si>
    <t xml:space="preserve">26311 강원도 원주시 태장공단길 57, (태장농공단지) (태장동) </t>
  </si>
  <si>
    <t>dhpump@hanmail.net</t>
  </si>
  <si>
    <t>033-747-5600</t>
  </si>
  <si>
    <t>김은미</t>
  </si>
  <si>
    <t>이병식</t>
  </si>
  <si>
    <t>118-81-02157</t>
  </si>
  <si>
    <t>동해엔지니어링(주)</t>
  </si>
  <si>
    <t>농/공업 상/하수도양수장생활용수펌프</t>
  </si>
  <si>
    <t>수중펌프,동해엔지니어링(주)_x000D_
0.75kw,배수용포함 346종</t>
  </si>
  <si>
    <t>2020-00456</t>
  </si>
  <si>
    <t>2019-10-31 ~ 2021-10-30</t>
  </si>
  <si>
    <t>20-CAZ0059</t>
  </si>
  <si>
    <t>14488 경기도 부천시 원미구 길주로411번길 12-13 아이토크콘트롤즈</t>
  </si>
  <si>
    <t>buffy2017@i-tork.com</t>
  </si>
  <si>
    <t>010-7512-7238</t>
  </si>
  <si>
    <t>문준호</t>
  </si>
  <si>
    <t>엄세용</t>
  </si>
  <si>
    <t>113-81-70247</t>
  </si>
  <si>
    <t>(주)아이토크콘트롤즈</t>
  </si>
  <si>
    <t>산업현장에 쓰이는 유체의 관로 valve 콘트롤을 하기 위한 기계와 전기가 혼합된 장비이다</t>
  </si>
  <si>
    <t>3125150501</t>
  </si>
  <si>
    <t>ITM-0180,ITM-0450,ITM-0750</t>
  </si>
  <si>
    <t>전자제어식 IIC급 방폭형 다회전 전동 엑츄에이터</t>
  </si>
  <si>
    <t>2020-00465</t>
  </si>
  <si>
    <t>2019-07-09 ~ 2022-07-08</t>
  </si>
  <si>
    <t>19-AAM0347</t>
  </si>
  <si>
    <t>37257 경북 상주시 청리면 마공공단로 60</t>
  </si>
  <si>
    <t>jhlee@nanoin.com</t>
  </si>
  <si>
    <t>055-762-4882</t>
  </si>
  <si>
    <t>이재학</t>
  </si>
  <si>
    <t>신동우</t>
  </si>
  <si>
    <t>107-88-04227</t>
  </si>
  <si>
    <t>주식회사 나노</t>
  </si>
  <si>
    <t>미세먼지 원인물질인 질소산화물을 저감하는 고효율 Plate형 SCR 탈질촉매</t>
  </si>
  <si>
    <t>기타촉매제</t>
  </si>
  <si>
    <t>1216169901</t>
  </si>
  <si>
    <t xml:space="preserve">고효율 Plate형 SCR 탈질촉매 </t>
  </si>
  <si>
    <t>고효율 Plate형 SCR 탈질촉매</t>
  </si>
  <si>
    <t>2020-00467</t>
  </si>
  <si>
    <t>2020-05-27 ~ 2022-05-26</t>
  </si>
  <si>
    <t>A2019-0510030</t>
  </si>
  <si>
    <t>08511 서울특별시 금천구 디지털로9길 33 아이티미래타워 401호(가산동)</t>
  </si>
  <si>
    <t>stkimtw@fa119.com</t>
  </si>
  <si>
    <t>02-2027-5858</t>
  </si>
  <si>
    <t>김태우</t>
  </si>
  <si>
    <t>윤희복</t>
  </si>
  <si>
    <t>119-86-58659</t>
  </si>
  <si>
    <t>(주)미래이앤아이</t>
  </si>
  <si>
    <t>녹조류를 친환경 방식으로 제거가 가능한 녹조제거선</t>
  </si>
  <si>
    <t>적조및녹조방제장치</t>
  </si>
  <si>
    <t>4016169001</t>
  </si>
  <si>
    <t>유압녹조제거선</t>
  </si>
  <si>
    <t>2020-00468</t>
  </si>
  <si>
    <t>2016007-25</t>
  </si>
  <si>
    <t>15106 경기도 시흥시 마유로186번길 104 (정왕동, 시화공단 3다502-1)</t>
  </si>
  <si>
    <t>msryu@orbiskorea.com</t>
  </si>
  <si>
    <t>02-6096-6711</t>
  </si>
  <si>
    <t>유명수</t>
  </si>
  <si>
    <t>김석관</t>
  </si>
  <si>
    <t>134-86-12026</t>
  </si>
  <si>
    <t>(주)오비스</t>
  </si>
  <si>
    <t>수중에서 물을 이송하는데 적용되는 기술이며, 모든 수중펌프에 적용됨.</t>
  </si>
  <si>
    <t>수중펌프, 오비스, 0.75KW, 공사용 외 181종</t>
  </si>
  <si>
    <t>2020-00469</t>
  </si>
  <si>
    <t>2020-06-15 ~ 2023-06-14</t>
  </si>
  <si>
    <t>2020-0001</t>
  </si>
  <si>
    <t>우수연구개발 혁신제품</t>
  </si>
  <si>
    <t>16648 경기도 수원시 권선구 산업로155번길 228-50 2층</t>
  </si>
  <si>
    <t>ejlee@electrine.co.kr</t>
  </si>
  <si>
    <t>070-4403-8303</t>
  </si>
  <si>
    <t>이의준</t>
  </si>
  <si>
    <t>원준희</t>
  </si>
  <si>
    <t>113-86-40812</t>
  </si>
  <si>
    <t>주식회사 일렉트린</t>
  </si>
  <si>
    <t>90마력 전기추진 선외기는 기존 내연기관 엔진을 대체하는 친환경 선박용 추진체임.</t>
  </si>
  <si>
    <t>전기선외모터</t>
  </si>
  <si>
    <t>2610159801</t>
  </si>
  <si>
    <t>O-90</t>
  </si>
  <si>
    <t>90마력 전기추진 선외기</t>
  </si>
  <si>
    <t>2020-00473</t>
  </si>
  <si>
    <t>2019-10-24 ~ 2022-10-23</t>
  </si>
  <si>
    <t>19-0443</t>
  </si>
  <si>
    <t>04542 서울특별시 중구 청계천로 100 11층</t>
  </si>
  <si>
    <t>frente@onionfive.io</t>
  </si>
  <si>
    <t>02-6012-0526</t>
  </si>
  <si>
    <t>방영필</t>
  </si>
  <si>
    <t>전인혁</t>
  </si>
  <si>
    <t>546-87-00583</t>
  </si>
  <si>
    <t>(주)오니온파이브</t>
  </si>
  <si>
    <t>신속한 비대면 민원처리, 고객 상담을 위한 클라우드 고객지원 솔루션</t>
  </si>
  <si>
    <t>고객관계관리클라우드서비스</t>
  </si>
  <si>
    <t>8111151324</t>
  </si>
  <si>
    <t>오큐파이 v1.0</t>
  </si>
  <si>
    <t>2020-00474</t>
  </si>
  <si>
    <t>경기-20180543-1-01</t>
  </si>
  <si>
    <t>10040 경기도 김포시 대곶면 율생중앙로169번길 43-15 1층</t>
  </si>
  <si>
    <t>shcy2000@hanmail.net</t>
  </si>
  <si>
    <t>031-983-0544</t>
  </si>
  <si>
    <t>박효진</t>
  </si>
  <si>
    <t>박흥일</t>
  </si>
  <si>
    <t>107-81-77395</t>
  </si>
  <si>
    <t>서형바이클랙(주)</t>
  </si>
  <si>
    <t xml:space="preserve">2단 자전거보관대에 고정으로 설치되어 있는 도난(분실) 방지용 잠금장치. </t>
  </si>
  <si>
    <t>자전거보관대</t>
  </si>
  <si>
    <t>3022206401</t>
  </si>
  <si>
    <t>SHBR-10SR ,SHBR-10SC</t>
  </si>
  <si>
    <t>자전거 하중에 의한 자동잠금장치가 구비되며, 회동장치를 통해 적재가 간편한 이단자전거보관대</t>
  </si>
  <si>
    <t>2020-00476</t>
  </si>
  <si>
    <t>2017-08-31 ~ 2023-08-30</t>
  </si>
  <si>
    <t>2017001-14</t>
  </si>
  <si>
    <t>18279 경기도 화성시 남양읍 현대기아로 202-43 (주)동원피앤피</t>
  </si>
  <si>
    <t>mkchun@dwpump.co.kr</t>
  </si>
  <si>
    <t>031-353-9888</t>
  </si>
  <si>
    <t>천만기</t>
  </si>
  <si>
    <t>김명환</t>
  </si>
  <si>
    <t>784-86-00140</t>
  </si>
  <si>
    <t>주식회사 동원피앤피</t>
  </si>
  <si>
    <t>난류제어용 임펠러와 축 추력 경감장치를 구비한 원심펌프</t>
  </si>
  <si>
    <t>단단벌류트펌프</t>
  </si>
  <si>
    <t>4015150302</t>
  </si>
  <si>
    <t>단단 볼류트펌프, 동원피앤피, 0.75kW등 20종</t>
  </si>
  <si>
    <t>원심펌프_단단 볼류트펌프</t>
  </si>
  <si>
    <t>2020-00481</t>
  </si>
  <si>
    <t>2019-1-4210011</t>
  </si>
  <si>
    <t>51395 경상남도 창원시 의창구 팔용로 355 창원제1아파트형공장 2층 2-1호</t>
  </si>
  <si>
    <t>mr9889@hanmail.net</t>
  </si>
  <si>
    <t>010-7221-1220</t>
  </si>
  <si>
    <t>김슬기</t>
  </si>
  <si>
    <t>박진관</t>
  </si>
  <si>
    <t>609-81-95109</t>
  </si>
  <si>
    <t>성풍솔레드(주)</t>
  </si>
  <si>
    <t>교통신호가 필요한 어느곳에서 안전한 보행신호 서비스를 바닥으로 표출하는 제품</t>
  </si>
  <si>
    <t>4616150407</t>
  </si>
  <si>
    <t>Sp-400</t>
  </si>
  <si>
    <t>안전이 강조된 LED 바닥형 보행신호 보조장치</t>
  </si>
  <si>
    <t>2020-00483</t>
  </si>
  <si>
    <t>다단벌류트펌프</t>
  </si>
  <si>
    <t>4015150301</t>
  </si>
  <si>
    <t>다단 볼류트펌프, 동원피앤피, 0.75kW등 31종</t>
  </si>
  <si>
    <t>원심펌프_다단 볼류트펌프</t>
  </si>
  <si>
    <t>2020-00484</t>
  </si>
  <si>
    <t>양흡입벌류트펌프</t>
  </si>
  <si>
    <t>4015150303</t>
  </si>
  <si>
    <t>양흡입 볼류트펌프, 동원피앤피, 18.5kW등 15종</t>
  </si>
  <si>
    <t>원심펌프_양흡입 볼류트펌프</t>
  </si>
  <si>
    <t>2020-00485</t>
  </si>
  <si>
    <t>편흡입벌류트펌프</t>
  </si>
  <si>
    <t>4015150304</t>
  </si>
  <si>
    <t>편흡입 볼류트펌프, 동원피앤피, 0.2kW등 19종</t>
  </si>
  <si>
    <t>원심펌프_편흡입 볼류트펌프</t>
  </si>
  <si>
    <t>2020-00486</t>
  </si>
  <si>
    <t>2019-10-31 ~ 2022-10-30</t>
  </si>
  <si>
    <t>19-0468</t>
  </si>
  <si>
    <t>21999 인천광역시 연수구 갯벌로 12 갯벌타워 1909호</t>
  </si>
  <si>
    <t>moonju@nova-soft.co.kr</t>
  </si>
  <si>
    <t>1577-3680</t>
  </si>
  <si>
    <t>박문주</t>
  </si>
  <si>
    <t>장성훈</t>
  </si>
  <si>
    <t>745-87-01078</t>
  </si>
  <si>
    <t>주식회사 노바소프트</t>
  </si>
  <si>
    <t>자산의 보안 취약점 점검결과를 등록하고 취약점 조치 계획 프로세스를 수립하여 관리하는솔루션</t>
  </si>
  <si>
    <t>취약점 통합관리 포탈 v1.0(V-TRON v1.0)</t>
  </si>
  <si>
    <t>2020-00487</t>
  </si>
  <si>
    <t>2020-07-21 ~ 2023-07-20</t>
  </si>
  <si>
    <t>2020-025</t>
  </si>
  <si>
    <t>06253 서울특별시 강남구 도곡로 111 13층 (주)휴먼아이씨티</t>
  </si>
  <si>
    <t>010-2914-7153</t>
  </si>
  <si>
    <t>김성진</t>
  </si>
  <si>
    <t>강기헌</t>
  </si>
  <si>
    <t>220-88-22907</t>
  </si>
  <si>
    <t>(주)휴먼아이씨티</t>
  </si>
  <si>
    <t>딥러닝 기반의 영상데이터 객체인식 알고리즘 기술을 탑재한 인공지능 영상분석 솔루션</t>
  </si>
  <si>
    <t>응용과학용소프트웨어</t>
  </si>
  <si>
    <t>AI 비전 시스템</t>
  </si>
  <si>
    <t>20-공고(4차)</t>
  </si>
  <si>
    <t>2020-00492</t>
  </si>
  <si>
    <t>2020-0130</t>
  </si>
  <si>
    <t>10078 경기도 김포시 김포한강1로 230 현대센트럴스퀘어717호</t>
  </si>
  <si>
    <t>cnn5001kr@naver.com</t>
  </si>
  <si>
    <t>031-997-8137</t>
  </si>
  <si>
    <t>강영모</t>
  </si>
  <si>
    <t>585-81-00285</t>
  </si>
  <si>
    <t>위디코</t>
  </si>
  <si>
    <t>IOT  및 음성인식 , 리모컨으로 장애인과 노약자를 위한  가스안전 차단 시스템</t>
  </si>
  <si>
    <t>전자식가스콕</t>
  </si>
  <si>
    <t>WGC-N1001_x000D_
WGC-N1002</t>
  </si>
  <si>
    <t>가스안심이</t>
  </si>
  <si>
    <t>2020-00493</t>
  </si>
  <si>
    <t>2020-05-07 ~ 2023-05-06</t>
  </si>
  <si>
    <t>제2019-1-5230008호</t>
  </si>
  <si>
    <t>51390 경상남도 창원시 의창구 사화로 210 305호 (팔용동, 제5아파트형공장)</t>
  </si>
  <si>
    <t>roadled@daum.net</t>
  </si>
  <si>
    <t>055-237-8774</t>
  </si>
  <si>
    <t>지용길</t>
  </si>
  <si>
    <t>279-28-00615</t>
  </si>
  <si>
    <t>로드라이트</t>
  </si>
  <si>
    <t>빛공해방지용 안전가이드를 적용하여 빛공해를 방지하고 방열성능을 향상시켜 내구성을 높임</t>
  </si>
  <si>
    <t>RL-S100-M02-K23 (100W)_x000D_
RL-S120-M02-K23 (120W)_x000D_
RL-S150-M02-K29 (150W)_x000D_
RL-S200-M02-K29 (200W)</t>
  </si>
  <si>
    <t>빛 공해방지용 안전가이드를 접목한 LED등기구_LED가로등기구</t>
  </si>
  <si>
    <t>2020-00494</t>
  </si>
  <si>
    <t>2020-04-0009호</t>
  </si>
  <si>
    <t>08591 서울특별시 금천구 가산디지털1로 30 에이스하이엔드 10차 1110호</t>
  </si>
  <si>
    <t>masm4@hanmail.net</t>
  </si>
  <si>
    <t>02-2622-8911</t>
  </si>
  <si>
    <t>마상만</t>
  </si>
  <si>
    <t>644-81-01394</t>
  </si>
  <si>
    <t>본 제품은 발명특허 기술개발제품이며 법으로 의무화된 시청각경보기로 장애인편의제품임</t>
  </si>
  <si>
    <t>비상경보기</t>
  </si>
  <si>
    <t>AAT-24V</t>
  </si>
  <si>
    <t>시청각음성화재경보기</t>
  </si>
  <si>
    <t>2020-00495</t>
  </si>
  <si>
    <t>2020028</t>
  </si>
  <si>
    <t>11167 경기도 포천시 가산면 정금로410번길 26 (주)금강칠판교구산업</t>
  </si>
  <si>
    <t>bioboard@hanmail.net</t>
  </si>
  <si>
    <t>031-544-7878</t>
  </si>
  <si>
    <t>박상태</t>
  </si>
  <si>
    <t>박기원</t>
  </si>
  <si>
    <t>127-81-73729</t>
  </si>
  <si>
    <t>(주)금강칠판교구산업</t>
    <phoneticPr fontId="20" type="noConversion"/>
  </si>
  <si>
    <t>2개의 중앙 칠판을 상하로 이동하면서 사용자 조건에 맞도록 위치 조정이 가능한 다용도 칠판</t>
  </si>
  <si>
    <t>칠판</t>
  </si>
  <si>
    <t>KKNN-001(1310X5400)_x000D_
KKNN-002(1310X6000)</t>
  </si>
  <si>
    <t>승하강식 다용도 칠판</t>
  </si>
  <si>
    <t>2020-00500</t>
  </si>
  <si>
    <t>2019-11-14 ~ 2022-11-13</t>
  </si>
  <si>
    <t>제GTP-19-00773호</t>
  </si>
  <si>
    <t>10403 경기도 고양시 일산동구 백마로 195 SK엠시티타워 14층 14001호</t>
  </si>
  <si>
    <t>khkim@lskfinetex.com</t>
  </si>
  <si>
    <t>김기현</t>
  </si>
  <si>
    <t>김장환</t>
  </si>
  <si>
    <t>503-81-40946</t>
  </si>
  <si>
    <t>(주)엘에스케이화인텍스</t>
    <phoneticPr fontId="20" type="noConversion"/>
  </si>
  <si>
    <t>특허받은 녹색기술 3중 편직 구조 설계의 안티 박테리얼 카퍼마스크</t>
  </si>
  <si>
    <t>일반마스크</t>
  </si>
  <si>
    <t>3중 편직 마스크</t>
  </si>
  <si>
    <t>2020-00501</t>
  </si>
  <si>
    <t>2019-12-12 ~ 2022-12-11</t>
  </si>
  <si>
    <t>19-0554</t>
  </si>
  <si>
    <t>05836 서울특별시 송파구 법원로11길 11 (문정현대지식산업센터1-1) B동 610호</t>
  </si>
  <si>
    <t>hee@L7secu.com</t>
  </si>
  <si>
    <t>02-6929-0505</t>
  </si>
  <si>
    <t>최희영</t>
  </si>
  <si>
    <t>최복희</t>
  </si>
  <si>
    <t>215-87-88332</t>
  </si>
  <si>
    <t>(주) 엘세븐시큐리티</t>
  </si>
  <si>
    <t>문서 및 이미지 내의 개인정보를 추출하여 개인정보 노출을 방지함</t>
  </si>
  <si>
    <t>이미지 개인정보 추출과 필터링 솔루션 V2.0</t>
  </si>
  <si>
    <t>2020-00502</t>
  </si>
  <si>
    <t>2019080</t>
  </si>
  <si>
    <t>06801 서울특별시 서초구 능안말길 40 2층</t>
  </si>
  <si>
    <t>sun0112290712@hotmail.com</t>
  </si>
  <si>
    <t>010-5229-0712</t>
  </si>
  <si>
    <t>서병철</t>
  </si>
  <si>
    <t>김숙자</t>
  </si>
  <si>
    <t>129-86-40869</t>
  </si>
  <si>
    <t>(주)썬레이텍</t>
    <phoneticPr fontId="20" type="noConversion"/>
  </si>
  <si>
    <t>바람,냄새,소음,미세먼지,바이러스등이 전혀 없는 원적외선 방사 천장형 복사난방패널 입니다</t>
  </si>
  <si>
    <t>전기난방패널</t>
  </si>
  <si>
    <t>SUR-D300-P, SUR-600-P, SUR-1200-P, SUR-1800-P, SUR-2400-P, SUR-3600-P</t>
  </si>
  <si>
    <t>원적외선 방사 천장형 복사 난방 패널</t>
  </si>
  <si>
    <t>2020-00506</t>
  </si>
  <si>
    <t>2019143</t>
  </si>
  <si>
    <t>21990 인천광역시 연수구 송도미래로 30 B동 514호</t>
  </si>
  <si>
    <t>bdnlsj@naver.com</t>
  </si>
  <si>
    <t>032-865-0656</t>
  </si>
  <si>
    <t>이수진</t>
  </si>
  <si>
    <t>문용상</t>
  </si>
  <si>
    <t>131-86-48864</t>
  </si>
  <si>
    <t>제일에스컬레이터(주)</t>
  </si>
  <si>
    <t>에스컬레이터의 역주행을 방지하기 위한 안전장치</t>
  </si>
  <si>
    <t>에스컬레이터</t>
  </si>
  <si>
    <t>JES-ARD-15/_x000D_
JES-ARD-12/_x000D_
JES-ARD-12-290</t>
  </si>
  <si>
    <t>에스컬레이터 무빙워크용 역주행방지장치</t>
  </si>
  <si>
    <t>2020-00514</t>
  </si>
  <si>
    <t>2019-1-5230008</t>
  </si>
  <si>
    <t>51390 경상남도 창원시 의창구 사화로 210 305호(팔용동, 제5아파트형공장)</t>
  </si>
  <si>
    <t>RL-G50-M02-K28 (50W)_x000D_
RL-G75-M02-K27 (75W)</t>
  </si>
  <si>
    <t>빛 공해방지용 안전가이드를 접목한 LED등기구_LED보안등기구</t>
  </si>
  <si>
    <t>2020-00521</t>
  </si>
  <si>
    <t>빛 공해방지용 안전가이드를 적용하여 빛 공해를 방지하고 방열성능을 향상시켜 내구성을 높임</t>
  </si>
  <si>
    <t>RL-T75-M02 (75W)_x000D_
RL-T75-M02-A (75W)_x000D_
RL-T100-M02 (100W)_x000D_
RL-T100-M02-A (100W)_x000D_
RL-T200-M02  (200W)</t>
  </si>
  <si>
    <t>빛 공해방지용 안전가이드를 접목한 LED등기구_LED터널용등기구</t>
  </si>
  <si>
    <t>2020-00522</t>
  </si>
  <si>
    <t>2019-03-05 ~ 2022-03-04</t>
  </si>
  <si>
    <t>19-AGM0138</t>
  </si>
  <si>
    <t>37531 경상북도 포항시 북구 흥해읍 용금길11번길 9 (주)창신산업개발</t>
  </si>
  <si>
    <t>cs2912525@naver.com</t>
  </si>
  <si>
    <t>010-9381-1472</t>
  </si>
  <si>
    <t>강호천</t>
  </si>
  <si>
    <t>장현수</t>
  </si>
  <si>
    <t>506-81-24019</t>
  </si>
  <si>
    <t>(주)창신산업개발</t>
  </si>
  <si>
    <t>고로슬래그를 포함하는 결합재 및 제강슬래그 골재로 구성되는 고비중 콘크리트 소파블록</t>
  </si>
  <si>
    <t>소파블록</t>
  </si>
  <si>
    <t xml:space="preserve"> CSHDA-5.0 , CSHDA-8.0 , CSHDA-10.0 , CSHDA-12.5 , CSHDA-16.0 , CSHDA-20.0</t>
  </si>
  <si>
    <t>슬래그골재를 활용한 고비중 콘크리트 소파블록</t>
  </si>
  <si>
    <t>2020-00523</t>
  </si>
  <si>
    <t>2020-07-28 ~ 2023-07-27</t>
  </si>
  <si>
    <t>20-CAZ0336</t>
  </si>
  <si>
    <t>38896 경상북도 영천시 영화로 172 한결테크닉스</t>
  </si>
  <si>
    <t>gidgid8339@hanmail.net</t>
  </si>
  <si>
    <t>054-335-3327</t>
  </si>
  <si>
    <t>권용호</t>
  </si>
  <si>
    <t>김준영</t>
  </si>
  <si>
    <t>824-86-00394</t>
  </si>
  <si>
    <t>(주)한결테크닉스</t>
    <phoneticPr fontId="20" type="noConversion"/>
  </si>
  <si>
    <t>지하수관정개발에 사용하는 스테인리스 양수파이프 플랜지, 소켓, 돌기형플랜지형 제품</t>
  </si>
  <si>
    <t>배관용스테인리스강관</t>
  </si>
  <si>
    <t>HTSPF-32A-6M 외 19종</t>
  </si>
  <si>
    <t>지하수 양수파이프</t>
  </si>
  <si>
    <t>2020-00525</t>
  </si>
  <si>
    <t>2020-08-31 ~ 2023-08-30</t>
  </si>
  <si>
    <t>20-AAZ0371</t>
  </si>
  <si>
    <t>02792 서울특별시 성북구 화랑로14길 5 한국과학기술연구원내 에이치1동 971씨호</t>
  </si>
  <si>
    <t>snamgoong@hu-master.com</t>
  </si>
  <si>
    <t>031-281-0911</t>
  </si>
  <si>
    <t>남궁석</t>
  </si>
  <si>
    <t>이대영</t>
  </si>
  <si>
    <t>495-88-00910</t>
  </si>
  <si>
    <t>주식회사 휴마스터</t>
  </si>
  <si>
    <t>데시컨트 열회수형 환기, 제습 및 제습 냉방, 공기청정 기능의 차세대 사계절 융복합 제품임</t>
  </si>
  <si>
    <t>공기순환기</t>
  </si>
  <si>
    <t>HCR300E, HCR-500E</t>
  </si>
  <si>
    <t>열회수형 환기장치(제습기)</t>
  </si>
  <si>
    <t>2020-00527</t>
  </si>
  <si>
    <t>2019147</t>
  </si>
  <si>
    <t>54814 전라북도 전주시 덕진구 하오용흥길 18-7 (주)신진에너텍</t>
  </si>
  <si>
    <t>sinjinwater@hanmail.net</t>
  </si>
  <si>
    <t>063-222-4456</t>
  </si>
  <si>
    <t>박민수</t>
  </si>
  <si>
    <t>박홍용</t>
  </si>
  <si>
    <t>418-81-36692</t>
  </si>
  <si>
    <t>(주)신진에너텍</t>
  </si>
  <si>
    <t xml:space="preserve">냉동창고, 냉장창고에  광학방식센서  자동제상제어 및 응축폐열을 이용한 에코형시스템 </t>
  </si>
  <si>
    <t>대형냉장고</t>
  </si>
  <si>
    <t>SJC-015ML- HA 외 45종</t>
  </si>
  <si>
    <t>응축폐열을 이용한 에코형 대형냉장고</t>
  </si>
  <si>
    <t>2020-00530</t>
  </si>
  <si>
    <t>2019121</t>
  </si>
  <si>
    <t>13967 경기도 안양시 만안구 안양로 460 4층</t>
  </si>
  <si>
    <t>ock124@naver.com</t>
  </si>
  <si>
    <t>010-9980-3250</t>
  </si>
  <si>
    <t>최희옥</t>
  </si>
  <si>
    <t>장규환</t>
  </si>
  <si>
    <t>124-86-36088</t>
  </si>
  <si>
    <t>에이스공조(주)</t>
    <phoneticPr fontId="20" type="noConversion"/>
  </si>
  <si>
    <t>부하에 따른 가변운전을 통한 에너지 절감, 불필요한 손실을 줄이며 최적의 공기질을 유지</t>
  </si>
  <si>
    <t>공기조화기</t>
  </si>
  <si>
    <t>ACE 0045H 등 88종</t>
  </si>
  <si>
    <t>각종센서(정압, 온도, CO2)를 통한 풍량제어 기술이 적용된 공기조화기</t>
  </si>
  <si>
    <t>2020-00534</t>
  </si>
  <si>
    <t>2020-07-16 ~ 2023-07-15</t>
  </si>
  <si>
    <t>20-ABZ0291</t>
  </si>
  <si>
    <t>16668 경기도 수원시 권선구 곡반정로 46-11 대상디자인</t>
  </si>
  <si>
    <t>kos6864@naver.com</t>
  </si>
  <si>
    <t>031-224-0051</t>
  </si>
  <si>
    <t>고현우</t>
  </si>
  <si>
    <t>노희진</t>
  </si>
  <si>
    <t>124-87-54443</t>
  </si>
  <si>
    <t>(주)대상디자인</t>
  </si>
  <si>
    <t>친환경에너지를 이용한 자동형 스마트 횡단보도 그늘막</t>
  </si>
  <si>
    <t>차양</t>
  </si>
  <si>
    <t>DPSA-02</t>
  </si>
  <si>
    <t>내풍압성능을 향상시키고 친환경에너지를 이용한 자동 형 스마트 횡단보도 그늘막</t>
  </si>
  <si>
    <t>2020-00540</t>
  </si>
  <si>
    <t>2020-06-29 ~ 2023-06-28</t>
  </si>
  <si>
    <t>2020-06-0108</t>
  </si>
  <si>
    <t>07363 서울특별시 영등포구 경인로88길 5-8 2층</t>
  </si>
  <si>
    <t>dsch002@alpha-lite.net</t>
  </si>
  <si>
    <t>02-6317-0464</t>
  </si>
  <si>
    <t>최동식</t>
  </si>
  <si>
    <t>최안식</t>
  </si>
  <si>
    <t>119-86-82111</t>
  </si>
  <si>
    <t>주식회사 알파라이트</t>
  </si>
  <si>
    <t>방송스튜디오 및 극장, 공연장의 무대를 연출을 위한 조명기구</t>
  </si>
  <si>
    <t>무대조명기구</t>
  </si>
  <si>
    <t>무대조명기구, 알파라이트, CYC-500H, 270W 외 9종</t>
  </si>
  <si>
    <t>2020-00543</t>
  </si>
  <si>
    <t>2018-04-02 ~ 2024-04-01</t>
  </si>
  <si>
    <t>2018004</t>
  </si>
  <si>
    <t>57309 전라남도 담양군 담양읍 에코길 27-10 (주)신양씨앤에스</t>
  </si>
  <si>
    <t>shinyangcns4026@hanmail.net</t>
  </si>
  <si>
    <t>061-381-9805</t>
  </si>
  <si>
    <t>김형진</t>
  </si>
  <si>
    <t>정태영</t>
  </si>
  <si>
    <t>409-86-48656</t>
  </si>
  <si>
    <t>(주)신양씨앤에스</t>
  </si>
  <si>
    <t>마찰 댐핑부가 구비된 폴딩의자로 소음이 나지 않으며 안정성에 기반을 둔 관람석 의자입니다.</t>
  </si>
  <si>
    <t>고정식연결의자</t>
  </si>
  <si>
    <t>SY-6000,SY-6100,SY-8000,SY-8100</t>
  </si>
  <si>
    <t>슬로우 폴딩체어</t>
  </si>
  <si>
    <t>2020-00545</t>
  </si>
  <si>
    <t>2019-12-13 ~ 2022-12-26</t>
  </si>
  <si>
    <t>2019-12-0107</t>
  </si>
  <si>
    <t>30033 세종특별자치시 조치원읍 세종로 2296 창업키움센터 304호</t>
  </si>
  <si>
    <t>wisecalmtree@naver.com</t>
  </si>
  <si>
    <t>010-9090-8118</t>
  </si>
  <si>
    <t>이희수</t>
  </si>
  <si>
    <t>683-88-01613</t>
  </si>
  <si>
    <t>마루온조경</t>
  </si>
  <si>
    <t>조경수목의 미관증진,월동,충해방지 기능을 가진 디자인이 특화된 니트섬유 조경 피복자재</t>
  </si>
  <si>
    <t>망상직물</t>
  </si>
  <si>
    <t>색동나무 DOT-01 외 총 50건</t>
  </si>
  <si>
    <t>색동나무</t>
  </si>
  <si>
    <t>2020-00550</t>
  </si>
  <si>
    <t>2020-06-30 ~ 2023-06-29</t>
  </si>
  <si>
    <t>20-1-0102</t>
  </si>
  <si>
    <t>30033 세종특별자치시 조치원읍 군청로 93 세종SB프라자 502호</t>
  </si>
  <si>
    <t>cykim82@quantumgate.co.kr</t>
  </si>
  <si>
    <t>070-4452-9805</t>
  </si>
  <si>
    <t>김창용</t>
  </si>
  <si>
    <t>백주용</t>
  </si>
  <si>
    <t>748-87-00331</t>
  </si>
  <si>
    <t>어린이보호구역, 노인보호구역, 장애인보호구역,사고다발지역의 스마트교통안전 차량과속경보시스템</t>
  </si>
  <si>
    <t>교통정보전광판</t>
  </si>
  <si>
    <t>UXDFS-KLH3000 외15건</t>
  </si>
  <si>
    <t>차량과속경보시스템, UXDFS(UX Driver Feedback System)</t>
  </si>
  <si>
    <t>2020-00554</t>
  </si>
  <si>
    <t>2019-08-23 ~ 2022-08-22</t>
  </si>
  <si>
    <t>19-AAN0415</t>
  </si>
  <si>
    <t xml:space="preserve">52014 경상남도 함안군 칠서면 함의로 209-110 </t>
  </si>
  <si>
    <t>sms@hktech21.co.kr</t>
  </si>
  <si>
    <t>055-587-7648</t>
  </si>
  <si>
    <t>서민수</t>
  </si>
  <si>
    <t>임무현</t>
  </si>
  <si>
    <t>668-46-00196</t>
  </si>
  <si>
    <t>HK테크</t>
  </si>
  <si>
    <t>하수처리장 수로 전단에 설치되어 물과 함께 유입되는 협잡물을 제거하는 장치</t>
  </si>
  <si>
    <t>HK-DS-0600_x000D_
HK-DS-1200_x000D_
HK-DS-1800</t>
  </si>
  <si>
    <t>일방 스톱퍼형 링크체인 및 회전형 가이드롤러를 적용한 링크제진기</t>
  </si>
  <si>
    <t>2020-00555</t>
  </si>
  <si>
    <t>2020032</t>
  </si>
  <si>
    <t>16950 경기도 용인시 기흥구 흥덕중앙로 120 3401호(영덕동, 유-타워)</t>
  </si>
  <si>
    <t>jmdp8@daum.net</t>
  </si>
  <si>
    <t>070-4640-6555</t>
  </si>
  <si>
    <t>김성은</t>
  </si>
  <si>
    <t>303-81-65046</t>
  </si>
  <si>
    <t>주식회사 제이엠디피</t>
  </si>
  <si>
    <t xml:space="preserve">고결화 방지 및 보관 안정성 향상된 친환경 제설제 (부식 억제력 및 융빙성능 등 향상) </t>
  </si>
  <si>
    <t>퍼펙트멜터 JD-200(15kg),_x000D_
퍼펙트멜터 JD-200(1000kg)</t>
  </si>
  <si>
    <t>2020-00556</t>
  </si>
  <si>
    <t>제2019-03-0066</t>
  </si>
  <si>
    <t>54853 전라북도 전주시 덕진구 반룡로 111 311호(팔복동2가, 한국전자기술연구원-에코창업보육센터)</t>
  </si>
  <si>
    <t>hlee0212@gmail.com</t>
  </si>
  <si>
    <t>010-5201-2257</t>
  </si>
  <si>
    <t>이현</t>
  </si>
  <si>
    <t>819-87-01030</t>
  </si>
  <si>
    <t>주식회사 마스팜</t>
  </si>
  <si>
    <t>토마토 최적생산량 지능형 데이터 UI 서비스 목적의 클라우드 플랫폼 기반 시설원예 생장분석</t>
  </si>
  <si>
    <t>MaaSFarm 1.0</t>
  </si>
  <si>
    <t>작물별 스마트 팜 오픈형 온톨로지 자동 분석 제안 규격화 빅데이터 응용솔루션 앱기반 서비스</t>
  </si>
  <si>
    <t>2020-00557</t>
  </si>
  <si>
    <t>2018-09-14 ~ 2021-09-13</t>
  </si>
  <si>
    <t>2018-09-0077</t>
  </si>
  <si>
    <t>07228 서울특별시 영등포구 영신로 220 1409</t>
  </si>
  <si>
    <t>psj810223@naver.com</t>
  </si>
  <si>
    <t>02-523-6118</t>
  </si>
  <si>
    <t>박성진</t>
  </si>
  <si>
    <t>106-86-20934</t>
  </si>
  <si>
    <t>유비라커산업(주)</t>
  </si>
  <si>
    <t xml:space="preserve">나노섬유가 방사된 방진망으로 창문에 설치되어 미세먼지 차단과 환기역할 </t>
  </si>
  <si>
    <t>방충망</t>
  </si>
  <si>
    <t>S3200</t>
  </si>
  <si>
    <t>창문형 발진필터</t>
  </si>
  <si>
    <t>2020-00562</t>
  </si>
  <si>
    <t>2016007-35</t>
  </si>
  <si>
    <t>54325 전라북도 김제시 백산면 지평선산단3길 89-21 에스엠산업</t>
  </si>
  <si>
    <t>keum731@naver.com</t>
  </si>
  <si>
    <t>063-544-8126</t>
  </si>
  <si>
    <t>부사장</t>
  </si>
  <si>
    <t>문성군</t>
  </si>
  <si>
    <t>401-11-53268</t>
  </si>
  <si>
    <t>에스엠산업</t>
  </si>
  <si>
    <t>보조모터를 탑재한 수중펌프 장치 및 그 제어 방법</t>
  </si>
  <si>
    <t>수중펌프, 에스엠산업, 0.75kw, 볼텍스형 외 110종</t>
  </si>
  <si>
    <t>2020-00564</t>
  </si>
  <si>
    <t>2019090006</t>
  </si>
  <si>
    <t>08512 서울특별시 금천구 디지털로9길 32 A동 1502호</t>
  </si>
  <si>
    <t>soon@uisn.co.kr</t>
  </si>
  <si>
    <t>02-863-1994</t>
  </si>
  <si>
    <t>조민철</t>
  </si>
  <si>
    <t>장덕진</t>
  </si>
  <si>
    <t>119-86-01520</t>
  </si>
  <si>
    <t>(주)에스에이치아이앤씨</t>
  </si>
  <si>
    <t>시설물에 부착 후 진동/기울기를 측정하여 실시간으로 시설물의 상태를 제공하는 제품입니다.</t>
  </si>
  <si>
    <t>GyroVA</t>
  </si>
  <si>
    <t>IoT 기반 시설물 안전용 진동/기울기 및 지진 감시 모니터링 장치, GyroVA</t>
  </si>
  <si>
    <t>2020-00575</t>
  </si>
  <si>
    <t>제2020-06-0134호</t>
  </si>
  <si>
    <t>16617 경기도 수원시 권선구 서호로 134 1층,2층</t>
  </si>
  <si>
    <t>dodmall@naver.com</t>
  </si>
  <si>
    <t>031-291-2491</t>
  </si>
  <si>
    <t>권태언</t>
  </si>
  <si>
    <t>윤정미</t>
  </si>
  <si>
    <t>363-86-00657</t>
  </si>
  <si>
    <t>타올을 국내유일 크기는 작게, 모양은 다양하게 변형, 개발한 아이디어 상품.</t>
  </si>
  <si>
    <t>타월</t>
  </si>
  <si>
    <t>1. CH3CC_x000D_
2. CH3HT_x000D_
3. CH3S4_x000D_
4. CF3HT _x000D_
5. CF3L1</t>
  </si>
  <si>
    <t>모양이 변하는 압축타월_핸드써클 (CH3CC) 외 총 4건</t>
  </si>
  <si>
    <t>2020-00576</t>
  </si>
  <si>
    <t>2019-05-10 ~ 2022-05-09</t>
  </si>
  <si>
    <t>19-AAA0271</t>
  </si>
  <si>
    <t>08512 서울특별시 금천구 디지털로9길 32 갑을그레이트밸리 A동 13층</t>
  </si>
  <si>
    <t>park112@jdsol.co.kr</t>
  </si>
  <si>
    <t>010-7900-5361</t>
  </si>
  <si>
    <t>박지민</t>
  </si>
  <si>
    <t>제영호</t>
  </si>
  <si>
    <t>214-88-44610</t>
  </si>
  <si>
    <t>주식회사 제이디솔루션</t>
  </si>
  <si>
    <t>초 지향성 스피커 및 다채널 적외선 센서를 적용하여, 횡단보도에서 보행자의 교통사고를 예방</t>
  </si>
  <si>
    <t>JDS-2018A</t>
  </si>
  <si>
    <t>초지향성 및 적외선센서를 이용한 스마트 보행자 감지기</t>
  </si>
  <si>
    <t>2020-00580</t>
  </si>
  <si>
    <t>제2020-5호</t>
  </si>
  <si>
    <t>14057 경기도 안양시 동안구 시민대로 361 에이스평촌타워 705, 706호 (관양동)</t>
  </si>
  <si>
    <t>wykang@koreambr.co.kr</t>
  </si>
  <si>
    <t>02-523-0078</t>
  </si>
  <si>
    <t>강원용</t>
  </si>
  <si>
    <t>박병선</t>
  </si>
  <si>
    <t>214-88-02740</t>
  </si>
  <si>
    <t>정우이엔티(주)</t>
  </si>
  <si>
    <t>중수 또는 오수를 생물학적 공정과 MBR로 처리하여 재이용하는 중수처리 기술</t>
  </si>
  <si>
    <t>복합하수처리장비</t>
  </si>
  <si>
    <t xml:space="preserve">RTA-ESMBR-51 등 28종 </t>
  </si>
  <si>
    <t xml:space="preserve">RTA(Ready To Assemble) 밀폐형 중수처리시설, RTA(Ready To Assemble) 밀폐형 고도중수처리시설 </t>
  </si>
  <si>
    <t>2020-00581</t>
  </si>
  <si>
    <t>NEP-MOTIE-2018-024</t>
  </si>
  <si>
    <t xml:space="preserve">43013 대구광역시 달성군 구지면 달성2차4로 36 </t>
  </si>
  <si>
    <t>jeonga@ymtechne.com</t>
  </si>
  <si>
    <t>02-403-9876</t>
  </si>
  <si>
    <t>이정아</t>
  </si>
  <si>
    <t>현돈</t>
  </si>
  <si>
    <t>132-86-16628</t>
  </si>
  <si>
    <t>주식회사 여명테크</t>
  </si>
  <si>
    <t>중력가변트랩을 이용한 절수양변기로 절수와 막힘을 동시에 해결할 수 있고 오염물비산이 없음</t>
  </si>
  <si>
    <t>대변기</t>
  </si>
  <si>
    <t>YMF-002, YMF-002-1, YMF-202, YMB-002</t>
  </si>
  <si>
    <t>분기관과 중력가변트랩을 이용한 4.0L 로우탱크 절수 양변기</t>
  </si>
  <si>
    <t>2020-00585</t>
  </si>
  <si>
    <t>NEP-MOTIE-2020-065</t>
  </si>
  <si>
    <t>14057 경기도 안양시 동안구 벌말로 126 평촌오비즈타워 1009-1호</t>
  </si>
  <si>
    <t>worldcns@worldcns.co.kr</t>
  </si>
  <si>
    <t>031-450-3244</t>
  </si>
  <si>
    <t>조성현</t>
  </si>
  <si>
    <t xml:space="preserve">조성현 </t>
  </si>
  <si>
    <t>466-88-00630</t>
  </si>
  <si>
    <t>멀티뷰 카메라 통한 사각지대 해소, 인공지능 활용 이동체 검출이 가능한 스마트한 CCTV</t>
  </si>
  <si>
    <t xml:space="preserve">CNS-SPD36 </t>
  </si>
  <si>
    <t>5개 모듈로 구성된 멀티뷰 카메라와 에지 CNN기반 이동경로 추적기술이 적용된 영상감시장치</t>
  </si>
  <si>
    <t>2020-00590</t>
  </si>
  <si>
    <t>2018-12-0049</t>
  </si>
  <si>
    <t>46241 부산광역시 금정구 부산대학로63번길 2 효원산학협동관 406호</t>
  </si>
  <si>
    <t>ghit@ghit.co.kr</t>
  </si>
  <si>
    <t>010-8868-2516</t>
  </si>
  <si>
    <t>원주영</t>
  </si>
  <si>
    <t>권유홍</t>
  </si>
  <si>
    <t>604-87-00690</t>
  </si>
  <si>
    <t>호흡계 질환 환자의 호흡근 기능 복원 치료는 호흡에 필요한 근육을 단련</t>
  </si>
  <si>
    <t>왕복식호흡보조대</t>
  </si>
  <si>
    <t>IMT/PEP</t>
  </si>
  <si>
    <t>일체형 호흡근 강화기기 IMT/PEP</t>
  </si>
  <si>
    <t>2020-00593</t>
  </si>
  <si>
    <t>2017-07-03 ~ 2022-07-02</t>
  </si>
  <si>
    <t>2017-12-0034</t>
  </si>
  <si>
    <t>48059 부산광역시 해운대구 센텀동로 99 벽산e-센텀클래스원 618-2호</t>
  </si>
  <si>
    <t>plan@iotplex.co.kr</t>
  </si>
  <si>
    <t>070-7431-0803</t>
  </si>
  <si>
    <t>박세라</t>
  </si>
  <si>
    <t>박문수</t>
  </si>
  <si>
    <t>256-81-00086</t>
  </si>
  <si>
    <t>LTE통신과 GPS를 이용하여 차량, 대인의 실시간 위치를 확인할 수 있는 위치관제 서비스</t>
  </si>
  <si>
    <t>위치추적장치</t>
  </si>
  <si>
    <t>무선 GPS위치추적기 포가드울트라S(MSA-T200W)_x000D_
유선 GPS위치추적기 포가드울트라S(MSA-T200)</t>
  </si>
  <si>
    <t>무선 GPS 위치추적기 포가드울트라S</t>
  </si>
  <si>
    <t>2020-00595</t>
  </si>
  <si>
    <t>2020-03-27 ~ 2023-03-26</t>
  </si>
  <si>
    <t>제2020-03-0082호</t>
  </si>
  <si>
    <t>54871 전라북도 전주시 덕진구 기지로 72 702호</t>
  </si>
  <si>
    <t>hpwon@illuvation.kr</t>
  </si>
  <si>
    <t>063-717-2226</t>
  </si>
  <si>
    <t>원형필</t>
  </si>
  <si>
    <t>594-88-01064</t>
  </si>
  <si>
    <t>3D영상을 영상처리/체중환산 알고리즘 APP을 거처 10초이내에 돼지의 체중예측</t>
  </si>
  <si>
    <t>가축계량용저울</t>
  </si>
  <si>
    <t>VIIEW-IVPS-1</t>
  </si>
  <si>
    <t>가축계량용저울 VIIEW-IVPS-1</t>
  </si>
  <si>
    <t>2020-00601</t>
  </si>
  <si>
    <t>2020-07-23 ~ 2023-07-22</t>
  </si>
  <si>
    <t>20-0316</t>
  </si>
  <si>
    <t>06069 서울특별시 강남구 선릉로 704 청담벤처프라자 11층</t>
  </si>
  <si>
    <t>ted@iacryl.com</t>
  </si>
  <si>
    <t>010-4303-6502</t>
  </si>
  <si>
    <t>이용택</t>
  </si>
  <si>
    <t>박외진</t>
  </si>
  <si>
    <t>214-88-74981</t>
  </si>
  <si>
    <t>(주)아크릴</t>
  </si>
  <si>
    <t>GUI 기반의 웹서비스를 통해, 다수의 GPU를 이용한 머신러닝모델 학습을 지원하는 플랫폼</t>
  </si>
  <si>
    <t>조나단 플라이트베이스 v2.0 - 멀티 GPU 기반 머신러닝 플랫폼</t>
  </si>
  <si>
    <t>2020-00603</t>
  </si>
  <si>
    <t>2019006</t>
  </si>
  <si>
    <t>ecokay@eco-device.co.kr</t>
  </si>
  <si>
    <t>전규태</t>
  </si>
  <si>
    <t>EE0008D-020DS_x000D_
EE0006D-010DS_x000D_
EE0006D-012DS_x000D_
EE0006D-015DS_x000D_
EE0006D-020DS</t>
  </si>
  <si>
    <t>1+1회로방식의 전원공급부를 포함하는 장수명 조명장치(LED다운라이트)</t>
  </si>
  <si>
    <t>2020-00607</t>
  </si>
  <si>
    <t>ESTNCF7-050SS_x000D_
ESTNCF7-075SS</t>
  </si>
  <si>
    <t>1+1회로방식의 전원공급부를 포함하는 장수명 조명장치(LED보안등기구)</t>
  </si>
  <si>
    <t>2020-00609</t>
  </si>
  <si>
    <t>ESTNCF7-100MS_x000D_
ESTNCF7-120MS_x000D_
ESTNCF7-150MS</t>
  </si>
  <si>
    <t>1+1회로방식의 전원공급부를 포함하는 장수명 조명장치(LED가로등기구)</t>
  </si>
  <si>
    <t>2020-00610</t>
  </si>
  <si>
    <t>ETNNCF7-050M_x000D_
ETNNCF7-075M_x000D_
ETNNCF7-100M_x000D_
ETNNCF7-150M_x000D_
ETNNCF7-200M_x000D_
ETNNCF7-050MS_x000D_
ETNNCF7-075MS_x000D_
ETNNCF7-100MS_x000D_
ETNNCF7-150MS_x000D_
ETNNCF7-200MS</t>
  </si>
  <si>
    <t>1+1회로방식의 전원공급부를 포함하는 장수명 조명장치(LED터널용등기구)</t>
  </si>
  <si>
    <t>2020-00611</t>
  </si>
  <si>
    <t>2020-07-27 ~ 2023-07-26</t>
  </si>
  <si>
    <t>20-CBZ0332</t>
  </si>
  <si>
    <t>14056 경기도 안양시 동안구 벌말로 123 A동 1010호</t>
  </si>
  <si>
    <t>kwg@orionsys.co.kr</t>
  </si>
  <si>
    <t>070-8758-6625</t>
  </si>
  <si>
    <t>김웅길</t>
  </si>
  <si>
    <t>조성진</t>
  </si>
  <si>
    <t>138-81-43282</t>
  </si>
  <si>
    <t>오리온시스템즈 주식회사</t>
  </si>
  <si>
    <t>수질원격감시체계(수질TMS) 구성 중 계측장비의 데이터 자료수집기</t>
  </si>
  <si>
    <t>Niagara-2000 &amp; Niagara-2000 INS</t>
  </si>
  <si>
    <t>보안성이 강화된 웹[리눅스]기반 스마트 수질 원격감시 데이터 분석 시스템</t>
  </si>
  <si>
    <t>2020-00612</t>
  </si>
  <si>
    <t>2020-04-13 ~ 2023-04-12</t>
  </si>
  <si>
    <t>20-0166</t>
  </si>
  <si>
    <t>13595 경기도 성남시 분당구 황새울로258번길 29 티맥스수내타워 7층 (주)티맥스에이앤씨</t>
  </si>
  <si>
    <t>dongwoo_kim2@tmax.co.kr</t>
  </si>
  <si>
    <t>010-2470-4884</t>
  </si>
  <si>
    <t>김동우</t>
  </si>
  <si>
    <t>한상욱</t>
  </si>
  <si>
    <t>216-88-00258</t>
  </si>
  <si>
    <t>(주)티맥스에이앤씨</t>
  </si>
  <si>
    <t>서버와 소프트웨어를 구동, 운영 및 관리하기 위한 리눅스 서버 운영체제(Server OS)</t>
  </si>
  <si>
    <t>운영체제</t>
  </si>
  <si>
    <t>ProLinux 7 Gold Edition/Premium Edition, ProLinux 7 for Virtual Machines Gold Edition/Premium Edition</t>
  </si>
  <si>
    <t>프로리눅스 7 (ProLinux 7)</t>
  </si>
  <si>
    <t>2020-00614</t>
  </si>
  <si>
    <t>2018-03-16 ~ 2023-03-15</t>
  </si>
  <si>
    <t>제 2018-01-0093 호</t>
  </si>
  <si>
    <t>54058 전라북도 군산시 임피면 호원대3길 64 산학협력관 2층 206호</t>
  </si>
  <si>
    <t>ecowis02@naver.com</t>
  </si>
  <si>
    <t>063-213-0608</t>
  </si>
  <si>
    <t>이동혁</t>
  </si>
  <si>
    <t>채승석</t>
  </si>
  <si>
    <t>501-81-30082</t>
  </si>
  <si>
    <t>꽁초 투입 시 곧바로 압착, 소화하여 화재를 예방하고 인명손실 및 자산을 보호</t>
  </si>
  <si>
    <t>입식재떨이</t>
  </si>
  <si>
    <t>AFE-6005B</t>
  </si>
  <si>
    <t>스마트 자동소화 재떨이</t>
  </si>
  <si>
    <t>20-공고(5차)</t>
  </si>
  <si>
    <t>2020-00615</t>
  </si>
  <si>
    <t>2020-05-22 ~ 2023-05-21</t>
  </si>
  <si>
    <t>202005</t>
  </si>
  <si>
    <t>산업융합 적합성</t>
  </si>
  <si>
    <t>42264 대구광역시 수성구 성동로33길 9 (주)이노엑트</t>
  </si>
  <si>
    <t>jyspinell@hanmail.net</t>
  </si>
  <si>
    <t>053-354-5663</t>
  </si>
  <si>
    <t>박한철</t>
  </si>
  <si>
    <t>461-86-00043</t>
  </si>
  <si>
    <t>(주)이노액트</t>
    <phoneticPr fontId="20" type="noConversion"/>
  </si>
  <si>
    <t>에어블로어(3곳)와 LED조명전등이 융합된 공기순환 용접용 보안면(쿨링헬멧)</t>
  </si>
  <si>
    <t>용접마스크</t>
  </si>
  <si>
    <t>VENTMA2</t>
  </si>
  <si>
    <t>공기순환 용접용 보안면</t>
  </si>
  <si>
    <t>2020-00617</t>
  </si>
  <si>
    <t>2020-06-01 ~ 2023-05-31</t>
  </si>
  <si>
    <t>남동-제2020-02</t>
  </si>
  <si>
    <t>13209 경기도 성남시 중원구 사기막골로45번길 14 A동 1712, 1711호</t>
  </si>
  <si>
    <t>jhkang@icemeca.com</t>
  </si>
  <si>
    <t>031-734-7667</t>
  </si>
  <si>
    <t>강준호</t>
  </si>
  <si>
    <t>김상일</t>
  </si>
  <si>
    <t>129-86-64046</t>
  </si>
  <si>
    <t>주식회사아이스메카텍</t>
  </si>
  <si>
    <t>화력발전소의 석탄, 우드펠릿, 유기성 고형물등의 연료 사일로의 화재감시 쎈서</t>
  </si>
  <si>
    <t>온도감지기</t>
  </si>
  <si>
    <t>SHD7-16, SHD7-18, SHD7-20</t>
  </si>
  <si>
    <t>사일로 내부 다중 온도감시 시스템</t>
  </si>
  <si>
    <t>2020-00619</t>
  </si>
  <si>
    <t>2018120011</t>
  </si>
  <si>
    <t>14523 경기도 부천시 도약로 261 대우테크노파크 A동 504호</t>
  </si>
  <si>
    <t>mt@mirerotack.co.kr</t>
  </si>
  <si>
    <t>032-670-8067</t>
  </si>
  <si>
    <t>김달수</t>
  </si>
  <si>
    <t>이승규</t>
  </si>
  <si>
    <t>130-86-51686</t>
  </si>
  <si>
    <t>(주)미래로택</t>
  </si>
  <si>
    <t>Smart RTU는 관측된 실시간 수위,우량,수질 데이터 등을 관제센터로 자동전송합니다.</t>
  </si>
  <si>
    <t>원격접속장치</t>
  </si>
  <si>
    <t>JM-K9800</t>
  </si>
  <si>
    <t>Smart RTU</t>
  </si>
  <si>
    <t>2020-00621</t>
  </si>
  <si>
    <t>초정밀 플로트 수위계는 수위 변화에 따른 플로트(부자)의 상승,하강으로 수위를 측정합니다.</t>
  </si>
  <si>
    <t>수위계</t>
  </si>
  <si>
    <t>UFWL-201400</t>
  </si>
  <si>
    <t>초정밀 플로트 수위계</t>
  </si>
  <si>
    <t>2020-00622</t>
  </si>
  <si>
    <t>경보제어장치는 수위상승이 예상될때 주민 및 야영객들이 대피하도록 방송하는 장비입니다.</t>
  </si>
  <si>
    <t>수위고저용경보기</t>
  </si>
  <si>
    <t>MWCU2010</t>
  </si>
  <si>
    <t>경보제어장치</t>
  </si>
  <si>
    <t>2020-00623</t>
  </si>
  <si>
    <t>2020-03-25 ~ 2023-03-24</t>
  </si>
  <si>
    <t>20-AAZ0106</t>
  </si>
  <si>
    <t>21312 인천광역시 부평구 안남로369번길 46 대신엠씨(주)</t>
  </si>
  <si>
    <t>dsclean@dsclean.co.kr</t>
  </si>
  <si>
    <t>032-511-5001</t>
  </si>
  <si>
    <t>안병기</t>
  </si>
  <si>
    <t>최영환</t>
  </si>
  <si>
    <t>107-81-59849</t>
  </si>
  <si>
    <t>대신엠씨주식회사</t>
  </si>
  <si>
    <t>출입자의 신발바닥에 묻은 먼지 등 유해물질을 진공작용으로 흡입하여 실내유입을 차단함</t>
  </si>
  <si>
    <t>DS-104M24 등8종</t>
  </si>
  <si>
    <t>먼지흡입판넬기술을 적용한 실내먼지제거시스템</t>
  </si>
  <si>
    <t>2020-00624</t>
  </si>
  <si>
    <t>2020-10-05 ~ 2023-10-04</t>
  </si>
  <si>
    <t>제2020-7호</t>
  </si>
  <si>
    <t>34113 대전광역시 유성구 가정북로 26-55 (장동)</t>
  </si>
  <si>
    <t>jcyong@fiberpro.com</t>
  </si>
  <si>
    <t>042-360-0253</t>
  </si>
  <si>
    <t>용재철</t>
  </si>
  <si>
    <t>고연완</t>
  </si>
  <si>
    <t>314-81-18956</t>
  </si>
  <si>
    <t>(주)파이버프로</t>
  </si>
  <si>
    <t>레이저 스캐너와 관성항법시스템을 사용하여 궤도선형을 비접촉/관성식으로 측정하는 시스템이다.</t>
  </si>
  <si>
    <t>레이저측정기</t>
  </si>
  <si>
    <t>KRCS 20065</t>
  </si>
  <si>
    <t>궤도선형 측정모듈</t>
  </si>
  <si>
    <t>2020-00627</t>
  </si>
  <si>
    <t>제 2018-01-0125호</t>
  </si>
  <si>
    <t>24331 강원도 춘천시 도화길 2 (효자동)</t>
  </si>
  <si>
    <t>mkc3016@naver.com</t>
  </si>
  <si>
    <t>033-257-6996</t>
  </si>
  <si>
    <t>정민혜</t>
  </si>
  <si>
    <t>최미경</t>
  </si>
  <si>
    <t>506-04-80325</t>
  </si>
  <si>
    <t>천연애(愛)바이오</t>
  </si>
  <si>
    <t>자연유래성분으로 구성한 수제비누</t>
  </si>
  <si>
    <t>NS-011, NS-012, NS-013_x000D_
NS-021, NS-022, NS-023_x000D_
NS-031, NS-032_x000D_
NS-041, NS-051, NS-061, NS-071</t>
  </si>
  <si>
    <t>춘천옥비누 원석(3종) NS-013 외 총 11건</t>
  </si>
  <si>
    <t>2020-00632</t>
  </si>
  <si>
    <t>2020-05-29 ~ 2023-05-28</t>
  </si>
  <si>
    <t>제2020-2호</t>
  </si>
  <si>
    <t>14056 경기도 안양시 동안구 학의로 268 506호</t>
  </si>
  <si>
    <t>mijung.park@techville.biz</t>
  </si>
  <si>
    <t>031-420-4360</t>
  </si>
  <si>
    <t>박미정</t>
  </si>
  <si>
    <t>이희진</t>
  </si>
  <si>
    <t>123-81-64140</t>
  </si>
  <si>
    <t>(주)테크빌</t>
  </si>
  <si>
    <t>고속&amp;일반철도 지상 신호설비 상태를 실시간으로검측,분석을 통한 예방적 유지보수 자동화시스템</t>
  </si>
  <si>
    <t>고속철도차량ATC장치</t>
  </si>
  <si>
    <t>KRCS C330</t>
  </si>
  <si>
    <t>고속철도 신호설비 차상 검측시스템</t>
  </si>
  <si>
    <t>2020-00633</t>
  </si>
  <si>
    <t>2020-09-03 ~ 2023-09-02</t>
  </si>
  <si>
    <t>GTP-20-01897</t>
  </si>
  <si>
    <t>27611 충청북도 음성군 감곡면 행군이길 171-47 모리스앤코</t>
  </si>
  <si>
    <t>khsa-morris@daum.net</t>
  </si>
  <si>
    <t>02-545-2690</t>
  </si>
  <si>
    <t>정재용</t>
  </si>
  <si>
    <t>정태봉</t>
  </si>
  <si>
    <t>556-88-00200</t>
  </si>
  <si>
    <t>창업/첫걸음</t>
    <phoneticPr fontId="19" type="noConversion"/>
  </si>
  <si>
    <t>비 오는 날, 일회용 우산비닐커버를 사용하지 않고 내부 극세사로 우산 물기를 제거하는 제품</t>
  </si>
  <si>
    <t>우산빗물제거기</t>
  </si>
  <si>
    <t>RAIN ECO 2S NEW</t>
  </si>
  <si>
    <t>2020-00634</t>
  </si>
  <si>
    <t>2020-09-25 ~ 2023-09-24</t>
  </si>
  <si>
    <t>2020-09-0031</t>
  </si>
  <si>
    <t>31116 충청남도 천안시 동남구 단대로 119 단국대학교 창업보육센터 206호</t>
  </si>
  <si>
    <t>hsn2211@daum.net</t>
  </si>
  <si>
    <t>041-562-2279</t>
  </si>
  <si>
    <t>서동옥</t>
  </si>
  <si>
    <t>강태순</t>
  </si>
  <si>
    <t>235-11-00785</t>
  </si>
  <si>
    <t>연질소재 적용을 통해 충격흡수성이 우수한 충격흡수패드 겸용 배수판</t>
  </si>
  <si>
    <t>배수판</t>
  </si>
  <si>
    <t>충격흡수패드 겸용 배수판(WWD-1)</t>
  </si>
  <si>
    <t>충격흡수패드 겸용 배수판 WWD-1</t>
  </si>
  <si>
    <t>2020-00635</t>
  </si>
  <si>
    <t>2019-1-1120007</t>
  </si>
  <si>
    <t>61003 광주광역시 북구 첨단벤처소로37번길 51 (주)티디엘</t>
  </si>
  <si>
    <t>gamboy2000@nate.com</t>
  </si>
  <si>
    <t>062-971-2560</t>
  </si>
  <si>
    <t>정병진</t>
  </si>
  <si>
    <t>김유신</t>
  </si>
  <si>
    <t>410-81-85689</t>
  </si>
  <si>
    <t>(주)티디엘</t>
  </si>
  <si>
    <t>투명필름 위에 미세회로 패턴을 형성하고 LED를 실장하여 투명하면서도 플렉시블한 디스플레이</t>
  </si>
  <si>
    <t>광고용LED유리판</t>
  </si>
  <si>
    <t>LTD 9B-2503, LTD 9B-2504, LTD 9B-5003, LTD 9B-5004, LTD 9C-5003, LTD 9C-5004, LTD 9C-10003, LTD 9C-10004</t>
  </si>
  <si>
    <t>LED 투명 전광판</t>
  </si>
  <si>
    <t>2020-00636</t>
  </si>
  <si>
    <t>제2020-4호</t>
  </si>
  <si>
    <t>38899 경상북도 영천시 금호읍 영천산단로 295 (주)씨엠</t>
  </si>
  <si>
    <t>seobijin@naver.com</t>
  </si>
  <si>
    <t>010-3539-3106</t>
  </si>
  <si>
    <t xml:space="preserve">김진섭 </t>
  </si>
  <si>
    <t>김동용</t>
  </si>
  <si>
    <t>513-81-20869</t>
  </si>
  <si>
    <t xml:space="preserve">(주)씨엠 </t>
  </si>
  <si>
    <t>철도 시설유지보수(장비,침목,레일,인부)용 20톤형 트롤리 작업차량(운행속도 70km)</t>
  </si>
  <si>
    <t>철도용트롤리</t>
  </si>
  <si>
    <t>KRCS E304</t>
  </si>
  <si>
    <t xml:space="preserve">완충장치가 적용된 철도유지보수용 트롤리 </t>
  </si>
  <si>
    <t>2020-00638</t>
  </si>
  <si>
    <t>2020-07-31 ~ 2023-07-30</t>
  </si>
  <si>
    <t>2020058</t>
  </si>
  <si>
    <t>29015 충청북도 옥천군 청산면 남부로 1917-7 효목리</t>
  </si>
  <si>
    <t>minkyyon@hanmail.net</t>
  </si>
  <si>
    <t>031-494-1176</t>
  </si>
  <si>
    <t>민경연</t>
  </si>
  <si>
    <t>조용상</t>
  </si>
  <si>
    <t>302-81-02316</t>
  </si>
  <si>
    <t>(주)조양</t>
  </si>
  <si>
    <t>지능형 보안통신기술, 자연풍 냉각 함체 기술, 내진기술을 적용한 배전반,계장제어장치</t>
  </si>
  <si>
    <t>전동기제어반_x000D_
(CYGV-M-JO-1 등 31종</t>
  </si>
  <si>
    <t>지능형 IoT 보안기술 스마트 내진형 수배전반, 제어반</t>
  </si>
  <si>
    <t>2020-00641</t>
  </si>
  <si>
    <t>분전반_x000D_
(CYGV-D-01(EX) 등 22종)</t>
  </si>
  <si>
    <t>2020-00643</t>
  </si>
  <si>
    <t>계장제어장치_x000D_
(CYGV-A)</t>
  </si>
  <si>
    <t>2020-00645</t>
  </si>
  <si>
    <t>2019-03-0001</t>
  </si>
  <si>
    <t>15523 경기도 안산시 상록구 양지마을3길 19-4 2층</t>
  </si>
  <si>
    <t>hihip@hihip.co.kr</t>
  </si>
  <si>
    <t>010-2070-0105</t>
  </si>
  <si>
    <t>안현구</t>
  </si>
  <si>
    <t>567-87-01013</t>
  </si>
  <si>
    <t>(주)나인테크놀로지</t>
  </si>
  <si>
    <t>일반의자 위에 올려놓고 앉는 기능성 방석(골반교정특허 기술적용으로 틀어진 골반을 바르게)</t>
  </si>
  <si>
    <t>방석</t>
  </si>
  <si>
    <t>하이힙 골반교정방석(가로450*세로412*높이75mm)</t>
  </si>
  <si>
    <t>하이힙 골반교정방석</t>
  </si>
  <si>
    <t>2020-00646</t>
  </si>
  <si>
    <t>2020-06-02 ~ 2023-06-01</t>
  </si>
  <si>
    <t>2020-02</t>
  </si>
  <si>
    <t>22857 인천광역시 서구 북항로363번길 27 B동</t>
  </si>
  <si>
    <t>dhw7667@naver.com</t>
  </si>
  <si>
    <t>032-577-7667</t>
  </si>
  <si>
    <t>한승덕</t>
  </si>
  <si>
    <t>남궁원</t>
  </si>
  <si>
    <t>137-81-71029</t>
  </si>
  <si>
    <t>(주)대현목재</t>
  </si>
  <si>
    <t>시공이 빠르고 유지보수가 쉬우며 기존 대비 사용연한이 증가된 천연하드우드 바닥데크 시스템</t>
  </si>
  <si>
    <t>DHDS-DECK2101,DHDS-DECK2102,DHDS-DECK2103,DHDS-DECK2201,DHDS-DECK2202,DHDS-DECK2203,DHDS-DECK3101,DHDS-DECK3102,DHDS-DECK3103,DHDS-DECK3201,DHDS-DECK3202,DHDS-DECK3203,DHDS-DECK4101,DHDS-DECK4102,DHDS-DECK4103,DHDS-DECK5101,DHDS-DECK5102,DHDS-DECK5103,DHDS-DECK6101,DHDS-DECK6102,DHDS-DECK6103,DHDS-DECK6201,DHDS-DECK6202,DHDS-DECK6203</t>
  </si>
  <si>
    <t>GRCU데크</t>
  </si>
  <si>
    <t>2020-00647</t>
  </si>
  <si>
    <t>2018-1460</t>
  </si>
  <si>
    <t>12202 경기도 남양주시 와부읍 수레로 761 가동</t>
  </si>
  <si>
    <t>jbcc@chol.com</t>
  </si>
  <si>
    <t>031-577-7123</t>
  </si>
  <si>
    <t>이주성</t>
  </si>
  <si>
    <t>132-86-30601</t>
  </si>
  <si>
    <t>제이비씨씨 (주)</t>
  </si>
  <si>
    <t>옥외및,고천장에 사용됨  등기구일체형보다는 모듈화로구성된제품 광범위한 배광곡선 유지관리편리</t>
  </si>
  <si>
    <t>JBC310-FLO33-800W-SQU.등 30</t>
  </si>
  <si>
    <t>LED투광등</t>
  </si>
  <si>
    <t>2020-00648</t>
  </si>
  <si>
    <t>2018-06-15 ~ 2021-06-14</t>
  </si>
  <si>
    <t>제2018-02-0130호</t>
  </si>
  <si>
    <t>자연유래계면활성제를 첨가한 치약과 수제비누 세트</t>
  </si>
  <si>
    <t>치약</t>
  </si>
  <si>
    <t>NB-013, NB-014, NB-015</t>
  </si>
  <si>
    <t>내추럴옥이치약세트 5종 NB-013외 총 2건</t>
  </si>
  <si>
    <t>2020-00649</t>
  </si>
  <si>
    <t>제 2018-12-0021 호</t>
  </si>
  <si>
    <t>13636 경기도 성남시 분당구 성남대로 69 802호(구미동,로드랜드이지타워)</t>
  </si>
  <si>
    <t>hj350i@naver.com</t>
  </si>
  <si>
    <t>010-2269-1870</t>
  </si>
  <si>
    <t>유홍진</t>
  </si>
  <si>
    <t>박종석</t>
  </si>
  <si>
    <t>255-86-00676</t>
  </si>
  <si>
    <t>멀티탭 내부에서 여러 요인으로 발화시 자동감지후 자동소화까지하는 멀티탭</t>
  </si>
  <si>
    <t>SFEX Inside-6구개별.3M / SFEX Inside-4구개별.3M / SFEX Inside-4구메인.3M</t>
  </si>
  <si>
    <t>자동소화 멀티탭 및 콘센트</t>
  </si>
  <si>
    <t>2020-00653</t>
  </si>
  <si>
    <t>2020-07-13 ~ 2023-07-12</t>
  </si>
  <si>
    <t>2020-1-4270015</t>
  </si>
  <si>
    <t>04789 서울특별시 성동구 아차산로 17 1405호(성수동 1가, 서울숲 L-Tower)</t>
  </si>
  <si>
    <t>hongsu.kim@starkoff.co.kr</t>
  </si>
  <si>
    <t>010-8768-7495</t>
  </si>
  <si>
    <t>김홍수</t>
  </si>
  <si>
    <t>안태효</t>
  </si>
  <si>
    <t>119-86-79294</t>
  </si>
  <si>
    <t>주식회사 스타코프</t>
    <phoneticPr fontId="20" type="noConversion"/>
  </si>
  <si>
    <t>EV/PHEV 등 전기차 완속충전을 제공하기 위한 콘센트 형태의 전기차 완속충전기</t>
  </si>
  <si>
    <t>전력량계</t>
  </si>
  <si>
    <t>STARCC V1.1</t>
  </si>
  <si>
    <t>스마트 IoT e모빌리티 충전용 과금형 콘센트</t>
  </si>
  <si>
    <t>2020-00658</t>
  </si>
  <si>
    <t>2020-11-04 ~ 2023-11-03</t>
  </si>
  <si>
    <t>20-AAZ0498 / 20-AAZ0497</t>
  </si>
  <si>
    <t>18580 경기도 화성시 장안면 금의당골길 38-97 반도호이스트크레인(주)</t>
  </si>
  <si>
    <t>hansol0471@naver.com</t>
  </si>
  <si>
    <t>031-352-6294</t>
  </si>
  <si>
    <t>강민규</t>
  </si>
  <si>
    <t>강현규</t>
  </si>
  <si>
    <t>124-87-00495</t>
  </si>
  <si>
    <t>반도호이스트크레인 주식회사</t>
    <phoneticPr fontId="20" type="noConversion"/>
  </si>
  <si>
    <t>크레인 주행및 횡행시 흔들림 방지 제어 및 플랜지 마모를 방지 하는 제품</t>
  </si>
  <si>
    <t>BDC-A형 / BDC-B형</t>
  </si>
  <si>
    <t>크레인의 안티스웨이 시스템 / 크레인 주행장치의 플랜지 마모방지 시스템</t>
  </si>
  <si>
    <t>2020-00660</t>
  </si>
  <si>
    <t>2020-06-12 ~ 2022-06-11</t>
  </si>
  <si>
    <t>A2018-1210427</t>
  </si>
  <si>
    <t>48069 부산광역시 해운대구 해운대로 1164-21 주식회사 앤츠</t>
  </si>
  <si>
    <t>010-4918-3023</t>
  </si>
  <si>
    <t>운전실에 설치되어 기관사가 열차정보를 입력 및 ATP 장치으로부터의 데이터를 현시하는 기능</t>
  </si>
  <si>
    <t>KRCS B530 1종, KTX ATP MMI</t>
  </si>
  <si>
    <t>KTX ATP용 MMI</t>
  </si>
  <si>
    <t>2020-00663</t>
  </si>
  <si>
    <t>2020-03-18 ~ 2023-03-17</t>
  </si>
  <si>
    <t>2017-S2543202</t>
  </si>
  <si>
    <t>17385 경기도 이천시 마장면 덕이로 180-89 (주)솔브</t>
  </si>
  <si>
    <t>solve@chol.com</t>
  </si>
  <si>
    <t>070-4225-1889</t>
  </si>
  <si>
    <t>조두혁</t>
  </si>
  <si>
    <t>최정미</t>
  </si>
  <si>
    <t>287-86-00106</t>
  </si>
  <si>
    <t>내외부 녹 발생이 없는 내식성을 강화한 비금속 버터플라이밸브</t>
  </si>
  <si>
    <t>버터플라이밸브</t>
  </si>
  <si>
    <t>SV-M1PE13-200-1 포함 76종</t>
  </si>
  <si>
    <t>내식성을 강화한 여과지용 비금속 밸브 개발</t>
  </si>
  <si>
    <t>2020-00664</t>
  </si>
  <si>
    <t>제27-445</t>
  </si>
  <si>
    <t>난간(펜스) 상부에 투신방지 회전롤러를 설치하여 교량용 투신자살방지하는 교량난간</t>
  </si>
  <si>
    <t>알루미늄제교량난간</t>
  </si>
  <si>
    <t>ALZ-SP-022, ALZ-SP-023,_x000D_
ALZ-SP-024</t>
  </si>
  <si>
    <t>월담방지 회전롤러 및 감지기술을 적용한 보안용 울타리(교량용 투신자살방지 난간)</t>
  </si>
  <si>
    <t>2020-00666</t>
  </si>
  <si>
    <t>2018-10-01 ~ 2021-09-30</t>
  </si>
  <si>
    <t>2018-20181206</t>
  </si>
  <si>
    <t>43013 대구광역시 달성군 구지면 달성2차동1로 195 두정</t>
  </si>
  <si>
    <t>hoyayan88@gmail.com</t>
  </si>
  <si>
    <t>010-4612-7255</t>
  </si>
  <si>
    <t>정대호</t>
  </si>
  <si>
    <t>867-02-00519</t>
  </si>
  <si>
    <t>코코넛섬유와 라텍스를 이용한 천연섬유 실내/외 겸용 탄성바닥재</t>
  </si>
  <si>
    <t>고무매트</t>
  </si>
  <si>
    <t>500*500*50Tmm</t>
  </si>
  <si>
    <t>코코블럭</t>
  </si>
  <si>
    <t>2020-00667</t>
  </si>
  <si>
    <t>20-0437</t>
  </si>
  <si>
    <t>10364 경기도 고양시 일산동구 고봉로 32-19 고양 스마트시티센터 503호 Lab3</t>
  </si>
  <si>
    <t>jbk@insvision.kr</t>
  </si>
  <si>
    <t>010-3179-5800</t>
  </si>
  <si>
    <t>정봉근</t>
  </si>
  <si>
    <t>785-46-00230</t>
  </si>
  <si>
    <t>디지털 콘텐츠(이미지, 동영상 등)와 공공데이터를 클라우드를 통해 콘텐츠 운영관리 솔루션</t>
  </si>
  <si>
    <t>원박스 1</t>
  </si>
  <si>
    <t>2020-00668</t>
  </si>
  <si>
    <t>2020-06-0025</t>
  </si>
  <si>
    <t>15432 경기도 안산시 단원구 연수원로 64 중소벤처기업진흥공단 POST BI 105호</t>
  </si>
  <si>
    <t>ljc1202@n-ark.com</t>
  </si>
  <si>
    <t>010-8718-6616</t>
  </si>
  <si>
    <t>임준철</t>
  </si>
  <si>
    <t>한병진</t>
  </si>
  <si>
    <t>119-86-64452</t>
  </si>
  <si>
    <t>주식회사 나르크테크놀로지</t>
  </si>
  <si>
    <t>MPoE시스템은  한 회선에  여러대의 CCTV, Wi-Fi, 인터넷 전화를 설치</t>
  </si>
  <si>
    <t>송신기</t>
  </si>
  <si>
    <t>NRK-P6405, NRK-GP6494, NRK-3R601, NRK-4R301, NRK-GE301</t>
  </si>
  <si>
    <t>MPoE 인젝터 NRK-P6405 외 총 4건</t>
  </si>
  <si>
    <t>2020-00669</t>
  </si>
  <si>
    <t>2020-04-14 ~ 2022-04-13</t>
  </si>
  <si>
    <t>20-CHZ0331</t>
  </si>
  <si>
    <t>54801 전라북도 전주시 덕진구 신성길 59 -</t>
  </si>
  <si>
    <t>q24x75@hanmail.net</t>
  </si>
  <si>
    <t>063-212-9994</t>
  </si>
  <si>
    <t>백선하</t>
  </si>
  <si>
    <t>이재현</t>
  </si>
  <si>
    <t>418-07-84442</t>
  </si>
  <si>
    <t>미동체어</t>
  </si>
  <si>
    <t>슬라이딩 장치를 통한 사무용(작업용)의자로서 의자가 사람에게 맞춰주는 편안한 의자</t>
  </si>
  <si>
    <t>MDC17A, MDC17B, MDC17C</t>
  </si>
  <si>
    <t>하중 착탈방식이 적용된 사무용 의자</t>
  </si>
  <si>
    <t>2020-00670</t>
  </si>
  <si>
    <t>2020-11-10 ~ 2023-11-09</t>
  </si>
  <si>
    <t>2020155</t>
  </si>
  <si>
    <t>15655 경기도 안산시 단원구 시화벤처로 481 산일전기(주)</t>
  </si>
  <si>
    <t>변압기 권선을 몰드 처리 및 코어에 냉각 덕트를 적용하여 절연 및 냉각 성능을 개선</t>
  </si>
  <si>
    <t>철도용단권변압기</t>
  </si>
  <si>
    <t>SMT-1H-7500KM 외 3종</t>
  </si>
  <si>
    <t>냉각 덕트를 이용하여 변압기 효율을 향상시킨 몰드변압기</t>
  </si>
  <si>
    <t>2020-00671</t>
  </si>
  <si>
    <t>2020-11-11 ~ 2022-09-21</t>
  </si>
  <si>
    <t>1267</t>
  </si>
  <si>
    <t>46726 부산광역시 강서구 명지국제2로 80 3-21</t>
  </si>
  <si>
    <t>sales@ecowave.kr</t>
  </si>
  <si>
    <t>010-6284-5654</t>
  </si>
  <si>
    <t>진영욱</t>
  </si>
  <si>
    <t>안성민</t>
  </si>
  <si>
    <t>162-86-00656</t>
  </si>
  <si>
    <t>(주)에코웨이브</t>
  </si>
  <si>
    <t>발전소 및 해양플랜트의 취수구 및 모재의 해양 동식물의 오염방지(Antifouling)</t>
  </si>
  <si>
    <t>특수페인트</t>
  </si>
  <si>
    <t>ECOKEMI EK 0713(G)</t>
  </si>
  <si>
    <t>실릴(Silyl) 자가마모형 방오도료 (ECOKEMI EK 0713(G))</t>
  </si>
  <si>
    <t>2020-00673</t>
  </si>
  <si>
    <t>제 2020-006호</t>
  </si>
  <si>
    <t>06633 서울특별시 서초구 서초대로 314 정보통신공제조합빌딩, 10층</t>
  </si>
  <si>
    <t>bschoi@innogrid.com</t>
  </si>
  <si>
    <t>010-9035-5699</t>
  </si>
  <si>
    <t>최범수</t>
  </si>
  <si>
    <t>김명진</t>
  </si>
  <si>
    <t>220-87-36743</t>
  </si>
  <si>
    <t>(주)이노그리드</t>
  </si>
  <si>
    <t>가상화 기술을 통해 IT인프라 자원을 통합, 분할하여, 효율적으로 자원을 관리</t>
  </si>
  <si>
    <t>유틸리티소프트웨어</t>
  </si>
  <si>
    <t>Cloudit(TM) V5</t>
  </si>
  <si>
    <t>오픈소스 기반의 클라우드 플랫폼 솔루션 클라우드잇</t>
  </si>
  <si>
    <t>2020-00678</t>
  </si>
  <si>
    <t>2019138</t>
  </si>
  <si>
    <t>05836 서울특별시 송파구 법원로9길 26 H비즈니스파크 C동 406, 407, 408호</t>
  </si>
  <si>
    <t>jkm@ndas.kr</t>
  </si>
  <si>
    <t>070-4530-6327</t>
  </si>
  <si>
    <t>장경민</t>
  </si>
  <si>
    <t>김상훈</t>
  </si>
  <si>
    <t>105-87-28982</t>
  </si>
  <si>
    <t>(주)앤다스</t>
    <phoneticPr fontId="20" type="noConversion"/>
  </si>
  <si>
    <t>공공기관 및 각종 산업현장 등에 카메라, 센서 등 장치를 통합 관제 하는 시스템</t>
  </si>
  <si>
    <t>EN-HMR0001외 189종</t>
  </si>
  <si>
    <t>메인화면과 관련영상을 동시 제공하여 검색효율을 향상시킨 CCTV시스템</t>
  </si>
  <si>
    <t>2020-00679</t>
  </si>
  <si>
    <t>2020-09-10 ~ 2023-09-09</t>
  </si>
  <si>
    <t>20-ABZ0389</t>
  </si>
  <si>
    <t>13204 경기도 성남시 중원구 순환로226번길 14 7층 오르비스</t>
  </si>
  <si>
    <t>sjunho@orbis1.co.kr</t>
  </si>
  <si>
    <t>031-739-6152</t>
  </si>
  <si>
    <t>송준호</t>
  </si>
  <si>
    <t>소수일</t>
  </si>
  <si>
    <t>120-81-59987</t>
  </si>
  <si>
    <t>(주)오르비스</t>
  </si>
  <si>
    <t>발전용 보일러 튜브의 누설을 고감도 센서를 이용하여 조기에 감지, 고장파급을 예방하는 설비</t>
  </si>
  <si>
    <t>감시장치</t>
  </si>
  <si>
    <t>BTLD</t>
  </si>
  <si>
    <t>보일러튜브누설감지시스템(BTLD)</t>
  </si>
  <si>
    <t>2020-00680</t>
  </si>
  <si>
    <t>18-0333</t>
  </si>
  <si>
    <t>06235 서울특별시 강남구 테헤란로20길 20 5층 (역삼동, 삼정빌딩)</t>
  </si>
  <si>
    <t>mypark@innotree.com</t>
  </si>
  <si>
    <t>02-563-9066</t>
  </si>
  <si>
    <t>박미영</t>
  </si>
  <si>
    <t>김병근</t>
  </si>
  <si>
    <t>220-88-29991</t>
  </si>
  <si>
    <t>(주)이노트리</t>
  </si>
  <si>
    <t>데이터 통합 솔루션으로 다양한 유형의 데이터 통합과 운영 업무를 수행합니다.</t>
  </si>
  <si>
    <t>InnoQuartz v4.2</t>
  </si>
  <si>
    <t>이노쿼츠 v4.2</t>
  </si>
  <si>
    <t>2020-00683</t>
  </si>
  <si>
    <t>제2029-12-0071호</t>
  </si>
  <si>
    <t>08394 서울특별시 구로구 디지털로 242 1305호</t>
  </si>
  <si>
    <t>mslee@xcell.co.kr</t>
  </si>
  <si>
    <t>070-8896-7933</t>
  </si>
  <si>
    <t>이명석</t>
  </si>
  <si>
    <t>이의일</t>
  </si>
  <si>
    <t>534-86-00230</t>
  </si>
  <si>
    <t>(주)엑셀세라퓨틱스</t>
  </si>
  <si>
    <t>중간엽 줄기세포용 무혈청 화학조성 배양배지</t>
  </si>
  <si>
    <t>배지</t>
  </si>
  <si>
    <t>YSP001</t>
  </si>
  <si>
    <t>무혈청 화학조성 배양배지 (CellCor CD MSC)</t>
  </si>
  <si>
    <t>2020-00686</t>
  </si>
  <si>
    <t>2018-20181183</t>
  </si>
  <si>
    <t>08504 서울특별시 금천구 서부샛길 606 대성디폴리스 A동 2903-1호</t>
  </si>
  <si>
    <t>nsyd402@techonvision.com</t>
  </si>
  <si>
    <t>02-2697-8968</t>
  </si>
  <si>
    <t>사영두</t>
  </si>
  <si>
    <t>박명주</t>
  </si>
  <si>
    <t>750-86-00337</t>
  </si>
  <si>
    <t>주식회사 테크온비젼</t>
  </si>
  <si>
    <t>업무PC와 인터넷 PC 화면을 동시에 보면서 작업할 수있는 화면분할 모니터</t>
  </si>
  <si>
    <t>액정모니터</t>
  </si>
  <si>
    <t>TOV-270M / TOV-230M _x000D_
TOV-271M</t>
  </si>
  <si>
    <t>물리적 화면분할 모니터</t>
  </si>
  <si>
    <t>2020-00687</t>
  </si>
  <si>
    <t>2020-02-06 ~ 2023-02-05</t>
  </si>
  <si>
    <t>20-0059</t>
  </si>
  <si>
    <t>04607 서울특별시 중구 동호로14길 11 5층</t>
  </si>
  <si>
    <t>cjy@ebaytech.co.kr</t>
  </si>
  <si>
    <t>02-6925-6130</t>
  </si>
  <si>
    <t>최재영</t>
  </si>
  <si>
    <t>황경구</t>
  </si>
  <si>
    <t>215-86-61490</t>
  </si>
  <si>
    <t>(주)이베이테크</t>
  </si>
  <si>
    <t>분리된 망 환경에서 단절된 네트워크로 인한 출력 장애의 해결 및 프린터 운영비용 절감</t>
  </si>
  <si>
    <t>프린터 연계 시스템 v1.0 (ExPrint v1.0)</t>
  </si>
  <si>
    <t>2020-00690</t>
  </si>
  <si>
    <t>20-AAZ0431</t>
  </si>
  <si>
    <t>11190 경기도 포천시 내촌면 내진로 116-2 603-21</t>
  </si>
  <si>
    <t>kki7869@daum.net</t>
  </si>
  <si>
    <t>031-528-8781</t>
  </si>
  <si>
    <t>김광일</t>
  </si>
  <si>
    <t>127-30-42904</t>
  </si>
  <si>
    <t>광일판금</t>
  </si>
  <si>
    <t>CCTV지주로서상단360도회전과암대을접을수있어설치나 A/S가편리하고작업자의사고을줄일수있음</t>
  </si>
  <si>
    <t>금속기둥</t>
  </si>
  <si>
    <t>KCP-02-3M3_x000D_
KCP-02-6M3_x000D_
STS방수함체(400X500X200)</t>
  </si>
  <si>
    <t>회전기능과 접이식암대를 통하여 유지보수가 용이한cctv지주와 방수방진 기능을 가진SUS함체</t>
  </si>
  <si>
    <t>2020-00691</t>
  </si>
  <si>
    <t>18-0291</t>
  </si>
  <si>
    <t>34129 대전광역시 유성구 가정로 218 ETRI 융합기술연구생산센터 315호</t>
  </si>
  <si>
    <t>kirk.lee@watchmile.com</t>
  </si>
  <si>
    <t>031-698-3793</t>
  </si>
  <si>
    <t>이규헌</t>
  </si>
  <si>
    <t>정상수</t>
  </si>
  <si>
    <t>314-86-53337</t>
  </si>
  <si>
    <t>주식회사 엠투브</t>
  </si>
  <si>
    <t>정밀 디지털 맵 기반 실내외 주차장 내 공석 위치 정보 제공 및 정밀 내비게이션 시스템</t>
  </si>
  <si>
    <t>WatchMile v2.0</t>
  </si>
  <si>
    <t>2020-00692</t>
  </si>
  <si>
    <t>2020-08-21 ~ 2023-08-20</t>
  </si>
  <si>
    <t>2020-08-0017</t>
  </si>
  <si>
    <t>08323 서울특별시 구로구 구일로10길 27 SK허브수 B동 827호</t>
  </si>
  <si>
    <t>jhshin@nownever.co.kr</t>
  </si>
  <si>
    <t>02-851-2057</t>
  </si>
  <si>
    <t>신종호</t>
  </si>
  <si>
    <t>오세민</t>
  </si>
  <si>
    <t>493-87-01648</t>
  </si>
  <si>
    <t>주식회사 나우네버</t>
    <phoneticPr fontId="20" type="noConversion"/>
  </si>
  <si>
    <t>개인정보 문서의 파기증빙 생성과 파기이력의 전자적 기록관리, 개인정보의 안전한 제3자 제공</t>
  </si>
  <si>
    <t>Privacy-X v1.0_x000D_
PRIVACY-WITH v1.0</t>
  </si>
  <si>
    <t>개인정보 파기이력 관리 솔루션 (PRIVACY-X v1.0), 개인정보 제3자 제공 솔루션 (PRIVACY-WITH v1.0)</t>
  </si>
  <si>
    <t>2020-00693</t>
  </si>
  <si>
    <t>2020-08-25 ~ 2023-08-24</t>
  </si>
  <si>
    <t>20-ABZ0361</t>
  </si>
  <si>
    <t>21984 인천광역시 연수구 송도과학로16번길 13-18 310호</t>
  </si>
  <si>
    <t>ask@bolttehc.co.kr</t>
  </si>
  <si>
    <t>032-813-5953</t>
  </si>
  <si>
    <t>이유진</t>
  </si>
  <si>
    <t>김청호</t>
  </si>
  <si>
    <t>137-21-48785</t>
  </si>
  <si>
    <t>볼트테크파워볼팅</t>
  </si>
  <si>
    <t xml:space="preserve">원자력, 화력, 수력발전소 증기터빈 및 가스터빈의 대형볼트(히팅볼트라고도 함) 분해조립용 </t>
  </si>
  <si>
    <t>가열기</t>
  </si>
  <si>
    <t>EBHS-120</t>
  </si>
  <si>
    <t>터빈 케이싱 체결볼트용 저주파방식 인덕션히팅시스템</t>
  </si>
  <si>
    <t>2020-00695</t>
  </si>
  <si>
    <t>2020-09-29 ~ 2023-09-28</t>
  </si>
  <si>
    <t>제2020-3-7310061호</t>
  </si>
  <si>
    <t>08510 서울특별시 금천구 디지털로9길 99 (가산동, 스타밸리 701-703호)</t>
  </si>
  <si>
    <t>makim@pclchip.com</t>
  </si>
  <si>
    <t>010-3946-2787</t>
  </si>
  <si>
    <t>김명아</t>
  </si>
  <si>
    <t>김소연</t>
  </si>
  <si>
    <t>138-81-45543</t>
  </si>
  <si>
    <t>피씨엘(주)</t>
  </si>
  <si>
    <t>피페팅,세척,히팅 및 형광반응판독의 단계를 수행하는 수동분석 절차를 자동화하기 위한장치</t>
  </si>
  <si>
    <t>의료용면역형광측정장치</t>
  </si>
  <si>
    <t>의료용면역형광측정장치(HiSU Multi ELISA)</t>
  </si>
  <si>
    <t>기술혁신을 통한 면역검사 시스템 국산화</t>
  </si>
  <si>
    <t>2020-00700</t>
  </si>
  <si>
    <t>19-AAI0187</t>
  </si>
  <si>
    <t>11192 경기도 포천시 내촌면 매봉길 22-65 라동</t>
  </si>
  <si>
    <t>forever0609@myds.co.kr</t>
  </si>
  <si>
    <t>031-732-1981</t>
  </si>
  <si>
    <t>이정원</t>
  </si>
  <si>
    <t>이용석</t>
  </si>
  <si>
    <t>129-86-62922</t>
  </si>
  <si>
    <t>(주)동성이엔지앤디자인</t>
  </si>
  <si>
    <t>랙( RACK )또는 시설물 하부에 설치하여 지진 혹은 진동에 대비 하는 장치</t>
  </si>
  <si>
    <t>진동방지장치</t>
  </si>
  <si>
    <t>DS-PO-T375-w90_x000D_
DS-PO-T375-w100_x000D_
DS-PO-T375-w110_x000D_
DS-PO-T375-w120</t>
  </si>
  <si>
    <t>LM가이드를 이용한 교차식 8각 면진테이블</t>
  </si>
  <si>
    <t>2020-00705</t>
  </si>
  <si>
    <t>2019-05-12 ~ 2022-05-11</t>
  </si>
  <si>
    <t>2016001-04</t>
  </si>
  <si>
    <t>38810 경상북도 영천시 화남면 한천길 131-66 (주)삼성조경</t>
  </si>
  <si>
    <t>samsung1401@naver.com</t>
  </si>
  <si>
    <t>054-333-1401</t>
  </si>
  <si>
    <t>정현철</t>
  </si>
  <si>
    <t>조규철</t>
  </si>
  <si>
    <t>505-81-44083</t>
  </si>
  <si>
    <t>(주)삼성조경</t>
  </si>
  <si>
    <t>기둥구조 개선을 통해 내풍성 및 구조강성을 강화하고 내부식성능 및 시공성을 향상시킨 퍼걸러</t>
  </si>
  <si>
    <t>퍼걸러</t>
  </si>
  <si>
    <t>퍼걸러, SS-8468-5 외 23종</t>
  </si>
  <si>
    <t>2020-00709</t>
  </si>
  <si>
    <t>제2019-0205호</t>
  </si>
  <si>
    <t>21690 인천광역시 남동구 남동동로153번길 36 동우유체기계</t>
  </si>
  <si>
    <t>dongwpump@naver.com</t>
  </si>
  <si>
    <t>010-5297-7433</t>
  </si>
  <si>
    <t>심영주</t>
  </si>
  <si>
    <t>이재웅</t>
  </si>
  <si>
    <t>121-09-12785</t>
  </si>
  <si>
    <t>동우유체기계</t>
  </si>
  <si>
    <t>최적형상 설계 및 소재의 선정을 통해 마모속도를 최소화하여 장시간의 펌프 수명, 성능 유지</t>
  </si>
  <si>
    <t>원심슬러리펌프(ST-F1 1.5x1, ST-F1 2x1.5, ST-F2 3x2, ST-F2 4x3, ST-F3 6x4, ST-F4 8x6, ST-F4 10x8)</t>
  </si>
  <si>
    <t>원심슬러리펌프</t>
  </si>
  <si>
    <t>2020-00710</t>
  </si>
  <si>
    <t>2020-08-06 ~ 2023-08-05</t>
  </si>
  <si>
    <t>제2020-557호</t>
  </si>
  <si>
    <t>25249 강원도 횡성군 우천면 수남로266번길 8 3호</t>
  </si>
  <si>
    <t>info@so-net.co</t>
  </si>
  <si>
    <t>033-342-6203</t>
  </si>
  <si>
    <t>박준후</t>
  </si>
  <si>
    <t>박용복</t>
  </si>
  <si>
    <t>223-81-12087</t>
  </si>
  <si>
    <t>(주)에스오넷</t>
  </si>
  <si>
    <t>주차 상태 자기 분석 기술을 적용한 지능형 불법 주정차 단속시스템입니다.</t>
  </si>
  <si>
    <t>무인교통감시장치</t>
  </si>
  <si>
    <t>SON-D01</t>
  </si>
  <si>
    <t>주차상태 자기분석 검지 방법을 적용한 지능형 불법 주정차 단속시스템</t>
  </si>
  <si>
    <t>2020-00711</t>
  </si>
  <si>
    <t>LED 다운라이트, 투광등 등 NEP 인증을 받은 업계 유일 A/S 5년 제품</t>
  </si>
  <si>
    <t>LPPL-S-10-A/H (100W), LPPL-S-04-R/H (40W), LPPL-S-08-R/H (80W), LPPL-S-04-S/H(40W), LPPL-S-08-S/H(80W)</t>
  </si>
  <si>
    <t>2020-00714</t>
  </si>
  <si>
    <t>2018-07-05 ~ 2021-07-04</t>
  </si>
  <si>
    <t xml:space="preserve">33-058호 </t>
  </si>
  <si>
    <t>61186 광주광역시 북구 용봉로 77 농업전문창업보육센터 102호</t>
  </si>
  <si>
    <t>mina@bio3s.com</t>
  </si>
  <si>
    <t>062-973-0331</t>
  </si>
  <si>
    <t>조민아</t>
  </si>
  <si>
    <t>김두운</t>
  </si>
  <si>
    <t>372-87-00681</t>
  </si>
  <si>
    <t>(주)바이오쓰리에스</t>
  </si>
  <si>
    <t xml:space="preserve">작두콩 유래 천연단백 함유 항바이러스 손세정제 </t>
  </si>
  <si>
    <t>손세정제</t>
  </si>
  <si>
    <t xml:space="preserve">노로-X 50ml, 노로-X 250ml </t>
  </si>
  <si>
    <t xml:space="preserve">노로-X </t>
  </si>
  <si>
    <t>2020-00715</t>
  </si>
  <si>
    <t>제2019-012-0086호</t>
  </si>
  <si>
    <t>05399 서울특별시 강동구 성안로3길 120 (주) 대원포티스</t>
  </si>
  <si>
    <t>ylufang@gmail.com</t>
  </si>
  <si>
    <t>02-3426-0013</t>
  </si>
  <si>
    <t>정승용</t>
  </si>
  <si>
    <t>정필동</t>
  </si>
  <si>
    <t>212-81-18155</t>
  </si>
  <si>
    <t>(주)대원포티스</t>
    <phoneticPr fontId="20" type="noConversion"/>
  </si>
  <si>
    <t>승마의 보법을 구현해 가상 스포츠 및 승마 교육을 할수 있는 제품입니다.</t>
  </si>
  <si>
    <t>말타기운동기구</t>
  </si>
  <si>
    <t>말타기 운동기구 FORTIS 201 외 12종</t>
  </si>
  <si>
    <t>2020-00717</t>
  </si>
  <si>
    <t>2017-04-10 ~ 2021-04-09</t>
  </si>
  <si>
    <t>제2017-01-0076호</t>
  </si>
  <si>
    <t>51347 경상남도 창원시 마산회원구 봉암북7길 21 6동 7층 702-1호(봉암동, 정보산업진흥본부)</t>
  </si>
  <si>
    <t>hoo7987@hanmail.net</t>
  </si>
  <si>
    <t>070-8830-9000</t>
  </si>
  <si>
    <t>구진수</t>
  </si>
  <si>
    <t>이창훈</t>
  </si>
  <si>
    <t>420-87-00355</t>
  </si>
  <si>
    <t>주식회사 글로벌코딩연구소</t>
  </si>
  <si>
    <t>체험형 텍스트 기반 IoT 코딩 교육 콘텐츠</t>
  </si>
  <si>
    <t>조립형전자키트</t>
  </si>
  <si>
    <t>코D알고, 실습형 IoT 프로그래밍 입문 키트</t>
  </si>
  <si>
    <t>2020-00719</t>
  </si>
  <si>
    <t>2019-08-07 ~ 2022-08-06</t>
  </si>
  <si>
    <t>2019-0916</t>
  </si>
  <si>
    <t>21693 인천광역시 남동구 능허대로 735 3.4층</t>
  </si>
  <si>
    <t>ql9577@qlql.co.kr</t>
  </si>
  <si>
    <t>032-201-9577</t>
  </si>
  <si>
    <t>김수영</t>
  </si>
  <si>
    <t>709-86-00396</t>
  </si>
  <si>
    <t>범죄예방환경설계(셉테드, CPTED)기법을 적용한 LED조명장치</t>
  </si>
  <si>
    <t>LED경관조명기구</t>
  </si>
  <si>
    <t xml:space="preserve">QLLED30-1,30W    QLLED80-1,80W_x000D_
QLLED80-4,80W    QLLED60-4,60W_x000D_
QLLED100-1,100W  QLLED100-4,100W_x000D_
QLLED200-1        QLLED200-4 _x000D_
QLLEDRPS30-1      QLLEDRPS60-1_x000D_
QLLEDRPS60-4      QLLEDLO80-4S </t>
  </si>
  <si>
    <t>큐엘젝터</t>
  </si>
  <si>
    <t>2020-00731</t>
  </si>
  <si>
    <t>2020-01-13 ~ 2023-01-12</t>
  </si>
  <si>
    <t>20CBZ0083</t>
  </si>
  <si>
    <t>15432 경기도 안산시 단원구 연수원로 104-14 305호</t>
  </si>
  <si>
    <t>hdunkw@naver.com</t>
  </si>
  <si>
    <t>031-509-1268</t>
  </si>
  <si>
    <t>하정우</t>
  </si>
  <si>
    <t>노복자</t>
  </si>
  <si>
    <t>267-87-00040</t>
  </si>
  <si>
    <t>주식회사 하이테크아엔씨</t>
    <phoneticPr fontId="20" type="noConversion"/>
  </si>
  <si>
    <t>이중화구조의 직류전원공급장치는 발전소 및 전력산업의 주제어 전산설비에 필요한 장비</t>
  </si>
  <si>
    <t>HTI-DUAL-24D_x000D_
HTI-DUAL-24F</t>
  </si>
  <si>
    <t>이중화구조의 직류전원공급장치</t>
  </si>
  <si>
    <t>2020-00733</t>
  </si>
  <si>
    <t>2019-0911</t>
  </si>
  <si>
    <t>50638 경상남도 양산시 동면 석산1길 5 SPIDER SM</t>
  </si>
  <si>
    <t>asgo@daum.net</t>
  </si>
  <si>
    <t>055-384-7705</t>
  </si>
  <si>
    <t>이상배</t>
  </si>
  <si>
    <t>진정화</t>
  </si>
  <si>
    <t>617-05-53862</t>
  </si>
  <si>
    <t>SPIDER SM</t>
  </si>
  <si>
    <t>발전소 시설 및 설비에 대한 수리, 정비 작업 시 필요한 작업용 전원 공급함</t>
  </si>
  <si>
    <t>MAPD-310E-CH2B, MAPD-310E-CH2S, MAPD-310E-CH3B, MAPD-310E-CH3S, MAPD-310E-CH4B, MAPD-310E-CH4S, MAPD-320S-CH2S, MAPD-410S-L6F2, MAPD-205S-22SC, MAPD-405S-38SC, MAPD-410S-38SC, SSPD-305E-22SC, SSPD-310E-48SC, SSPD-310E-42SC, PMTB-210S-2P22, PMTB-310S-3P48, PMPD-310E-432B, PMPS-310E-4321</t>
  </si>
  <si>
    <t>SPIDER 안전 분전반</t>
  </si>
  <si>
    <t>2020-00735</t>
  </si>
  <si>
    <t>20-AAZ0228</t>
  </si>
  <si>
    <t>15843 경기도 군포시 엘에스로 13 신일IT유토 101~104호</t>
  </si>
  <si>
    <t>8733333@daum.net</t>
  </si>
  <si>
    <t>02-873-3333</t>
  </si>
  <si>
    <t>이건수</t>
  </si>
  <si>
    <t>119-81-27582</t>
  </si>
  <si>
    <t>한국공조기술개발(주)</t>
    <phoneticPr fontId="20" type="noConversion"/>
  </si>
  <si>
    <t>버려지는 폐열을 활용하여 제습효율을 높이고 운전비용을 절감한 안정적이고 친환경적인 제품</t>
  </si>
  <si>
    <t>제습기</t>
  </si>
  <si>
    <t>HK-DH-050</t>
  </si>
  <si>
    <t>실외기 응축열 재활용 기술을 적용한 고효율 냉각제습기</t>
  </si>
  <si>
    <t>2020-00736</t>
  </si>
  <si>
    <t>2019029</t>
  </si>
  <si>
    <t>17123 경기도 용인시 처인구 이동읍 어진로670번길 115 0</t>
  </si>
  <si>
    <t>voip9@naver.com</t>
  </si>
  <si>
    <t>010-8726-5633</t>
  </si>
  <si>
    <t>신혜린</t>
  </si>
  <si>
    <t>윤종구</t>
  </si>
  <si>
    <t>509-81-05234</t>
  </si>
  <si>
    <t>주식회사 안센</t>
    <phoneticPr fontId="20" type="noConversion"/>
  </si>
  <si>
    <t>FDA 승인된 합성고분자수지로 위생성을 요구하는 음용수 저장 수조 내부를 보호하는 시트</t>
  </si>
  <si>
    <t>합성고분자방수시트</t>
  </si>
  <si>
    <t>Ansen RF roll sheet15 / Ansen PP roll sheet 20 / Ansen PP roll sheet 301-20 / Ansen PP roll sheet701-20 / Ansen PP Lining Plus20</t>
  </si>
  <si>
    <t>방수 라이닝용 pp롤 항균 방수시트</t>
  </si>
  <si>
    <t>2020-00737</t>
  </si>
  <si>
    <t>제2020-09-0073호</t>
  </si>
  <si>
    <t>55069 전라북도 전주시 완산구 천잠로 303 전주대학교 본관 114호</t>
  </si>
  <si>
    <t>jaden.oh@sothecode.com</t>
  </si>
  <si>
    <t>070-4077-0327</t>
  </si>
  <si>
    <t>오재현</t>
  </si>
  <si>
    <t>758-30-00391</t>
  </si>
  <si>
    <t>소더코드</t>
  </si>
  <si>
    <t>자체부력식 IoT계측기이며, 측정된 data를 app/web에서 모니터링 할 수 있다.</t>
  </si>
  <si>
    <t>기타수질분석기</t>
  </si>
  <si>
    <t>Episode 1</t>
  </si>
  <si>
    <t>부력식 스마트 pH측정기 Episode 1</t>
  </si>
  <si>
    <t>2020-00738</t>
  </si>
  <si>
    <t>2020-08-0032</t>
  </si>
  <si>
    <t>01133 서울특별시 강북구 도봉로54길 6 5층</t>
  </si>
  <si>
    <t>jeonji@roborobo.co.kr</t>
  </si>
  <si>
    <t>070-8766-7064</t>
  </si>
  <si>
    <t>전재익</t>
  </si>
  <si>
    <t>박병수</t>
  </si>
  <si>
    <t>107-88-41033</t>
  </si>
  <si>
    <t>(주)로보로보</t>
    <phoneticPr fontId="20" type="noConversion"/>
  </si>
  <si>
    <t>코딩보드와 코딩칩을 활용한 유아동 코딩 교육 제품</t>
  </si>
  <si>
    <t>교육훈련장비</t>
  </si>
  <si>
    <t>유아로Step1(SK0Y-N001-15S)_x000D_
유아로Step2(SK0Y-N002-16S)_x000D_
유아로Step3(SK0Y-N003-16S)_x000D_
유아로Step4(SK0Y-N004-16S)</t>
  </si>
  <si>
    <t>유아로 Step1 외 3건</t>
  </si>
  <si>
    <t>2020-00739</t>
  </si>
  <si>
    <t>2020-577</t>
  </si>
  <si>
    <t>17115 경기도 용인시 처인구 남사면 처인성로 928 (완장리 316)</t>
  </si>
  <si>
    <t>acepaik@naver.com</t>
  </si>
  <si>
    <t>070-4410-3995</t>
  </si>
  <si>
    <t>황윤경</t>
  </si>
  <si>
    <t>김민정</t>
  </si>
  <si>
    <t>143-81-16962</t>
  </si>
  <si>
    <t>(주)에이스엘이디</t>
    <phoneticPr fontId="20" type="noConversion"/>
  </si>
  <si>
    <t>조도센서와 디밍모듈, 무선센서네트워크 기술을 융합한 기술융합제품(KC,KS,K마크,고효율)</t>
  </si>
  <si>
    <t>ACE-15DL682, ACE-18BL82, ACE-25ED643282, ACE-40BL82, ACE-40ED123282, ACE-40ED646482</t>
  </si>
  <si>
    <t>LED등기구</t>
  </si>
  <si>
    <t>2020-00741</t>
  </si>
  <si>
    <t>2020060</t>
  </si>
  <si>
    <t>12048 경기도 남양주시 오남읍 양지로139번길 17-1 사동,백신</t>
  </si>
  <si>
    <t>life@vaccine-life.com</t>
  </si>
  <si>
    <t>031-529-4406</t>
  </si>
  <si>
    <t>이승원</t>
  </si>
  <si>
    <t>김갑수</t>
  </si>
  <si>
    <t>650-87-00785</t>
  </si>
  <si>
    <t>LED 조명장치에 특허기술이 적용된 광촉매를 도포, 코팅하여 항균, 탈취기능 함유</t>
  </si>
  <si>
    <t>SKGFP-123050MP 외13종</t>
  </si>
  <si>
    <t>자외선, 가시광영역에서 반응하는 항균, 탈취기능의 LED조명장치</t>
  </si>
  <si>
    <t>2020-00745</t>
  </si>
  <si>
    <t>2018-03-08 ~ 2023-11-22</t>
  </si>
  <si>
    <t>제GTP-18-00734호</t>
  </si>
  <si>
    <t>18524 경기도 화성시 팔탄면 밤뒤길42번길 69-8 테크노바이오</t>
  </si>
  <si>
    <t>technobio@technobio.co.kr</t>
  </si>
  <si>
    <t>031-352-1953</t>
  </si>
  <si>
    <t>이명진</t>
  </si>
  <si>
    <t>이영서</t>
  </si>
  <si>
    <t>123-35-93217</t>
  </si>
  <si>
    <t>테크노바이오</t>
  </si>
  <si>
    <t>연소효율을 높여주고 온실가스, 질소산화물 및 입자상 물질 저감을 위한 연료첨가제</t>
  </si>
  <si>
    <t>연료첨가제</t>
  </si>
  <si>
    <t>TBS-1M, TBV-1G, TBS-4M, TBS-4G, TBS-6M, TBS-VLS, TBS-1D, TBB-4C, TBV-1D, TBB-6H</t>
  </si>
  <si>
    <t>2020-00747</t>
  </si>
  <si>
    <t>2017-09-29 ~ 2021-09-28</t>
  </si>
  <si>
    <t>2017132</t>
  </si>
  <si>
    <t>18326 경기도 화성시 세자로396번길 49 1층</t>
  </si>
  <si>
    <t>kimeg@aed.kr</t>
  </si>
  <si>
    <t>031-385-7272</t>
  </si>
  <si>
    <t>김은경</t>
  </si>
  <si>
    <t>김기창</t>
  </si>
  <si>
    <t>138-81-41310</t>
  </si>
  <si>
    <t>(주)베스트씨피알</t>
    <phoneticPr fontId="20" type="noConversion"/>
  </si>
  <si>
    <t>시청각피드백을 통해 스스로 CPR을 연습할 수 있는 심폐소생술 교육용 마네킹</t>
  </si>
  <si>
    <t>심폐소생술훈련마네킹</t>
  </si>
  <si>
    <t>Nurugo L330</t>
  </si>
  <si>
    <t>심폐소생술 교육용마네킹</t>
  </si>
  <si>
    <t>2020-00751</t>
  </si>
  <si>
    <t>20-AGZ0369</t>
  </si>
  <si>
    <t>16710 경기도 수원시 영통구 청명로 16 202호</t>
  </si>
  <si>
    <t>mys123.com@naver.com</t>
  </si>
  <si>
    <t>031-366-8802</t>
  </si>
  <si>
    <t>김믿음</t>
  </si>
  <si>
    <t>김진환</t>
  </si>
  <si>
    <t>113-81-75349</t>
  </si>
  <si>
    <t>(주)마이즈텍</t>
  </si>
  <si>
    <t>가로수 관수기능, 베리어기능, 빗물수집기능이 집약된 다기능성 제품으로 기존의 경계석을 대체</t>
  </si>
  <si>
    <t>가로수보호판</t>
  </si>
  <si>
    <t>MPT-S250H150_x000D_
MPT12-S250H100_x000D_
MPT15-S250H150</t>
  </si>
  <si>
    <t>우수의 집수 및 식물 뿌리 수분 공급이 가능한 집수블록</t>
  </si>
  <si>
    <t>2020-00752</t>
  </si>
  <si>
    <t>2020-09-28 ~ 2023-09-27</t>
  </si>
  <si>
    <t>2020-1-4270010</t>
  </si>
  <si>
    <t>38899 경상북도 영천시 채신2공단길 79-28 (채신동)</t>
  </si>
  <si>
    <t>duwndgns@naver.com</t>
  </si>
  <si>
    <t>054-335-6466</t>
  </si>
  <si>
    <t>여광훈</t>
  </si>
  <si>
    <t>여중훈</t>
  </si>
  <si>
    <t>505-81-31647</t>
  </si>
  <si>
    <t>(주)호정산업</t>
    <phoneticPr fontId="20" type="noConversion"/>
  </si>
  <si>
    <t>식생매트에 생분해 블록을 보강한 토목자재임</t>
  </si>
  <si>
    <t>(HJ-K3PLAM,인장력강화),(HJ-K2PLAM,고강도),(HJ-K5PLAM,고강도),(HJ-C4PLAM,저강도),(HJ-K5PLAD,옹벽형)</t>
  </si>
  <si>
    <t>친환경 PLA소재의 블록을 이용한 녹화모듈 생산기술 및 이를 이용한 제품</t>
  </si>
  <si>
    <t>2020-00753</t>
  </si>
  <si>
    <t>19-226</t>
  </si>
  <si>
    <t>21692 인천광역시 남동구 남동동로 84 222-223호</t>
  </si>
  <si>
    <t>jspark@tongilpcase.com</t>
  </si>
  <si>
    <t>010-9701-3942</t>
  </si>
  <si>
    <t>박재상</t>
  </si>
  <si>
    <t>박남주</t>
  </si>
  <si>
    <t>630-81-00299</t>
  </si>
  <si>
    <t>주식회사 통일포켓케이스</t>
  </si>
  <si>
    <t>한손으로 뚜껑을 개방할 수 있고, 분사방향 확인없이 직관적인 분사가 가능한 휴대용 분무용기</t>
  </si>
  <si>
    <t>기타미용용품</t>
  </si>
  <si>
    <t>터치업 빈 (7 / 10 ml)</t>
  </si>
  <si>
    <t>휴대용 원터치 분무용기 셋트</t>
  </si>
  <si>
    <t>2020-00754</t>
  </si>
  <si>
    <t>2020-03-0126</t>
  </si>
  <si>
    <t>46241 부산광역시 금정구 부산대학로63번길 2 제 6공학관 6103-2</t>
  </si>
  <si>
    <t>gwngus3922@gmail.com</t>
  </si>
  <si>
    <t>010-4630-0706</t>
  </si>
  <si>
    <t>노주현</t>
  </si>
  <si>
    <t>765-81-01838</t>
  </si>
  <si>
    <t>- 지역 코로나 확진현황 송출, 다양한 방역용품  취급 자판기로 지자체 건물 방역환경개선</t>
  </si>
  <si>
    <t>메뉴식자판기</t>
  </si>
  <si>
    <t>VAT-32WA</t>
  </si>
  <si>
    <t>마스크 키오스크 자판기 (방역용품) VAT-32WA</t>
  </si>
  <si>
    <t>2020-00755</t>
  </si>
  <si>
    <t>2021-01-29 ~ 2024-01-28</t>
  </si>
  <si>
    <t>2021-01-0027</t>
  </si>
  <si>
    <t>10387 경기도 고양시 일산서구 주엽로 150 8층 비즈센터 119호</t>
  </si>
  <si>
    <t>admin@wnwint.com</t>
  </si>
  <si>
    <t>031-905-5224</t>
  </si>
  <si>
    <t>서수진</t>
  </si>
  <si>
    <t>김남규</t>
  </si>
  <si>
    <t>386-88-01537</t>
  </si>
  <si>
    <t>창업/첫걸음</t>
    <phoneticPr fontId="20" type="noConversion"/>
  </si>
  <si>
    <t>황토한지 항균 멸균 필터 적용 및 100% 국내산 (부직포필터)로 만든 국산 마스크입니다.</t>
  </si>
  <si>
    <t xml:space="preserve">마스크유(MASKYOU) 황토한지마스크 /_x000D_
마스크유(MASKYOU) 어린이용 칠드런 마스크 /_x000D_
마스크유(MASKYOU) 어린이용 키즈마스크 </t>
  </si>
  <si>
    <t>마스크유(MASKYOU)</t>
  </si>
  <si>
    <t>21-공고(1차)</t>
  </si>
  <si>
    <t>2021-00017</t>
  </si>
  <si>
    <t>2020073</t>
  </si>
  <si>
    <t>07504 서울특별시 강서구 개화동로7길 4-3 1층</t>
  </si>
  <si>
    <t>angunsa@chol.com</t>
  </si>
  <si>
    <t>02-2633-7764</t>
  </si>
  <si>
    <t>박인기</t>
  </si>
  <si>
    <t>정용주</t>
  </si>
  <si>
    <t>107-81-58840</t>
  </si>
  <si>
    <t>(주)오피스안건사</t>
  </si>
  <si>
    <t>일반</t>
    <phoneticPr fontId="20" type="noConversion"/>
  </si>
  <si>
    <t>다단 서랍장의 경우 서랍 하나가 인출될 시 나머지 서랍은 자동으로 잠김.전도방지 안전서랍장</t>
  </si>
  <si>
    <t>이동형파일서랍</t>
  </si>
  <si>
    <t>안전서랍장(MBF24, MBF25)</t>
  </si>
  <si>
    <t>안전서랍장</t>
  </si>
  <si>
    <t>2021-00019</t>
  </si>
  <si>
    <t>2020-12-24 ~ 2023-12-23</t>
  </si>
  <si>
    <t>2020-12-0070</t>
  </si>
  <si>
    <t>46729 부산광역시 강서구 생곡로 273 205호</t>
  </si>
  <si>
    <t>drkim1572me@naver.com</t>
  </si>
  <si>
    <t>070-4105-4333</t>
  </si>
  <si>
    <t>송상훈</t>
  </si>
  <si>
    <t>761-07-01383</t>
  </si>
  <si>
    <t>유민테크(U-Min Tech)</t>
  </si>
  <si>
    <t>창업/첫걸음</t>
    <phoneticPr fontId="20" type="noConversion"/>
  </si>
  <si>
    <t>변압기 권선 비 비 오차(turn ratio)시험기기</t>
  </si>
  <si>
    <t>변압기시험기</t>
  </si>
  <si>
    <t xml:space="preserve">UM-PT221 BASIC /  _x000D_
UM-PT223-10 ADVANCED   </t>
  </si>
  <si>
    <t>UM-PT221 BASIC</t>
  </si>
  <si>
    <t>2021-00026</t>
  </si>
  <si>
    <t>2020-10-28 ~ 2022-10-27</t>
  </si>
  <si>
    <t>A20190410011</t>
  </si>
  <si>
    <t>22665 인천광역시 서구 마중로 55 (주)아이패스</t>
  </si>
  <si>
    <t>arrow02@ipassco.com</t>
  </si>
  <si>
    <t>032-549-4442</t>
  </si>
  <si>
    <t>정성호</t>
  </si>
  <si>
    <t>김선진</t>
  </si>
  <si>
    <t>122-81-60457</t>
  </si>
  <si>
    <t>(주)아이패스</t>
  </si>
  <si>
    <t>첫걸음</t>
    <phoneticPr fontId="20" type="noConversion"/>
  </si>
  <si>
    <t>본제품은 웨어링 간극을 축소하여 펌프효율을 향상 시키고, 우수한 내화학성,내마모성을 가진다</t>
  </si>
  <si>
    <t>샤프트부싱</t>
  </si>
  <si>
    <t>LUNA-CAPA WEAR RING (내경 270, 400, 560)</t>
  </si>
  <si>
    <t>비금속 고성능 펌프 웨어링</t>
  </si>
  <si>
    <t>2021-00027</t>
  </si>
  <si>
    <t>2020-07-31 ~ 2023-10-28</t>
  </si>
  <si>
    <t>2020-006</t>
  </si>
  <si>
    <t>혁신제품</t>
  </si>
  <si>
    <t>34111 대전광역시 유성구 가정북로 96 대전경제통상진흥원 705호</t>
  </si>
  <si>
    <t>alliance@icerti.com</t>
  </si>
  <si>
    <t>02-446-8088</t>
  </si>
  <si>
    <t>김영후</t>
  </si>
  <si>
    <t>107-87-42618</t>
  </si>
  <si>
    <t>주식회사 아이서티</t>
  </si>
  <si>
    <t>첫걸음</t>
    <phoneticPr fontId="20" type="noConversion"/>
  </si>
  <si>
    <t>CCTV카메라 및 NNVR 영상정보데이터 보안 암호화 및 사생활보호 소프트웨어</t>
  </si>
  <si>
    <t>EDRON-VIEW ver1.0</t>
  </si>
  <si>
    <t>30kfps, FHD급 영상정보데이터 보안 및 사생활 보호 소프트웨어 시스템</t>
  </si>
  <si>
    <t>2021-00031</t>
  </si>
  <si>
    <t>2021-02-18 ~ 2024-02-17</t>
  </si>
  <si>
    <t>2020002-05</t>
  </si>
  <si>
    <t>10027 경기도 김포시 대곶면 율생중앙로206번길 47 145-5외</t>
  </si>
  <si>
    <t>sokjuoh@hanmail.net</t>
  </si>
  <si>
    <t>032-819-8612</t>
  </si>
  <si>
    <t>오석주</t>
  </si>
  <si>
    <t>정광수</t>
  </si>
  <si>
    <t>134-81-50063</t>
  </si>
  <si>
    <t>(주)퍼니원</t>
  </si>
  <si>
    <t>고정부재의 특성에 의하여 선반의 견고한 결합으로 탈락에 의한 사고예방 및 안정성 향상</t>
  </si>
  <si>
    <t>찬장</t>
  </si>
  <si>
    <t>1)찬장,퍼니원,FNI-WA-011_x000D_
2)찬장,퍼니원,FNI-WA-012_x000D_
3)찬장,퍼니원,FNI-WA-013,_x000D_
4)찬장,퍼니원,FNI-WA-014</t>
  </si>
  <si>
    <t>2021-00034</t>
  </si>
  <si>
    <t>파일링캐비닛</t>
  </si>
  <si>
    <t xml:space="preserve">안전서랍장(MBF20, MBF21, MBF22,_x000D_
 MBF23)_x000D_
</t>
  </si>
  <si>
    <t>2021-00035</t>
  </si>
  <si>
    <t>2019-08-05 ~ 2022-08-04</t>
  </si>
  <si>
    <t>20-FAZ0030</t>
  </si>
  <si>
    <t>15421 경기도 안산시 단원구 성곡로198번길 21 성진</t>
  </si>
  <si>
    <t>오인순</t>
  </si>
  <si>
    <t>일반</t>
    <phoneticPr fontId="20" type="noConversion"/>
  </si>
  <si>
    <t>함수율 조절유닛 및 분리액 배출 보텍스가이드를 적용한 원심분리 농축 탈수기</t>
  </si>
  <si>
    <t>디칸터형원심탈수기</t>
  </si>
  <si>
    <t>SJ250DTS, SJ300DTS, SJ350DTS,_x000D_
SJ400DTS, SJ450DTS, SJ500DTS,_x000D_
SJ550DTS, SJ600DTS, SJ650DTS</t>
  </si>
  <si>
    <t>2021-00036</t>
  </si>
  <si>
    <t>2020090</t>
  </si>
  <si>
    <t xml:space="preserve">26362 강원도 원주시 문막읍 반산2로 31 </t>
  </si>
  <si>
    <t>wowcozy@naver.com</t>
  </si>
  <si>
    <t>033-747-6001</t>
  </si>
  <si>
    <t>석종민</t>
  </si>
  <si>
    <t>677-86-01098</t>
  </si>
  <si>
    <t>(주)와우코지</t>
  </si>
  <si>
    <t>나노섬유 방진방충망으로 외부의 미세먼지 유입을 차단하고 실내 오엽된 공기를 배출하는 제품</t>
  </si>
  <si>
    <t>WA-100, WSC-400A, WPJ-400A</t>
  </si>
  <si>
    <t>미세먼지 차단 기능을 갖는 나노섬유 방진방충망</t>
  </si>
  <si>
    <t>2021-00042</t>
  </si>
  <si>
    <t>2020-03-16 ~ 2023-03-15</t>
  </si>
  <si>
    <t>20-0124</t>
  </si>
  <si>
    <t>08589 서울특별시 금천구 가산디지털2로 70 5층 514호</t>
  </si>
  <si>
    <t>snan08@acns.co.kr</t>
  </si>
  <si>
    <t>070-8803-2018</t>
  </si>
  <si>
    <t>최승난</t>
  </si>
  <si>
    <t>양광완</t>
  </si>
  <si>
    <t>372-87-01088</t>
  </si>
  <si>
    <t>주식회사 에이씨엔에스</t>
  </si>
  <si>
    <t>이용자의 웹 브라우저로 PDF 및 다양한 이미지 파일을 열람할 수 있는 뷰어 솔루션</t>
  </si>
  <si>
    <t>사무용소프트웨어</t>
  </si>
  <si>
    <t>다큐 뷰어 V2.0 (Docu Viewer V2.0)</t>
  </si>
  <si>
    <t>2021-00043</t>
  </si>
  <si>
    <t>2020104</t>
  </si>
  <si>
    <t>18626 경기도 화성시 양감면 사격장길 61-19 제이제이(JJ)라이팅</t>
  </si>
  <si>
    <t>031-8059-5628</t>
  </si>
  <si>
    <t>유왕석</t>
  </si>
  <si>
    <t>김미경</t>
  </si>
  <si>
    <t>757-04-01137</t>
  </si>
  <si>
    <t>제이제이(JJ)라이팅</t>
  </si>
  <si>
    <t>방열구조체 일체형 PCB 특허기술의 LED모듈을 적용한 고효율 LED등기구</t>
  </si>
  <si>
    <t>JJSTR08-120GE</t>
  </si>
  <si>
    <t>방열구조체 일체형 PCB가 적용된 LED등기구</t>
  </si>
  <si>
    <t>2021-00044</t>
  </si>
  <si>
    <t>2018-11-23 ~ 2021-11-22</t>
  </si>
  <si>
    <t>제2018-11-0030호</t>
  </si>
  <si>
    <t>04936 서울특별시 광진구 긴고랑로 93 지하1층</t>
  </si>
  <si>
    <t>ku7276@hanmail.net</t>
  </si>
  <si>
    <t>02-6403-3121</t>
  </si>
  <si>
    <t>구본승</t>
  </si>
  <si>
    <t>777-86-00332</t>
  </si>
  <si>
    <t>스틸그레이팅에 장착하여 빗물은 배수 되고, 담배꽁초,쓰레기는 하수관으로 유입을 방지합니다</t>
  </si>
  <si>
    <t>그레이팅덮개</t>
  </si>
  <si>
    <t>CG1801101, CITY-01, CITY-02, CITY-03</t>
  </si>
  <si>
    <t>스틸그레이팅 안전덮개</t>
  </si>
  <si>
    <t>2021-00045</t>
  </si>
  <si>
    <t>JJSEC12-50GE</t>
  </si>
  <si>
    <t>2021-00046</t>
  </si>
  <si>
    <t>20-0439</t>
  </si>
  <si>
    <t>04971 서울특별시 광진구 아차산로 544 가동 1303호</t>
  </si>
  <si>
    <t>kimcc1226@nate.com</t>
  </si>
  <si>
    <t>010-3652-4046</t>
  </si>
  <si>
    <t>김정진</t>
  </si>
  <si>
    <t>215-86-31638</t>
  </si>
  <si>
    <t>삼티씨앤에스(주)</t>
  </si>
  <si>
    <t>영상을 읽어와 조건 탐색하며, 필요시 마스킹 및 명확화 기능을 거쳐 분석 및 보고서 작성</t>
  </si>
  <si>
    <t>Kinesense - Video Forensics 3.3</t>
  </si>
  <si>
    <t>영상분석플랫폼3.3</t>
  </si>
  <si>
    <t>2021-00048</t>
  </si>
  <si>
    <t>JJTUN03-150GE</t>
  </si>
  <si>
    <t>2021-00049</t>
  </si>
  <si>
    <t>JJFLD10-100GE</t>
  </si>
  <si>
    <t>2021-00050</t>
  </si>
  <si>
    <t>2018-0791</t>
  </si>
  <si>
    <t>08504 서울특별시 금천구 서부샛길 606 비동 1408호</t>
  </si>
  <si>
    <t>bada2013@hanmail.net</t>
  </si>
  <si>
    <t>061-665-8678</t>
  </si>
  <si>
    <t>김춘식</t>
  </si>
  <si>
    <t>417-81-48268</t>
  </si>
  <si>
    <t>주식회사 데이탐우만스타</t>
  </si>
  <si>
    <t>평상시엔 닫혀있고 빗물무게만큼 열리는 오물.쓰레기.악취.모기. 차단 그레이팅</t>
  </si>
  <si>
    <t>스틸그레이팅</t>
  </si>
  <si>
    <t>WSM-1(넓이 395x길이 495 높이50두께 7*4)</t>
  </si>
  <si>
    <t>우만스타</t>
  </si>
  <si>
    <t>2021-00051</t>
  </si>
  <si>
    <t>20-AAZ0319</t>
  </si>
  <si>
    <t>58296 전라남도 나주시 왕곡면 혁신산단5길 73-10 (주)진세라믹</t>
  </si>
  <si>
    <t>jinceramic88@naver.com</t>
  </si>
  <si>
    <t>061-331-8830</t>
  </si>
  <si>
    <t>박형민</t>
  </si>
  <si>
    <t>성금순</t>
  </si>
  <si>
    <t>431-81-00464</t>
  </si>
  <si>
    <t>(주)진세라믹</t>
  </si>
  <si>
    <t>화력발전소 석탄 미분기의 분쇄롤러 저널을 강력한 미분탄의 충격으로 부터 보호하기 위한 설비</t>
  </si>
  <si>
    <t>JCT-502003, JCR-8010040 등 총30종</t>
  </si>
  <si>
    <t>석탄분쇄롤러 저널 보호용 세라믹 라이너</t>
  </si>
  <si>
    <t>2021-00057</t>
  </si>
  <si>
    <t>2020-11-27 ~ 2023-11-26</t>
  </si>
  <si>
    <t>제2020-11-0019호</t>
  </si>
  <si>
    <t>41542 대구광역시 북구 연암로 40 202동 401호, 502호</t>
  </si>
  <si>
    <t>idscorea1@naver.com</t>
  </si>
  <si>
    <t>010-8326-1530</t>
  </si>
  <si>
    <t>이후동</t>
  </si>
  <si>
    <t>이호동</t>
  </si>
  <si>
    <t>469-87-00933</t>
  </si>
  <si>
    <t>(주)아이지아이에스</t>
  </si>
  <si>
    <t>드론 운영을 위한 솔루션으로써, 드론의 촬영, 기체세팅 등 다양한 활용이 가능한 솔루션임</t>
  </si>
  <si>
    <t>Dfos솔루션</t>
  </si>
  <si>
    <t>2021-00058</t>
  </si>
  <si>
    <t>2020-10-29 ~ 2023-10-28</t>
  </si>
  <si>
    <t>2020-134</t>
  </si>
  <si>
    <t>61009 광주광역시 북구 첨단벤처로16번길 3 (주)링크옵틱스</t>
  </si>
  <si>
    <t>delight88v@linkoptics.com</t>
  </si>
  <si>
    <t>1661-2090</t>
  </si>
  <si>
    <t>김우성</t>
  </si>
  <si>
    <t>최용원</t>
  </si>
  <si>
    <t>410-81-94698</t>
  </si>
  <si>
    <t>(주)링크옵틱스</t>
  </si>
  <si>
    <t>장애인이나 고령자가 화장실의 변기에 착석하거나 기립할 때 혼자서도 사용할 수 있도록 보조</t>
  </si>
  <si>
    <t>장애인화장실용자세보조기</t>
  </si>
  <si>
    <t>OD-1002</t>
  </si>
  <si>
    <t>전동 좌변기 착석 및 기립 보조장치</t>
  </si>
  <si>
    <t>2021-00059</t>
  </si>
  <si>
    <t>2018-09-0120</t>
  </si>
  <si>
    <t>16855 경기도 용인시 수지구 성복1로 107 509-405</t>
  </si>
  <si>
    <t>yqkim1010@inu.ac.kr</t>
  </si>
  <si>
    <t>010-3375-4050</t>
  </si>
  <si>
    <t>김영관</t>
  </si>
  <si>
    <t>543-13-00360</t>
  </si>
  <si>
    <t>아이엔유스크린</t>
  </si>
  <si>
    <t xml:space="preserve">유리창의실내측에 설치하여 단열성을 높혀서 여름철 에어컨 전기 절약, 겨울철 난방가스 절약 </t>
  </si>
  <si>
    <t>베니션블라인드</t>
  </si>
  <si>
    <t>단열성 베니션 블라인드</t>
  </si>
  <si>
    <t>실내 단열 차양대</t>
  </si>
  <si>
    <t>2021-00061</t>
  </si>
  <si>
    <t>2020-12-31 ~ 2022-12-30</t>
  </si>
  <si>
    <t>53-94</t>
  </si>
  <si>
    <t>16073 경기도 의왕시 고산로 74 801호</t>
  </si>
  <si>
    <t>choijoon11@naver.com</t>
  </si>
  <si>
    <t>070-8789-1122</t>
  </si>
  <si>
    <t>최형준</t>
  </si>
  <si>
    <t>심현미</t>
  </si>
  <si>
    <t>143-81-28323</t>
  </si>
  <si>
    <t>주식회사 노아코리아</t>
  </si>
  <si>
    <t>저온저장고 냉장과 동시에 난방이 가능한 히트펌프 (폐열활용)</t>
  </si>
  <si>
    <t>냉난방기</t>
  </si>
  <si>
    <t>NK805_EGSN_3HP</t>
  </si>
  <si>
    <t>에버그린</t>
  </si>
  <si>
    <t>2021-00064</t>
  </si>
  <si>
    <t>제2020-009호</t>
  </si>
  <si>
    <t>13488 경기도 성남시 분당구 판교로289번길 20 스타트업캠퍼스 307호</t>
  </si>
  <si>
    <t>brian@safeware.co.kr</t>
  </si>
  <si>
    <t>070-4410-1711</t>
  </si>
  <si>
    <t>김영환</t>
  </si>
  <si>
    <t>배경란</t>
  </si>
  <si>
    <t>587-81-00466</t>
  </si>
  <si>
    <t>세이프웨어주식회사</t>
  </si>
  <si>
    <t>사고감지 센서에 의해 추락사고가 감지되면 에어백을 팽창시켜 인체 주요부위를 보호</t>
  </si>
  <si>
    <t>안전벨트</t>
  </si>
  <si>
    <t>산업용 추락보호 에어백(SF-HAS W2)</t>
  </si>
  <si>
    <t>산업용 추락보호 에어백</t>
  </si>
  <si>
    <t>2021-00074</t>
  </si>
  <si>
    <t>2020-10-23 ~ 2023-10-22</t>
  </si>
  <si>
    <t>2020-10-0047</t>
  </si>
  <si>
    <t>31115 충청남도 천안시 동남구 망향로 45-10 2층</t>
  </si>
  <si>
    <t>hclee@l-light.co.kr</t>
  </si>
  <si>
    <t>010-6358-3144</t>
  </si>
  <si>
    <t>이한천</t>
  </si>
  <si>
    <t>이정환</t>
  </si>
  <si>
    <t>137-86-24555</t>
  </si>
  <si>
    <t>(주)엘라이트</t>
  </si>
  <si>
    <t>화제 발생시 80도 이상에서 자동으로 소화되는 소공간용 소화 패치입니다</t>
  </si>
  <si>
    <t>자동소화패치</t>
  </si>
  <si>
    <t>_x000D_
FIREHUNTER30</t>
  </si>
  <si>
    <t>FIREHUNTER30</t>
  </si>
  <si>
    <t>2021-00081</t>
  </si>
  <si>
    <t>2020-145</t>
  </si>
  <si>
    <t>48060 부산광역시 해운대구 센텀1로 28 102동 1203호</t>
  </si>
  <si>
    <t>kwongoddess@schaffengott.com</t>
  </si>
  <si>
    <t>051-897-6833</t>
  </si>
  <si>
    <t>권용국</t>
  </si>
  <si>
    <t>권익환</t>
  </si>
  <si>
    <t>617-81-98558</t>
  </si>
  <si>
    <t>주식회사 샤픈고트</t>
  </si>
  <si>
    <t>기존 소화기의 단점을 개선하고 AI기술 및 재난안전 시스템이 탑재된 제품(스마트시티 등)</t>
  </si>
  <si>
    <t>소화탄</t>
  </si>
  <si>
    <t>TR-00, TR-00-C, TR-01, TR-03</t>
  </si>
  <si>
    <t>AI연동 스마트소화기 및 시큐리티 시스템</t>
  </si>
  <si>
    <t>2021-00082</t>
  </si>
  <si>
    <t>2020-194</t>
  </si>
  <si>
    <t>54325 전라북도 김제시 백산면 자유무역2길 7 서해로프제강주식회사</t>
  </si>
  <si>
    <t>gjrtm0804@hanmail.net</t>
  </si>
  <si>
    <t>063-544-2881</t>
  </si>
  <si>
    <t>조현칠</t>
  </si>
  <si>
    <t>권순녀</t>
  </si>
  <si>
    <t>582-87-00916</t>
  </si>
  <si>
    <t>일반pp로프에 변환LED칩을 내장, 전기 또는 태양광을 통하여발광</t>
  </si>
  <si>
    <t>폴리프로필렌로프</t>
  </si>
  <si>
    <t>SHR1820, SHR2020, SHR2220, SHR2420</t>
  </si>
  <si>
    <t>PE코팅을 통하여 내구성을 증대시킨 LED발광로프</t>
  </si>
  <si>
    <t>2021-00084</t>
  </si>
  <si>
    <t>2017-09-29 ~ 2022-09-28</t>
  </si>
  <si>
    <t>제2017-03-0152</t>
  </si>
  <si>
    <t>29116 충청북도 영동군 황간면 황간동로 205 이엔비</t>
  </si>
  <si>
    <t>eric@enbkorea.kr</t>
  </si>
  <si>
    <t>010-2507-6747</t>
  </si>
  <si>
    <t>이태성</t>
  </si>
  <si>
    <t>124-87-30873</t>
  </si>
  <si>
    <t>주식회사 이엔비</t>
  </si>
  <si>
    <t>여름철 태양열차폐 효과와 겨울철 난방열 손실 방지 기능이 결합된 윈도우필름</t>
  </si>
  <si>
    <t>윈도우필름</t>
  </si>
  <si>
    <t>건축용윈도우필름 SAVE AU50 BV(로이필름)_x000D_
건축용윈도우필름 SAVE AU60 CH(로이필름)</t>
  </si>
  <si>
    <t>건축용윈도우필름</t>
  </si>
  <si>
    <t>2021-00086</t>
  </si>
  <si>
    <t>2020-10-08 ~ 2022-10-07</t>
  </si>
  <si>
    <t>2020-07</t>
  </si>
  <si>
    <t xml:space="preserve">22794 인천광역시 서구 석남로 35 </t>
  </si>
  <si>
    <t>yhb914@hanmail.net</t>
  </si>
  <si>
    <t>010-5380-2702</t>
  </si>
  <si>
    <t>임효빈</t>
  </si>
  <si>
    <t>393-86-01263</t>
  </si>
  <si>
    <t>주식회사 와이엔이</t>
  </si>
  <si>
    <t>기존 돌출형도어록의 손잡이 부분을 매립형으로 전환한 제품</t>
  </si>
  <si>
    <t>도어핸들</t>
  </si>
  <si>
    <t>Y-103</t>
  </si>
  <si>
    <t>손잡이 저돌출형 도어록</t>
  </si>
  <si>
    <t>2021-00095</t>
  </si>
  <si>
    <t>2020-180</t>
  </si>
  <si>
    <t>55314 전라북도 완주군 봉동읍 테크노밸리2로 82 에스엠엔테크</t>
  </si>
  <si>
    <t>biz_rnd@naver.com</t>
  </si>
  <si>
    <t>042-936-1757</t>
  </si>
  <si>
    <t>장은아</t>
  </si>
  <si>
    <t>이중수</t>
  </si>
  <si>
    <t>868-86-00676</t>
  </si>
  <si>
    <t>(주)에스엠엔테크</t>
  </si>
  <si>
    <t>밀폐된 환경에서도 30분에서 1시간이내 바이러스 제거가 가능한 감염병대응 공기살균기</t>
  </si>
  <si>
    <t>공기살균기</t>
  </si>
  <si>
    <t>AIRJOY10_x000D_
AIRJOY20_x000D_
AIRJOY40</t>
  </si>
  <si>
    <t>공기전파 감염병 대응을 위한 생활방역용 공기청정살균기</t>
  </si>
  <si>
    <t>2021-00096</t>
  </si>
  <si>
    <t>2021-02-18 ~ 2024-02-22</t>
  </si>
  <si>
    <t>2020001-02</t>
  </si>
  <si>
    <t>40145 경상북도 고령군 개진면 양전길 130-32 (주)넥시스</t>
  </si>
  <si>
    <t>yeobi1975@hanmail.net</t>
  </si>
  <si>
    <t>010-2528-4045</t>
  </si>
  <si>
    <t>정동엽</t>
  </si>
  <si>
    <t>최민호</t>
  </si>
  <si>
    <t>503-81-49549</t>
  </si>
  <si>
    <t>(주) 넥시스</t>
  </si>
  <si>
    <t>"패널의 엣지 접착 방법"을 적용하여 내구성 및 생산성을 높인 가정용싱크대.</t>
  </si>
  <si>
    <t>NEXKFH101(2400X600X820), _x000D_
NEXKFL101(2400X600X820),_x000D_
NEXKFU101(2400X600X820), _x000D_
NEXKFP101(2400X600X820)</t>
  </si>
  <si>
    <t>2021-00097</t>
  </si>
  <si>
    <t>2020002-02</t>
  </si>
  <si>
    <t>"패널의 엣지 접착 방법"을 적용하여 내구성 및 생산성을 높인 찬장.</t>
  </si>
  <si>
    <t>NEXKFH001(2400X310X790), _x000D_
NEXKFL001(2400X310X790),_x000D_
NEXKFU001(2400X310X790), _x000D_
NEXKFP001(2400X310X790)</t>
  </si>
  <si>
    <t>2021-00098</t>
  </si>
  <si>
    <t>2020-09-24 ~ 2023-09-23</t>
  </si>
  <si>
    <t>200427</t>
  </si>
  <si>
    <t>13449 경기도 성남시 수정구 창업로 54 판교제2테크노밸리 기업성장센터 224호</t>
  </si>
  <si>
    <t>yk.kim@batem.com</t>
  </si>
  <si>
    <t>031-755-5563</t>
  </si>
  <si>
    <t>김윤경</t>
  </si>
  <si>
    <t>박한규</t>
  </si>
  <si>
    <t>488-87-01608</t>
  </si>
  <si>
    <t>(주)비에이템</t>
  </si>
  <si>
    <t>특허 받은 검색 기능으로 타사 대비 4배 빠른 속도를 제공하는 국산 RPA 솔루션입니다.</t>
  </si>
  <si>
    <t>BATEM V2.0</t>
  </si>
  <si>
    <t>비에이템 V2.0</t>
  </si>
  <si>
    <t>2021-00099</t>
  </si>
  <si>
    <t>2017-10-26 ~ 2023-10-25</t>
  </si>
  <si>
    <t>제GT-17-00339호</t>
  </si>
  <si>
    <t xml:space="preserve">47780 부산광역시 동래구 명장로22번길 74-3 </t>
  </si>
  <si>
    <t>bkc3377@naver.com</t>
  </si>
  <si>
    <t>010-9166-2577</t>
  </si>
  <si>
    <t>최영은</t>
  </si>
  <si>
    <t>서명철</t>
  </si>
  <si>
    <t>511-81-23123</t>
  </si>
  <si>
    <t>부경수도 주식회사</t>
  </si>
  <si>
    <t>누수없이 정밀한 유량검침이 가능한 수도계량기</t>
  </si>
  <si>
    <t>수도미터</t>
  </si>
  <si>
    <t>수도미터, 부경수도, BKSFR-15A,_x000D_
수도미터, 부경수도, BKSFR-20A,_x000D_
수도미터, 부경수도, BKSFR-25A, _x000D_
수도미터, 부경수도, BKSFR-32A_x000D_
수도미터, 부경수도, BKSFR-40A_x000D_
수도미터, 부경수도, BKSFR-50A</t>
  </si>
  <si>
    <t>가변부재 수도미터</t>
  </si>
  <si>
    <t>2021-00100</t>
  </si>
  <si>
    <t>2017120</t>
  </si>
  <si>
    <t>34025 대전광역시 유성구 테크노2로 187 C동 429호</t>
  </si>
  <si>
    <t>xenixwin@daum.net</t>
  </si>
  <si>
    <t>042-483-8857</t>
  </si>
  <si>
    <t>나혜영</t>
  </si>
  <si>
    <t>나 병 철</t>
  </si>
  <si>
    <t>314-86-19789</t>
  </si>
  <si>
    <t>제닉스윈 주식회사</t>
  </si>
  <si>
    <t>누전차단기 오작동의 주된 원인인 노이즈에 영향을 받지 않는 오작동방지 누전차단기</t>
  </si>
  <si>
    <t>누전차단기</t>
  </si>
  <si>
    <t>XWD-32LAD 30A,_x000D_
XWD-32LAD 20A,_x000D_
XWD-32LAD 16A</t>
  </si>
  <si>
    <t>오작동 방지 누전차단기</t>
  </si>
  <si>
    <t>2021-00102</t>
  </si>
  <si>
    <t>2018-07-11 ~ 2021-07-10</t>
  </si>
  <si>
    <t>경기-20180293-2-01</t>
  </si>
  <si>
    <t>04549 서울특별시 중구 충무로 50-7 301호</t>
  </si>
  <si>
    <t>isdnp1122@naver.com</t>
  </si>
  <si>
    <t>02-6273-2021</t>
  </si>
  <si>
    <t>박광석</t>
  </si>
  <si>
    <t>엄 순화</t>
  </si>
  <si>
    <t>129-81-85522</t>
  </si>
  <si>
    <t>(주)아이에스디앤피</t>
  </si>
  <si>
    <t>횡단보도에 설치하여 무단횡단자를 감지하면 음성으로 경고,유도 방송을하는 보행자 감지기임</t>
  </si>
  <si>
    <t>ISSD-01</t>
  </si>
  <si>
    <t>보행자감지기(보행신호음성안내보조장치)</t>
  </si>
  <si>
    <t>2021-00103</t>
  </si>
  <si>
    <t>2018-04-02 ~ 2023-04-01</t>
  </si>
  <si>
    <t>2018028</t>
  </si>
  <si>
    <t>12806 경기도 광주시 곤지암읍 독고개길 132-17 에이동 1층</t>
  </si>
  <si>
    <t>seilsys2014@hanmail.net</t>
  </si>
  <si>
    <t>031-764-3631</t>
  </si>
  <si>
    <t>오현준</t>
  </si>
  <si>
    <t>심영섭</t>
  </si>
  <si>
    <t>233-81-06317</t>
  </si>
  <si>
    <t>창업</t>
    <phoneticPr fontId="20" type="noConversion"/>
  </si>
  <si>
    <t>일반인도 공구없이 수작업으로 설치 및 해체가 가증한 무용접 제작 조립식 알루미늄 안전작업대</t>
  </si>
  <si>
    <t>타워형작업대</t>
  </si>
  <si>
    <t>TA-W2000-1F-WP, TA-W2000-2F-WP, TA-W2000-3F-WP, TA-W2000-4F-WP,_x000D_
TA-W2000-5F-WP, TA-W2000-6F-WP, TA-W2000-1F-AP, TA-W2000-2F-AP,_x000D_
TA-W2000-3F-AP, TA-W2000-4F-AP, TA-W2000-5F-AP, TA-W2000-6F-,AP,_x000D_
TA-N2000-1F-WP, TA-N2000-2F-WP, TA-N2000-3F-WP, TA-N2000-4F-WP,_x000D_
TA-N2000-5F-WP, TA-N2000-6F-WP, TA-N2000-1F-AP, TA-N2000-2F-AP,_x000D_
TA-N2000-3F-AP, TA-N2000-4F-AP, TA-N2000-5F-AP, TA-N2000-6F-AP</t>
  </si>
  <si>
    <t>적층형 이동식 안전작업대</t>
  </si>
  <si>
    <t>2021-00105</t>
  </si>
  <si>
    <t xml:space="preserve">31721 충청남도 당진시 송악읍 부곡공단4길 27-16 </t>
  </si>
  <si>
    <t>sukjae@janghan.co.kr</t>
  </si>
  <si>
    <t>02-2163-8731</t>
  </si>
  <si>
    <t>이석재</t>
  </si>
  <si>
    <t>유해성</t>
  </si>
  <si>
    <t>106-81-25254</t>
  </si>
  <si>
    <t>장한기술(주)</t>
  </si>
  <si>
    <t>CoolPV-KH는 전기와 열을 동시에 생산하는 융합 패널입니다</t>
  </si>
  <si>
    <t>태양광발전모듈</t>
  </si>
  <si>
    <t>CoolPV-KH</t>
  </si>
  <si>
    <t>태양광/태양열 융합패널</t>
  </si>
  <si>
    <t>2021-00110</t>
  </si>
  <si>
    <t>2019-06-14 ~ 2022-06-13</t>
  </si>
  <si>
    <t>19-AGK0319</t>
  </si>
  <si>
    <t>27625 충청북도 음성군 생극면 음성로 1380 (주)하이퍼윈도우</t>
  </si>
  <si>
    <t>pjhwang@aluenc.com</t>
  </si>
  <si>
    <t>043-878-8752</t>
  </si>
  <si>
    <t>황필주</t>
  </si>
  <si>
    <t>홍성철</t>
  </si>
  <si>
    <t>303-81-51289</t>
  </si>
  <si>
    <t>(주)하이퍼윈도우</t>
  </si>
  <si>
    <t>전선배선이 용이한 트레이를 구비하여 태양광 및 차세대 유리적용이 가능한 고단열 커튼월 제품</t>
  </si>
  <si>
    <t>HP-CW220(SM)-F,_x000D_
HP-CW160(SM)-PJ-01</t>
  </si>
  <si>
    <t>트레이 일체형 단열 커튼월</t>
  </si>
  <si>
    <t>2021-00111</t>
  </si>
  <si>
    <t>2020-04-20 ~ 2023-04-19</t>
  </si>
  <si>
    <t>20-0177</t>
  </si>
  <si>
    <t>14623 경기도 부천시 부일로233번길 18 902호 (상동, 송내프라자)</t>
  </si>
  <si>
    <t>shinpy@primarynet.co.kr</t>
  </si>
  <si>
    <t>010-4740-2281</t>
  </si>
  <si>
    <t>신필용</t>
  </si>
  <si>
    <t>신동원</t>
  </si>
  <si>
    <t>106-86-17180</t>
  </si>
  <si>
    <t>(주)프라이머리넷</t>
  </si>
  <si>
    <t>네트워크 디바이스 모니터링 시스템(NMS)</t>
  </si>
  <si>
    <t>아이엠에스프로 v1.0 (I-MS Pro v1.0)</t>
  </si>
  <si>
    <t>아이엠에스프로 v1.0</t>
  </si>
  <si>
    <t>2021-00114</t>
  </si>
  <si>
    <t>2020-09-17 ~ 2023-09-16</t>
  </si>
  <si>
    <t>20-AGZ0406</t>
  </si>
  <si>
    <t>54354 전라북도 김제시 황산면 남산로 196 (주)엔시팅</t>
  </si>
  <si>
    <t>bdhong@nseating.com</t>
  </si>
  <si>
    <t>063-544-0991</t>
  </si>
  <si>
    <t>홍병달</t>
  </si>
  <si>
    <t>김종직</t>
  </si>
  <si>
    <t>845-86-00955</t>
  </si>
  <si>
    <t>주식회사 엔시팅</t>
  </si>
  <si>
    <t>센서제어 기술을 적용하여 사용 중 발생가능한 안전 문제를 해결한 수납식관람석</t>
  </si>
  <si>
    <t>수납식관람석</t>
  </si>
  <si>
    <t>NSA-BF-2 등 36종</t>
  </si>
  <si>
    <t>센서제어 기술을 적용한 수납식관람석</t>
  </si>
  <si>
    <t>2021-00115</t>
  </si>
  <si>
    <t>2021-01-22 ~ 2026-01-21</t>
  </si>
  <si>
    <t>제2021-4호</t>
  </si>
  <si>
    <t>18516 경기도 화성시 정남면 괘랑2길17번길 45-3 (주)리젠코</t>
  </si>
  <si>
    <t>sunghak.yi@leegenco.com</t>
  </si>
  <si>
    <t>031-352-7830</t>
  </si>
  <si>
    <t>이성학</t>
  </si>
  <si>
    <t>정순희</t>
  </si>
  <si>
    <t>124-86-88121</t>
  </si>
  <si>
    <t>(주)리젠코</t>
  </si>
  <si>
    <t>정전발생시 비상전원을 공급하고 복전시 상용전원으로 무정전 절체 기능을 가진 제품</t>
  </si>
  <si>
    <t>CTTS-P-BMV3150 외 29건</t>
  </si>
  <si>
    <t>폭염 한파등으로 인한 전력 피크 시 비상발전기를 연동하여 자동제어를 통한 무정전 자동전환 절체 장치</t>
  </si>
  <si>
    <t>2021-00116</t>
  </si>
  <si>
    <t>제2019-09-0049호</t>
  </si>
  <si>
    <t>16954 경기도 용인시 기흥구 흥덕1로 13 흥덕it밸리 타워동 2008호</t>
  </si>
  <si>
    <t>jmgreensnow@daum.net</t>
  </si>
  <si>
    <t>070-7715-9189</t>
  </si>
  <si>
    <t>김동건</t>
  </si>
  <si>
    <t>이정미</t>
  </si>
  <si>
    <t>135-28-63310</t>
  </si>
  <si>
    <t>제이엠그린</t>
  </si>
  <si>
    <t>꽁꽁 언 음식이나 식재료를 필요한 만큼만 간편하게 쏙 빼서 사용할 수 있는 냉동보관용기</t>
  </si>
  <si>
    <t>가정용반찬통</t>
  </si>
  <si>
    <t>알알이쏙(RRe) 24구/_x000D_
알알이쏙(RRe) 15구/_x000D_
알알이쏙(RRe) 6구/_x000D_
알알이쏙(RRe) 4구/_x000D_
알알이쏙(RRe) 플러스 1구/_x000D_
알알이쏙(RRe) 플러스 2구/_x000D_
알알이쏙(RRe) 플러스 3구/_x000D_
알알이쏙(RRe) 빅 1구/_x000D_
알알이쏙(RRe) 미니 4구/_x000D_
알알이쏙(RRe) 미니 9구/_x000D_
알알이쏙(RRe) 미니 16구</t>
  </si>
  <si>
    <t>알알이쏙</t>
  </si>
  <si>
    <t>2021-00117</t>
  </si>
  <si>
    <t>2020-10-21 ~ 2023-10-20</t>
  </si>
  <si>
    <t>20-ABZ0470</t>
  </si>
  <si>
    <t>42719 대구광역시 달서구 성서로35길 26 (주) ACT</t>
  </si>
  <si>
    <t>faithlee@actfpc.com</t>
  </si>
  <si>
    <t>053-602-4215</t>
  </si>
  <si>
    <t>이재신</t>
  </si>
  <si>
    <t>김성범</t>
  </si>
  <si>
    <t>503-81-63589</t>
  </si>
  <si>
    <t>(주)ACT</t>
  </si>
  <si>
    <t>모든 유리창에 부착 가능한 필름 형태의 &lt;투명 LED 디스플레이&gt; 풀컬러 전광판 입니다.</t>
  </si>
  <si>
    <t>ACTVISION P22_x000D_
ACTVISION P11_x000D_
ACTVISION P8_x000D_
ACTVISION P6</t>
  </si>
  <si>
    <t>회로 패턴 개선을 통한 저저항성 및 투과성 향상 부착형 투 명 LED 필름</t>
  </si>
  <si>
    <t>2021-00118</t>
  </si>
  <si>
    <t>2020105</t>
  </si>
  <si>
    <t>15117 경기도 시흥시 엠티브이25로58번길 5 3층</t>
  </si>
  <si>
    <t>epilux7@naver.com</t>
  </si>
  <si>
    <t>031-433-7359</t>
  </si>
  <si>
    <t>신동숙</t>
  </si>
  <si>
    <t>한경섭</t>
  </si>
  <si>
    <t>135-86-46534</t>
  </si>
  <si>
    <t>주식회사 엘광전자</t>
  </si>
  <si>
    <t>평상시 플리커프리 일반조명정전시 자동비상조명자가발전기의 오동작으로인한 정전시의 마지막보루</t>
  </si>
  <si>
    <t>EPL-FD-01, EPL-FD-02</t>
  </si>
  <si>
    <t>플리커제거 스마트 LED 조명등 등기구</t>
  </si>
  <si>
    <t>2021-00119</t>
  </si>
  <si>
    <t>2021-047</t>
  </si>
  <si>
    <t>34027 대전광역시 유성구 테크노9로 35 311호, 312호(탑립동, 고주파부팜산업지원센터)</t>
  </si>
  <si>
    <t>gk3481@empas.com</t>
  </si>
  <si>
    <t>042-581-3931</t>
  </si>
  <si>
    <t>손예진</t>
  </si>
  <si>
    <t>김귀영</t>
  </si>
  <si>
    <t>318-81-01331</t>
  </si>
  <si>
    <t>이에스지케이</t>
  </si>
  <si>
    <t>점화원에 의한 폭발위험이 있는 산업현장에 적용 하여 정전기를 측정관리하는 제품</t>
  </si>
  <si>
    <t>정전기측정기</t>
  </si>
  <si>
    <t>ESFM-Exd-1000A</t>
  </si>
  <si>
    <t>점화원에 의해 폭발위험이 있는 산업현장에 적용 가능하여 사고 예방이 가능한 휴대용 정전기 측정기</t>
  </si>
  <si>
    <t>2021-00125</t>
  </si>
  <si>
    <t>2019281</t>
  </si>
  <si>
    <t>12729 경기도 광주시 초월읍 숯골길 17-30 (주)에스앤와이시스템</t>
  </si>
  <si>
    <t>sny@snysystem.co.kr</t>
  </si>
  <si>
    <t>070-8285-7365</t>
  </si>
  <si>
    <t>유홍근</t>
  </si>
  <si>
    <t>심인보</t>
  </si>
  <si>
    <t>399-87-00935</t>
  </si>
  <si>
    <t>지진재해 예방 진동방지장치(면진장치)로써 각종 전기 또는 방송통신설비, 문화재 등을 보호</t>
  </si>
  <si>
    <t>SYT-350-D, SYT-400-D, SYAC-400-D</t>
  </si>
  <si>
    <t>2021-00132</t>
  </si>
  <si>
    <t>2019-11-05 ~ 2022-11-04</t>
  </si>
  <si>
    <t>2019-1299</t>
  </si>
  <si>
    <t>13403 경기도 성남시 중원구 둔촌대로 388 크란츠테크노 1410호</t>
  </si>
  <si>
    <t>obshow5677@naver.com</t>
  </si>
  <si>
    <t>031-755-0567</t>
  </si>
  <si>
    <t>박현진</t>
  </si>
  <si>
    <t>김창근</t>
  </si>
  <si>
    <t>527-87-00904</t>
  </si>
  <si>
    <t xml:space="preserve">차선 이탈 시 경고음이 발생, 높은시인성, 자동복원력, 조립해체기능 등 다기능 도로표지병 </t>
  </si>
  <si>
    <t>KOR-FM-001 / KOR-FS-26 / KOR-FS-26W</t>
  </si>
  <si>
    <t xml:space="preserve">도로표지병 </t>
  </si>
  <si>
    <t>2021-00133</t>
  </si>
  <si>
    <t>2016-08-24 ~ 2021-10-11</t>
  </si>
  <si>
    <t>2016-01-0024</t>
  </si>
  <si>
    <t>34101 대전광역시 유성구 유성대로1422번길 7 서울프로폴리스</t>
  </si>
  <si>
    <t>youngbeom.heo@probee.kr</t>
  </si>
  <si>
    <t>070-7456-4888</t>
  </si>
  <si>
    <t>허영범</t>
  </si>
  <si>
    <t>이승완</t>
  </si>
  <si>
    <t>314-81-57605</t>
  </si>
  <si>
    <t>서울프로폴리스(주)</t>
  </si>
  <si>
    <t>구강 항균에 효과적인 치약과 민감성 피부에 효과적인 천연미용성분 비누로 구성된 기프트 세트</t>
  </si>
  <si>
    <t>프로비 기프트 세트 (프로폴리스 치약 100g*2ea &amp; 비누100g*2ea),프로비 365 치약 세트 (100g*3ea)</t>
  </si>
  <si>
    <t>프로폴리스 치약 세트</t>
  </si>
  <si>
    <t>2021-00135</t>
  </si>
  <si>
    <t>2020-12-04 ~ 2023-11-26</t>
  </si>
  <si>
    <t>제2020-11-0043호</t>
  </si>
  <si>
    <t>51392 경상남도 창원시 의창구 차상로 172-34 (주)젬텍</t>
  </si>
  <si>
    <t>gyujkim70@hanmail.net</t>
  </si>
  <si>
    <t>055-237-5533</t>
  </si>
  <si>
    <t>김규진</t>
  </si>
  <si>
    <t>조홍식</t>
  </si>
  <si>
    <t>609-81-62030</t>
  </si>
  <si>
    <t>(주)젬텍</t>
  </si>
  <si>
    <t>고주파를 이용한 치료기로서 인체에 열(심부생체열)을 발생시켜 통증을 완화시킴</t>
  </si>
  <si>
    <t>고주파자극기</t>
  </si>
  <si>
    <t>SIRIUS-2</t>
  </si>
  <si>
    <t>2021-00136</t>
  </si>
  <si>
    <t>2020-02-11 ~ 2023-02-10</t>
  </si>
  <si>
    <t>현장-25</t>
  </si>
  <si>
    <t>13207 경기도 성남시 중원구 사기막골로 124 SKn테크노파크 비즈동 501호</t>
  </si>
  <si>
    <t>stevekang@icetech.co.kr</t>
  </si>
  <si>
    <t>070-7732-3221</t>
  </si>
  <si>
    <t>강한</t>
  </si>
  <si>
    <t>강신섭</t>
  </si>
  <si>
    <t>109-81-65008</t>
  </si>
  <si>
    <t>(주)아이스기술</t>
  </si>
  <si>
    <t>수평연소 HBC기술을 적용한 Low NOx 버너</t>
  </si>
  <si>
    <t>가스버너</t>
  </si>
  <si>
    <t>HBC-1000C, HBC-1000W</t>
  </si>
  <si>
    <t>Low NOx HBC(수평연소) 버너</t>
  </si>
  <si>
    <t>2021-00137</t>
  </si>
  <si>
    <t>2020-12-09 ~ 2023-12-08</t>
  </si>
  <si>
    <t>20-1-0122</t>
  </si>
  <si>
    <t>22106 인천광역시 미추홀구 경인로 229 인천IT타워 1211호</t>
  </si>
  <si>
    <t>sykim@cpdgroup.kr</t>
  </si>
  <si>
    <t>032-873-7307</t>
  </si>
  <si>
    <t>김상연</t>
  </si>
  <si>
    <t>이민구</t>
  </si>
  <si>
    <t>341-36-00195</t>
  </si>
  <si>
    <t>씨피디그룹</t>
  </si>
  <si>
    <t>당신의 휴대용 안전도우미 캠지플러스</t>
  </si>
  <si>
    <t>가스경보기</t>
  </si>
  <si>
    <t>CAMG1000</t>
  </si>
  <si>
    <t>캠핑용 보안안전장치</t>
  </si>
  <si>
    <t>2021-00139</t>
  </si>
  <si>
    <t>2020-11-26 ~ 2023-11-25</t>
  </si>
  <si>
    <t>20-0546</t>
  </si>
  <si>
    <t>14055 경기도 안양시 동안구 시민대로327번길 11-41 502호</t>
  </si>
  <si>
    <t>hsjang@HansCreative.com</t>
  </si>
  <si>
    <t>070-7405-2502</t>
  </si>
  <si>
    <t>장한식</t>
  </si>
  <si>
    <t>120-87-20295</t>
  </si>
  <si>
    <t>주식회사 한스크리에이티브</t>
  </si>
  <si>
    <t>소프트웨어 만으로 PC의 정보유출과 도난방지 기능을 제공하는 제품</t>
  </si>
  <si>
    <t>v2.0</t>
  </si>
  <si>
    <t>그린락 에이티(Green Lock AT)</t>
  </si>
  <si>
    <t>2021-00140</t>
  </si>
  <si>
    <t>2020-12-07 ~ 2023-12-06</t>
  </si>
  <si>
    <t>20-ABZ0539</t>
  </si>
  <si>
    <t>13516 경기도 성남시 분당구 판교로 700 D동 505호</t>
  </si>
  <si>
    <t>seogilk@apmtech.co.kr</t>
  </si>
  <si>
    <t>02-545-6286</t>
  </si>
  <si>
    <t>강석일</t>
  </si>
  <si>
    <t>박희산</t>
  </si>
  <si>
    <t>114-86-47012</t>
  </si>
  <si>
    <t>(주)에이피엠테크놀러지스</t>
  </si>
  <si>
    <t>T-MF 분석 신기술을 적용한 전력용 변압기의 부분방전 상태를 감시하는 장치</t>
  </si>
  <si>
    <t>전력보호감시장치</t>
  </si>
  <si>
    <t>APM3000</t>
  </si>
  <si>
    <t>T-MF 분석기법을 적용한 전력용 변압기 부분방전 상태감시장치</t>
  </si>
  <si>
    <t>2021-00141</t>
  </si>
  <si>
    <t>2021-92</t>
  </si>
  <si>
    <t>34013 대전광역시 유성구 테크노4로 17 D 617</t>
  </si>
  <si>
    <t>bgjang94@naver.com</t>
  </si>
  <si>
    <t>042-933-5520</t>
  </si>
  <si>
    <t>장보경</t>
  </si>
  <si>
    <t>채신태</t>
  </si>
  <si>
    <t>601-86-00597</t>
  </si>
  <si>
    <t>측정/수집한 영상을 PC에서 분석하여 가시거리를 측정하고 기상정보와 영상을 동시 제공</t>
  </si>
  <si>
    <t>자동기상관측장비</t>
  </si>
  <si>
    <t>JS-02P, 시정</t>
  </si>
  <si>
    <t>인공지능 영상분석 시정계</t>
  </si>
  <si>
    <t>2021-00142</t>
  </si>
  <si>
    <t>08591 서울특별시 금천구 가산디지털1로 30 606호</t>
  </si>
  <si>
    <t>kctenc@naver.com</t>
  </si>
  <si>
    <t>02-845-2514</t>
  </si>
  <si>
    <t>김다빈</t>
  </si>
  <si>
    <t>정인근</t>
  </si>
  <si>
    <t>108-81-97695</t>
  </si>
  <si>
    <t>주식회사 케이씨티이엔씨</t>
  </si>
  <si>
    <t>기울기변화 감지를 통한 사물인터넷 기반의 실시간 구조물 붕괴위험 모니터링 시스템</t>
  </si>
  <si>
    <t>변위모니터링시스템</t>
  </si>
  <si>
    <t>Meerkat</t>
  </si>
  <si>
    <t>실시간 스마트 모니터링 시스템</t>
  </si>
  <si>
    <t>2021-00145</t>
  </si>
  <si>
    <t>2021-01-26 ~ 2024-01-25</t>
  </si>
  <si>
    <t>21-AGZ0029</t>
  </si>
  <si>
    <t xml:space="preserve">10038 경기도 김포시 통진읍 율마로211번길 30 </t>
  </si>
  <si>
    <t>2018sn@naver.com</t>
  </si>
  <si>
    <t>031-982-2116</t>
  </si>
  <si>
    <t>박채형</t>
  </si>
  <si>
    <t>765-17-00707</t>
  </si>
  <si>
    <t>찬장에 수납물의 하중 중가로 측판의 균열, 갈라짐으로 인해 찬장과 벽면 체결부의 이탈방지</t>
  </si>
  <si>
    <t>SOLOMON-A001(상부수납장-1100), SOLOMON-A001(상부수납장-720), SOLOMON-A001(상부수납장-550), SOLOMON-A001(후드수납장-900)</t>
  </si>
  <si>
    <t>상부 벽장 처짐 및 추락 방지 시스템이 적용된 가정용 싱크대(찬장)</t>
  </si>
  <si>
    <t>2021-00146</t>
  </si>
  <si>
    <t>여닫이문, 서랍의 내구성을 향상시킨 가정용 싱크대</t>
  </si>
  <si>
    <t>SOLOMON-A001(하부수납장-920),_x000D_
SOLOMON-A001(하부서랍장-600),_x000D_
SOLOMON-A001(하부물버림대-1000),_x000D_
SOLOMON-A001(하부수납장-600),_x000D_
SOLOMON-A001(하부인출망장-150)</t>
  </si>
  <si>
    <t>상부 벽장 처짐 및 추락 방지 시스템이 적용된 가정용 싱크대(가정용 싱크대)</t>
  </si>
  <si>
    <t>2021-00147</t>
  </si>
  <si>
    <t>제2020-06-0014호</t>
  </si>
  <si>
    <t>10251 경기도 고양시 일산동구 성현로135번길 75 클린아이디어</t>
  </si>
  <si>
    <t>mh.bae@cleanidea.co.kr</t>
  </si>
  <si>
    <t>010-4591-2203</t>
  </si>
  <si>
    <t>배명호</t>
  </si>
  <si>
    <t>355-88-00252</t>
  </si>
  <si>
    <t xml:space="preserve">듀얼 발진기를 활용해 세척력은 높이고, 소음은 절감한 초음파식기세척기입니다. </t>
  </si>
  <si>
    <t>초음파식기세척기</t>
  </si>
  <si>
    <t>SMART DUAL 360º CIL-1200/_x000D_
SMART DUAL 360º CIL-700/_x000D_
SMART DUAL 360º CIL-800/_x000D_
SMART DUAL 360º CIL-900/_x000D_
SMART DUAL 360º CIL-1000/_x000D_
SMART DUAL 360º CIL-1700/_x000D_
SMART DUAL 360º CIL-2000</t>
  </si>
  <si>
    <t>2021-00149</t>
  </si>
  <si>
    <t>2020-08-20 ~ 2023-08-19</t>
  </si>
  <si>
    <t>20-0359</t>
  </si>
  <si>
    <t>63208 제주특별자치도 제주시 중앙로 217 707호 제주벤처마루</t>
  </si>
  <si>
    <t>jasonryu83@gmail.com</t>
  </si>
  <si>
    <t>070-5067-0358</t>
  </si>
  <si>
    <t>유제승</t>
  </si>
  <si>
    <t>조아름</t>
  </si>
  <si>
    <t>514-81-99748</t>
  </si>
  <si>
    <t>(주)대양정보</t>
  </si>
  <si>
    <t>컨텐츠+시스템 융합 만들어진 E-CIP는 이용자의 도서정보격차해소와 사서업무지원 솔루션</t>
  </si>
  <si>
    <t>검색클라우드서비스</t>
  </si>
  <si>
    <t>실시간 마크데이터 생성 방법 및 E-CIP시스템 v1.0</t>
  </si>
  <si>
    <t>2021-00151</t>
  </si>
  <si>
    <t>2020001-01</t>
  </si>
  <si>
    <t>42983 대구광역시 달성군 논공읍 논공중앙로52길 39 (주) 꿈그린</t>
  </si>
  <si>
    <t>kgr-7000@hanmail.net</t>
  </si>
  <si>
    <t>053-614-3706</t>
  </si>
  <si>
    <t>이광희</t>
  </si>
  <si>
    <t>514-81-25760</t>
  </si>
  <si>
    <t>(주)꿈그린</t>
  </si>
  <si>
    <t>특허 제10-1483109호 표면지가 부착된 가구재용 패널 기술을 사용한 가정용싱크대</t>
  </si>
  <si>
    <t>가정용싱크대, 꿈그린, KGR05, 2400x600x850mm_x000D_
가정용싱크대, 꿈그린, KGR06, 2400x600x850mm_x000D_
가정용싱크대, 꿈그린, KGR07, 2400x600x850mm</t>
  </si>
  <si>
    <t>2021-00157</t>
  </si>
  <si>
    <t>2019-10-17 ~ 2022-10-16</t>
  </si>
  <si>
    <t>19-CBZ0490</t>
  </si>
  <si>
    <t>14057 경기도 안양시 동안구 시민대로 401 1601호</t>
  </si>
  <si>
    <t>dgkim1026@visit-iam.com</t>
  </si>
  <si>
    <t>031-463-3555</t>
  </si>
  <si>
    <t>김동국</t>
  </si>
  <si>
    <t>오태주</t>
  </si>
  <si>
    <t>124-86-07093</t>
  </si>
  <si>
    <t>아이엠 주식회사</t>
  </si>
  <si>
    <t>광섬유 케이블을 온도센서로 이용 수km 범위내 전력설비의 상시 온도감시시스템</t>
  </si>
  <si>
    <t>자동기록온도계</t>
  </si>
  <si>
    <t>OTMS 06</t>
  </si>
  <si>
    <t>누적분포데이터를 이용한 자체 알람 기준 설정 가능한 지능형 광섬유 온도감지장치</t>
  </si>
  <si>
    <t>2021-00158</t>
  </si>
  <si>
    <t>2020002-01</t>
  </si>
  <si>
    <t>특허 제10-1483109호 표면지가 부착된 가구재용 패널 기술을 사용한 찬장</t>
  </si>
  <si>
    <t>찬장, 꿈그린, KGR01, 2400x310x790mm_x000D_
찬장, 꿈그린, KGR02, 2400x310x790mm_x000D_
찬장, 꿈그린, KGR03, 2400x310x790mm_x000D_
찬장, 꿈그린, KGR04, 2400x310x790mm</t>
  </si>
  <si>
    <t>2021-00159</t>
  </si>
  <si>
    <t>2021-01-01 ~ 2022-12-31</t>
  </si>
  <si>
    <t>제2020-693호</t>
  </si>
  <si>
    <t>13488 경기도 성남시 분당구 판교로 331 7층 ,701호 (삼평동, ABN타워)</t>
  </si>
  <si>
    <t>dylee@telesquare.co.kr</t>
  </si>
  <si>
    <t>010-2611-5878</t>
  </si>
  <si>
    <t>이동엽</t>
  </si>
  <si>
    <t>하장헌</t>
  </si>
  <si>
    <t>214-88-85455</t>
  </si>
  <si>
    <t>(주)텔레스퀘어</t>
  </si>
  <si>
    <t>첫걸음</t>
    <phoneticPr fontId="20" type="noConversion"/>
  </si>
  <si>
    <t>회전기 설비의 실시간 자동진단으로 각부위별,에너지효율등 상태진단할수 있는 회전설비진단시스템</t>
  </si>
  <si>
    <t>모타분석기</t>
  </si>
  <si>
    <t>TLSQDC-8CH-L&amp;HV-50,TLSQDC-8CH-L&amp;HV-200,TLSQDC-8CH-L&amp;HV-400,TLSQDC-8CH-L&amp;HV-600</t>
  </si>
  <si>
    <t>회전기기 설비용 모터 예지보전진단시스템</t>
  </si>
  <si>
    <t>2021-00161</t>
  </si>
  <si>
    <t>23-91</t>
  </si>
  <si>
    <t>56167 전라북도 정읍시 2산단2길 16 에이시티</t>
  </si>
  <si>
    <t>undark@actech.co.kr</t>
  </si>
  <si>
    <t>063-531-8070</t>
  </si>
  <si>
    <t>정일환</t>
  </si>
  <si>
    <t>소현수</t>
  </si>
  <si>
    <t>404-81-33283</t>
  </si>
  <si>
    <t>주식회사 에이시티</t>
  </si>
  <si>
    <t>신기술 고농도 저독성 차아염소산수 생성기술로 생성한 차아염소산 소독제</t>
  </si>
  <si>
    <t>살균제</t>
  </si>
  <si>
    <t>클린비하트 일반용</t>
  </si>
  <si>
    <t>고농도 저독성 HOCl 소독수 제조 기술 적용 제품</t>
  </si>
  <si>
    <t>2021-00162</t>
  </si>
  <si>
    <t>2019-12-19 ~ 2022-12-18</t>
  </si>
  <si>
    <t>제2019-1554호</t>
  </si>
  <si>
    <t>31767 충청남도 당진시 구봉로 12-40 4동 5동</t>
  </si>
  <si>
    <t>chorok-in@daum.net</t>
  </si>
  <si>
    <t>041-352-1148</t>
  </si>
  <si>
    <t>천혜금</t>
  </si>
  <si>
    <t>천혜금 전태평</t>
  </si>
  <si>
    <t>141-86-01089</t>
  </si>
  <si>
    <t>주식회사초록에서 농업회사법인</t>
  </si>
  <si>
    <t xml:space="preserve">식물을 이용한 공기정화 장치. 벽면을 활용하여 적은공간에 많은 식물을 심어 공기정화를함. </t>
  </si>
  <si>
    <t>공기정화식물재배장치</t>
  </si>
  <si>
    <t>BHA-2006W</t>
  </si>
  <si>
    <t>바이오월허니</t>
  </si>
  <si>
    <t>2021-00163</t>
  </si>
  <si>
    <t>20-0285</t>
  </si>
  <si>
    <t>07281 서울특별시 영등포구 선유로9길 10 문래SKV1센터 609호</t>
  </si>
  <si>
    <t>insoo@mobilecen.co.kr</t>
  </si>
  <si>
    <t>02-782-0606</t>
  </si>
  <si>
    <t>황인수</t>
  </si>
  <si>
    <t>863-86-00346</t>
  </si>
  <si>
    <t>모바일센 주식회사</t>
  </si>
  <si>
    <t>방통위db를 이용한 유해사이트 및 음란물 차단, 컴퓨터 이용관리를 통한 중독예방 SW</t>
  </si>
  <si>
    <t>사이버가디언 1.0</t>
  </si>
  <si>
    <t>2021-00166</t>
  </si>
  <si>
    <t>2020-92</t>
  </si>
  <si>
    <t>16072 경기도 의왕시 오전공업길 13 벽산선영테크노피아 801호</t>
  </si>
  <si>
    <t>elisyoon@wekotec.net</t>
  </si>
  <si>
    <t>031-340-6982</t>
  </si>
  <si>
    <t>윤숙영</t>
  </si>
  <si>
    <t>윤재성</t>
  </si>
  <si>
    <t>112-81-53565</t>
  </si>
  <si>
    <t>주식회사 위코테크</t>
  </si>
  <si>
    <t>하·폐수처리장 내 공정 운영에 최적화된 다항목 일체형 수질 측정시스템</t>
  </si>
  <si>
    <t>WEKO-AiO-WQMS</t>
  </si>
  <si>
    <t>하·폐수처리장 수처리 공정에 최적화된 수질측정 시스템</t>
  </si>
  <si>
    <t>2021-00167</t>
  </si>
  <si>
    <t>2020-12-16 ~ 2023-12-15</t>
  </si>
  <si>
    <t>NEP-MOTIE2020-085</t>
  </si>
  <si>
    <t>06127 서울특별시 강남구 봉은사로22길 49 역삼동</t>
  </si>
  <si>
    <t>elisha@silverelkorea.com</t>
  </si>
  <si>
    <t>010-2233-5041</t>
  </si>
  <si>
    <t>김은주</t>
  </si>
  <si>
    <t>서은교</t>
  </si>
  <si>
    <t>105-88-06200</t>
  </si>
  <si>
    <t>유한회사 실버엘리베이터코리아</t>
  </si>
  <si>
    <t>UV-A, UV-C제균 모듈 및 플라즈마 이온클러스터 적용 스마트 엘리베이터 살균제품</t>
  </si>
  <si>
    <t>승객용엘리베이터</t>
  </si>
  <si>
    <t>Asel</t>
  </si>
  <si>
    <t>UV 광조사 방식과 플라즈마 이온방식을 적용한 Smart loT 제균 엘리베이터 시스템 (ASel)</t>
  </si>
  <si>
    <t>2021-00168</t>
  </si>
  <si>
    <t>2020-07-22 ~ 2025-07-21</t>
  </si>
  <si>
    <t>제2020-11호</t>
  </si>
  <si>
    <t>10048 경기도 김포시 양촌읍 황금3로39번길 20-42 주식회사 지에프아이</t>
  </si>
  <si>
    <t>arjeon@gfi-aegis.com</t>
  </si>
  <si>
    <t>070-4493-8061</t>
  </si>
  <si>
    <t>전아람</t>
  </si>
  <si>
    <t>이상섭</t>
  </si>
  <si>
    <t>616-86-24344</t>
  </si>
  <si>
    <t>주식회사 지에프아이</t>
  </si>
  <si>
    <t>화재 예상 지점에 근접 설치, 초기 화재 발생시 진압하여 화재확산 차단하는 능동적 소방용품</t>
  </si>
  <si>
    <t>이지스패드에스(AEGIS PAD)_x000D_
이지스패드엘(AEGIS PAD)_x000D_
이지스와이어(AEGIS WIRE)_x000D_
이지스실드(AEGIS SHIELD)</t>
  </si>
  <si>
    <t>화재 초기진압을 위한 미세 캡슐형 소화약제 제조기술 적용 제품</t>
  </si>
  <si>
    <t>2021-00169</t>
  </si>
  <si>
    <t>2020-11-20 ~ 2023-11-19</t>
  </si>
  <si>
    <t>20-ADZ0518</t>
  </si>
  <si>
    <t>26311 강원도 원주시 태장공단길 55 태장동</t>
  </si>
  <si>
    <t>seongminj@daum.net</t>
  </si>
  <si>
    <t>02-597-2254</t>
  </si>
  <si>
    <t>전성민</t>
  </si>
  <si>
    <t>유용근</t>
  </si>
  <si>
    <t>125-81-19660</t>
  </si>
  <si>
    <t>길한산업(주)</t>
  </si>
  <si>
    <t>기존 토목용부직포의 물리적 성질에 발수성능을 추가로 부여한 제품</t>
  </si>
  <si>
    <t>토목용부직포</t>
  </si>
  <si>
    <t>SCF200, SCF300, SCF350, SCF400, _x000D_
SCF500, SCF600, SCF1000</t>
  </si>
  <si>
    <t>발수성과투수성을동시에 갖는토목용부직포</t>
  </si>
  <si>
    <t>2021-00170</t>
  </si>
  <si>
    <t>2020001-09</t>
  </si>
  <si>
    <t>39852 경상북도 칠곡군 가산면 경북대로 1511-16 주식회사 성신산업</t>
  </si>
  <si>
    <t>yjh0058@hanmail.net</t>
  </si>
  <si>
    <t>054-976-6336</t>
  </si>
  <si>
    <t>박종원</t>
  </si>
  <si>
    <t>윤정한</t>
  </si>
  <si>
    <t>256-88-01968</t>
  </si>
  <si>
    <t>주식회사 성신산업</t>
  </si>
  <si>
    <t>브라켓본체의 승강범위를 제한하는 도어 힌지장치를 적용한 가정용싱크대</t>
  </si>
  <si>
    <t>① 가정용싱크대, 성신산업, _x000D_
S2TK-B1-001, 2400×600×820mm_x000D_
② 가정용싱크대, 성신산업, _x000D_
S2TK-B2-001, 2400×600×820mm_x000D_
③ 가정용싱크대, 성신산업, _x000D_
S2TK-B3-001, 2400×600×820mm_x000D_
④ 가정용싱크대, 성신산업, _x000D_
S2TK-B4-001, 2400×600×820mm_x000D_
⑤ 가정용싱크대, 성신산업, _x000D_
S2TK-B5-001, 2400×600×820mm</t>
  </si>
  <si>
    <t>2021-00173</t>
  </si>
  <si>
    <t>2020002-09</t>
  </si>
  <si>
    <t>브라켓본체의 승강범위를 제한하는 도어 힌지장치를 적용한 찬장</t>
  </si>
  <si>
    <t>① 찬장, 성신산업,_x000D_
 S2TK-W1-001, 2400×310×800mm_x000D_
② 찬장, 성신산업, _x000D_
S2TK-W2-001, 2400×310×800mm_x000D_
③ 찬장, 성신산업, _x000D_
S2TK-W3-001, 2400×310×800mm_x000D_
④ 찬장, 성신산업, _x000D_
S2TK-W4-001, 2400×310×800mm</t>
  </si>
  <si>
    <t>2021-00174</t>
  </si>
  <si>
    <t>2020-005</t>
  </si>
  <si>
    <t>55315 전라북도 완주군 봉동읍 완주산단6로 212 (주)가온셀</t>
  </si>
  <si>
    <t>ysjoo@gaoncell.com</t>
  </si>
  <si>
    <t>010-5653-7785</t>
  </si>
  <si>
    <t>주용수</t>
  </si>
  <si>
    <t>장성용</t>
  </si>
  <si>
    <t>403-81-11419</t>
  </si>
  <si>
    <t>주식회사 가온셀</t>
  </si>
  <si>
    <t>？메탄올의 수소와 공기 중의 산소로 전기를 발생시키는  친환경발전기</t>
  </si>
  <si>
    <t>연료전지전력공급장치</t>
  </si>
  <si>
    <t>PROM-GEN DM1500</t>
  </si>
  <si>
    <t>직접메탄올 연료전지(DMFC, Direct Methanol Fuel Cell) 파워팩</t>
  </si>
  <si>
    <t>2021-00181</t>
  </si>
  <si>
    <t>2020001-05</t>
  </si>
  <si>
    <t>1)가정용싱크대,퍼니원,FNI-SB-011_x000D_
2)가정용싱크대,퍼니원,FNI-SB-012_x000D_
3)가정용싱크대,퍼니원,FNI-SB-013_x000D_
4)가정용싱크대,퍼니원,FNI-SB-014_x000D_
5)가정용싱크대,퍼니원,FNI-SB-015</t>
  </si>
  <si>
    <t>2021-00182</t>
  </si>
  <si>
    <t>20190175</t>
  </si>
  <si>
    <t>21315 인천광역시 부평구 부평대로 337 1029호</t>
  </si>
  <si>
    <t>kmlee@kmseardch.co.kr</t>
  </si>
  <si>
    <t>032-275-8201</t>
  </si>
  <si>
    <t>이경목</t>
  </si>
  <si>
    <t>131-36-68943</t>
  </si>
  <si>
    <t>케이엠서치엔텍</t>
  </si>
  <si>
    <t>폐기물을 간편하고 위생적으로 처리할수 있게 해주는 봉투거치대</t>
  </si>
  <si>
    <t>기타주방용품</t>
  </si>
  <si>
    <t>WH3, WH2, WH5</t>
  </si>
  <si>
    <t>와이즈홀더_봉투거치대</t>
  </si>
  <si>
    <t>2021-00188</t>
  </si>
  <si>
    <t>19-AAP0465</t>
  </si>
  <si>
    <t>57055 전라남도 영광군 대마면 전기차1로 177 (주)코멤텍 사무실</t>
  </si>
  <si>
    <t>jungjk@komemtec.com</t>
  </si>
  <si>
    <t>010-3890-8529</t>
  </si>
  <si>
    <t>정진규</t>
  </si>
  <si>
    <t>김성철</t>
  </si>
  <si>
    <t>101-86-28697</t>
  </si>
  <si>
    <t>(주)코멤텍</t>
  </si>
  <si>
    <t>PTFE Membrane을 이용하여 생산한 집진용 에어필터 여재</t>
  </si>
  <si>
    <t>백필터</t>
  </si>
  <si>
    <t>자루형백필터 140mm~510mm(Ø) × 500mm~3000mm(H)_x000D_
_x000D_
주름형백필터 140mm~250mm(Ø) × 500mm~2500mm(H))</t>
  </si>
  <si>
    <t>PTFE Membrane을 이용한 집진용 에어필터 여재</t>
  </si>
  <si>
    <t>2021-00189</t>
  </si>
  <si>
    <t>2021-02-26 ~ 2024-02-25</t>
  </si>
  <si>
    <t>제2021-02-0003호</t>
  </si>
  <si>
    <t>07788 서울특별시 강서구 마곡중앙로 161-17 9층 905호</t>
  </si>
  <si>
    <t>tmdwls741@goalmutree.com</t>
  </si>
  <si>
    <t>010-4151-6265</t>
  </si>
  <si>
    <t>김승진</t>
  </si>
  <si>
    <t>김용훈</t>
  </si>
  <si>
    <t>348-44-00100</t>
  </si>
  <si>
    <t>골무트리</t>
  </si>
  <si>
    <t>웨어러블디바이스 스마트폰,테블릿, PC, 스마트TV등 UI/UX를 원격으로입력제어</t>
  </si>
  <si>
    <t>복합기능마우스</t>
  </si>
  <si>
    <t>골무포인터마우스(PART_M)</t>
  </si>
  <si>
    <t>골무포인터마우스</t>
  </si>
  <si>
    <t>2021-00191</t>
  </si>
  <si>
    <t>인증기간</t>
    <phoneticPr fontId="20" type="noConversion"/>
  </si>
  <si>
    <t>인증번호</t>
    <phoneticPr fontId="20" type="noConversion"/>
  </si>
  <si>
    <t>인증4</t>
    <phoneticPr fontId="20" type="noConversion"/>
  </si>
  <si>
    <t>인증기간</t>
    <phoneticPr fontId="20" type="noConversion"/>
  </si>
  <si>
    <t>인증번호</t>
    <phoneticPr fontId="20" type="noConversion"/>
  </si>
  <si>
    <t>인증3</t>
    <phoneticPr fontId="20" type="noConversion"/>
  </si>
  <si>
    <t>인증2</t>
    <phoneticPr fontId="20" type="noConversion"/>
  </si>
  <si>
    <t>인증1</t>
    <phoneticPr fontId="20" type="noConversion"/>
  </si>
  <si>
    <t>주소</t>
    <phoneticPr fontId="20" type="noConversion"/>
  </si>
  <si>
    <t>소재지</t>
    <phoneticPr fontId="20" type="noConversion"/>
  </si>
  <si>
    <t>이메일</t>
    <phoneticPr fontId="20" type="noConversion"/>
  </si>
  <si>
    <t>연락처</t>
    <phoneticPr fontId="20" type="noConversion"/>
  </si>
  <si>
    <t>담당자</t>
    <phoneticPr fontId="20" type="noConversion"/>
  </si>
  <si>
    <t>대표자</t>
    <phoneticPr fontId="20" type="noConversion"/>
  </si>
  <si>
    <t>사업자등록번호</t>
    <phoneticPr fontId="20" type="noConversion"/>
  </si>
  <si>
    <t>기업명</t>
    <phoneticPr fontId="20" type="noConversion"/>
  </si>
  <si>
    <t>기업구분</t>
    <phoneticPr fontId="20" type="noConversion"/>
  </si>
  <si>
    <t>제품설명(물품분류체계)</t>
    <phoneticPr fontId="20" type="noConversion"/>
  </si>
  <si>
    <t>세부품명</t>
    <phoneticPr fontId="20" type="noConversion"/>
  </si>
  <si>
    <t>세부품명번호</t>
    <phoneticPr fontId="20" type="noConversion"/>
  </si>
  <si>
    <t>규격명(모델명)</t>
    <phoneticPr fontId="20" type="noConversion"/>
  </si>
  <si>
    <t>기술개발제품명</t>
    <phoneticPr fontId="20" type="noConversion"/>
  </si>
  <si>
    <t>시범구매 유효
(210512 기준)</t>
    <phoneticPr fontId="20" type="noConversion"/>
  </si>
  <si>
    <t>지정 종료일</t>
    <phoneticPr fontId="20" type="noConversion"/>
  </si>
  <si>
    <t>지정 시작일</t>
    <phoneticPr fontId="20" type="noConversion"/>
  </si>
  <si>
    <t>선정 공고</t>
    <phoneticPr fontId="20" type="noConversion"/>
  </si>
  <si>
    <t>과제구분</t>
    <phoneticPr fontId="20" type="noConversion"/>
  </si>
  <si>
    <t>과제번호</t>
    <phoneticPr fontId="20" type="noConversion"/>
  </si>
  <si>
    <t>연번</t>
    <phoneticPr fontId="20" type="noConversion"/>
  </si>
  <si>
    <t>인증정보</t>
    <phoneticPr fontId="20" type="noConversion"/>
  </si>
  <si>
    <t>기업정보</t>
    <phoneticPr fontId="20" type="noConversion"/>
  </si>
  <si>
    <t>시범구매 선정 제품정보</t>
    <phoneticPr fontId="20" type="noConversion"/>
  </si>
  <si>
    <t>시범구매 선정 현황</t>
    <phoneticPr fontId="20" type="noConversion"/>
  </si>
  <si>
    <t xml:space="preserve"> 전체 : 427 개 ('21.5.12. 기준 유효제품)</t>
    <phoneticPr fontId="20" type="noConversion"/>
  </si>
  <si>
    <t>□ 시범구매 선정제품 목록 [20210512 기준]</t>
    <phoneticPr fontId="20" type="noConversion"/>
  </si>
  <si>
    <t>CAMK930117104</t>
    <phoneticPr fontId="7" type="noConversion"/>
  </si>
  <si>
    <t>연동</t>
    <phoneticPr fontId="7" type="noConversion"/>
  </si>
  <si>
    <t>연동</t>
    <phoneticPr fontId="7" type="noConversion"/>
  </si>
  <si>
    <t>시스템조회</t>
    <phoneticPr fontId="7" type="noConversion"/>
  </si>
  <si>
    <t>금액고정</t>
    <phoneticPr fontId="7" type="noConversion"/>
  </si>
  <si>
    <t>주식회사블루인더스</t>
    <phoneticPr fontId="7" type="noConversion"/>
  </si>
  <si>
    <t>총물품구매액의</t>
    <phoneticPr fontId="7" type="noConversion"/>
  </si>
  <si>
    <t>총용역구매액의</t>
    <phoneticPr fontId="7" type="noConversion"/>
  </si>
  <si>
    <t>총공사구매액의</t>
    <phoneticPr fontId="7" type="noConversion"/>
  </si>
  <si>
    <t>031-926-3194</t>
    <phoneticPr fontId="7" type="noConversion"/>
  </si>
  <si>
    <t>sjkim@hictc.com</t>
    <phoneticPr fontId="7" type="noConversion"/>
  </si>
  <si>
    <t>주식회사 이노스</t>
    <phoneticPr fontId="7" type="noConversion"/>
  </si>
  <si>
    <t>블루 방역마스크 KF94</t>
    <phoneticPr fontId="7" type="noConversion"/>
  </si>
  <si>
    <t>(-금액일시 목표달성)</t>
    <phoneticPr fontId="7" type="noConversion"/>
  </si>
  <si>
    <t>최초회계년도</t>
  </si>
  <si>
    <t>창업기업제품</t>
  </si>
  <si>
    <t>이전지역물품</t>
  </si>
  <si>
    <t>부서카드</t>
  </si>
  <si>
    <t>세금계산서및계산서</t>
  </si>
  <si>
    <t>용역</t>
  </si>
  <si>
    <t>N</t>
  </si>
  <si>
    <t>Y</t>
  </si>
  <si>
    <t xml:space="preserve"> </t>
  </si>
  <si>
    <t>001</t>
  </si>
  <si>
    <t>해당 없음</t>
  </si>
  <si>
    <t>해당사항없음</t>
  </si>
  <si>
    <t>해당없음</t>
  </si>
  <si>
    <t>108</t>
  </si>
  <si>
    <t>기타</t>
  </si>
  <si>
    <t>온누리상품권</t>
  </si>
  <si>
    <t>에너지소비효율등급제품</t>
  </si>
  <si>
    <t>고효율에너지기자재인증제품</t>
  </si>
  <si>
    <t>중소기업 물품구매액</t>
    <phoneticPr fontId="7" type="noConversion"/>
  </si>
  <si>
    <t>NEP</t>
    <phoneticPr fontId="7" type="noConversion"/>
  </si>
  <si>
    <t>신제품인증(NEP)여부</t>
  </si>
  <si>
    <t>신제품인증(NEP) 대상품목</t>
  </si>
  <si>
    <t>003</t>
  </si>
  <si>
    <t>정보시스템 유지관리</t>
  </si>
  <si>
    <t>119120012533010021016001</t>
  </si>
  <si>
    <t>기업진단-기타운영비(부운영비)</t>
  </si>
  <si>
    <t xml:space="preserve">    </t>
  </si>
  <si>
    <t>6091254252</t>
  </si>
  <si>
    <t>커피머신렌탈아울렛</t>
  </si>
  <si>
    <t>50992</t>
  </si>
  <si>
    <t xml:space="preserve">경상남도 김해시 대청로167번길 27(대청동) </t>
  </si>
  <si>
    <t>1168210814</t>
  </si>
  <si>
    <t>(사)한국응용통계연구원</t>
  </si>
  <si>
    <t>07235</t>
  </si>
  <si>
    <t>서울특별시 영등포구 국회대로62길 14 한국보이스카우트연맹회관</t>
  </si>
  <si>
    <t>(재)한국무역통계진흥원</t>
  </si>
  <si>
    <t>06221</t>
  </si>
  <si>
    <t>서울특별시 강남구 테헤란로 238(역삼동) 4 5 6층 (마크로젠빌딩)</t>
  </si>
  <si>
    <t>5988800183</t>
  </si>
  <si>
    <t>48058</t>
  </si>
  <si>
    <t>부산광역시 해운대구 센텀서로 30, 2202호(우동) 2202호</t>
  </si>
  <si>
    <t>1098637604</t>
  </si>
  <si>
    <t>07238</t>
  </si>
  <si>
    <t>서울특별시 영등포구 은행로 37 4층 (여의도동, 기계산업진흥회)</t>
  </si>
  <si>
    <t xml:space="preserve">   </t>
  </si>
  <si>
    <t>119120012533010021001001</t>
  </si>
  <si>
    <t>기업진단-일반수용비</t>
  </si>
  <si>
    <t>물품</t>
  </si>
  <si>
    <t>(업데이트 일자 : ), ★통제일★ 기준</t>
    <phoneticPr fontId="7" type="noConversion"/>
  </si>
  <si>
    <t>1068204542</t>
  </si>
  <si>
    <t>(사)한국물가협회</t>
  </si>
  <si>
    <t>08506</t>
  </si>
  <si>
    <t xml:space="preserve">서울특별시 금천구 가산디지털2로 98, 롯데IT캐슬 1동 13층 (가산동) </t>
  </si>
  <si>
    <t>9:33 AM</t>
    <phoneticPr fontId="7" type="noConversion"/>
  </si>
  <si>
    <t>116720072762000021007001</t>
  </si>
  <si>
    <t>중진기금기본경비(본부)-임차료</t>
  </si>
  <si>
    <t>목표대비</t>
    <phoneticPr fontId="7" type="noConversion"/>
  </si>
  <si>
    <t>Y</t>
    <phoneticPr fontId="7" type="noConversion"/>
  </si>
  <si>
    <t>2026 평가데이터실 공공구매 실적현황</t>
    <phoneticPr fontId="7" type="noConversion"/>
  </si>
  <si>
    <t>11월말 기준 정직원, 계약직, 파견직</t>
    <phoneticPr fontId="7" type="noConversion"/>
  </si>
  <si>
    <t>2026</t>
  </si>
  <si>
    <t>062000</t>
  </si>
  <si>
    <t>기업평가·데이터실</t>
  </si>
  <si>
    <t>042257</t>
  </si>
  <si>
    <t>기업평가 업무 관련 사무용 복합기 사용료(4월)</t>
  </si>
  <si>
    <t>6130394339</t>
  </si>
  <si>
    <t>신도OA프라자</t>
  </si>
  <si>
    <t>52725</t>
  </si>
  <si>
    <t xml:space="preserve">경상남도 진주시 강남로151번길 20 (칠암동) </t>
  </si>
  <si>
    <t>030555</t>
  </si>
  <si>
    <t>기업평가 업무 관련 사무용 복합기 사용료(3월)</t>
  </si>
  <si>
    <t>017042</t>
  </si>
  <si>
    <t>기업평가 업무 관련 사무용 복합기 사용료(2월)</t>
  </si>
  <si>
    <t>006423</t>
  </si>
  <si>
    <t>기업평가 업무 관련 사무용 복합기 사용료(1월)</t>
  </si>
  <si>
    <t>003424</t>
  </si>
  <si>
    <t>기업평가 관련 업무용 커피머신 사용료(1월)</t>
  </si>
  <si>
    <t>116720072762000021001001</t>
  </si>
  <si>
    <t>중진기금기본경비(본부)-일반수용비</t>
  </si>
  <si>
    <t>021582</t>
  </si>
  <si>
    <t>기업진단 및 평가 관련 KCB개인신용등급 서비스 이용료 선금 지급</t>
  </si>
  <si>
    <t>1058675080</t>
  </si>
  <si>
    <t>한국평가데이터(주)</t>
  </si>
  <si>
    <t>07237</t>
  </si>
  <si>
    <t xml:space="preserve">서울특별시 영등포구 의사당대로 21 (여의도동) </t>
  </si>
  <si>
    <t>016714</t>
  </si>
  <si>
    <t>기업평가 관련 업무용 커피머신 사용료(2월)</t>
  </si>
  <si>
    <t>52851</t>
  </si>
  <si>
    <t xml:space="preserve">경상남도 진주시 동진로 430 (충무공동) </t>
  </si>
  <si>
    <t>023309</t>
  </si>
  <si>
    <t>기업평가·진단 관련 SOHO서비스(신용정보 데이터 제공) 이용료 선금 지급</t>
  </si>
  <si>
    <t>026411</t>
  </si>
  <si>
    <t>AI확산과 전문성 강화를 위한 정책자금 기업평가모형 고도화 연구 관련 원가계산 대금 지급</t>
  </si>
  <si>
    <t>026438</t>
  </si>
  <si>
    <t>기업평가·진단을 위한 기업평가시스템 유지보수 원가계산 대금 지급</t>
  </si>
  <si>
    <t>028189</t>
  </si>
  <si>
    <t>기업평가·진단을 위한 기업정보 조회 서비스 원가계산 대금 지급</t>
  </si>
  <si>
    <t>033937</t>
  </si>
  <si>
    <t>기업진단 및 평가 업무 관련 내방객 응대용 다과 구매(온누리상품권)</t>
  </si>
  <si>
    <t>D062000</t>
  </si>
  <si>
    <t>기업평가데이터실</t>
  </si>
  <si>
    <t>027189</t>
  </si>
  <si>
    <t>기업평가·진단 관련 업무용 커피머신 사용료(3월)</t>
  </si>
  <si>
    <t>038706</t>
  </si>
  <si>
    <t>기업진단·평가 관련 업무용 모니터 보안기 구매</t>
  </si>
  <si>
    <t>NEP(신제품인증)</t>
  </si>
  <si>
    <t>1058621852</t>
  </si>
  <si>
    <t>(주)아이가드</t>
  </si>
  <si>
    <t>07205</t>
  </si>
  <si>
    <t>서울특별시 영등포구 양평로22길 21 선유도코오롱디지털타워 1103호</t>
  </si>
  <si>
    <t>컴퓨터용보안기</t>
  </si>
  <si>
    <t>042897</t>
  </si>
  <si>
    <t>2026년 빅데이터 플랫폼 유지보수 용역 선금 지급</t>
  </si>
  <si>
    <t>116720072762000321015001</t>
  </si>
  <si>
    <t>중진기금기본경비(전산)-관리용역비</t>
  </si>
  <si>
    <t>039586</t>
  </si>
  <si>
    <t>RPA 유지보수 용역 선금 지급</t>
  </si>
  <si>
    <t>116720072762000021015001</t>
  </si>
  <si>
    <t>중진기금기본경비(본부)-관리용역비</t>
  </si>
  <si>
    <t>046064</t>
  </si>
  <si>
    <t>기업진단 관련 내방객 응대용 다과 구매(온누리 상품권)</t>
  </si>
  <si>
    <t>041109</t>
  </si>
  <si>
    <t>기업평가·진단 관련 업무용 커피머신 사용료(4월)</t>
  </si>
  <si>
    <t>물품금액</t>
    <phoneticPr fontId="7" type="noConversion"/>
  </si>
  <si>
    <t>★. 녹색제품 구매 목표</t>
  </si>
  <si>
    <t>목표 조정율(경영실 공통 조정)</t>
  </si>
  <si>
    <t>평가직군</t>
    <phoneticPr fontId="19" type="noConversion"/>
  </si>
  <si>
    <t>부서명</t>
    <phoneticPr fontId="19" type="noConversion"/>
  </si>
  <si>
    <t>25년-일반수용비-최종</t>
    <phoneticPr fontId="19" type="noConversion"/>
  </si>
  <si>
    <t>25년-자산취득비-최종</t>
    <phoneticPr fontId="19" type="noConversion"/>
  </si>
  <si>
    <t>25년-관련예산-합계</t>
    <phoneticPr fontId="19" type="noConversion"/>
  </si>
  <si>
    <t>25년-소모품.비품 등 구매금액</t>
  </si>
  <si>
    <t>예산 대비 소모품 변환 비율</t>
  </si>
  <si>
    <t>25년 녹색제품 구매실적</t>
    <phoneticPr fontId="19" type="noConversion"/>
  </si>
  <si>
    <t>25년 총계정(소모품.비품) 대비 녹색구매 비율</t>
  </si>
  <si>
    <t>26년-일반수용비-현재</t>
    <phoneticPr fontId="19" type="noConversion"/>
  </si>
  <si>
    <t>26년-자산취득비-현재</t>
    <phoneticPr fontId="19" type="noConversion"/>
  </si>
  <si>
    <t>26년-관련예산-합계</t>
  </si>
  <si>
    <t>26년-목표(산출)</t>
    <phoneticPr fontId="19" type="noConversion"/>
  </si>
  <si>
    <t>26년 녹색제품 구매목표</t>
  </si>
  <si>
    <t>26목표/25실적</t>
  </si>
  <si>
    <t>26예산/25예산</t>
    <phoneticPr fontId="19" type="noConversion"/>
  </si>
  <si>
    <t>5.기획관리</t>
  </si>
  <si>
    <t xml:space="preserve"> * 25년 물품 구매액 대비 녹색제품 구매금액 비율 산정이 불가능하여, 지역본지부(4.0%) 기준으로 최소 반영
(단, 27년은 구매금액을 반영하여 변경 예정)</t>
    <phoneticPr fontId="19" type="noConversion"/>
  </si>
  <si>
    <t>★.자활용사촌 생산품 구매 목표</t>
    <phoneticPr fontId="19" type="noConversion"/>
  </si>
  <si>
    <t>평가직군-2</t>
    <phoneticPr fontId="19" type="noConversion"/>
  </si>
  <si>
    <t>평가 대상 부서명-26년 기준</t>
    <phoneticPr fontId="19" type="noConversion"/>
  </si>
  <si>
    <t>부서명-25년 기준</t>
    <phoneticPr fontId="19" type="noConversion"/>
  </si>
  <si>
    <t>25년-총계정원장-소모품</t>
    <phoneticPr fontId="19" type="noConversion"/>
  </si>
  <si>
    <t>예산 대비 소모품 변환 비율</t>
    <phoneticPr fontId="19" type="noConversion"/>
  </si>
  <si>
    <t>가용 구매금액-추산</t>
    <phoneticPr fontId="19" type="noConversion"/>
  </si>
  <si>
    <t>목표 배분</t>
    <phoneticPr fontId="19" type="noConversion"/>
  </si>
  <si>
    <t>목표 배분(고액 조정)</t>
  </si>
  <si>
    <t>목표 배분(소액 조정)</t>
    <phoneticPr fontId="19" type="noConversion"/>
  </si>
  <si>
    <t>부서별 목표</t>
    <phoneticPr fontId="19" type="noConversion"/>
  </si>
  <si>
    <t>(신규)</t>
  </si>
  <si>
    <t>목표액 별도부여</t>
    <phoneticPr fontId="7" type="noConversion"/>
  </si>
  <si>
    <t>경영실 목록 중 구매</t>
    <phoneticPr fontId="7" type="noConversion"/>
  </si>
  <si>
    <t>㈜네오누리콤</t>
    <phoneticPr fontId="7" type="noConversion"/>
  </si>
  <si>
    <t>물품</t>
    <phoneticPr fontId="7" type="noConversion"/>
  </si>
  <si>
    <t>예지기획</t>
    <phoneticPr fontId="7" type="noConversion"/>
  </si>
  <si>
    <t>기업진단-일반수용비</t>
    <phoneticPr fontId="7" type="noConversion"/>
  </si>
  <si>
    <t>[수탁]26중기부 수출바우처-일반수용비</t>
    <phoneticPr fontId="7" type="noConversion"/>
  </si>
  <si>
    <t>마스터 키트 제작</t>
    <phoneticPr fontId="7" type="noConversion"/>
  </si>
  <si>
    <t>비즈패스파인더 리플렛</t>
    <phoneticPr fontId="7" type="noConversion"/>
  </si>
  <si>
    <t>공공구매 소요금액</t>
    <phoneticPr fontId="7" type="noConversion"/>
  </si>
  <si>
    <t>관세청 수출통관 데이터 구매</t>
    <phoneticPr fontId="7" type="noConversion"/>
  </si>
  <si>
    <t>기업진단-일반수용비</t>
    <phoneticPr fontId="7" type="noConversion"/>
  </si>
  <si>
    <t>빅데이터플랫폼 유지보수</t>
    <phoneticPr fontId="7" type="noConversion"/>
  </si>
  <si>
    <t>중진기금기본경비(전산)-관리용역비</t>
    <phoneticPr fontId="7" type="noConversion"/>
  </si>
  <si>
    <t>(주)아이알컴퍼니</t>
    <phoneticPr fontId="7" type="noConversion"/>
  </si>
  <si>
    <t>빅데이터플랫폼 데이터 현행화</t>
    <phoneticPr fontId="7" type="noConversion"/>
  </si>
  <si>
    <t>한국평가데이터</t>
    <phoneticPr fontId="7" type="noConversion"/>
  </si>
  <si>
    <t>RPA 계약</t>
    <phoneticPr fontId="7" type="noConversion"/>
  </si>
  <si>
    <t>중진기금기본경비(본부)-관리용역비</t>
    <phoneticPr fontId="7" type="noConversion"/>
  </si>
  <si>
    <t>위원수당, 원가계산 용역 등</t>
    <phoneticPr fontId="7" type="noConversion"/>
  </si>
  <si>
    <t>구조개선촉진-일반수용비</t>
    <phoneticPr fontId="7" type="noConversion"/>
  </si>
  <si>
    <t>N</t>
    <phoneticPr fontId="7" type="noConversion"/>
  </si>
  <si>
    <t>(사)한국물가협회/응용통계연구원</t>
    <phoneticPr fontId="7" type="noConversion"/>
  </si>
  <si>
    <t>원가계산수수료(빅데이터플랫폼 유지보수)</t>
    <phoneticPr fontId="7" type="noConversion"/>
  </si>
  <si>
    <t>빅데이터플랫폼 과업심의위, 제안서평가수당 등</t>
    <phoneticPr fontId="7" type="noConversion"/>
  </si>
  <si>
    <t>기업평가 데이터 구매</t>
    <phoneticPr fontId="7" type="noConversion"/>
  </si>
  <si>
    <t>한국평가데이터/나이스평가정보</t>
    <phoneticPr fontId="7" type="noConversion"/>
  </si>
  <si>
    <t>API 계약</t>
    <phoneticPr fontId="7" type="noConversion"/>
  </si>
  <si>
    <t>㈜딥서치</t>
    <phoneticPr fontId="7" type="noConversion"/>
  </si>
  <si>
    <t>평가팀 원가계산 용역 및 제안서평가수당</t>
    <phoneticPr fontId="7" type="noConversion"/>
  </si>
  <si>
    <t>평가마스터 교육 위탁</t>
    <phoneticPr fontId="7" type="noConversion"/>
  </si>
  <si>
    <t>한국생산성본부/한국능률협회</t>
    <phoneticPr fontId="7" type="noConversion"/>
  </si>
  <si>
    <t>기업평가시스템 유지보수</t>
    <phoneticPr fontId="7" type="noConversion"/>
  </si>
  <si>
    <t>(주)겟스마트에이아이</t>
    <phoneticPr fontId="7" type="noConversion"/>
  </si>
  <si>
    <t>3598802683</t>
  </si>
  <si>
    <t>(주)겟스마트</t>
  </si>
  <si>
    <t>평가모형 고도화 연구용역(K-ACE전산화 등)</t>
    <phoneticPr fontId="7" type="noConversion"/>
  </si>
  <si>
    <t>정책자금 이차보전 지원-일반용역비</t>
    <phoneticPr fontId="7" type="noConversion"/>
  </si>
  <si>
    <t>㈜딥서치(예정)</t>
    <phoneticPr fontId="7" type="noConversion"/>
  </si>
  <si>
    <t>평가모형 BI</t>
    <phoneticPr fontId="7" type="noConversion"/>
  </si>
  <si>
    <t>피앤디디자인</t>
    <phoneticPr fontId="7" type="noConversion"/>
  </si>
  <si>
    <t>04074</t>
  </si>
  <si>
    <t>서울특별시 마포구 독막로 76-1 한주빌딩 3층</t>
  </si>
  <si>
    <t>1058741684</t>
  </si>
  <si>
    <t>평가팀 연구용역(전략실예산)</t>
    <phoneticPr fontId="7" type="noConversion"/>
  </si>
  <si>
    <t>일반연구비</t>
    <phoneticPr fontId="7" type="noConversion"/>
  </si>
  <si>
    <t>(주)딥서치</t>
  </si>
  <si>
    <t>04147</t>
  </si>
  <si>
    <t xml:space="preserve"> 서울특별시 마포구 백범로31길 21</t>
  </si>
  <si>
    <t>6038182945</t>
  </si>
  <si>
    <t>?</t>
    <phoneticPr fontId="7" type="noConversion"/>
  </si>
  <si>
    <t>Y</t>
    <phoneticPr fontId="7" type="noConversion"/>
  </si>
  <si>
    <t>↓예정</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</si>
</sst>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41" formatCode="_-* #,##0_-;\-* #,##0_-;_-* &quot;-&quot;_-;_-@_-"/>
    <numFmt numFmtId="176" formatCode="0.0%"/>
    <numFmt numFmtId="177" formatCode="yyyy\-mm\-dd"/>
    <numFmt numFmtId="178" formatCode="0.0"/>
    <numFmt numFmtId="179" formatCode="#,##0_ "/>
    <numFmt numFmtId="180" formatCode="#,##0_);[Red]\(#,##0\)"/>
    <numFmt numFmtId="181" formatCode="#,##0;[Red]#,##0"/>
  </numFmts>
  <fonts count="50">
    <font>
      <sz val="11"/>
      <color indexed="8"/>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9"/>
      <color rgb="FF333333"/>
      <name val="NanumGothic"/>
      <family val="3"/>
      <charset val="129"/>
    </font>
    <font>
      <sz val="11"/>
      <color indexed="8"/>
      <name val="맑은 고딕"/>
      <family val="2"/>
      <scheme val="minor"/>
    </font>
    <font>
      <sz val="8"/>
      <name val="맑은 고딕"/>
      <family val="3"/>
      <charset val="129"/>
      <scheme val="minor"/>
    </font>
    <font>
      <b/>
      <sz val="11"/>
      <color indexed="8"/>
      <name val="맑은 고딕"/>
      <family val="3"/>
      <charset val="129"/>
      <scheme val="minor"/>
    </font>
    <font>
      <sz val="11"/>
      <color rgb="FF000000"/>
      <name val="맑은 고딕"/>
      <family val="3"/>
      <charset val="129"/>
      <scheme val="minor"/>
    </font>
    <font>
      <sz val="11"/>
      <name val="맑은 고딕"/>
      <family val="3"/>
      <charset val="129"/>
      <scheme val="minor"/>
    </font>
    <font>
      <sz val="10"/>
      <color theme="1"/>
      <name val="맑은 고딕"/>
      <family val="3"/>
      <charset val="129"/>
      <scheme val="minor"/>
    </font>
    <font>
      <sz val="11"/>
      <color rgb="FFFF0000"/>
      <name val="맑은 고딕"/>
      <family val="2"/>
      <scheme val="minor"/>
    </font>
    <font>
      <sz val="11"/>
      <color rgb="FFFF0000"/>
      <name val="맑은 고딕"/>
      <family val="3"/>
      <charset val="129"/>
      <scheme val="minor"/>
    </font>
    <font>
      <b/>
      <sz val="16"/>
      <color indexed="8"/>
      <name val="맑은 고딕"/>
      <family val="3"/>
      <charset val="129"/>
      <scheme val="minor"/>
    </font>
    <font>
      <b/>
      <sz val="11"/>
      <color rgb="FFFF0000"/>
      <name val="맑은 고딕"/>
      <family val="3"/>
      <charset val="129"/>
      <scheme val="minor"/>
    </font>
    <font>
      <b/>
      <sz val="9"/>
      <color indexed="81"/>
      <name val="돋움"/>
      <family val="3"/>
      <charset val="129"/>
    </font>
    <font>
      <sz val="11"/>
      <color theme="1"/>
      <name val="맑은 고딕"/>
      <family val="2"/>
      <scheme val="minor"/>
    </font>
    <font>
      <sz val="10"/>
      <color indexed="8"/>
      <name val="맑은 고딕"/>
      <family val="3"/>
      <charset val="129"/>
    </font>
    <font>
      <sz val="8"/>
      <name val="맑은 고딕"/>
      <family val="2"/>
      <charset val="129"/>
      <scheme val="minor"/>
    </font>
    <font>
      <sz val="8"/>
      <name val="맑은 고딕"/>
      <family val="3"/>
      <charset val="129"/>
    </font>
    <font>
      <sz val="10"/>
      <name val="맑은 고딕"/>
      <family val="3"/>
      <charset val="129"/>
    </font>
    <font>
      <b/>
      <sz val="10"/>
      <color indexed="8"/>
      <name val="맑은 고딕"/>
      <family val="3"/>
      <charset val="129"/>
    </font>
    <font>
      <sz val="16"/>
      <color indexed="8"/>
      <name val="HY헤드라인M"/>
      <family val="1"/>
      <charset val="129"/>
    </font>
    <font>
      <sz val="20"/>
      <color indexed="8"/>
      <name val="HY헤드라인M"/>
      <family val="1"/>
      <charset val="129"/>
    </font>
    <font>
      <b/>
      <sz val="9"/>
      <color indexed="81"/>
      <name val="Tahoma"/>
      <family val="2"/>
    </font>
    <font>
      <sz val="11"/>
      <name val="맑은 고딕"/>
      <family val="2"/>
      <charset val="129"/>
      <scheme val="minor"/>
    </font>
    <font>
      <b/>
      <sz val="11"/>
      <name val="맑은 고딕"/>
      <family val="3"/>
      <charset val="129"/>
      <scheme val="minor"/>
    </font>
    <font>
      <sz val="10"/>
      <color rgb="FFFF0000"/>
      <name val="맑은 고딕"/>
      <family val="3"/>
      <charset val="129"/>
      <scheme val="minor"/>
    </font>
    <font>
      <sz val="10"/>
      <color rgb="FFFF0000"/>
      <name val="맑은 고딕"/>
      <family val="3"/>
      <charset val="129"/>
    </font>
    <font>
      <u/>
      <sz val="11"/>
      <color theme="10"/>
      <name val="맑은 고딕"/>
      <family val="2"/>
      <scheme val="minor"/>
    </font>
    <font>
      <sz val="11"/>
      <color rgb="FFFF0000"/>
      <name val="맑은 고딕"/>
      <family val="2"/>
      <charset val="129"/>
      <scheme val="minor"/>
    </font>
    <font>
      <sz val="11"/>
      <name val="맑은 고딕"/>
      <family val="2"/>
      <scheme val="minor"/>
    </font>
    <font>
      <sz val="10"/>
      <color rgb="FF333333"/>
      <name val="NanumGothic"/>
      <family val="3"/>
      <charset val="129"/>
    </font>
    <font>
      <sz val="9"/>
      <color rgb="FFFF0000"/>
      <name val="NanumGothic"/>
      <family val="3"/>
      <charset val="129"/>
    </font>
    <font>
      <sz val="9"/>
      <color indexed="81"/>
      <name val="Tahoma"/>
      <family val="2"/>
    </font>
    <font>
      <sz val="9"/>
      <color indexed="81"/>
      <name val="돋움"/>
      <family val="3"/>
      <charset val="129"/>
    </font>
    <font>
      <sz val="11"/>
      <color rgb="FF0070C0"/>
      <name val="맑은 고딕"/>
      <family val="2"/>
      <scheme val="minor"/>
    </font>
    <font>
      <sz val="10"/>
      <color indexed="8"/>
      <name val="맑은 고딕"/>
      <family val="2"/>
      <scheme val="minor"/>
    </font>
    <font>
      <sz val="11"/>
      <color rgb="FF0070C0"/>
      <name val="맑은 고딕"/>
      <family val="2"/>
      <charset val="129"/>
      <scheme val="minor"/>
    </font>
    <font>
      <sz val="11"/>
      <color rgb="FF0070C0"/>
      <name val="맑은 고딕"/>
      <family val="3"/>
      <charset val="129"/>
      <scheme val="minor"/>
    </font>
    <font>
      <sz val="11"/>
      <color rgb="FF0000FF"/>
      <name val="맑은 고딕"/>
      <family val="3"/>
      <charset val="129"/>
      <scheme val="minor"/>
    </font>
    <font>
      <b/>
      <sz val="11"/>
      <color theme="0"/>
      <name val="맑은 고딕"/>
      <family val="3"/>
      <charset val="129"/>
      <scheme val="minor"/>
    </font>
    <font>
      <b/>
      <sz val="11"/>
      <color rgb="FF0000FF"/>
      <name val="맑은 고딕"/>
      <family val="3"/>
      <charset val="129"/>
      <scheme val="minor"/>
    </font>
    <font>
      <sz val="9"/>
      <name val="맑은 고딕"/>
      <family val="3"/>
      <charset val="129"/>
      <scheme val="major"/>
    </font>
    <font>
      <sz val="9"/>
      <color rgb="FFFF0000"/>
      <name val="맑은 고딕"/>
      <family val="3"/>
      <charset val="129"/>
      <scheme val="major"/>
    </font>
    <font>
      <sz val="9"/>
      <color rgb="FF333333"/>
      <name val="맑은 고딕"/>
      <family val="3"/>
      <charset val="129"/>
      <scheme val="major"/>
    </font>
    <font>
      <i/>
      <sz val="9"/>
      <name val="맑은 고딕"/>
      <family val="3"/>
      <charset val="129"/>
      <scheme val="major"/>
    </font>
    <font>
      <b/>
      <strike/>
      <sz val="11"/>
      <name val="맑은 고딕"/>
      <family val="3"/>
      <charset val="129"/>
      <scheme val="minor"/>
    </font>
    <font>
      <strike/>
      <sz val="11"/>
      <name val="맑은 고딕"/>
      <family val="3"/>
      <charset val="129"/>
      <scheme val="minor"/>
    </font>
  </fonts>
  <fills count="25">
    <fill>
      <patternFill patternType="none"/>
    </fill>
    <fill>
      <patternFill patternType="gray125"/>
    </fill>
    <fill>
      <patternFill patternType="none">
        <fgColor indexed="9"/>
      </patternFill>
    </fill>
    <fill>
      <patternFill patternType="solid">
        <fgColor rgb="FFDFDFDF"/>
      </patternFill>
    </fill>
    <fill>
      <patternFill patternType="solid">
        <fgColor rgb="FFFFFF00"/>
        <bgColor indexed="64"/>
      </patternFill>
    </fill>
    <fill>
      <patternFill patternType="solid">
        <fgColor theme="0"/>
        <bgColor indexed="64"/>
      </patternFill>
    </fill>
    <fill>
      <patternFill patternType="solid">
        <fgColor rgb="FFFFFF00"/>
        <bgColor indexed="9"/>
      </patternFill>
    </fill>
    <fill>
      <patternFill patternType="solid">
        <fgColor indexed="47"/>
        <bgColor indexed="64"/>
      </patternFill>
    </fill>
    <fill>
      <patternFill patternType="solid">
        <fgColor theme="7" tint="0.79998168889431442"/>
        <bgColor indexed="64"/>
      </patternFill>
    </fill>
    <fill>
      <patternFill patternType="solid">
        <fgColor indexed="26"/>
        <bgColor indexed="64"/>
      </patternFill>
    </fill>
    <fill>
      <patternFill patternType="solid">
        <fgColor indexed="42"/>
        <bgColor indexed="64"/>
      </patternFill>
    </fill>
    <fill>
      <patternFill patternType="solid">
        <fgColor indexed="31"/>
        <bgColor indexed="64"/>
      </patternFill>
    </fill>
    <fill>
      <patternFill patternType="solid">
        <fgColor theme="9" tint="0.59999389629810485"/>
        <bgColor indexed="64"/>
      </patternFill>
    </fill>
    <fill>
      <patternFill patternType="solid">
        <fgColor rgb="FFFFFFFF"/>
      </patternFill>
    </fill>
    <fill>
      <patternFill patternType="solid">
        <fgColor theme="5" tint="0.79998168889431442"/>
        <bgColor indexed="64"/>
      </patternFill>
    </fill>
    <fill>
      <patternFill patternType="solid">
        <fgColor theme="7" tint="0.39997558519241921"/>
        <bgColor indexed="64"/>
      </patternFill>
    </fill>
    <fill>
      <patternFill patternType="solid">
        <fgColor rgb="FF92D050"/>
        <bgColor indexed="64"/>
      </patternFill>
    </fill>
    <fill>
      <patternFill patternType="solid">
        <fgColor rgb="FFCCFFFF"/>
        <bgColor indexed="64"/>
      </patternFill>
    </fill>
    <fill>
      <patternFill patternType="solid">
        <fgColor rgb="FFFFFF99"/>
        <bgColor indexed="64"/>
      </patternFill>
    </fill>
    <fill>
      <patternFill patternType="solid">
        <fgColor rgb="FFFFC000"/>
        <bgColor indexed="64"/>
      </patternFill>
    </fill>
    <fill>
      <patternFill patternType="solid">
        <fgColor rgb="FFFFFFCC"/>
        <bgColor indexed="64"/>
      </patternFill>
    </fill>
    <fill>
      <patternFill patternType="solid">
        <fgColor theme="3"/>
        <bgColor indexed="64"/>
      </patternFill>
    </fill>
    <fill>
      <patternFill patternType="solid">
        <fgColor theme="2"/>
        <bgColor indexed="64"/>
      </patternFill>
    </fill>
    <fill>
      <patternFill patternType="solid">
        <fgColor theme="0" tint="-0.14999847407452621"/>
        <bgColor indexed="64"/>
      </patternFill>
    </fill>
    <fill>
      <patternFill patternType="solid">
        <fgColor theme="8" tint="-0.499984740745262"/>
        <bgColor indexed="64"/>
      </patternFill>
    </fill>
  </fills>
  <borders count="35">
    <border>
      <left/>
      <right/>
      <top/>
      <bottom/>
      <diagonal/>
    </border>
    <border>
      <left/>
      <right style="thin">
        <color rgb="FF9D9D9D"/>
      </right>
      <top style="thin">
        <color rgb="FF9D9D9D"/>
      </top>
      <bottom style="thin">
        <color rgb="FF9D9D9D"/>
      </bottom>
      <diagonal/>
    </border>
    <border>
      <left/>
      <right style="thin">
        <color rgb="FF9D9D9D"/>
      </right>
      <top/>
      <bottom style="thin">
        <color rgb="FF9D9D9D"/>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ck">
        <color rgb="FF0070C0"/>
      </left>
      <right/>
      <top style="thick">
        <color rgb="FF0070C0"/>
      </top>
      <bottom/>
      <diagonal/>
    </border>
    <border>
      <left/>
      <right/>
      <top style="thick">
        <color rgb="FF0070C0"/>
      </top>
      <bottom/>
      <diagonal/>
    </border>
    <border>
      <left/>
      <right style="thick">
        <color rgb="FF0070C0"/>
      </right>
      <top style="thick">
        <color rgb="FF0070C0"/>
      </top>
      <bottom/>
      <diagonal/>
    </border>
    <border>
      <left style="thick">
        <color rgb="FF0070C0"/>
      </left>
      <right style="thick">
        <color rgb="FF0070C0"/>
      </right>
      <top style="thick">
        <color rgb="FF0070C0"/>
      </top>
      <bottom/>
      <diagonal/>
    </border>
    <border>
      <left style="thick">
        <color rgb="FF0070C0"/>
      </left>
      <right/>
      <top/>
      <bottom/>
      <diagonal/>
    </border>
    <border>
      <left/>
      <right style="thick">
        <color rgb="FF0070C0"/>
      </right>
      <top/>
      <bottom/>
      <diagonal/>
    </border>
    <border>
      <left style="thick">
        <color rgb="FF0070C0"/>
      </left>
      <right style="thick">
        <color rgb="FF0070C0"/>
      </right>
      <top/>
      <bottom/>
      <diagonal/>
    </border>
    <border>
      <left/>
      <right style="thin">
        <color indexed="64"/>
      </right>
      <top style="thin">
        <color indexed="64"/>
      </top>
      <bottom style="thin">
        <color indexed="64"/>
      </bottom>
      <diagonal/>
    </border>
    <border>
      <left/>
      <right style="thin">
        <color rgb="FF9D9D9D"/>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s>
  <cellStyleXfs count="13">
    <xf numFmtId="0" fontId="0" fillId="0" borderId="0">
      <alignment vertical="center"/>
    </xf>
    <xf numFmtId="41" fontId="6" fillId="0" borderId="0" applyFont="0" applyFill="0" applyBorder="0" applyAlignment="0" applyProtection="0">
      <alignment vertical="center"/>
    </xf>
    <xf numFmtId="0" fontId="4" fillId="2" borderId="0">
      <alignment vertical="center"/>
    </xf>
    <xf numFmtId="0" fontId="9" fillId="2" borderId="0">
      <alignment vertical="center"/>
    </xf>
    <xf numFmtId="41" fontId="9" fillId="2" borderId="0" applyFont="0" applyFill="0" applyBorder="0" applyAlignment="0" applyProtection="0">
      <alignment vertical="center"/>
    </xf>
    <xf numFmtId="9" fontId="9" fillId="2" borderId="0" applyFont="0" applyFill="0" applyBorder="0" applyAlignment="0" applyProtection="0">
      <alignment vertical="center"/>
    </xf>
    <xf numFmtId="0" fontId="3" fillId="2" borderId="0">
      <alignment vertical="center"/>
    </xf>
    <xf numFmtId="9" fontId="6" fillId="0" borderId="0" applyFont="0" applyFill="0" applyBorder="0" applyAlignment="0" applyProtection="0">
      <alignment vertical="center"/>
    </xf>
    <xf numFmtId="0" fontId="2" fillId="2" borderId="0">
      <alignment vertical="center"/>
    </xf>
    <xf numFmtId="0" fontId="17" fillId="2" borderId="0"/>
    <xf numFmtId="0" fontId="1" fillId="2" borderId="0">
      <alignment vertical="center"/>
    </xf>
    <xf numFmtId="41" fontId="1" fillId="2" borderId="0" applyFont="0" applyFill="0" applyBorder="0" applyAlignment="0" applyProtection="0">
      <alignment vertical="center"/>
    </xf>
    <xf numFmtId="0" fontId="30" fillId="0" borderId="0" applyNumberFormat="0" applyFill="0" applyBorder="0" applyAlignment="0" applyProtection="0">
      <alignment vertical="center"/>
    </xf>
  </cellStyleXfs>
  <cellXfs count="209">
    <xf numFmtId="0" fontId="0" fillId="0" borderId="0" xfId="0">
      <alignment vertical="center"/>
    </xf>
    <xf numFmtId="0" fontId="0" fillId="0" borderId="0" xfId="0" applyAlignment="1">
      <alignment horizontal="center" vertical="center"/>
    </xf>
    <xf numFmtId="0" fontId="0" fillId="5" borderId="0" xfId="0" applyFill="1">
      <alignment vertical="center"/>
    </xf>
    <xf numFmtId="41" fontId="0" fillId="0" borderId="0" xfId="1" applyFont="1">
      <alignment vertical="center"/>
    </xf>
    <xf numFmtId="0" fontId="4" fillId="2" borderId="0" xfId="2">
      <alignment vertical="center"/>
    </xf>
    <xf numFmtId="0" fontId="4" fillId="4" borderId="0" xfId="2" applyFill="1">
      <alignment vertical="center"/>
    </xf>
    <xf numFmtId="0" fontId="14" fillId="0" borderId="0" xfId="0" applyFont="1">
      <alignment vertical="center"/>
    </xf>
    <xf numFmtId="0" fontId="11" fillId="2" borderId="0" xfId="9" applyFont="1" applyAlignment="1">
      <alignment horizontal="center"/>
    </xf>
    <xf numFmtId="0" fontId="11" fillId="2" borderId="0" xfId="9" applyFont="1" applyAlignment="1">
      <alignment horizontal="center" shrinkToFit="1"/>
    </xf>
    <xf numFmtId="0" fontId="11" fillId="2" borderId="3" xfId="9" applyFont="1" applyBorder="1" applyAlignment="1">
      <alignment horizontal="center" shrinkToFit="1"/>
    </xf>
    <xf numFmtId="0" fontId="18" fillId="2" borderId="3" xfId="9" applyFont="1" applyBorder="1" applyAlignment="1">
      <alignment horizontal="center" vertical="center" shrinkToFit="1"/>
    </xf>
    <xf numFmtId="0" fontId="17" fillId="2" borderId="3" xfId="9" applyBorder="1" applyAlignment="1">
      <alignment horizontal="center" vertical="center" shrinkToFit="1"/>
    </xf>
    <xf numFmtId="14" fontId="11" fillId="2" borderId="3" xfId="9" applyNumberFormat="1" applyFont="1" applyBorder="1" applyAlignment="1">
      <alignment horizontal="center" vertical="center" shrinkToFit="1"/>
    </xf>
    <xf numFmtId="0" fontId="18" fillId="2" borderId="3" xfId="9" applyFont="1" applyFill="1" applyBorder="1" applyAlignment="1">
      <alignment horizontal="center" vertical="center" shrinkToFit="1"/>
    </xf>
    <xf numFmtId="14" fontId="21" fillId="2" borderId="3" xfId="9" applyNumberFormat="1" applyFont="1" applyBorder="1" applyAlignment="1">
      <alignment horizontal="center" vertical="center" shrinkToFit="1"/>
    </xf>
    <xf numFmtId="0" fontId="17" fillId="2" borderId="0" xfId="9" applyAlignment="1"/>
    <xf numFmtId="0" fontId="22" fillId="7" borderId="3" xfId="9" applyNumberFormat="1" applyFont="1" applyFill="1" applyBorder="1" applyAlignment="1">
      <alignment horizontal="center" vertical="center" shrinkToFit="1"/>
    </xf>
    <xf numFmtId="0" fontId="22" fillId="8" borderId="3" xfId="9" applyNumberFormat="1" applyFont="1" applyFill="1" applyBorder="1" applyAlignment="1">
      <alignment horizontal="center" vertical="center" shrinkToFit="1"/>
    </xf>
    <xf numFmtId="0" fontId="22" fillId="9" borderId="3" xfId="9" applyFont="1" applyFill="1" applyBorder="1" applyAlignment="1">
      <alignment horizontal="center" vertical="center" shrinkToFit="1"/>
    </xf>
    <xf numFmtId="0" fontId="22" fillId="10" borderId="3" xfId="9" applyFont="1" applyFill="1" applyBorder="1" applyAlignment="1">
      <alignment horizontal="center" vertical="center" shrinkToFit="1"/>
    </xf>
    <xf numFmtId="0" fontId="22" fillId="11" borderId="3" xfId="9" applyFont="1" applyFill="1" applyBorder="1" applyAlignment="1">
      <alignment horizontal="center" vertical="center" wrapText="1" shrinkToFit="1"/>
    </xf>
    <xf numFmtId="0" fontId="22" fillId="11" borderId="3" xfId="9" applyFont="1" applyFill="1" applyBorder="1" applyAlignment="1">
      <alignment horizontal="center" vertical="center" shrinkToFit="1"/>
    </xf>
    <xf numFmtId="0" fontId="17" fillId="2" borderId="0" xfId="9" applyAlignment="1">
      <alignment vertical="center"/>
    </xf>
    <xf numFmtId="0" fontId="17" fillId="2" borderId="0" xfId="9" applyAlignment="1">
      <alignment horizontal="center" vertical="center"/>
    </xf>
    <xf numFmtId="0" fontId="17" fillId="2" borderId="4" xfId="9" applyBorder="1" applyAlignment="1">
      <alignment vertical="center"/>
    </xf>
    <xf numFmtId="0" fontId="23" fillId="2" borderId="0" xfId="9" applyFont="1" applyAlignment="1">
      <alignment horizontal="left" vertical="center"/>
    </xf>
    <xf numFmtId="0" fontId="24" fillId="2" borderId="0" xfId="9" applyFont="1" applyAlignment="1">
      <alignment horizontal="left" vertical="center"/>
    </xf>
    <xf numFmtId="0" fontId="11" fillId="0" borderId="3" xfId="9" applyFont="1" applyFill="1" applyBorder="1" applyAlignment="1">
      <alignment horizontal="center" shrinkToFit="1"/>
    </xf>
    <xf numFmtId="0" fontId="11" fillId="4" borderId="3" xfId="9" applyFont="1" applyFill="1" applyBorder="1" applyAlignment="1">
      <alignment horizontal="center" shrinkToFit="1"/>
    </xf>
    <xf numFmtId="14" fontId="11" fillId="4" borderId="3" xfId="9" applyNumberFormat="1" applyFont="1" applyFill="1" applyBorder="1" applyAlignment="1">
      <alignment horizontal="center" vertical="center" shrinkToFit="1"/>
    </xf>
    <xf numFmtId="0" fontId="18" fillId="4" borderId="3" xfId="9" applyFont="1" applyFill="1" applyBorder="1" applyAlignment="1">
      <alignment horizontal="center" vertical="center" shrinkToFit="1"/>
    </xf>
    <xf numFmtId="0" fontId="11" fillId="4" borderId="0" xfId="9" applyFont="1" applyFill="1" applyAlignment="1">
      <alignment horizontal="center"/>
    </xf>
    <xf numFmtId="14" fontId="21" fillId="4" borderId="3" xfId="9" applyNumberFormat="1" applyFont="1" applyFill="1" applyBorder="1" applyAlignment="1">
      <alignment horizontal="center" vertical="center" shrinkToFit="1"/>
    </xf>
    <xf numFmtId="0" fontId="17" fillId="4" borderId="3" xfId="9" applyFill="1" applyBorder="1" applyAlignment="1">
      <alignment horizontal="center" vertical="center" shrinkToFit="1"/>
    </xf>
    <xf numFmtId="0" fontId="8" fillId="0" borderId="0" xfId="0" applyFont="1">
      <alignment vertical="center"/>
    </xf>
    <xf numFmtId="0" fontId="26" fillId="2" borderId="0" xfId="2" applyFont="1">
      <alignment vertical="center"/>
    </xf>
    <xf numFmtId="14" fontId="11" fillId="0" borderId="3" xfId="9" applyNumberFormat="1" applyFont="1" applyFill="1" applyBorder="1" applyAlignment="1">
      <alignment horizontal="center" vertical="center" shrinkToFit="1"/>
    </xf>
    <xf numFmtId="0" fontId="18" fillId="0" borderId="3" xfId="9" applyFont="1" applyFill="1" applyBorder="1" applyAlignment="1">
      <alignment horizontal="center" vertical="center" shrinkToFit="1"/>
    </xf>
    <xf numFmtId="0" fontId="11" fillId="0" borderId="0" xfId="9" applyFont="1" applyFill="1" applyAlignment="1">
      <alignment horizontal="center"/>
    </xf>
    <xf numFmtId="0" fontId="28" fillId="2" borderId="3" xfId="9" applyFont="1" applyBorder="1" applyAlignment="1">
      <alignment horizontal="center" shrinkToFit="1"/>
    </xf>
    <xf numFmtId="14" fontId="28" fillId="2" borderId="3" xfId="9" applyNumberFormat="1" applyFont="1" applyBorder="1" applyAlignment="1">
      <alignment horizontal="center" vertical="center" shrinkToFit="1"/>
    </xf>
    <xf numFmtId="0" fontId="28" fillId="4" borderId="3" xfId="9" applyFont="1" applyFill="1" applyBorder="1" applyAlignment="1">
      <alignment horizontal="center" shrinkToFit="1"/>
    </xf>
    <xf numFmtId="0" fontId="29" fillId="2" borderId="3" xfId="9" applyFont="1" applyBorder="1" applyAlignment="1">
      <alignment horizontal="center" vertical="center" shrinkToFit="1"/>
    </xf>
    <xf numFmtId="0" fontId="28" fillId="2" borderId="0" xfId="9" applyFont="1" applyAlignment="1">
      <alignment horizontal="center"/>
    </xf>
    <xf numFmtId="0" fontId="28" fillId="6" borderId="3" xfId="9" applyFont="1" applyFill="1" applyBorder="1" applyAlignment="1">
      <alignment horizontal="center" shrinkToFit="1"/>
    </xf>
    <xf numFmtId="14" fontId="28" fillId="6" borderId="3" xfId="9" applyNumberFormat="1" applyFont="1" applyFill="1" applyBorder="1" applyAlignment="1">
      <alignment horizontal="center" vertical="center" shrinkToFit="1"/>
    </xf>
    <xf numFmtId="14" fontId="29" fillId="6" borderId="3" xfId="9" applyNumberFormat="1" applyFont="1" applyFill="1" applyBorder="1" applyAlignment="1">
      <alignment horizontal="center" vertical="center" shrinkToFit="1"/>
    </xf>
    <xf numFmtId="0" fontId="13" fillId="6" borderId="3" xfId="9" applyFont="1" applyFill="1" applyBorder="1" applyAlignment="1">
      <alignment horizontal="center" vertical="center" shrinkToFit="1"/>
    </xf>
    <xf numFmtId="0" fontId="29" fillId="6" borderId="3" xfId="9" applyFont="1" applyFill="1" applyBorder="1" applyAlignment="1">
      <alignment horizontal="center" vertical="center" shrinkToFit="1"/>
    </xf>
    <xf numFmtId="0" fontId="28" fillId="6" borderId="0" xfId="9" applyFont="1" applyFill="1" applyAlignment="1">
      <alignment horizontal="center"/>
    </xf>
    <xf numFmtId="0" fontId="30" fillId="2" borderId="3" xfId="12" applyFill="1" applyBorder="1" applyAlignment="1">
      <alignment horizontal="center" shrinkToFit="1"/>
    </xf>
    <xf numFmtId="0" fontId="31" fillId="4" borderId="0" xfId="2" applyFont="1" applyFill="1">
      <alignment vertical="center"/>
    </xf>
    <xf numFmtId="41" fontId="0" fillId="0" borderId="0" xfId="1" applyFont="1" applyFill="1" applyBorder="1">
      <alignment vertical="center"/>
    </xf>
    <xf numFmtId="41" fontId="0" fillId="0" borderId="0" xfId="1" applyFont="1" applyFill="1" applyBorder="1" applyAlignment="1">
      <alignment horizontal="center" vertical="center"/>
    </xf>
    <xf numFmtId="41" fontId="0" fillId="0" borderId="0" xfId="1" applyFont="1" applyFill="1">
      <alignment vertical="center"/>
    </xf>
    <xf numFmtId="0" fontId="0" fillId="0" borderId="0" xfId="0" applyFill="1">
      <alignment vertical="center"/>
    </xf>
    <xf numFmtId="41" fontId="0" fillId="0" borderId="0" xfId="0" applyNumberFormat="1" applyFill="1">
      <alignment vertical="center"/>
    </xf>
    <xf numFmtId="0" fontId="0" fillId="0" borderId="0" xfId="0" applyFill="1" applyBorder="1">
      <alignment vertical="center"/>
    </xf>
    <xf numFmtId="0" fontId="0" fillId="0" borderId="0" xfId="0" applyFill="1" applyBorder="1" applyAlignment="1">
      <alignment horizontal="center" vertical="center"/>
    </xf>
    <xf numFmtId="0" fontId="12" fillId="0" borderId="0" xfId="0" applyFont="1" applyFill="1" applyAlignment="1">
      <alignment horizontal="center" vertical="center"/>
    </xf>
    <xf numFmtId="0" fontId="0" fillId="0" borderId="3" xfId="0" applyFill="1" applyBorder="1">
      <alignment vertical="center"/>
    </xf>
    <xf numFmtId="41" fontId="10" fillId="0" borderId="3" xfId="1" applyFont="1" applyFill="1" applyBorder="1">
      <alignment vertical="center"/>
    </xf>
    <xf numFmtId="0" fontId="0" fillId="0" borderId="0" xfId="0" applyFill="1" applyAlignment="1">
      <alignment horizontal="center" vertical="center"/>
    </xf>
    <xf numFmtId="0" fontId="27" fillId="0" borderId="3" xfId="0" applyFont="1" applyFill="1" applyBorder="1" applyAlignment="1">
      <alignment horizontal="center" vertical="center"/>
    </xf>
    <xf numFmtId="0" fontId="32" fillId="0" borderId="0" xfId="0" applyFont="1" applyFill="1">
      <alignment vertical="center"/>
    </xf>
    <xf numFmtId="9" fontId="10" fillId="0" borderId="3" xfId="7" applyFont="1" applyFill="1" applyBorder="1">
      <alignment vertical="center"/>
    </xf>
    <xf numFmtId="0" fontId="10" fillId="0" borderId="3" xfId="0" applyFont="1" applyFill="1" applyBorder="1">
      <alignment vertical="center"/>
    </xf>
    <xf numFmtId="0" fontId="27" fillId="0" borderId="0" xfId="0" applyFont="1" applyFill="1">
      <alignment vertical="center"/>
    </xf>
    <xf numFmtId="0" fontId="10" fillId="0" borderId="0" xfId="0" applyFont="1" applyFill="1">
      <alignment vertical="center"/>
    </xf>
    <xf numFmtId="0" fontId="10" fillId="0" borderId="0" xfId="0" applyFont="1" applyFill="1" applyAlignment="1">
      <alignment horizontal="center" vertical="center"/>
    </xf>
    <xf numFmtId="41" fontId="10" fillId="0" borderId="0" xfId="1" applyFont="1" applyFill="1">
      <alignment vertical="center"/>
    </xf>
    <xf numFmtId="0" fontId="0" fillId="0" borderId="0" xfId="0" applyAlignment="1">
      <alignment horizontal="left" vertical="center"/>
    </xf>
    <xf numFmtId="9" fontId="10" fillId="4" borderId="3" xfId="0" applyNumberFormat="1" applyFont="1" applyFill="1" applyBorder="1" applyAlignment="1">
      <alignment horizontal="center" vertical="center"/>
    </xf>
    <xf numFmtId="176" fontId="10" fillId="4" borderId="3" xfId="0" applyNumberFormat="1" applyFont="1" applyFill="1" applyBorder="1" applyAlignment="1">
      <alignment horizontal="center" vertical="center"/>
    </xf>
    <xf numFmtId="9" fontId="27" fillId="4" borderId="3" xfId="0" applyNumberFormat="1" applyFont="1" applyFill="1" applyBorder="1" applyAlignment="1">
      <alignment horizontal="center" vertical="center"/>
    </xf>
    <xf numFmtId="0" fontId="12" fillId="0" borderId="0" xfId="0" applyFont="1" applyFill="1" applyBorder="1" applyAlignment="1">
      <alignment horizontal="left" vertical="center"/>
    </xf>
    <xf numFmtId="41" fontId="10" fillId="5" borderId="3" xfId="1" applyFont="1" applyFill="1" applyBorder="1">
      <alignment vertical="center"/>
    </xf>
    <xf numFmtId="176" fontId="10" fillId="0" borderId="3" xfId="7" applyNumberFormat="1" applyFont="1" applyFill="1" applyBorder="1">
      <alignment vertical="center"/>
    </xf>
    <xf numFmtId="49" fontId="33" fillId="3" borderId="1" xfId="0" applyNumberFormat="1" applyFont="1" applyFill="1" applyBorder="1" applyAlignment="1">
      <alignment horizontal="center" vertical="center" wrapText="1"/>
    </xf>
    <xf numFmtId="0" fontId="15" fillId="0" borderId="3" xfId="0" applyFont="1" applyFill="1" applyBorder="1">
      <alignment vertical="center"/>
    </xf>
    <xf numFmtId="178" fontId="10" fillId="0" borderId="3" xfId="0" applyNumberFormat="1" applyFont="1" applyFill="1" applyBorder="1">
      <alignment vertical="center"/>
    </xf>
    <xf numFmtId="49" fontId="33" fillId="12" borderId="1" xfId="0" applyNumberFormat="1" applyFont="1" applyFill="1" applyBorder="1" applyAlignment="1">
      <alignment horizontal="center" vertical="center" wrapText="1"/>
    </xf>
    <xf numFmtId="0" fontId="0" fillId="12" borderId="0" xfId="0" applyFill="1">
      <alignment vertical="center"/>
    </xf>
    <xf numFmtId="0" fontId="37" fillId="5" borderId="0" xfId="0" applyFont="1" applyFill="1">
      <alignment vertical="center"/>
    </xf>
    <xf numFmtId="0" fontId="32" fillId="5" borderId="0" xfId="0" applyFont="1" applyFill="1">
      <alignment vertical="center"/>
    </xf>
    <xf numFmtId="49" fontId="5" fillId="13" borderId="2" xfId="0" applyNumberFormat="1" applyFont="1" applyFill="1" applyBorder="1" applyAlignment="1">
      <alignment horizontal="center" vertical="center" wrapText="1"/>
    </xf>
    <xf numFmtId="177" fontId="5" fillId="13" borderId="2" xfId="0" applyNumberFormat="1" applyFont="1" applyFill="1" applyBorder="1" applyAlignment="1">
      <alignment horizontal="center" vertical="center" wrapText="1"/>
    </xf>
    <xf numFmtId="49" fontId="5" fillId="13" borderId="2" xfId="0" applyNumberFormat="1" applyFont="1" applyFill="1" applyBorder="1" applyAlignment="1">
      <alignment horizontal="left" vertical="center" wrapText="1"/>
    </xf>
    <xf numFmtId="3" fontId="5" fillId="13" borderId="2" xfId="0" applyNumberFormat="1" applyFont="1" applyFill="1" applyBorder="1" applyAlignment="1">
      <alignment horizontal="right" vertical="center" wrapText="1"/>
    </xf>
    <xf numFmtId="49" fontId="34" fillId="13" borderId="2" xfId="0" applyNumberFormat="1" applyFont="1" applyFill="1" applyBorder="1" applyAlignment="1">
      <alignment horizontal="center" vertical="center" wrapText="1"/>
    </xf>
    <xf numFmtId="49" fontId="34" fillId="13" borderId="2" xfId="0" applyNumberFormat="1" applyFont="1" applyFill="1" applyBorder="1" applyAlignment="1">
      <alignment horizontal="left" vertical="center" wrapText="1"/>
    </xf>
    <xf numFmtId="0" fontId="38" fillId="0" borderId="0" xfId="0" applyFont="1">
      <alignment vertical="center"/>
    </xf>
    <xf numFmtId="49" fontId="5" fillId="8" borderId="2" xfId="0" applyNumberFormat="1" applyFont="1" applyFill="1" applyBorder="1" applyAlignment="1">
      <alignment horizontal="center" vertical="center" wrapText="1"/>
    </xf>
    <xf numFmtId="177" fontId="5" fillId="8" borderId="2" xfId="0" applyNumberFormat="1" applyFont="1" applyFill="1" applyBorder="1" applyAlignment="1">
      <alignment horizontal="center" vertical="center" wrapText="1"/>
    </xf>
    <xf numFmtId="49" fontId="5" fillId="8" borderId="2" xfId="0" applyNumberFormat="1" applyFont="1" applyFill="1" applyBorder="1" applyAlignment="1">
      <alignment horizontal="left" vertical="center" wrapText="1"/>
    </xf>
    <xf numFmtId="3" fontId="5" fillId="8" borderId="2" xfId="0" applyNumberFormat="1" applyFont="1" applyFill="1" applyBorder="1" applyAlignment="1">
      <alignment horizontal="right" vertical="center" wrapText="1"/>
    </xf>
    <xf numFmtId="0" fontId="0" fillId="8" borderId="0" xfId="0" applyFill="1">
      <alignment vertical="center"/>
    </xf>
    <xf numFmtId="49" fontId="33" fillId="4" borderId="1" xfId="0" applyNumberFormat="1" applyFont="1" applyFill="1" applyBorder="1" applyAlignment="1">
      <alignment horizontal="center" vertical="center" wrapText="1"/>
    </xf>
    <xf numFmtId="0" fontId="32" fillId="8" borderId="0" xfId="0" applyFont="1" applyFill="1">
      <alignment vertical="center"/>
    </xf>
    <xf numFmtId="179" fontId="0" fillId="0" borderId="0" xfId="0" applyNumberFormat="1">
      <alignment vertical="center"/>
    </xf>
    <xf numFmtId="180" fontId="0" fillId="0" borderId="0" xfId="0" applyNumberFormat="1">
      <alignment vertical="center"/>
    </xf>
    <xf numFmtId="176" fontId="0" fillId="0" borderId="0" xfId="7" applyNumberFormat="1" applyFont="1">
      <alignment vertical="center"/>
    </xf>
    <xf numFmtId="179" fontId="0" fillId="0" borderId="0" xfId="0" applyNumberFormat="1" applyAlignment="1">
      <alignment horizontal="left" vertical="center"/>
    </xf>
    <xf numFmtId="180" fontId="0" fillId="0" borderId="0" xfId="0" applyNumberFormat="1" applyAlignment="1">
      <alignment horizontal="left" vertical="center"/>
    </xf>
    <xf numFmtId="180" fontId="0" fillId="16" borderId="0" xfId="0" applyNumberFormat="1" applyFill="1" applyAlignment="1">
      <alignment horizontal="left" vertical="center"/>
    </xf>
    <xf numFmtId="180" fontId="39" fillId="17" borderId="5" xfId="0" applyNumberFormat="1" applyFont="1" applyFill="1" applyBorder="1" applyAlignment="1">
      <alignment horizontal="left" vertical="center"/>
    </xf>
    <xf numFmtId="180" fontId="40" fillId="17" borderId="6" xfId="0" applyNumberFormat="1" applyFont="1" applyFill="1" applyBorder="1" applyAlignment="1">
      <alignment horizontal="left" vertical="center"/>
    </xf>
    <xf numFmtId="180" fontId="40" fillId="17" borderId="7" xfId="0" applyNumberFormat="1" applyFont="1" applyFill="1" applyBorder="1">
      <alignment vertical="center"/>
    </xf>
    <xf numFmtId="180" fontId="26" fillId="18" borderId="8" xfId="0" applyNumberFormat="1" applyFont="1" applyFill="1" applyBorder="1" applyAlignment="1">
      <alignment horizontal="center" vertical="center"/>
    </xf>
    <xf numFmtId="176" fontId="31" fillId="19" borderId="0" xfId="0" applyNumberFormat="1" applyFont="1" applyFill="1">
      <alignment vertical="center"/>
    </xf>
    <xf numFmtId="180" fontId="39" fillId="0" borderId="9" xfId="0" applyNumberFormat="1" applyFont="1" applyBorder="1">
      <alignment vertical="center"/>
    </xf>
    <xf numFmtId="180" fontId="39" fillId="0" borderId="0" xfId="0" applyNumberFormat="1" applyFont="1" applyBorder="1">
      <alignment vertical="center"/>
    </xf>
    <xf numFmtId="180" fontId="39" fillId="0" borderId="10" xfId="0" applyNumberFormat="1" applyFont="1" applyBorder="1">
      <alignment vertical="center"/>
    </xf>
    <xf numFmtId="41" fontId="31" fillId="0" borderId="11" xfId="1" applyFont="1" applyBorder="1">
      <alignment vertical="center"/>
    </xf>
    <xf numFmtId="0" fontId="0" fillId="0" borderId="0" xfId="0" applyAlignment="1">
      <alignment vertical="center"/>
    </xf>
    <xf numFmtId="180" fontId="10" fillId="2" borderId="0" xfId="0" applyNumberFormat="1" applyFont="1" applyFill="1">
      <alignment vertical="center"/>
    </xf>
    <xf numFmtId="180" fontId="0" fillId="2" borderId="0" xfId="0" applyNumberFormat="1" applyFill="1">
      <alignment vertical="center"/>
    </xf>
    <xf numFmtId="180" fontId="0" fillId="17" borderId="8" xfId="0" applyNumberFormat="1" applyFill="1" applyBorder="1" applyAlignment="1">
      <alignment horizontal="left" vertical="center"/>
    </xf>
    <xf numFmtId="180" fontId="26" fillId="0" borderId="0" xfId="0" applyNumberFormat="1" applyFont="1" applyAlignment="1">
      <alignment horizontal="left" vertical="center"/>
    </xf>
    <xf numFmtId="179" fontId="0" fillId="20" borderId="8" xfId="0" applyNumberFormat="1" applyFill="1" applyBorder="1" applyAlignment="1">
      <alignment horizontal="left" vertical="center"/>
    </xf>
    <xf numFmtId="180" fontId="39" fillId="0" borderId="11" xfId="0" applyNumberFormat="1" applyFont="1" applyBorder="1">
      <alignment vertical="center"/>
    </xf>
    <xf numFmtId="179" fontId="31" fillId="0" borderId="11" xfId="0" applyNumberFormat="1" applyFont="1" applyBorder="1">
      <alignment vertical="center"/>
    </xf>
    <xf numFmtId="0" fontId="10" fillId="0" borderId="12" xfId="0" applyFont="1" applyFill="1" applyBorder="1" applyAlignment="1">
      <alignment horizontal="center" vertical="center"/>
    </xf>
    <xf numFmtId="41" fontId="10" fillId="4" borderId="3" xfId="1" applyFont="1" applyFill="1" applyBorder="1">
      <alignment vertical="center"/>
    </xf>
    <xf numFmtId="41" fontId="33" fillId="4" borderId="1" xfId="1" applyFont="1" applyFill="1" applyBorder="1" applyAlignment="1">
      <alignment horizontal="center" vertical="center" wrapText="1"/>
    </xf>
    <xf numFmtId="41" fontId="5" fillId="13" borderId="2" xfId="1" applyFont="1" applyFill="1" applyBorder="1" applyAlignment="1">
      <alignment horizontal="right" vertical="center" wrapText="1"/>
    </xf>
    <xf numFmtId="41" fontId="34" fillId="8" borderId="2" xfId="1" applyFont="1" applyFill="1" applyBorder="1" applyAlignment="1">
      <alignment horizontal="right" vertical="center" wrapText="1"/>
    </xf>
    <xf numFmtId="41" fontId="34" fillId="13" borderId="2" xfId="1" applyFont="1" applyFill="1" applyBorder="1" applyAlignment="1">
      <alignment horizontal="right" vertical="center" wrapText="1"/>
    </xf>
    <xf numFmtId="3" fontId="5" fillId="13" borderId="13" xfId="0" applyNumberFormat="1" applyFont="1" applyFill="1" applyBorder="1" applyAlignment="1">
      <alignment horizontal="right" vertical="center" wrapText="1"/>
    </xf>
    <xf numFmtId="49" fontId="5" fillId="13" borderId="13" xfId="0" applyNumberFormat="1" applyFont="1" applyFill="1" applyBorder="1" applyAlignment="1">
      <alignment horizontal="left" vertical="center" wrapText="1"/>
    </xf>
    <xf numFmtId="178" fontId="10" fillId="4" borderId="3" xfId="0" applyNumberFormat="1" applyFont="1" applyFill="1" applyBorder="1">
      <alignment vertical="center"/>
    </xf>
    <xf numFmtId="41" fontId="10" fillId="0" borderId="3" xfId="1" applyFont="1" applyFill="1" applyBorder="1" applyAlignment="1">
      <alignment vertical="center"/>
    </xf>
    <xf numFmtId="41" fontId="41" fillId="0" borderId="3" xfId="1" applyFont="1" applyFill="1" applyBorder="1">
      <alignment vertical="center"/>
    </xf>
    <xf numFmtId="0" fontId="42" fillId="21" borderId="15" xfId="0" applyFont="1" applyFill="1" applyBorder="1" applyAlignment="1">
      <alignment horizontal="center" vertical="center"/>
    </xf>
    <xf numFmtId="41" fontId="15" fillId="2" borderId="16" xfId="1" applyFont="1" applyFill="1" applyBorder="1">
      <alignment vertical="center"/>
    </xf>
    <xf numFmtId="41" fontId="0" fillId="0" borderId="19" xfId="1" applyFont="1" applyFill="1" applyBorder="1">
      <alignment vertical="center"/>
    </xf>
    <xf numFmtId="41" fontId="0" fillId="0" borderId="20" xfId="1" applyFont="1" applyFill="1" applyBorder="1">
      <alignment vertical="center"/>
    </xf>
    <xf numFmtId="41" fontId="0" fillId="0" borderId="21" xfId="1" applyFont="1" applyFill="1" applyBorder="1">
      <alignment vertical="center"/>
    </xf>
    <xf numFmtId="41" fontId="0" fillId="0" borderId="22" xfId="1" applyFont="1" applyFill="1" applyBorder="1">
      <alignment vertical="center"/>
    </xf>
    <xf numFmtId="9" fontId="10" fillId="4" borderId="14" xfId="0" applyNumberFormat="1" applyFont="1" applyFill="1" applyBorder="1" applyAlignment="1">
      <alignment horizontal="center" vertical="center"/>
    </xf>
    <xf numFmtId="41" fontId="10" fillId="0" borderId="14" xfId="1" applyFont="1" applyFill="1" applyBorder="1">
      <alignment vertical="center"/>
    </xf>
    <xf numFmtId="176" fontId="10" fillId="0" borderId="14" xfId="7" applyNumberFormat="1" applyFont="1" applyFill="1" applyBorder="1">
      <alignment vertical="center"/>
    </xf>
    <xf numFmtId="178" fontId="10" fillId="4" borderId="14" xfId="0" applyNumberFormat="1" applyFont="1" applyFill="1" applyBorder="1">
      <alignment vertical="center"/>
    </xf>
    <xf numFmtId="0" fontId="10" fillId="0" borderId="14" xfId="0" applyFont="1" applyFill="1" applyBorder="1">
      <alignment vertical="center"/>
    </xf>
    <xf numFmtId="41" fontId="27" fillId="23" borderId="25" xfId="1" applyFont="1" applyFill="1" applyBorder="1" applyAlignment="1">
      <alignment horizontal="center" vertical="center"/>
    </xf>
    <xf numFmtId="0" fontId="27" fillId="23" borderId="25" xfId="0" applyFont="1" applyFill="1" applyBorder="1" applyAlignment="1">
      <alignment horizontal="center" vertical="center"/>
    </xf>
    <xf numFmtId="0" fontId="27" fillId="23" borderId="26" xfId="0" applyFont="1" applyFill="1" applyBorder="1" applyAlignment="1">
      <alignment horizontal="center" vertical="center"/>
    </xf>
    <xf numFmtId="0" fontId="10" fillId="0" borderId="27" xfId="0" applyFont="1" applyFill="1" applyBorder="1" applyAlignment="1">
      <alignment horizontal="center" vertical="center"/>
    </xf>
    <xf numFmtId="9" fontId="43" fillId="4" borderId="3" xfId="0" applyNumberFormat="1" applyFont="1" applyFill="1" applyBorder="1" applyAlignment="1">
      <alignment horizontal="center" vertical="center"/>
    </xf>
    <xf numFmtId="0" fontId="27" fillId="0" borderId="18" xfId="0" applyFont="1" applyFill="1" applyBorder="1" applyAlignment="1">
      <alignment horizontal="center" vertical="center"/>
    </xf>
    <xf numFmtId="0" fontId="27" fillId="0" borderId="20" xfId="0" applyFont="1" applyFill="1" applyBorder="1" applyAlignment="1">
      <alignment horizontal="center" vertical="center"/>
    </xf>
    <xf numFmtId="0" fontId="27" fillId="0" borderId="22" xfId="0" applyFont="1" applyFill="1" applyBorder="1" applyAlignment="1">
      <alignment horizontal="center" vertical="center"/>
    </xf>
    <xf numFmtId="41" fontId="0" fillId="0" borderId="31" xfId="1" applyFont="1" applyFill="1" applyBorder="1">
      <alignment vertical="center"/>
    </xf>
    <xf numFmtId="41" fontId="0" fillId="0" borderId="32" xfId="1" applyFont="1" applyFill="1" applyBorder="1">
      <alignment vertical="center"/>
    </xf>
    <xf numFmtId="41" fontId="0" fillId="22" borderId="33" xfId="1" applyFont="1" applyFill="1" applyBorder="1">
      <alignment vertical="center"/>
    </xf>
    <xf numFmtId="41" fontId="0" fillId="22" borderId="34" xfId="1" applyFont="1" applyFill="1" applyBorder="1">
      <alignment vertical="center"/>
    </xf>
    <xf numFmtId="181" fontId="44" fillId="2" borderId="2" xfId="0" applyNumberFormat="1" applyFont="1" applyFill="1" applyBorder="1" applyAlignment="1">
      <alignment horizontal="center" vertical="center" wrapText="1"/>
    </xf>
    <xf numFmtId="181" fontId="44" fillId="2" borderId="2" xfId="0" applyNumberFormat="1" applyFont="1" applyFill="1" applyBorder="1" applyAlignment="1">
      <alignment horizontal="right" vertical="center" wrapText="1"/>
    </xf>
    <xf numFmtId="181" fontId="44" fillId="2" borderId="2" xfId="0" applyNumberFormat="1" applyFont="1" applyFill="1" applyBorder="1" applyAlignment="1">
      <alignment horizontal="left" vertical="center" wrapText="1"/>
    </xf>
    <xf numFmtId="181" fontId="45" fillId="2" borderId="2" xfId="0" applyNumberFormat="1" applyFont="1" applyFill="1" applyBorder="1" applyAlignment="1">
      <alignment horizontal="center" vertical="center" wrapText="1"/>
    </xf>
    <xf numFmtId="181" fontId="46" fillId="2" borderId="2" xfId="0" applyNumberFormat="1" applyFont="1" applyFill="1" applyBorder="1" applyAlignment="1">
      <alignment horizontal="left" vertical="center" wrapText="1"/>
    </xf>
    <xf numFmtId="181" fontId="44" fillId="2" borderId="2" xfId="0" applyNumberFormat="1" applyFont="1" applyFill="1" applyBorder="1" applyAlignment="1">
      <alignment horizontal="left" vertical="center" shrinkToFit="1"/>
    </xf>
    <xf numFmtId="181" fontId="44" fillId="4" borderId="2" xfId="0" applyNumberFormat="1" applyFont="1" applyFill="1" applyBorder="1" applyAlignment="1">
      <alignment horizontal="center" vertical="center" wrapText="1"/>
    </xf>
    <xf numFmtId="181" fontId="46" fillId="2" borderId="2" xfId="0" applyNumberFormat="1" applyFont="1" applyFill="1" applyBorder="1" applyAlignment="1">
      <alignment horizontal="center" vertical="center" wrapText="1"/>
    </xf>
    <xf numFmtId="181" fontId="46" fillId="2" borderId="2" xfId="0" applyNumberFormat="1" applyFont="1" applyFill="1" applyBorder="1" applyAlignment="1">
      <alignment horizontal="right" vertical="center" wrapText="1"/>
    </xf>
    <xf numFmtId="181" fontId="46" fillId="4" borderId="2" xfId="0" applyNumberFormat="1" applyFont="1" applyFill="1" applyBorder="1" applyAlignment="1">
      <alignment horizontal="center" vertical="center" wrapText="1"/>
    </xf>
    <xf numFmtId="181" fontId="47" fillId="2" borderId="2" xfId="0" applyNumberFormat="1" applyFont="1" applyFill="1" applyBorder="1" applyAlignment="1">
      <alignment horizontal="left" vertical="center" shrinkToFit="1"/>
    </xf>
    <xf numFmtId="41" fontId="10" fillId="0" borderId="3" xfId="1" applyNumberFormat="1" applyFont="1" applyFill="1" applyBorder="1">
      <alignment vertical="center"/>
    </xf>
    <xf numFmtId="181" fontId="44" fillId="14" borderId="2" xfId="0" applyNumberFormat="1" applyFont="1" applyFill="1" applyBorder="1" applyAlignment="1">
      <alignment horizontal="right" vertical="center" wrapText="1"/>
    </xf>
    <xf numFmtId="181" fontId="46" fillId="14" borderId="2" xfId="0" applyNumberFormat="1" applyFont="1" applyFill="1" applyBorder="1" applyAlignment="1">
      <alignment horizontal="right" vertical="center" wrapText="1"/>
    </xf>
    <xf numFmtId="178" fontId="10" fillId="0" borderId="3" xfId="0" applyNumberFormat="1" applyFont="1" applyFill="1" applyBorder="1" applyAlignment="1">
      <alignment vertical="center"/>
    </xf>
    <xf numFmtId="0" fontId="48" fillId="0" borderId="22" xfId="0" applyFont="1" applyFill="1" applyBorder="1" applyAlignment="1">
      <alignment horizontal="center" vertical="center"/>
    </xf>
    <xf numFmtId="0" fontId="49" fillId="0" borderId="12" xfId="0" applyFont="1" applyFill="1" applyBorder="1" applyAlignment="1">
      <alignment horizontal="center" vertical="center"/>
    </xf>
    <xf numFmtId="9" fontId="49" fillId="0" borderId="3" xfId="0" applyNumberFormat="1" applyFont="1" applyFill="1" applyBorder="1" applyAlignment="1">
      <alignment horizontal="center" vertical="center"/>
    </xf>
    <xf numFmtId="41" fontId="49" fillId="0" borderId="3" xfId="1" applyFont="1" applyFill="1" applyBorder="1">
      <alignment vertical="center"/>
    </xf>
    <xf numFmtId="41" fontId="49" fillId="0" borderId="3" xfId="1" applyFont="1" applyFill="1" applyBorder="1" applyAlignment="1">
      <alignment horizontal="center" vertical="center"/>
    </xf>
    <xf numFmtId="176" fontId="49" fillId="0" borderId="3" xfId="7" applyNumberFormat="1" applyFont="1" applyFill="1" applyBorder="1">
      <alignment vertical="center"/>
    </xf>
    <xf numFmtId="0" fontId="49" fillId="0" borderId="3" xfId="0" applyFont="1" applyFill="1" applyBorder="1">
      <alignment vertical="center"/>
    </xf>
    <xf numFmtId="41" fontId="49" fillId="0" borderId="3" xfId="1" applyFont="1" applyFill="1" applyBorder="1" applyAlignment="1">
      <alignment vertical="center"/>
    </xf>
    <xf numFmtId="176" fontId="49" fillId="0" borderId="3" xfId="7" applyNumberFormat="1" applyFont="1" applyFill="1" applyBorder="1" applyAlignment="1">
      <alignment vertical="center"/>
    </xf>
    <xf numFmtId="0" fontId="49" fillId="0" borderId="3" xfId="0" applyFont="1" applyFill="1" applyBorder="1" applyAlignment="1">
      <alignment vertical="center"/>
    </xf>
    <xf numFmtId="0" fontId="0" fillId="12" borderId="0" xfId="0" applyFill="1" applyAlignment="1">
      <alignment horizontal="center" vertical="center"/>
    </xf>
    <xf numFmtId="181" fontId="45" fillId="2" borderId="2" xfId="0" applyNumberFormat="1" applyFont="1" applyFill="1" applyBorder="1" applyAlignment="1">
      <alignment horizontal="right" vertical="center" wrapText="1"/>
    </xf>
    <xf numFmtId="0" fontId="0" fillId="15" borderId="0" xfId="0" applyFill="1">
      <alignment vertical="center"/>
    </xf>
    <xf numFmtId="0" fontId="0" fillId="24" borderId="0" xfId="0" applyFill="1">
      <alignment vertical="center"/>
    </xf>
    <xf numFmtId="0" fontId="0" fillId="24" borderId="0" xfId="0" applyFill="1" applyAlignment="1">
      <alignment horizontal="center" vertical="center"/>
    </xf>
    <xf numFmtId="0" fontId="42" fillId="24" borderId="0" xfId="0" applyFont="1" applyFill="1" applyAlignment="1">
      <alignment horizontal="center" vertical="center"/>
    </xf>
    <xf numFmtId="0" fontId="15" fillId="0" borderId="20" xfId="0" applyFont="1" applyFill="1" applyBorder="1" applyAlignment="1">
      <alignment horizontal="center" vertical="center"/>
    </xf>
    <xf numFmtId="0" fontId="27" fillId="0" borderId="19" xfId="0" applyFont="1" applyFill="1" applyBorder="1" applyAlignment="1">
      <alignment horizontal="center" vertical="center"/>
    </xf>
    <xf numFmtId="0" fontId="27" fillId="0" borderId="20" xfId="0" applyFont="1" applyFill="1" applyBorder="1" applyAlignment="1">
      <alignment horizontal="center" vertical="center"/>
    </xf>
    <xf numFmtId="0" fontId="27" fillId="0" borderId="21" xfId="0" applyFont="1" applyFill="1" applyBorder="1" applyAlignment="1">
      <alignment horizontal="center" vertical="center"/>
    </xf>
    <xf numFmtId="0" fontId="27" fillId="0" borderId="22" xfId="0" applyFont="1" applyFill="1" applyBorder="1" applyAlignment="1">
      <alignment horizontal="center" vertical="center"/>
    </xf>
    <xf numFmtId="0" fontId="27" fillId="23" borderId="24" xfId="0" applyFont="1" applyFill="1" applyBorder="1" applyAlignment="1">
      <alignment horizontal="center" vertical="center"/>
    </xf>
    <xf numFmtId="0" fontId="27" fillId="23" borderId="25" xfId="0" applyFont="1" applyFill="1" applyBorder="1" applyAlignment="1">
      <alignment horizontal="center" vertical="center"/>
    </xf>
    <xf numFmtId="0" fontId="27" fillId="0" borderId="28" xfId="0" applyFont="1" applyFill="1" applyBorder="1" applyAlignment="1">
      <alignment horizontal="center" vertical="center"/>
    </xf>
    <xf numFmtId="0" fontId="27" fillId="0" borderId="29" xfId="0" applyFont="1" applyFill="1" applyBorder="1" applyAlignment="1">
      <alignment horizontal="center" vertical="center"/>
    </xf>
    <xf numFmtId="0" fontId="27" fillId="0" borderId="30" xfId="0" applyFont="1" applyFill="1" applyBorder="1" applyAlignment="1">
      <alignment horizontal="center" vertical="center"/>
    </xf>
    <xf numFmtId="0" fontId="27" fillId="0" borderId="24" xfId="0" applyFont="1" applyFill="1" applyBorder="1" applyAlignment="1">
      <alignment horizontal="center" vertical="center"/>
    </xf>
    <xf numFmtId="0" fontId="27" fillId="0" borderId="26" xfId="0" applyFont="1" applyFill="1" applyBorder="1" applyAlignment="1">
      <alignment horizontal="center" vertical="center"/>
    </xf>
    <xf numFmtId="0" fontId="15" fillId="0" borderId="24" xfId="0" applyFont="1" applyFill="1" applyBorder="1" applyAlignment="1">
      <alignment horizontal="center" vertical="center"/>
    </xf>
    <xf numFmtId="0" fontId="15" fillId="0" borderId="26" xfId="0" applyFont="1" applyFill="1" applyBorder="1" applyAlignment="1">
      <alignment horizontal="center" vertical="center"/>
    </xf>
    <xf numFmtId="0" fontId="27" fillId="0" borderId="17" xfId="0" applyFont="1" applyFill="1" applyBorder="1" applyAlignment="1">
      <alignment horizontal="center" vertical="center"/>
    </xf>
    <xf numFmtId="0" fontId="27" fillId="0" borderId="18" xfId="0" applyFont="1" applyFill="1" applyBorder="1" applyAlignment="1">
      <alignment horizontal="center" vertical="center"/>
    </xf>
    <xf numFmtId="0" fontId="10" fillId="0" borderId="23" xfId="0" applyFont="1" applyFill="1" applyBorder="1" applyAlignment="1">
      <alignment horizontal="center" vertical="center"/>
    </xf>
    <xf numFmtId="0" fontId="10" fillId="0" borderId="12" xfId="0" applyFont="1" applyFill="1" applyBorder="1" applyAlignment="1">
      <alignment horizontal="center" vertical="center"/>
    </xf>
    <xf numFmtId="0" fontId="22" fillId="10" borderId="3" xfId="9" applyFont="1" applyFill="1" applyBorder="1" applyAlignment="1">
      <alignment horizontal="center" vertical="center"/>
    </xf>
    <xf numFmtId="0" fontId="22" fillId="9" borderId="3" xfId="9" applyFont="1" applyFill="1" applyBorder="1" applyAlignment="1">
      <alignment horizontal="center" vertical="center"/>
    </xf>
    <xf numFmtId="0" fontId="22" fillId="7" borderId="3" xfId="9" applyNumberFormat="1" applyFont="1" applyFill="1" applyBorder="1" applyAlignment="1">
      <alignment horizontal="center" vertical="center"/>
    </xf>
    <xf numFmtId="0" fontId="22" fillId="11" borderId="3" xfId="9" applyFont="1" applyFill="1" applyBorder="1" applyAlignment="1">
      <alignment horizontal="center" vertical="center"/>
    </xf>
  </cellXfs>
  <cellStyles count="13">
    <cellStyle name="백분율" xfId="7" builtinId="5"/>
    <cellStyle name="백분율 2" xfId="5"/>
    <cellStyle name="쉼표 [0]" xfId="1" builtinId="6"/>
    <cellStyle name="쉼표 [0] 2" xfId="4"/>
    <cellStyle name="쉼표 [0] 3" xfId="11"/>
    <cellStyle name="표준" xfId="0" builtinId="0"/>
    <cellStyle name="표준 2" xfId="2"/>
    <cellStyle name="표준 3" xfId="3"/>
    <cellStyle name="표준 4" xfId="9"/>
    <cellStyle name="표준 5" xfId="10"/>
    <cellStyle name="표준 9" xfId="6"/>
    <cellStyle name="표준 9 2" xfId="8"/>
    <cellStyle name="하이퍼링크" xfId="12" builtinId="8"/>
  </cellStyles>
  <dxfs count="21">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AEB"/>
      <color rgb="FFFF6699"/>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editAs="oneCell">
    <xdr:from>
      <xdr:col>14</xdr:col>
      <xdr:colOff>145676</xdr:colOff>
      <xdr:row>1</xdr:row>
      <xdr:rowOff>156883</xdr:rowOff>
    </xdr:from>
    <xdr:to>
      <xdr:col>22</xdr:col>
      <xdr:colOff>99394</xdr:colOff>
      <xdr:row>30</xdr:row>
      <xdr:rowOff>33617</xdr:rowOff>
    </xdr:to>
    <xdr:pic>
      <xdr:nvPicPr>
        <xdr:cNvPr id="5" name="그림 4"/>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3583"/>
        <a:stretch/>
      </xdr:blipFill>
      <xdr:spPr>
        <a:xfrm>
          <a:off x="14153029" y="515471"/>
          <a:ext cx="5422189" cy="6219264"/>
        </a:xfrm>
        <a:prstGeom prst="rect">
          <a:avLst/>
        </a:prstGeom>
      </xdr:spPr>
    </xdr:pic>
    <xdr:clientData/>
  </xdr:twoCellAnchor>
  <xdr:twoCellAnchor>
    <xdr:from>
      <xdr:col>6</xdr:col>
      <xdr:colOff>56029</xdr:colOff>
      <xdr:row>29</xdr:row>
      <xdr:rowOff>89646</xdr:rowOff>
    </xdr:from>
    <xdr:to>
      <xdr:col>11</xdr:col>
      <xdr:colOff>717175</xdr:colOff>
      <xdr:row>42</xdr:row>
      <xdr:rowOff>89646</xdr:rowOff>
    </xdr:to>
    <xdr:sp macro="" textlink="">
      <xdr:nvSpPr>
        <xdr:cNvPr id="6" name="TextBox 5"/>
        <xdr:cNvSpPr txBox="1"/>
      </xdr:nvSpPr>
      <xdr:spPr>
        <a:xfrm>
          <a:off x="6521823" y="6577852"/>
          <a:ext cx="5995146" cy="2767853"/>
        </a:xfrm>
        <a:prstGeom prst="rect">
          <a:avLst/>
        </a:prstGeom>
        <a:solidFill>
          <a:srgbClr val="FFFAEB"/>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a:t>*</a:t>
          </a:r>
          <a:r>
            <a:rPr lang="en-US" altLang="ko-KR" sz="1200" b="1"/>
            <a:t> </a:t>
          </a:r>
          <a:r>
            <a:rPr lang="ko-KR" altLang="en-US" sz="1200" b="1"/>
            <a:t>주요 사항</a:t>
          </a:r>
          <a:endParaRPr lang="en-US" altLang="ko-KR" sz="1200" b="1"/>
        </a:p>
        <a:p>
          <a:endParaRPr lang="en-US" altLang="ko-KR" sz="1050" b="1">
            <a:latin typeface="+mj-ea"/>
            <a:ea typeface="+mj-ea"/>
          </a:endParaRPr>
        </a:p>
        <a:p>
          <a:r>
            <a:rPr lang="en-US" altLang="ko-KR" sz="1050" b="1">
              <a:latin typeface="+mj-ea"/>
              <a:ea typeface="+mj-ea"/>
            </a:rPr>
            <a:t>-</a:t>
          </a:r>
          <a:r>
            <a:rPr lang="ko-KR" altLang="en-US" sz="1050" b="0" baseline="0">
              <a:latin typeface="+mj-ea"/>
              <a:ea typeface="+mj-ea"/>
            </a:rPr>
            <a:t> 중소기업</a:t>
          </a:r>
          <a:r>
            <a:rPr lang="en-US" altLang="ko-KR" sz="1050" b="0" baseline="0">
              <a:latin typeface="+mj-ea"/>
              <a:ea typeface="+mj-ea"/>
            </a:rPr>
            <a:t>+(</a:t>
          </a:r>
          <a:r>
            <a:rPr lang="ko-KR" altLang="en-US" sz="1050" b="0" baseline="0">
              <a:latin typeface="+mj-ea"/>
              <a:ea typeface="+mj-ea"/>
            </a:rPr>
            <a:t>장애인</a:t>
          </a:r>
          <a:r>
            <a:rPr lang="en-US" altLang="ko-KR" sz="1050" b="0" baseline="0">
              <a:latin typeface="+mj-ea"/>
              <a:ea typeface="+mj-ea"/>
            </a:rPr>
            <a:t>+</a:t>
          </a:r>
          <a:r>
            <a:rPr lang="ko-KR" altLang="en-US" sz="1050" b="0" baseline="0">
              <a:latin typeface="+mj-ea"/>
              <a:ea typeface="+mj-ea"/>
            </a:rPr>
            <a:t>중증장애인</a:t>
          </a:r>
          <a:r>
            <a:rPr lang="en-US" altLang="ko-KR" sz="1050" b="0" baseline="0">
              <a:latin typeface="+mj-ea"/>
              <a:ea typeface="+mj-ea"/>
            </a:rPr>
            <a:t>) = 10</a:t>
          </a:r>
          <a:r>
            <a:rPr lang="ko-KR" altLang="en-US" sz="1050" b="0" baseline="0">
              <a:latin typeface="+mj-ea"/>
              <a:ea typeface="+mj-ea"/>
            </a:rPr>
            <a:t>백만원</a:t>
          </a:r>
          <a:endParaRPr lang="en-US" altLang="ko-KR" sz="1050" b="0" baseline="0">
            <a:latin typeface="+mj-ea"/>
            <a:ea typeface="+mj-ea"/>
          </a:endParaRPr>
        </a:p>
        <a:p>
          <a:r>
            <a:rPr lang="en-US" altLang="ko-KR" sz="1050" b="0" baseline="0">
              <a:latin typeface="+mj-ea"/>
              <a:ea typeface="+mj-ea"/>
            </a:rPr>
            <a:t>- </a:t>
          </a:r>
          <a:r>
            <a:rPr lang="ko-KR" altLang="en-US" sz="1050" b="0" baseline="0">
              <a:latin typeface="+mj-ea"/>
              <a:ea typeface="+mj-ea"/>
            </a:rPr>
            <a:t>중소기업</a:t>
          </a:r>
          <a:r>
            <a:rPr lang="en-US" altLang="ko-KR" sz="1050" b="0" baseline="0">
              <a:latin typeface="+mj-ea"/>
              <a:ea typeface="+mj-ea"/>
            </a:rPr>
            <a:t>+(</a:t>
          </a:r>
          <a:r>
            <a:rPr lang="ko-KR" altLang="en-US" sz="1050" b="0" baseline="0">
              <a:latin typeface="+mj-ea"/>
              <a:ea typeface="+mj-ea"/>
            </a:rPr>
            <a:t>사회적</a:t>
          </a:r>
          <a:r>
            <a:rPr lang="en-US" altLang="ko-KR" sz="1050" b="0" baseline="0">
              <a:latin typeface="+mj-ea"/>
              <a:ea typeface="+mj-ea"/>
            </a:rPr>
            <a:t>,</a:t>
          </a:r>
          <a:r>
            <a:rPr lang="ko-KR" altLang="en-US" sz="1050" b="0" baseline="0">
              <a:latin typeface="+mj-ea"/>
              <a:ea typeface="+mj-ea"/>
            </a:rPr>
            <a:t>사회적협동조합</a:t>
          </a:r>
          <a:r>
            <a:rPr lang="en-US" altLang="ko-KR" sz="1050" b="0" baseline="0">
              <a:latin typeface="+mj-ea"/>
              <a:ea typeface="+mj-ea"/>
            </a:rPr>
            <a:t>) = 38</a:t>
          </a:r>
          <a:r>
            <a:rPr lang="ko-KR" altLang="en-US" sz="1050" b="0" baseline="0">
              <a:latin typeface="+mj-ea"/>
              <a:ea typeface="+mj-ea"/>
            </a:rPr>
            <a:t>백만원</a:t>
          </a:r>
          <a:endParaRPr lang="en-US" altLang="ko-KR" sz="1050" b="0" baseline="0">
            <a:latin typeface="+mj-ea"/>
            <a:ea typeface="+mj-ea"/>
          </a:endParaRPr>
        </a:p>
        <a:p>
          <a:r>
            <a:rPr lang="en-US" altLang="ko-KR" sz="1050" b="0" baseline="0">
              <a:latin typeface="+mj-ea"/>
              <a:ea typeface="+mj-ea"/>
            </a:rPr>
            <a:t>- </a:t>
          </a:r>
          <a:r>
            <a:rPr lang="ko-KR" altLang="en-US" sz="1050" b="0" baseline="0">
              <a:latin typeface="+mj-ea"/>
              <a:ea typeface="+mj-ea"/>
            </a:rPr>
            <a:t>중소기업</a:t>
          </a:r>
          <a:r>
            <a:rPr lang="en-US" altLang="ko-KR" sz="1050" b="0" baseline="0">
              <a:latin typeface="+mj-ea"/>
              <a:ea typeface="+mj-ea"/>
            </a:rPr>
            <a:t>+(</a:t>
          </a:r>
          <a:r>
            <a:rPr lang="ko-KR" altLang="en-US" sz="1050" b="0" baseline="0">
              <a:latin typeface="+mj-ea"/>
              <a:ea typeface="+mj-ea"/>
            </a:rPr>
            <a:t>친환경</a:t>
          </a:r>
          <a:r>
            <a:rPr lang="en-US" altLang="ko-KR" sz="1050" b="0" baseline="0">
              <a:latin typeface="+mj-ea"/>
              <a:ea typeface="+mj-ea"/>
            </a:rPr>
            <a:t>)= 2.3</a:t>
          </a:r>
          <a:r>
            <a:rPr lang="ko-KR" altLang="en-US" sz="1050" b="0" baseline="0">
              <a:latin typeface="+mj-ea"/>
              <a:ea typeface="+mj-ea"/>
            </a:rPr>
            <a:t>백만원 </a:t>
          </a:r>
          <a:r>
            <a:rPr lang="en-US" altLang="ko-KR" sz="1050" b="0" baseline="0">
              <a:latin typeface="+mj-ea"/>
              <a:ea typeface="+mj-ea"/>
            </a:rPr>
            <a:t>/ </a:t>
          </a:r>
          <a:r>
            <a:rPr lang="ko-KR" altLang="en-US" sz="1050" b="0" baseline="0">
              <a:latin typeface="+mj-ea"/>
              <a:ea typeface="+mj-ea"/>
            </a:rPr>
            <a:t>중소기업</a:t>
          </a:r>
          <a:r>
            <a:rPr lang="en-US" altLang="ko-KR" sz="1050" b="0" baseline="0">
              <a:latin typeface="+mj-ea"/>
              <a:ea typeface="+mj-ea"/>
            </a:rPr>
            <a:t>+(</a:t>
          </a:r>
          <a:r>
            <a:rPr lang="ko-KR" altLang="en-US" sz="1050" b="0" baseline="0">
              <a:latin typeface="+mj-ea"/>
              <a:ea typeface="+mj-ea"/>
            </a:rPr>
            <a:t>자활용</a:t>
          </a:r>
          <a:r>
            <a:rPr lang="en-US" altLang="ko-KR" sz="1050" b="0" baseline="0">
              <a:latin typeface="+mj-ea"/>
              <a:ea typeface="+mj-ea"/>
            </a:rPr>
            <a:t>)=1.4</a:t>
          </a:r>
          <a:r>
            <a:rPr lang="ko-KR" altLang="en-US" sz="1050" b="0" baseline="0">
              <a:latin typeface="+mj-ea"/>
              <a:ea typeface="+mj-ea"/>
            </a:rPr>
            <a:t>백만원  </a:t>
          </a:r>
          <a:r>
            <a:rPr lang="en-US" altLang="ko-KR" sz="1050" b="0" baseline="0">
              <a:latin typeface="+mj-ea"/>
              <a:ea typeface="+mj-ea"/>
            </a:rPr>
            <a:t>= 4</a:t>
          </a:r>
          <a:r>
            <a:rPr lang="ko-KR" altLang="en-US" sz="1050" b="0" baseline="0">
              <a:latin typeface="+mj-ea"/>
              <a:ea typeface="+mj-ea"/>
            </a:rPr>
            <a:t>백만원</a:t>
          </a:r>
          <a:endParaRPr lang="en-US" altLang="ko-KR" sz="1050" b="0" baseline="0">
            <a:latin typeface="+mj-ea"/>
            <a:ea typeface="+mj-ea"/>
          </a:endParaRPr>
        </a:p>
        <a:p>
          <a:r>
            <a:rPr lang="en-US" altLang="ko-KR" sz="1050" b="0" baseline="0">
              <a:latin typeface="+mj-ea"/>
              <a:ea typeface="+mj-ea"/>
            </a:rPr>
            <a:t>-&gt;</a:t>
          </a:r>
          <a:r>
            <a:rPr lang="ko-KR" altLang="en-US" sz="1050" b="0" baseline="0">
              <a:latin typeface="+mj-ea"/>
              <a:ea typeface="+mj-ea"/>
            </a:rPr>
            <a:t> </a:t>
          </a:r>
          <a:r>
            <a:rPr lang="ko-KR" altLang="en-US" sz="1050" b="1" baseline="0">
              <a:latin typeface="+mj-ea"/>
              <a:ea typeface="+mj-ea"/>
            </a:rPr>
            <a:t>소요액</a:t>
          </a:r>
          <a:r>
            <a:rPr lang="en-US" altLang="ko-KR" sz="1050" b="1" baseline="0">
              <a:latin typeface="+mj-ea"/>
              <a:ea typeface="+mj-ea"/>
            </a:rPr>
            <a:t>: </a:t>
          </a:r>
          <a:r>
            <a:rPr lang="ko-KR" altLang="en-US" sz="1050" b="1" baseline="0">
              <a:latin typeface="+mj-ea"/>
              <a:ea typeface="+mj-ea"/>
            </a:rPr>
            <a:t>약 </a:t>
          </a:r>
          <a:r>
            <a:rPr lang="en-US" altLang="ko-KR" sz="1050" b="1" baseline="0">
              <a:latin typeface="+mj-ea"/>
              <a:ea typeface="+mj-ea"/>
            </a:rPr>
            <a:t>52</a:t>
          </a:r>
          <a:r>
            <a:rPr lang="ko-KR" altLang="en-US" sz="1050" b="1" baseline="0">
              <a:latin typeface="+mj-ea"/>
              <a:ea typeface="+mj-ea"/>
            </a:rPr>
            <a:t>백만원 </a:t>
          </a:r>
          <a:r>
            <a:rPr lang="en-US" altLang="ko-KR" sz="1050" b="0" baseline="0">
              <a:latin typeface="+mj-ea"/>
              <a:ea typeface="+mj-ea"/>
            </a:rPr>
            <a:t>(</a:t>
          </a:r>
          <a:r>
            <a:rPr lang="ko-KR" altLang="en-US" sz="1050" b="0" baseline="0">
              <a:latin typeface="+mj-ea"/>
              <a:ea typeface="+mj-ea"/>
            </a:rPr>
            <a:t>그래도 중기제품 </a:t>
          </a:r>
          <a:r>
            <a:rPr lang="en-US" altLang="ko-KR" sz="1050" b="0" baseline="0">
              <a:latin typeface="+mj-ea"/>
              <a:ea typeface="+mj-ea"/>
            </a:rPr>
            <a:t>30</a:t>
          </a:r>
          <a:r>
            <a:rPr lang="ko-KR" altLang="en-US" sz="1050" b="0" baseline="0">
              <a:latin typeface="+mj-ea"/>
              <a:ea typeface="+mj-ea"/>
            </a:rPr>
            <a:t>백만원 더사야</a:t>
          </a:r>
          <a:r>
            <a:rPr lang="en-US" altLang="ko-KR" sz="1050" b="0" baseline="0">
              <a:latin typeface="+mj-ea"/>
              <a:ea typeface="+mj-ea"/>
            </a:rPr>
            <a:t>...)</a:t>
          </a:r>
        </a:p>
        <a:p>
          <a:endParaRPr lang="en-US" altLang="ko-KR" sz="1050" b="0" baseline="0">
            <a:latin typeface="+mj-ea"/>
            <a:ea typeface="+mj-ea"/>
          </a:endParaRPr>
        </a:p>
        <a:p>
          <a:r>
            <a:rPr lang="en-US" altLang="ko-KR" sz="1050" b="0" baseline="0">
              <a:latin typeface="+mj-ea"/>
              <a:ea typeface="+mj-ea"/>
            </a:rPr>
            <a:t> * </a:t>
          </a:r>
          <a:r>
            <a:rPr lang="ko-KR" altLang="en-US" sz="1050" b="0" baseline="0">
              <a:latin typeface="+mj-ea"/>
              <a:ea typeface="+mj-ea"/>
            </a:rPr>
            <a:t>물품구매시</a:t>
          </a:r>
          <a:r>
            <a:rPr lang="en-US" altLang="ko-KR" sz="1050" b="0" baseline="0">
              <a:latin typeface="+mj-ea"/>
              <a:ea typeface="+mj-ea"/>
            </a:rPr>
            <a:t>, </a:t>
          </a:r>
          <a:r>
            <a:rPr lang="ko-KR" altLang="en-US" sz="1050" b="1" u="sng" baseline="0">
              <a:latin typeface="+mj-ea"/>
              <a:ea typeface="+mj-ea"/>
            </a:rPr>
            <a:t>무조건 창업기업인증 </a:t>
          </a:r>
          <a:r>
            <a:rPr lang="ko-KR" altLang="en-US" sz="1050" b="0" baseline="0">
              <a:latin typeface="+mj-ea"/>
              <a:ea typeface="+mj-ea"/>
            </a:rPr>
            <a:t>있는곳으로 구매하기</a:t>
          </a:r>
          <a:r>
            <a:rPr lang="en-US" altLang="ko-KR" sz="1050" b="0" baseline="0">
              <a:latin typeface="+mj-ea"/>
              <a:ea typeface="+mj-ea"/>
            </a:rPr>
            <a:t>!</a:t>
          </a:r>
        </a:p>
        <a:p>
          <a:endParaRPr lang="en-US" altLang="ko-KR" sz="1050">
            <a:latin typeface="+mj-ea"/>
            <a:ea typeface="+mj-ea"/>
          </a:endParaRPr>
        </a:p>
        <a:p>
          <a:r>
            <a:rPr lang="en-US" altLang="ko-KR" sz="1050">
              <a:latin typeface="+mj-ea"/>
              <a:ea typeface="+mj-ea"/>
            </a:rPr>
            <a:t>- (</a:t>
          </a:r>
          <a:r>
            <a:rPr lang="ko-KR" altLang="en-US" sz="1050">
              <a:latin typeface="+mj-ea"/>
              <a:ea typeface="+mj-ea"/>
            </a:rPr>
            <a:t>중요</a:t>
          </a:r>
          <a:r>
            <a:rPr lang="en-US" altLang="ko-KR" sz="1050">
              <a:latin typeface="+mj-ea"/>
              <a:ea typeface="+mj-ea"/>
            </a:rPr>
            <a:t>)</a:t>
          </a:r>
          <a:r>
            <a:rPr lang="ko-KR" altLang="en-US" sz="1050">
              <a:latin typeface="+mj-ea"/>
              <a:ea typeface="+mj-ea"/>
            </a:rPr>
            <a:t>구매대행업체를 통해 구매 시</a:t>
          </a:r>
          <a:r>
            <a:rPr lang="en-US" altLang="ko-KR" sz="1050">
              <a:latin typeface="+mj-ea"/>
              <a:ea typeface="+mj-ea"/>
            </a:rPr>
            <a:t>, </a:t>
          </a:r>
          <a:r>
            <a:rPr lang="ko-KR" altLang="en-US" sz="1050">
              <a:latin typeface="+mj-ea"/>
              <a:ea typeface="+mj-ea"/>
            </a:rPr>
            <a:t>사업자등록번호</a:t>
          </a:r>
          <a:r>
            <a:rPr lang="en-US" altLang="ko-KR" sz="1050">
              <a:latin typeface="+mj-ea"/>
              <a:ea typeface="+mj-ea"/>
            </a:rPr>
            <a:t>(</a:t>
          </a:r>
          <a:r>
            <a:rPr lang="ko-KR" altLang="en-US" sz="1050">
              <a:latin typeface="+mj-ea"/>
              <a:ea typeface="+mj-ea"/>
            </a:rPr>
            <a:t>제조업체</a:t>
          </a:r>
          <a:r>
            <a:rPr lang="en-US" altLang="ko-KR" sz="1050">
              <a:latin typeface="+mj-ea"/>
              <a:ea typeface="+mj-ea"/>
            </a:rPr>
            <a:t>)</a:t>
          </a:r>
          <a:r>
            <a:rPr lang="ko-KR" altLang="en-US" sz="1050">
              <a:latin typeface="+mj-ea"/>
              <a:ea typeface="+mj-ea"/>
            </a:rPr>
            <a:t>기준으로 입력필요</a:t>
          </a:r>
        </a:p>
      </xdr:txBody>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3.bin"/><Relationship Id="rId1" Type="http://schemas.openxmlformats.org/officeDocument/2006/relationships/hyperlink" Target="mailto:sjkim@hictc.com" TargetMode="External"/><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BD744"/>
  <sheetViews>
    <sheetView tabSelected="1" zoomScaleNormal="100" workbookViewId="0">
      <pane xSplit="7" ySplit="1" topLeftCell="H2" activePane="bottomRight" state="frozen"/>
      <selection pane="topRight" activeCell="H1" sqref="H1"/>
      <selection pane="bottomLeft" activeCell="A2" sqref="A2"/>
      <selection pane="bottomRight" activeCell="G29" sqref="G29"/>
    </sheetView>
  </sheetViews>
  <sheetFormatPr defaultRowHeight="16.5"/>
  <cols>
    <col min="1" max="1" width="18.75" style="91" customWidth="1"/>
    <col min="2" max="2" width="11.5" style="3" customWidth="1"/>
    <col min="3" max="3" width="10" customWidth="1"/>
    <col min="4" max="6" width="12.5" customWidth="1"/>
    <col min="7" max="7" width="50.25" customWidth="1"/>
    <col min="8" max="8" width="11.125" style="181" customWidth="1"/>
    <col min="9" max="9" width="12.5" customWidth="1"/>
    <col min="10" max="10" width="25" customWidth="1"/>
    <col min="11" max="11" width="37.5" customWidth="1"/>
    <col min="12" max="13" width="12.5" customWidth="1"/>
    <col min="14" max="14" width="18.75" customWidth="1"/>
    <col min="15" max="15" width="8.75" customWidth="1"/>
    <col min="16" max="16" width="11.25" customWidth="1"/>
    <col min="17" max="17" width="12.5" style="82" customWidth="1"/>
    <col min="18" max="18" width="10" customWidth="1"/>
    <col min="19" max="19" width="15" customWidth="1"/>
    <col min="20" max="20" width="18.75" customWidth="1"/>
    <col min="21" max="21" width="14.125" bestFit="1" customWidth="1"/>
    <col min="22" max="22" width="12.5" customWidth="1"/>
    <col min="23" max="23" width="16.25" customWidth="1"/>
    <col min="24" max="24" width="18.75" customWidth="1"/>
    <col min="25" max="25" width="22.5" customWidth="1"/>
    <col min="26" max="26" width="20" customWidth="1"/>
    <col min="27" max="27" width="12.5" customWidth="1"/>
    <col min="28" max="30" width="15" customWidth="1"/>
    <col min="31" max="31" width="10.25" bestFit="1" customWidth="1"/>
    <col min="32" max="32" width="12.5" customWidth="1"/>
    <col min="33" max="33" width="15" customWidth="1"/>
    <col min="34" max="34" width="25" customWidth="1"/>
    <col min="35" max="35" width="12.5" customWidth="1"/>
    <col min="36" max="36" width="37.5" customWidth="1"/>
    <col min="37" max="37" width="15.625" customWidth="1"/>
    <col min="38" max="38" width="18.75" customWidth="1"/>
    <col min="39" max="39" width="15" customWidth="1"/>
    <col min="40" max="40" width="37.5" customWidth="1"/>
    <col min="41" max="41" width="11.25" customWidth="1"/>
    <col min="42" max="42" width="12.5" customWidth="1"/>
    <col min="43" max="43" width="18.125" customWidth="1"/>
    <col min="44" max="44" width="18.75" customWidth="1"/>
    <col min="45" max="48" width="12.5" customWidth="1"/>
    <col min="49" max="49" width="19.375" customWidth="1"/>
    <col min="50" max="50" width="22" customWidth="1"/>
    <col min="51" max="51" width="17.5" customWidth="1"/>
    <col min="52" max="52" width="17.625" customWidth="1"/>
    <col min="53" max="53" width="21.375" customWidth="1"/>
    <col min="54" max="54" width="12.5" customWidth="1"/>
  </cols>
  <sheetData>
    <row r="1" spans="1:56" ht="18.75" customHeight="1">
      <c r="A1" s="97" t="s">
        <v>65</v>
      </c>
      <c r="B1" s="124" t="s">
        <v>20020</v>
      </c>
      <c r="C1" s="78" t="s">
        <v>0</v>
      </c>
      <c r="D1" s="78" t="s">
        <v>43</v>
      </c>
      <c r="E1" s="78" t="s">
        <v>44</v>
      </c>
      <c r="F1" s="78" t="s">
        <v>1</v>
      </c>
      <c r="G1" s="78" t="s">
        <v>2</v>
      </c>
      <c r="H1" s="81" t="s">
        <v>3</v>
      </c>
      <c r="I1" s="78" t="s">
        <v>19897</v>
      </c>
      <c r="J1" s="78" t="s">
        <v>45</v>
      </c>
      <c r="K1" s="78" t="s">
        <v>46</v>
      </c>
      <c r="L1" s="78" t="s">
        <v>47</v>
      </c>
      <c r="M1" s="78" t="s">
        <v>19950</v>
      </c>
      <c r="N1" s="78" t="s">
        <v>4</v>
      </c>
      <c r="O1" s="78" t="s">
        <v>48</v>
      </c>
      <c r="P1" s="78" t="s">
        <v>49</v>
      </c>
      <c r="Q1" s="81" t="s">
        <v>50</v>
      </c>
      <c r="R1" s="78" t="s">
        <v>5</v>
      </c>
      <c r="S1" s="78" t="s">
        <v>51</v>
      </c>
      <c r="T1" s="78" t="s">
        <v>52</v>
      </c>
      <c r="U1" s="78" t="s">
        <v>53</v>
      </c>
      <c r="V1" s="78" t="s">
        <v>54</v>
      </c>
      <c r="W1" s="78" t="s">
        <v>55</v>
      </c>
      <c r="X1" s="78" t="s">
        <v>56</v>
      </c>
      <c r="Y1" s="78" t="s">
        <v>57</v>
      </c>
      <c r="Z1" s="78" t="s">
        <v>58</v>
      </c>
      <c r="AA1" s="78" t="s">
        <v>59</v>
      </c>
      <c r="AB1" s="78" t="s">
        <v>60</v>
      </c>
      <c r="AC1" s="78" t="s">
        <v>61</v>
      </c>
      <c r="AD1" s="78" t="s">
        <v>62</v>
      </c>
      <c r="AE1" s="78" t="s">
        <v>11</v>
      </c>
      <c r="AF1" s="78" t="s">
        <v>63</v>
      </c>
      <c r="AG1" s="78" t="s">
        <v>64</v>
      </c>
      <c r="AH1" s="78" t="s">
        <v>65</v>
      </c>
      <c r="AI1" s="78" t="s">
        <v>66</v>
      </c>
      <c r="AJ1" s="78" t="s">
        <v>67</v>
      </c>
      <c r="AK1" s="78" t="s">
        <v>68</v>
      </c>
      <c r="AL1" s="78" t="s">
        <v>69</v>
      </c>
      <c r="AM1" s="78" t="s">
        <v>70</v>
      </c>
      <c r="AN1" s="78" t="s">
        <v>71</v>
      </c>
      <c r="AO1" s="78" t="s">
        <v>6</v>
      </c>
      <c r="AP1" s="78" t="s">
        <v>7</v>
      </c>
      <c r="AQ1" s="78" t="s">
        <v>8</v>
      </c>
      <c r="AR1" s="78" t="s">
        <v>72</v>
      </c>
      <c r="AS1" s="78" t="s">
        <v>9</v>
      </c>
      <c r="AT1" s="78" t="s">
        <v>10</v>
      </c>
      <c r="AU1" s="78" t="s">
        <v>19898</v>
      </c>
      <c r="AV1" s="78" t="s">
        <v>19899</v>
      </c>
      <c r="AW1" s="78" t="s">
        <v>19913</v>
      </c>
      <c r="AX1" s="78" t="s">
        <v>19914</v>
      </c>
      <c r="AY1" s="78" t="s">
        <v>73</v>
      </c>
      <c r="AZ1" s="78" t="s">
        <v>19917</v>
      </c>
      <c r="BA1" s="78" t="s">
        <v>19918</v>
      </c>
      <c r="BB1" s="78" t="s">
        <v>74</v>
      </c>
    </row>
    <row r="2" spans="1:56" s="2" customFormat="1" ht="18.75" customHeight="1">
      <c r="A2" s="87" t="s">
        <v>19963</v>
      </c>
      <c r="B2" s="125">
        <v>440000</v>
      </c>
      <c r="C2" s="85" t="s">
        <v>19960</v>
      </c>
      <c r="D2" s="86">
        <v>46024</v>
      </c>
      <c r="E2" s="86">
        <v>46142</v>
      </c>
      <c r="F2" s="86">
        <v>46140</v>
      </c>
      <c r="G2" s="87" t="s">
        <v>19961</v>
      </c>
      <c r="H2" s="85" t="s">
        <v>19902</v>
      </c>
      <c r="I2" s="85" t="s">
        <v>19957</v>
      </c>
      <c r="J2" s="85" t="s">
        <v>19951</v>
      </c>
      <c r="K2" s="87" t="s">
        <v>19952</v>
      </c>
      <c r="L2" s="88">
        <v>440000</v>
      </c>
      <c r="M2" s="85" t="s">
        <v>19958</v>
      </c>
      <c r="N2" s="87" t="s">
        <v>19959</v>
      </c>
      <c r="O2" s="87"/>
      <c r="P2" s="88">
        <v>440000</v>
      </c>
      <c r="Q2" s="88">
        <v>440000</v>
      </c>
      <c r="R2" s="85" t="s">
        <v>19903</v>
      </c>
      <c r="S2" s="85" t="s">
        <v>19903</v>
      </c>
      <c r="T2" s="87"/>
      <c r="U2" s="87"/>
      <c r="V2" s="85" t="s">
        <v>19905</v>
      </c>
      <c r="W2" s="85" t="s">
        <v>19906</v>
      </c>
      <c r="X2" s="87" t="s">
        <v>19907</v>
      </c>
      <c r="Y2" s="87" t="s">
        <v>19908</v>
      </c>
      <c r="Z2" s="87" t="s">
        <v>19909</v>
      </c>
      <c r="AA2" s="85" t="s">
        <v>19903</v>
      </c>
      <c r="AB2" s="85" t="s">
        <v>19905</v>
      </c>
      <c r="AC2" s="85" t="s">
        <v>19904</v>
      </c>
      <c r="AD2" s="85" t="s">
        <v>19903</v>
      </c>
      <c r="AE2" s="85" t="s">
        <v>19903</v>
      </c>
      <c r="AF2" s="85" t="s">
        <v>19903</v>
      </c>
      <c r="AG2" s="85" t="s">
        <v>19962</v>
      </c>
      <c r="AH2" s="87" t="s">
        <v>19963</v>
      </c>
      <c r="AI2" s="85" t="s">
        <v>19964</v>
      </c>
      <c r="AJ2" s="87" t="s">
        <v>19965</v>
      </c>
      <c r="AK2" s="85" t="s">
        <v>19962</v>
      </c>
      <c r="AL2" s="87" t="s">
        <v>19963</v>
      </c>
      <c r="AM2" s="85" t="s">
        <v>19964</v>
      </c>
      <c r="AN2" s="87" t="s">
        <v>19965</v>
      </c>
      <c r="AO2" s="85" t="s">
        <v>19910</v>
      </c>
      <c r="AP2" s="87" t="s">
        <v>19911</v>
      </c>
      <c r="AQ2" s="85" t="s">
        <v>19903</v>
      </c>
      <c r="AR2" s="85" t="s">
        <v>19903</v>
      </c>
      <c r="AS2" s="85" t="s">
        <v>19903</v>
      </c>
      <c r="AT2" s="85" t="s">
        <v>19903</v>
      </c>
      <c r="AU2" s="85" t="s">
        <v>19903</v>
      </c>
      <c r="AV2" s="85" t="s">
        <v>19904</v>
      </c>
      <c r="AW2" s="87" t="s">
        <v>19909</v>
      </c>
      <c r="AX2" s="87" t="s">
        <v>19909</v>
      </c>
      <c r="AY2" s="87" t="s">
        <v>19901</v>
      </c>
      <c r="AZ2" s="85" t="s">
        <v>19903</v>
      </c>
      <c r="BA2" s="85" t="s">
        <v>19909</v>
      </c>
      <c r="BB2" s="86">
        <v>46140</v>
      </c>
      <c r="BC2"/>
      <c r="BD2"/>
    </row>
    <row r="3" spans="1:56" s="2" customFormat="1" ht="18.75" customHeight="1">
      <c r="A3" s="87" t="s">
        <v>19963</v>
      </c>
      <c r="B3" s="125">
        <v>440000</v>
      </c>
      <c r="C3" s="85" t="s">
        <v>19966</v>
      </c>
      <c r="D3" s="86">
        <v>46024</v>
      </c>
      <c r="E3" s="86">
        <v>46113</v>
      </c>
      <c r="F3" s="86">
        <v>46111</v>
      </c>
      <c r="G3" s="87" t="s">
        <v>19967</v>
      </c>
      <c r="H3" s="85" t="s">
        <v>19902</v>
      </c>
      <c r="I3" s="85" t="s">
        <v>19957</v>
      </c>
      <c r="J3" s="85" t="s">
        <v>19951</v>
      </c>
      <c r="K3" s="87" t="s">
        <v>19952</v>
      </c>
      <c r="L3" s="88">
        <v>440000</v>
      </c>
      <c r="M3" s="85" t="s">
        <v>19958</v>
      </c>
      <c r="N3" s="87" t="s">
        <v>19959</v>
      </c>
      <c r="O3" s="87"/>
      <c r="P3" s="88">
        <v>440000</v>
      </c>
      <c r="Q3" s="88">
        <v>440000</v>
      </c>
      <c r="R3" s="85" t="s">
        <v>19903</v>
      </c>
      <c r="S3" s="85" t="s">
        <v>19903</v>
      </c>
      <c r="T3" s="87"/>
      <c r="U3" s="87"/>
      <c r="V3" s="85" t="s">
        <v>19905</v>
      </c>
      <c r="W3" s="85" t="s">
        <v>19906</v>
      </c>
      <c r="X3" s="87" t="s">
        <v>19907</v>
      </c>
      <c r="Y3" s="87" t="s">
        <v>19908</v>
      </c>
      <c r="Z3" s="87" t="s">
        <v>19909</v>
      </c>
      <c r="AA3" s="85" t="s">
        <v>19903</v>
      </c>
      <c r="AB3" s="85" t="s">
        <v>19905</v>
      </c>
      <c r="AC3" s="85" t="s">
        <v>19904</v>
      </c>
      <c r="AD3" s="85" t="s">
        <v>19903</v>
      </c>
      <c r="AE3" s="85" t="s">
        <v>19903</v>
      </c>
      <c r="AF3" s="85" t="s">
        <v>19903</v>
      </c>
      <c r="AG3" s="85" t="s">
        <v>19962</v>
      </c>
      <c r="AH3" s="87" t="s">
        <v>19963</v>
      </c>
      <c r="AI3" s="85" t="s">
        <v>19964</v>
      </c>
      <c r="AJ3" s="87" t="s">
        <v>19965</v>
      </c>
      <c r="AK3" s="85" t="s">
        <v>19962</v>
      </c>
      <c r="AL3" s="87" t="s">
        <v>19963</v>
      </c>
      <c r="AM3" s="85" t="s">
        <v>19964</v>
      </c>
      <c r="AN3" s="87" t="s">
        <v>19965</v>
      </c>
      <c r="AO3" s="85" t="s">
        <v>19910</v>
      </c>
      <c r="AP3" s="87" t="s">
        <v>19911</v>
      </c>
      <c r="AQ3" s="85" t="s">
        <v>19903</v>
      </c>
      <c r="AR3" s="85" t="s">
        <v>19903</v>
      </c>
      <c r="AS3" s="85" t="s">
        <v>19903</v>
      </c>
      <c r="AT3" s="85" t="s">
        <v>19903</v>
      </c>
      <c r="AU3" s="85" t="s">
        <v>19903</v>
      </c>
      <c r="AV3" s="85" t="s">
        <v>19904</v>
      </c>
      <c r="AW3" s="87" t="s">
        <v>19909</v>
      </c>
      <c r="AX3" s="87" t="s">
        <v>19909</v>
      </c>
      <c r="AY3" s="87" t="s">
        <v>19901</v>
      </c>
      <c r="AZ3" s="85" t="s">
        <v>19903</v>
      </c>
      <c r="BA3" s="85" t="s">
        <v>19909</v>
      </c>
      <c r="BB3" s="86">
        <v>46111</v>
      </c>
      <c r="BC3"/>
      <c r="BD3"/>
    </row>
    <row r="4" spans="1:56" s="2" customFormat="1" ht="18.75" customHeight="1">
      <c r="A4" s="87" t="s">
        <v>19963</v>
      </c>
      <c r="B4" s="125">
        <v>440000</v>
      </c>
      <c r="C4" s="85" t="s">
        <v>19968</v>
      </c>
      <c r="D4" s="86">
        <v>46024</v>
      </c>
      <c r="E4" s="86">
        <v>46085</v>
      </c>
      <c r="F4" s="86">
        <v>46080</v>
      </c>
      <c r="G4" s="87" t="s">
        <v>19969</v>
      </c>
      <c r="H4" s="85" t="s">
        <v>19902</v>
      </c>
      <c r="I4" s="85" t="s">
        <v>19957</v>
      </c>
      <c r="J4" s="85" t="s">
        <v>19951</v>
      </c>
      <c r="K4" s="87" t="s">
        <v>19952</v>
      </c>
      <c r="L4" s="88">
        <v>440000</v>
      </c>
      <c r="M4" s="85" t="s">
        <v>19958</v>
      </c>
      <c r="N4" s="87" t="s">
        <v>19959</v>
      </c>
      <c r="O4" s="87"/>
      <c r="P4" s="88">
        <v>440000</v>
      </c>
      <c r="Q4" s="88">
        <v>440000</v>
      </c>
      <c r="R4" s="85" t="s">
        <v>19903</v>
      </c>
      <c r="S4" s="85" t="s">
        <v>19903</v>
      </c>
      <c r="T4" s="87"/>
      <c r="U4" s="87"/>
      <c r="V4" s="85" t="s">
        <v>19905</v>
      </c>
      <c r="W4" s="85" t="s">
        <v>19906</v>
      </c>
      <c r="X4" s="87" t="s">
        <v>19907</v>
      </c>
      <c r="Y4" s="87" t="s">
        <v>19908</v>
      </c>
      <c r="Z4" s="87" t="s">
        <v>19909</v>
      </c>
      <c r="AA4" s="85" t="s">
        <v>19903</v>
      </c>
      <c r="AB4" s="85" t="s">
        <v>19905</v>
      </c>
      <c r="AC4" s="85" t="s">
        <v>19904</v>
      </c>
      <c r="AD4" s="85" t="s">
        <v>19903</v>
      </c>
      <c r="AE4" s="85" t="s">
        <v>19903</v>
      </c>
      <c r="AF4" s="85" t="s">
        <v>19903</v>
      </c>
      <c r="AG4" s="85" t="s">
        <v>19962</v>
      </c>
      <c r="AH4" s="87" t="s">
        <v>19963</v>
      </c>
      <c r="AI4" s="85" t="s">
        <v>19964</v>
      </c>
      <c r="AJ4" s="87" t="s">
        <v>19965</v>
      </c>
      <c r="AK4" s="85" t="s">
        <v>19962</v>
      </c>
      <c r="AL4" s="87" t="s">
        <v>19963</v>
      </c>
      <c r="AM4" s="85" t="s">
        <v>19964</v>
      </c>
      <c r="AN4" s="87" t="s">
        <v>19965</v>
      </c>
      <c r="AO4" s="85" t="s">
        <v>19910</v>
      </c>
      <c r="AP4" s="87" t="s">
        <v>19911</v>
      </c>
      <c r="AQ4" s="85" t="s">
        <v>19903</v>
      </c>
      <c r="AR4" s="85" t="s">
        <v>19903</v>
      </c>
      <c r="AS4" s="85" t="s">
        <v>19903</v>
      </c>
      <c r="AT4" s="85" t="s">
        <v>19903</v>
      </c>
      <c r="AU4" s="85" t="s">
        <v>19903</v>
      </c>
      <c r="AV4" s="85" t="s">
        <v>19904</v>
      </c>
      <c r="AW4" s="87" t="s">
        <v>19909</v>
      </c>
      <c r="AX4" s="87" t="s">
        <v>19909</v>
      </c>
      <c r="AY4" s="87" t="s">
        <v>19901</v>
      </c>
      <c r="AZ4" s="85" t="s">
        <v>19903</v>
      </c>
      <c r="BA4" s="85" t="s">
        <v>19909</v>
      </c>
      <c r="BB4" s="86">
        <v>46079</v>
      </c>
      <c r="BC4"/>
      <c r="BD4"/>
    </row>
    <row r="5" spans="1:56" s="2" customFormat="1" ht="18.75" customHeight="1">
      <c r="A5" s="87" t="s">
        <v>19963</v>
      </c>
      <c r="B5" s="125">
        <v>440000</v>
      </c>
      <c r="C5" s="85" t="s">
        <v>19970</v>
      </c>
      <c r="D5" s="86">
        <v>46024</v>
      </c>
      <c r="E5" s="86">
        <v>46055</v>
      </c>
      <c r="F5" s="86">
        <v>46055</v>
      </c>
      <c r="G5" s="87" t="s">
        <v>19971</v>
      </c>
      <c r="H5" s="85" t="s">
        <v>19902</v>
      </c>
      <c r="I5" s="85" t="s">
        <v>19957</v>
      </c>
      <c r="J5" s="85" t="s">
        <v>19951</v>
      </c>
      <c r="K5" s="87" t="s">
        <v>19952</v>
      </c>
      <c r="L5" s="88">
        <v>440000</v>
      </c>
      <c r="M5" s="85" t="s">
        <v>19958</v>
      </c>
      <c r="N5" s="87" t="s">
        <v>19959</v>
      </c>
      <c r="O5" s="87"/>
      <c r="P5" s="88">
        <v>440000</v>
      </c>
      <c r="Q5" s="88">
        <v>440000</v>
      </c>
      <c r="R5" s="85" t="s">
        <v>19903</v>
      </c>
      <c r="S5" s="85" t="s">
        <v>19903</v>
      </c>
      <c r="T5" s="87"/>
      <c r="U5" s="87"/>
      <c r="V5" s="85" t="s">
        <v>19905</v>
      </c>
      <c r="W5" s="85" t="s">
        <v>19906</v>
      </c>
      <c r="X5" s="87" t="s">
        <v>19907</v>
      </c>
      <c r="Y5" s="87" t="s">
        <v>19908</v>
      </c>
      <c r="Z5" s="87" t="s">
        <v>19909</v>
      </c>
      <c r="AA5" s="85" t="s">
        <v>19903</v>
      </c>
      <c r="AB5" s="85" t="s">
        <v>19905</v>
      </c>
      <c r="AC5" s="85" t="s">
        <v>19903</v>
      </c>
      <c r="AD5" s="85" t="s">
        <v>19903</v>
      </c>
      <c r="AE5" s="85" t="s">
        <v>19903</v>
      </c>
      <c r="AF5" s="85" t="s">
        <v>19903</v>
      </c>
      <c r="AG5" s="85" t="s">
        <v>19962</v>
      </c>
      <c r="AH5" s="87" t="s">
        <v>19963</v>
      </c>
      <c r="AI5" s="85" t="s">
        <v>19964</v>
      </c>
      <c r="AJ5" s="87" t="s">
        <v>19965</v>
      </c>
      <c r="AK5" s="85" t="s">
        <v>19962</v>
      </c>
      <c r="AL5" s="87" t="s">
        <v>19963</v>
      </c>
      <c r="AM5" s="85" t="s">
        <v>19964</v>
      </c>
      <c r="AN5" s="87" t="s">
        <v>19965</v>
      </c>
      <c r="AO5" s="85" t="s">
        <v>19910</v>
      </c>
      <c r="AP5" s="87" t="s">
        <v>19911</v>
      </c>
      <c r="AQ5" s="85" t="s">
        <v>19903</v>
      </c>
      <c r="AR5" s="85" t="s">
        <v>19903</v>
      </c>
      <c r="AS5" s="85" t="s">
        <v>19903</v>
      </c>
      <c r="AT5" s="85" t="s">
        <v>19903</v>
      </c>
      <c r="AU5" s="85" t="s">
        <v>19903</v>
      </c>
      <c r="AV5" s="85" t="s">
        <v>19904</v>
      </c>
      <c r="AW5" s="87" t="s">
        <v>19909</v>
      </c>
      <c r="AX5" s="87" t="s">
        <v>19909</v>
      </c>
      <c r="AY5" s="87" t="s">
        <v>19901</v>
      </c>
      <c r="AZ5" s="85" t="s">
        <v>19903</v>
      </c>
      <c r="BA5" s="85" t="s">
        <v>19909</v>
      </c>
      <c r="BB5" s="86">
        <v>46051</v>
      </c>
      <c r="BC5"/>
      <c r="BD5"/>
    </row>
    <row r="6" spans="1:56" s="2" customFormat="1" ht="18.75" customHeight="1">
      <c r="A6" s="87" t="s">
        <v>19925</v>
      </c>
      <c r="B6" s="125">
        <v>159500</v>
      </c>
      <c r="C6" s="85" t="s">
        <v>19972</v>
      </c>
      <c r="D6" s="86">
        <v>46037</v>
      </c>
      <c r="E6" s="86">
        <v>46044</v>
      </c>
      <c r="F6" s="86">
        <v>46042</v>
      </c>
      <c r="G6" s="87" t="s">
        <v>19973</v>
      </c>
      <c r="H6" s="85" t="s">
        <v>14</v>
      </c>
      <c r="I6" s="85" t="s">
        <v>19957</v>
      </c>
      <c r="J6" s="85" t="s">
        <v>19974</v>
      </c>
      <c r="K6" s="87" t="s">
        <v>19975</v>
      </c>
      <c r="L6" s="88">
        <v>159500</v>
      </c>
      <c r="M6" s="85" t="s">
        <v>19958</v>
      </c>
      <c r="N6" s="87" t="s">
        <v>19959</v>
      </c>
      <c r="O6" s="87"/>
      <c r="P6" s="88">
        <v>159500</v>
      </c>
      <c r="Q6" s="88">
        <v>159500</v>
      </c>
      <c r="R6" s="85"/>
      <c r="S6" s="85"/>
      <c r="T6" s="87"/>
      <c r="U6" s="87"/>
      <c r="V6" s="85"/>
      <c r="W6" s="85"/>
      <c r="X6" s="87"/>
      <c r="Y6" s="87"/>
      <c r="Z6" s="87"/>
      <c r="AA6" s="85"/>
      <c r="AB6" s="85"/>
      <c r="AC6" s="85"/>
      <c r="AD6" s="85"/>
      <c r="AE6" s="85"/>
      <c r="AF6" s="85"/>
      <c r="AG6" s="85" t="s">
        <v>19924</v>
      </c>
      <c r="AH6" s="87" t="s">
        <v>19925</v>
      </c>
      <c r="AI6" s="85" t="s">
        <v>19926</v>
      </c>
      <c r="AJ6" s="87" t="s">
        <v>19927</v>
      </c>
      <c r="AK6" s="85"/>
      <c r="AL6" s="87"/>
      <c r="AM6" s="85"/>
      <c r="AN6" s="87"/>
      <c r="AO6" s="85"/>
      <c r="AP6" s="87"/>
      <c r="AQ6" s="85"/>
      <c r="AR6" s="85"/>
      <c r="AS6" s="85"/>
      <c r="AT6" s="85"/>
      <c r="AU6" s="85"/>
      <c r="AV6" s="85"/>
      <c r="AW6" s="87"/>
      <c r="AX6" s="87"/>
      <c r="AY6" s="87" t="s">
        <v>19901</v>
      </c>
      <c r="AZ6" s="85"/>
      <c r="BA6" s="85"/>
      <c r="BB6" s="86">
        <v>46042</v>
      </c>
      <c r="BC6"/>
      <c r="BD6"/>
    </row>
    <row r="7" spans="1:56" s="96" customFormat="1" ht="18.75" customHeight="1">
      <c r="A7" s="94" t="s">
        <v>19979</v>
      </c>
      <c r="B7" s="126">
        <v>7700000</v>
      </c>
      <c r="C7" s="92" t="s">
        <v>19976</v>
      </c>
      <c r="D7" s="93">
        <v>46050</v>
      </c>
      <c r="E7" s="93">
        <v>46092</v>
      </c>
      <c r="F7" s="93">
        <v>46091</v>
      </c>
      <c r="G7" s="94" t="s">
        <v>19977</v>
      </c>
      <c r="H7" s="92" t="s">
        <v>19902</v>
      </c>
      <c r="I7" s="92" t="s">
        <v>19957</v>
      </c>
      <c r="J7" s="92" t="s">
        <v>19942</v>
      </c>
      <c r="K7" s="94" t="s">
        <v>19943</v>
      </c>
      <c r="L7" s="95">
        <v>7700000</v>
      </c>
      <c r="M7" s="92" t="s">
        <v>19958</v>
      </c>
      <c r="N7" s="94" t="s">
        <v>19959</v>
      </c>
      <c r="O7" s="94"/>
      <c r="P7" s="95">
        <v>7700000</v>
      </c>
      <c r="Q7" s="95">
        <v>7700000</v>
      </c>
      <c r="R7" s="92" t="s">
        <v>19903</v>
      </c>
      <c r="S7" s="92" t="s">
        <v>19903</v>
      </c>
      <c r="T7" s="94"/>
      <c r="U7" s="94"/>
      <c r="V7" s="92" t="s">
        <v>19905</v>
      </c>
      <c r="W7" s="92" t="s">
        <v>19906</v>
      </c>
      <c r="X7" s="94" t="s">
        <v>19907</v>
      </c>
      <c r="Y7" s="94" t="s">
        <v>19908</v>
      </c>
      <c r="Z7" s="94" t="s">
        <v>19909</v>
      </c>
      <c r="AA7" s="92" t="s">
        <v>19903</v>
      </c>
      <c r="AB7" s="92" t="s">
        <v>19905</v>
      </c>
      <c r="AC7" s="92" t="s">
        <v>19903</v>
      </c>
      <c r="AD7" s="92" t="s">
        <v>19903</v>
      </c>
      <c r="AE7" s="92" t="s">
        <v>19903</v>
      </c>
      <c r="AF7" s="92" t="s">
        <v>19903</v>
      </c>
      <c r="AG7" s="92" t="s">
        <v>19978</v>
      </c>
      <c r="AH7" s="94" t="s">
        <v>19979</v>
      </c>
      <c r="AI7" s="92" t="s">
        <v>19980</v>
      </c>
      <c r="AJ7" s="94" t="s">
        <v>19981</v>
      </c>
      <c r="AK7" s="92" t="s">
        <v>19978</v>
      </c>
      <c r="AL7" s="94" t="s">
        <v>19979</v>
      </c>
      <c r="AM7" s="92" t="s">
        <v>19980</v>
      </c>
      <c r="AN7" s="94" t="s">
        <v>19981</v>
      </c>
      <c r="AO7" s="92" t="s">
        <v>19910</v>
      </c>
      <c r="AP7" s="94" t="s">
        <v>19911</v>
      </c>
      <c r="AQ7" s="92" t="s">
        <v>19903</v>
      </c>
      <c r="AR7" s="92" t="s">
        <v>19903</v>
      </c>
      <c r="AS7" s="92" t="s">
        <v>19903</v>
      </c>
      <c r="AT7" s="92" t="s">
        <v>19903</v>
      </c>
      <c r="AU7" s="92" t="s">
        <v>19903</v>
      </c>
      <c r="AV7" s="92" t="s">
        <v>19903</v>
      </c>
      <c r="AW7" s="94" t="s">
        <v>19909</v>
      </c>
      <c r="AX7" s="94" t="s">
        <v>19909</v>
      </c>
      <c r="AY7" s="94" t="s">
        <v>19901</v>
      </c>
      <c r="AZ7" s="92" t="s">
        <v>19903</v>
      </c>
      <c r="BA7" s="92" t="s">
        <v>19909</v>
      </c>
      <c r="BB7" s="93">
        <v>46090</v>
      </c>
    </row>
    <row r="8" spans="1:56" s="2" customFormat="1" ht="18.75" customHeight="1">
      <c r="A8" s="87" t="s">
        <v>19925</v>
      </c>
      <c r="B8" s="125">
        <v>159500</v>
      </c>
      <c r="C8" s="85" t="s">
        <v>19982</v>
      </c>
      <c r="D8" s="86">
        <v>46077</v>
      </c>
      <c r="E8" s="86">
        <v>46084</v>
      </c>
      <c r="F8" s="86">
        <v>46080</v>
      </c>
      <c r="G8" s="87" t="s">
        <v>19983</v>
      </c>
      <c r="H8" s="85" t="s">
        <v>19902</v>
      </c>
      <c r="I8" s="85" t="s">
        <v>19957</v>
      </c>
      <c r="J8" s="85" t="s">
        <v>19974</v>
      </c>
      <c r="K8" s="87" t="s">
        <v>19975</v>
      </c>
      <c r="L8" s="88">
        <v>159500</v>
      </c>
      <c r="M8" s="85" t="s">
        <v>19958</v>
      </c>
      <c r="N8" s="87" t="s">
        <v>19959</v>
      </c>
      <c r="O8" s="87"/>
      <c r="P8" s="88">
        <v>159500</v>
      </c>
      <c r="Q8" s="88">
        <v>159500</v>
      </c>
      <c r="R8" s="85" t="s">
        <v>19903</v>
      </c>
      <c r="S8" s="85" t="s">
        <v>19903</v>
      </c>
      <c r="T8" s="87"/>
      <c r="U8" s="87"/>
      <c r="V8" s="85" t="s">
        <v>19905</v>
      </c>
      <c r="W8" s="85" t="s">
        <v>19906</v>
      </c>
      <c r="X8" s="87" t="s">
        <v>19907</v>
      </c>
      <c r="Y8" s="87" t="s">
        <v>19908</v>
      </c>
      <c r="Z8" s="87" t="s">
        <v>19909</v>
      </c>
      <c r="AA8" s="85" t="s">
        <v>19903</v>
      </c>
      <c r="AB8" s="85" t="s">
        <v>19905</v>
      </c>
      <c r="AC8" s="85" t="s">
        <v>19904</v>
      </c>
      <c r="AD8" s="85" t="s">
        <v>19903</v>
      </c>
      <c r="AE8" s="85" t="s">
        <v>19903</v>
      </c>
      <c r="AF8" s="85" t="s">
        <v>19903</v>
      </c>
      <c r="AG8" s="85" t="s">
        <v>19924</v>
      </c>
      <c r="AH8" s="87" t="s">
        <v>19925</v>
      </c>
      <c r="AI8" s="85" t="s">
        <v>19926</v>
      </c>
      <c r="AJ8" s="87" t="s">
        <v>19927</v>
      </c>
      <c r="AK8" s="85" t="s">
        <v>19924</v>
      </c>
      <c r="AL8" s="87" t="s">
        <v>19925</v>
      </c>
      <c r="AM8" s="85" t="s">
        <v>19926</v>
      </c>
      <c r="AN8" s="87" t="s">
        <v>19927</v>
      </c>
      <c r="AO8" s="85" t="s">
        <v>19910</v>
      </c>
      <c r="AP8" s="87" t="s">
        <v>19911</v>
      </c>
      <c r="AQ8" s="85" t="s">
        <v>19903</v>
      </c>
      <c r="AR8" s="85" t="s">
        <v>19903</v>
      </c>
      <c r="AS8" s="85" t="s">
        <v>19903</v>
      </c>
      <c r="AT8" s="85" t="s">
        <v>19903</v>
      </c>
      <c r="AU8" s="85" t="s">
        <v>19903</v>
      </c>
      <c r="AV8" s="85" t="s">
        <v>19903</v>
      </c>
      <c r="AW8" s="87" t="s">
        <v>19909</v>
      </c>
      <c r="AX8" s="87" t="s">
        <v>19909</v>
      </c>
      <c r="AY8" s="87" t="s">
        <v>19901</v>
      </c>
      <c r="AZ8" s="85" t="s">
        <v>19903</v>
      </c>
      <c r="BA8" s="85" t="s">
        <v>19909</v>
      </c>
      <c r="BB8" s="86">
        <v>46078</v>
      </c>
      <c r="BC8"/>
      <c r="BD8"/>
    </row>
    <row r="9" spans="1:56" s="96" customFormat="1" ht="18.75" customHeight="1">
      <c r="A9" s="94" t="s">
        <v>19979</v>
      </c>
      <c r="B9" s="126">
        <v>21000000</v>
      </c>
      <c r="C9" s="92" t="s">
        <v>19986</v>
      </c>
      <c r="D9" s="93">
        <v>46084</v>
      </c>
      <c r="E9" s="93">
        <v>46098</v>
      </c>
      <c r="F9" s="93">
        <v>46094</v>
      </c>
      <c r="G9" s="94" t="s">
        <v>19987</v>
      </c>
      <c r="H9" s="92" t="s">
        <v>19902</v>
      </c>
      <c r="I9" s="92" t="s">
        <v>19957</v>
      </c>
      <c r="J9" s="92" t="s">
        <v>19942</v>
      </c>
      <c r="K9" s="94" t="s">
        <v>19943</v>
      </c>
      <c r="L9" s="95">
        <v>21000000</v>
      </c>
      <c r="M9" s="92" t="s">
        <v>19958</v>
      </c>
      <c r="N9" s="94" t="s">
        <v>19959</v>
      </c>
      <c r="O9" s="94"/>
      <c r="P9" s="95">
        <v>21000000</v>
      </c>
      <c r="Q9" s="95">
        <v>21000000</v>
      </c>
      <c r="R9" s="92" t="s">
        <v>19903</v>
      </c>
      <c r="S9" s="92" t="s">
        <v>19903</v>
      </c>
      <c r="T9" s="94"/>
      <c r="U9" s="94"/>
      <c r="V9" s="92" t="s">
        <v>19905</v>
      </c>
      <c r="W9" s="92" t="s">
        <v>19906</v>
      </c>
      <c r="X9" s="94" t="s">
        <v>19907</v>
      </c>
      <c r="Y9" s="94" t="s">
        <v>19908</v>
      </c>
      <c r="Z9" s="94" t="s">
        <v>19909</v>
      </c>
      <c r="AA9" s="92" t="s">
        <v>19903</v>
      </c>
      <c r="AB9" s="92" t="s">
        <v>19905</v>
      </c>
      <c r="AC9" s="92" t="s">
        <v>19903</v>
      </c>
      <c r="AD9" s="92" t="s">
        <v>19903</v>
      </c>
      <c r="AE9" s="92" t="s">
        <v>19903</v>
      </c>
      <c r="AF9" s="92" t="s">
        <v>19903</v>
      </c>
      <c r="AG9" s="92" t="s">
        <v>19978</v>
      </c>
      <c r="AH9" s="94" t="s">
        <v>19979</v>
      </c>
      <c r="AI9" s="92" t="s">
        <v>19980</v>
      </c>
      <c r="AJ9" s="94" t="s">
        <v>19981</v>
      </c>
      <c r="AK9" s="92" t="s">
        <v>19978</v>
      </c>
      <c r="AL9" s="94" t="s">
        <v>19979</v>
      </c>
      <c r="AM9" s="92" t="s">
        <v>19980</v>
      </c>
      <c r="AN9" s="94" t="s">
        <v>19981</v>
      </c>
      <c r="AO9" s="92" t="s">
        <v>19910</v>
      </c>
      <c r="AP9" s="94" t="s">
        <v>19911</v>
      </c>
      <c r="AQ9" s="92" t="s">
        <v>19903</v>
      </c>
      <c r="AR9" s="92" t="s">
        <v>19903</v>
      </c>
      <c r="AS9" s="92" t="s">
        <v>19903</v>
      </c>
      <c r="AT9" s="92" t="s">
        <v>19903</v>
      </c>
      <c r="AU9" s="92" t="s">
        <v>19903</v>
      </c>
      <c r="AV9" s="92" t="s">
        <v>19903</v>
      </c>
      <c r="AW9" s="94" t="s">
        <v>19909</v>
      </c>
      <c r="AX9" s="94" t="s">
        <v>19909</v>
      </c>
      <c r="AY9" s="94" t="s">
        <v>19901</v>
      </c>
      <c r="AZ9" s="92" t="s">
        <v>19903</v>
      </c>
      <c r="BA9" s="92" t="s">
        <v>19909</v>
      </c>
      <c r="BB9" s="93">
        <v>46093</v>
      </c>
    </row>
    <row r="10" spans="1:56" s="2" customFormat="1" ht="18.75" customHeight="1">
      <c r="A10" s="87" t="s">
        <v>19947</v>
      </c>
      <c r="B10" s="125">
        <v>990000</v>
      </c>
      <c r="C10" s="85" t="s">
        <v>19988</v>
      </c>
      <c r="D10" s="86">
        <v>46093</v>
      </c>
      <c r="E10" s="86">
        <v>46105</v>
      </c>
      <c r="F10" s="86">
        <v>46105</v>
      </c>
      <c r="G10" s="87" t="s">
        <v>19989</v>
      </c>
      <c r="H10" s="85" t="s">
        <v>19902</v>
      </c>
      <c r="I10" s="85" t="s">
        <v>19957</v>
      </c>
      <c r="J10" s="85" t="s">
        <v>19974</v>
      </c>
      <c r="K10" s="87" t="s">
        <v>19975</v>
      </c>
      <c r="L10" s="88">
        <v>990000</v>
      </c>
      <c r="M10" s="85" t="s">
        <v>19958</v>
      </c>
      <c r="N10" s="87" t="s">
        <v>19959</v>
      </c>
      <c r="O10" s="87"/>
      <c r="P10" s="88">
        <v>990000</v>
      </c>
      <c r="Q10" s="88">
        <v>990000</v>
      </c>
      <c r="R10" s="85" t="s">
        <v>19903</v>
      </c>
      <c r="S10" s="85" t="s">
        <v>19903</v>
      </c>
      <c r="T10" s="87"/>
      <c r="U10" s="87"/>
      <c r="V10" s="85" t="s">
        <v>19905</v>
      </c>
      <c r="W10" s="85" t="s">
        <v>19906</v>
      </c>
      <c r="X10" s="87" t="s">
        <v>19907</v>
      </c>
      <c r="Y10" s="87" t="s">
        <v>19908</v>
      </c>
      <c r="Z10" s="87" t="s">
        <v>19909</v>
      </c>
      <c r="AA10" s="85" t="s">
        <v>19903</v>
      </c>
      <c r="AB10" s="85" t="s">
        <v>19905</v>
      </c>
      <c r="AC10" s="85" t="s">
        <v>19903</v>
      </c>
      <c r="AD10" s="85" t="s">
        <v>19903</v>
      </c>
      <c r="AE10" s="85" t="s">
        <v>19903</v>
      </c>
      <c r="AF10" s="85" t="s">
        <v>19903</v>
      </c>
      <c r="AG10" s="85" t="s">
        <v>19946</v>
      </c>
      <c r="AH10" s="87" t="s">
        <v>19947</v>
      </c>
      <c r="AI10" s="85" t="s">
        <v>19948</v>
      </c>
      <c r="AJ10" s="87" t="s">
        <v>19949</v>
      </c>
      <c r="AK10" s="85" t="s">
        <v>19946</v>
      </c>
      <c r="AL10" s="87" t="s">
        <v>19947</v>
      </c>
      <c r="AM10" s="85" t="s">
        <v>19948</v>
      </c>
      <c r="AN10" s="87" t="s">
        <v>19949</v>
      </c>
      <c r="AO10" s="85" t="s">
        <v>19910</v>
      </c>
      <c r="AP10" s="87" t="s">
        <v>19911</v>
      </c>
      <c r="AQ10" s="85" t="s">
        <v>19903</v>
      </c>
      <c r="AR10" s="85" t="s">
        <v>19903</v>
      </c>
      <c r="AS10" s="85" t="s">
        <v>19903</v>
      </c>
      <c r="AT10" s="85" t="s">
        <v>19903</v>
      </c>
      <c r="AU10" s="85" t="s">
        <v>19903</v>
      </c>
      <c r="AV10" s="85" t="s">
        <v>19903</v>
      </c>
      <c r="AW10" s="87" t="s">
        <v>19909</v>
      </c>
      <c r="AX10" s="87" t="s">
        <v>19909</v>
      </c>
      <c r="AY10" s="87" t="s">
        <v>19901</v>
      </c>
      <c r="AZ10" s="85" t="s">
        <v>19903</v>
      </c>
      <c r="BA10" s="85" t="s">
        <v>19909</v>
      </c>
      <c r="BB10" s="86">
        <v>46101</v>
      </c>
      <c r="BC10"/>
      <c r="BD10"/>
    </row>
    <row r="11" spans="1:56" s="2" customFormat="1" ht="18.75" customHeight="1">
      <c r="A11" s="87" t="s">
        <v>19947</v>
      </c>
      <c r="B11" s="125">
        <v>990000</v>
      </c>
      <c r="C11" s="85" t="s">
        <v>19990</v>
      </c>
      <c r="D11" s="86">
        <v>46093</v>
      </c>
      <c r="E11" s="86">
        <v>46105</v>
      </c>
      <c r="F11" s="86">
        <v>46105</v>
      </c>
      <c r="G11" s="87" t="s">
        <v>19991</v>
      </c>
      <c r="H11" s="85" t="s">
        <v>19902</v>
      </c>
      <c r="I11" s="85" t="s">
        <v>19957</v>
      </c>
      <c r="J11" s="85" t="s">
        <v>19942</v>
      </c>
      <c r="K11" s="87" t="s">
        <v>19943</v>
      </c>
      <c r="L11" s="88">
        <v>990000</v>
      </c>
      <c r="M11" s="85" t="s">
        <v>19958</v>
      </c>
      <c r="N11" s="87" t="s">
        <v>19959</v>
      </c>
      <c r="O11" s="87"/>
      <c r="P11" s="88">
        <v>990000</v>
      </c>
      <c r="Q11" s="88">
        <v>990000</v>
      </c>
      <c r="R11" s="85" t="s">
        <v>19903</v>
      </c>
      <c r="S11" s="85" t="s">
        <v>19903</v>
      </c>
      <c r="T11" s="87"/>
      <c r="U11" s="87"/>
      <c r="V11" s="85" t="s">
        <v>19905</v>
      </c>
      <c r="W11" s="85" t="s">
        <v>19906</v>
      </c>
      <c r="X11" s="87" t="s">
        <v>19907</v>
      </c>
      <c r="Y11" s="87" t="s">
        <v>19908</v>
      </c>
      <c r="Z11" s="87" t="s">
        <v>19909</v>
      </c>
      <c r="AA11" s="85" t="s">
        <v>19903</v>
      </c>
      <c r="AB11" s="85" t="s">
        <v>19905</v>
      </c>
      <c r="AC11" s="85" t="s">
        <v>19903</v>
      </c>
      <c r="AD11" s="85" t="s">
        <v>19903</v>
      </c>
      <c r="AE11" s="85" t="s">
        <v>19903</v>
      </c>
      <c r="AF11" s="85" t="s">
        <v>19903</v>
      </c>
      <c r="AG11" s="85" t="s">
        <v>19946</v>
      </c>
      <c r="AH11" s="87" t="s">
        <v>19947</v>
      </c>
      <c r="AI11" s="85" t="s">
        <v>19948</v>
      </c>
      <c r="AJ11" s="87" t="s">
        <v>19949</v>
      </c>
      <c r="AK11" s="85" t="s">
        <v>19946</v>
      </c>
      <c r="AL11" s="87" t="s">
        <v>19947</v>
      </c>
      <c r="AM11" s="85" t="s">
        <v>19948</v>
      </c>
      <c r="AN11" s="87" t="s">
        <v>19949</v>
      </c>
      <c r="AO11" s="85" t="s">
        <v>19910</v>
      </c>
      <c r="AP11" s="87" t="s">
        <v>19911</v>
      </c>
      <c r="AQ11" s="85" t="s">
        <v>19903</v>
      </c>
      <c r="AR11" s="85" t="s">
        <v>19903</v>
      </c>
      <c r="AS11" s="85" t="s">
        <v>19903</v>
      </c>
      <c r="AT11" s="85" t="s">
        <v>19903</v>
      </c>
      <c r="AU11" s="85" t="s">
        <v>19903</v>
      </c>
      <c r="AV11" s="85" t="s">
        <v>19903</v>
      </c>
      <c r="AW11" s="87" t="s">
        <v>19909</v>
      </c>
      <c r="AX11" s="87" t="s">
        <v>19909</v>
      </c>
      <c r="AY11" s="87" t="s">
        <v>19901</v>
      </c>
      <c r="AZ11" s="85" t="s">
        <v>19903</v>
      </c>
      <c r="BA11" s="85" t="s">
        <v>19909</v>
      </c>
      <c r="BB11" s="86">
        <v>46101</v>
      </c>
      <c r="BC11"/>
      <c r="BD11"/>
    </row>
    <row r="12" spans="1:56" s="2" customFormat="1" ht="18.75" customHeight="1">
      <c r="A12" s="87" t="s">
        <v>19929</v>
      </c>
      <c r="B12" s="125">
        <v>770000</v>
      </c>
      <c r="C12" s="85" t="s">
        <v>19992</v>
      </c>
      <c r="D12" s="86">
        <v>46094</v>
      </c>
      <c r="E12" s="86">
        <v>46111</v>
      </c>
      <c r="F12" s="86">
        <v>46111</v>
      </c>
      <c r="G12" s="87" t="s">
        <v>19993</v>
      </c>
      <c r="H12" s="85" t="s">
        <v>19902</v>
      </c>
      <c r="I12" s="85" t="s">
        <v>19957</v>
      </c>
      <c r="J12" s="85" t="s">
        <v>19942</v>
      </c>
      <c r="K12" s="87" t="s">
        <v>19943</v>
      </c>
      <c r="L12" s="88">
        <v>770000</v>
      </c>
      <c r="M12" s="85" t="s">
        <v>19958</v>
      </c>
      <c r="N12" s="87" t="s">
        <v>19959</v>
      </c>
      <c r="O12" s="87"/>
      <c r="P12" s="88">
        <v>770000</v>
      </c>
      <c r="Q12" s="88">
        <v>770000</v>
      </c>
      <c r="R12" s="85" t="s">
        <v>19903</v>
      </c>
      <c r="S12" s="85" t="s">
        <v>19903</v>
      </c>
      <c r="T12" s="87"/>
      <c r="U12" s="87"/>
      <c r="V12" s="85" t="s">
        <v>19905</v>
      </c>
      <c r="W12" s="85" t="s">
        <v>19906</v>
      </c>
      <c r="X12" s="87" t="s">
        <v>19907</v>
      </c>
      <c r="Y12" s="87" t="s">
        <v>19908</v>
      </c>
      <c r="Z12" s="87" t="s">
        <v>19909</v>
      </c>
      <c r="AA12" s="85" t="s">
        <v>19903</v>
      </c>
      <c r="AB12" s="85" t="s">
        <v>19905</v>
      </c>
      <c r="AC12" s="85" t="s">
        <v>19903</v>
      </c>
      <c r="AD12" s="85" t="s">
        <v>19903</v>
      </c>
      <c r="AE12" s="85" t="s">
        <v>19903</v>
      </c>
      <c r="AF12" s="85" t="s">
        <v>19903</v>
      </c>
      <c r="AG12" s="85" t="s">
        <v>19928</v>
      </c>
      <c r="AH12" s="87" t="s">
        <v>19929</v>
      </c>
      <c r="AI12" s="85" t="s">
        <v>19930</v>
      </c>
      <c r="AJ12" s="87" t="s">
        <v>19931</v>
      </c>
      <c r="AK12" s="85" t="s">
        <v>19928</v>
      </c>
      <c r="AL12" s="87" t="s">
        <v>19929</v>
      </c>
      <c r="AM12" s="85" t="s">
        <v>19930</v>
      </c>
      <c r="AN12" s="87" t="s">
        <v>19931</v>
      </c>
      <c r="AO12" s="85" t="s">
        <v>19910</v>
      </c>
      <c r="AP12" s="87" t="s">
        <v>19911</v>
      </c>
      <c r="AQ12" s="85" t="s">
        <v>19903</v>
      </c>
      <c r="AR12" s="85" t="s">
        <v>19903</v>
      </c>
      <c r="AS12" s="85" t="s">
        <v>19903</v>
      </c>
      <c r="AT12" s="85" t="s">
        <v>19903</v>
      </c>
      <c r="AU12" s="85" t="s">
        <v>19903</v>
      </c>
      <c r="AV12" s="85" t="s">
        <v>19903</v>
      </c>
      <c r="AW12" s="87" t="s">
        <v>19909</v>
      </c>
      <c r="AX12" s="87" t="s">
        <v>19909</v>
      </c>
      <c r="AY12" s="87" t="s">
        <v>19901</v>
      </c>
      <c r="AZ12" s="85" t="s">
        <v>19903</v>
      </c>
      <c r="BA12" s="85" t="s">
        <v>19909</v>
      </c>
      <c r="BB12" s="86">
        <v>46105</v>
      </c>
      <c r="BC12"/>
      <c r="BD12"/>
    </row>
    <row r="13" spans="1:56" s="83" customFormat="1" ht="18.75" customHeight="1">
      <c r="A13" s="87" t="s">
        <v>19997</v>
      </c>
      <c r="B13" s="125">
        <v>500000</v>
      </c>
      <c r="C13" s="85" t="s">
        <v>19994</v>
      </c>
      <c r="D13" s="86">
        <v>46097</v>
      </c>
      <c r="E13" s="86">
        <v>46134</v>
      </c>
      <c r="F13" s="86">
        <v>46118</v>
      </c>
      <c r="G13" s="87" t="s">
        <v>19995</v>
      </c>
      <c r="H13" s="85" t="s">
        <v>19912</v>
      </c>
      <c r="I13" s="85" t="s">
        <v>19957</v>
      </c>
      <c r="J13" s="85" t="s">
        <v>19921</v>
      </c>
      <c r="K13" s="87" t="s">
        <v>19922</v>
      </c>
      <c r="L13" s="88">
        <v>500000</v>
      </c>
      <c r="M13" s="85" t="s">
        <v>19958</v>
      </c>
      <c r="N13" s="87" t="s">
        <v>19959</v>
      </c>
      <c r="O13" s="87"/>
      <c r="P13" s="88">
        <v>500000</v>
      </c>
      <c r="Q13" s="88">
        <v>500000</v>
      </c>
      <c r="R13" s="85" t="s">
        <v>19903</v>
      </c>
      <c r="S13" s="85" t="s">
        <v>19905</v>
      </c>
      <c r="T13" s="87"/>
      <c r="U13" s="87"/>
      <c r="V13" s="85" t="s">
        <v>19905</v>
      </c>
      <c r="W13" s="85" t="s">
        <v>19905</v>
      </c>
      <c r="X13" s="87"/>
      <c r="Y13" s="87"/>
      <c r="Z13" s="87"/>
      <c r="AA13" s="85" t="s">
        <v>19905</v>
      </c>
      <c r="AB13" s="85" t="s">
        <v>19905</v>
      </c>
      <c r="AC13" s="85" t="s">
        <v>19905</v>
      </c>
      <c r="AD13" s="85" t="s">
        <v>19905</v>
      </c>
      <c r="AE13" s="85" t="s">
        <v>19905</v>
      </c>
      <c r="AF13" s="85" t="s">
        <v>19905</v>
      </c>
      <c r="AG13" s="85" t="s">
        <v>19996</v>
      </c>
      <c r="AH13" s="87" t="s">
        <v>19997</v>
      </c>
      <c r="AI13" s="85" t="s">
        <v>19984</v>
      </c>
      <c r="AJ13" s="87" t="s">
        <v>19985</v>
      </c>
      <c r="AK13" s="85" t="s">
        <v>19905</v>
      </c>
      <c r="AL13" s="87" t="s">
        <v>19905</v>
      </c>
      <c r="AM13" s="85" t="s">
        <v>19905</v>
      </c>
      <c r="AN13" s="87" t="s">
        <v>19923</v>
      </c>
      <c r="AO13" s="85" t="s">
        <v>19905</v>
      </c>
      <c r="AP13" s="87"/>
      <c r="AQ13" s="85" t="s">
        <v>19905</v>
      </c>
      <c r="AR13" s="85" t="s">
        <v>19905</v>
      </c>
      <c r="AS13" s="85" t="s">
        <v>19905</v>
      </c>
      <c r="AT13" s="85" t="s">
        <v>19905</v>
      </c>
      <c r="AU13" s="85" t="s">
        <v>19905</v>
      </c>
      <c r="AV13" s="85" t="s">
        <v>19905</v>
      </c>
      <c r="AW13" s="87"/>
      <c r="AX13" s="87"/>
      <c r="AY13" s="87" t="s">
        <v>19900</v>
      </c>
      <c r="AZ13" s="85" t="s">
        <v>19905</v>
      </c>
      <c r="BA13" s="85"/>
      <c r="BB13" s="86">
        <v>46118</v>
      </c>
      <c r="BC13"/>
      <c r="BD13"/>
    </row>
    <row r="14" spans="1:56" s="2" customFormat="1" ht="18.75" customHeight="1">
      <c r="A14" s="87" t="s">
        <v>19925</v>
      </c>
      <c r="B14" s="125">
        <v>159500</v>
      </c>
      <c r="C14" s="85" t="s">
        <v>19998</v>
      </c>
      <c r="D14" s="86">
        <v>46100</v>
      </c>
      <c r="E14" s="86">
        <v>46106</v>
      </c>
      <c r="F14" s="86">
        <v>46105</v>
      </c>
      <c r="G14" s="87" t="s">
        <v>19999</v>
      </c>
      <c r="H14" s="85" t="s">
        <v>19902</v>
      </c>
      <c r="I14" s="85" t="s">
        <v>19957</v>
      </c>
      <c r="J14" s="85" t="s">
        <v>19942</v>
      </c>
      <c r="K14" s="87" t="s">
        <v>19943</v>
      </c>
      <c r="L14" s="88">
        <v>159500</v>
      </c>
      <c r="M14" s="85" t="s">
        <v>19958</v>
      </c>
      <c r="N14" s="87" t="s">
        <v>19959</v>
      </c>
      <c r="O14" s="87"/>
      <c r="P14" s="88">
        <v>159500</v>
      </c>
      <c r="Q14" s="88">
        <v>159500</v>
      </c>
      <c r="R14" s="85" t="s">
        <v>19903</v>
      </c>
      <c r="S14" s="85" t="s">
        <v>19903</v>
      </c>
      <c r="T14" s="87"/>
      <c r="U14" s="87"/>
      <c r="V14" s="85" t="s">
        <v>19905</v>
      </c>
      <c r="W14" s="85" t="s">
        <v>19906</v>
      </c>
      <c r="X14" s="87" t="s">
        <v>19907</v>
      </c>
      <c r="Y14" s="87" t="s">
        <v>19908</v>
      </c>
      <c r="Z14" s="87" t="s">
        <v>19909</v>
      </c>
      <c r="AA14" s="85" t="s">
        <v>19903</v>
      </c>
      <c r="AB14" s="85" t="s">
        <v>19905</v>
      </c>
      <c r="AC14" s="85" t="s">
        <v>19904</v>
      </c>
      <c r="AD14" s="85" t="s">
        <v>19903</v>
      </c>
      <c r="AE14" s="85" t="s">
        <v>19903</v>
      </c>
      <c r="AF14" s="85" t="s">
        <v>19903</v>
      </c>
      <c r="AG14" s="85" t="s">
        <v>19924</v>
      </c>
      <c r="AH14" s="87" t="s">
        <v>19925</v>
      </c>
      <c r="AI14" s="85" t="s">
        <v>19926</v>
      </c>
      <c r="AJ14" s="87" t="s">
        <v>19927</v>
      </c>
      <c r="AK14" s="85" t="s">
        <v>19924</v>
      </c>
      <c r="AL14" s="87" t="s">
        <v>19925</v>
      </c>
      <c r="AM14" s="85" t="s">
        <v>19926</v>
      </c>
      <c r="AN14" s="87" t="s">
        <v>19927</v>
      </c>
      <c r="AO14" s="85" t="s">
        <v>19910</v>
      </c>
      <c r="AP14" s="87" t="s">
        <v>19911</v>
      </c>
      <c r="AQ14" s="85" t="s">
        <v>19903</v>
      </c>
      <c r="AR14" s="85" t="s">
        <v>19903</v>
      </c>
      <c r="AS14" s="85" t="s">
        <v>19903</v>
      </c>
      <c r="AT14" s="85" t="s">
        <v>19903</v>
      </c>
      <c r="AU14" s="85" t="s">
        <v>19903</v>
      </c>
      <c r="AV14" s="85" t="s">
        <v>19903</v>
      </c>
      <c r="AW14" s="87" t="s">
        <v>19909</v>
      </c>
      <c r="AX14" s="87" t="s">
        <v>19909</v>
      </c>
      <c r="AY14" s="87" t="s">
        <v>19901</v>
      </c>
      <c r="AZ14" s="85" t="s">
        <v>19903</v>
      </c>
      <c r="BA14" s="85" t="s">
        <v>19909</v>
      </c>
      <c r="BB14" s="86">
        <v>46104</v>
      </c>
      <c r="BC14"/>
      <c r="BD14"/>
    </row>
    <row r="15" spans="1:56" s="2" customFormat="1" ht="18.75" customHeight="1">
      <c r="A15" s="87" t="s">
        <v>20004</v>
      </c>
      <c r="B15" s="127">
        <v>3291400</v>
      </c>
      <c r="C15" s="85" t="s">
        <v>20000</v>
      </c>
      <c r="D15" s="86">
        <v>46119</v>
      </c>
      <c r="E15" s="86">
        <v>46133</v>
      </c>
      <c r="F15" s="86">
        <v>46133</v>
      </c>
      <c r="G15" s="87" t="s">
        <v>20001</v>
      </c>
      <c r="H15" s="85" t="s">
        <v>19944</v>
      </c>
      <c r="I15" s="85" t="s">
        <v>19957</v>
      </c>
      <c r="J15" s="85" t="s">
        <v>19942</v>
      </c>
      <c r="K15" s="87" t="s">
        <v>19943</v>
      </c>
      <c r="L15" s="88">
        <v>3291400</v>
      </c>
      <c r="M15" s="85" t="s">
        <v>19958</v>
      </c>
      <c r="N15" s="87" t="s">
        <v>19959</v>
      </c>
      <c r="O15" s="87"/>
      <c r="P15" s="88">
        <v>3291400</v>
      </c>
      <c r="Q15" s="88">
        <v>3291400</v>
      </c>
      <c r="R15" s="85" t="s">
        <v>19903</v>
      </c>
      <c r="S15" s="85" t="s">
        <v>19903</v>
      </c>
      <c r="T15" s="87"/>
      <c r="U15" s="87"/>
      <c r="V15" s="85" t="s">
        <v>19905</v>
      </c>
      <c r="W15" s="85" t="s">
        <v>19906</v>
      </c>
      <c r="X15" s="87" t="s">
        <v>19907</v>
      </c>
      <c r="Y15" s="90" t="s">
        <v>20002</v>
      </c>
      <c r="Z15" s="87" t="s">
        <v>19909</v>
      </c>
      <c r="AA15" s="85" t="s">
        <v>19903</v>
      </c>
      <c r="AB15" s="85" t="s">
        <v>19905</v>
      </c>
      <c r="AC15" s="85" t="s">
        <v>19903</v>
      </c>
      <c r="AD15" s="85" t="s">
        <v>19903</v>
      </c>
      <c r="AE15" s="85" t="s">
        <v>19903</v>
      </c>
      <c r="AF15" s="85" t="s">
        <v>19904</v>
      </c>
      <c r="AG15" s="85" t="s">
        <v>20003</v>
      </c>
      <c r="AH15" s="87" t="s">
        <v>20004</v>
      </c>
      <c r="AI15" s="85"/>
      <c r="AJ15" s="87" t="s">
        <v>19941</v>
      </c>
      <c r="AK15" s="85" t="s">
        <v>20003</v>
      </c>
      <c r="AL15" s="87" t="s">
        <v>20004</v>
      </c>
      <c r="AM15" s="85" t="s">
        <v>20005</v>
      </c>
      <c r="AN15" s="87" t="s">
        <v>20006</v>
      </c>
      <c r="AO15" s="85" t="s">
        <v>19910</v>
      </c>
      <c r="AP15" s="87" t="s">
        <v>19911</v>
      </c>
      <c r="AQ15" s="85" t="s">
        <v>19903</v>
      </c>
      <c r="AR15" s="85" t="s">
        <v>19903</v>
      </c>
      <c r="AS15" s="85" t="s">
        <v>19903</v>
      </c>
      <c r="AT15" s="85" t="s">
        <v>19903</v>
      </c>
      <c r="AU15" s="85" t="s">
        <v>19903</v>
      </c>
      <c r="AV15" s="85" t="s">
        <v>19903</v>
      </c>
      <c r="AW15" s="87" t="s">
        <v>19909</v>
      </c>
      <c r="AX15" s="87" t="s">
        <v>19909</v>
      </c>
      <c r="AY15" s="87" t="s">
        <v>19901</v>
      </c>
      <c r="AZ15" s="89" t="s">
        <v>19904</v>
      </c>
      <c r="BA15" s="85" t="s">
        <v>20007</v>
      </c>
      <c r="BB15" s="86">
        <v>46129</v>
      </c>
      <c r="BC15"/>
      <c r="BD15"/>
    </row>
    <row r="16" spans="1:56" s="98" customFormat="1" ht="18.75" customHeight="1">
      <c r="A16" s="94" t="s">
        <v>5176</v>
      </c>
      <c r="B16" s="126">
        <v>103145000</v>
      </c>
      <c r="C16" s="92" t="s">
        <v>20008</v>
      </c>
      <c r="D16" s="93">
        <v>46125</v>
      </c>
      <c r="E16" s="93">
        <v>46142</v>
      </c>
      <c r="F16" s="93">
        <v>46141</v>
      </c>
      <c r="G16" s="94" t="s">
        <v>20009</v>
      </c>
      <c r="H16" s="92" t="s">
        <v>19902</v>
      </c>
      <c r="I16" s="92" t="s">
        <v>19957</v>
      </c>
      <c r="J16" s="92" t="s">
        <v>20010</v>
      </c>
      <c r="K16" s="94" t="s">
        <v>20011</v>
      </c>
      <c r="L16" s="95">
        <v>103145000</v>
      </c>
      <c r="M16" s="92" t="s">
        <v>19958</v>
      </c>
      <c r="N16" s="94" t="s">
        <v>19959</v>
      </c>
      <c r="O16" s="94"/>
      <c r="P16" s="95">
        <v>103145000</v>
      </c>
      <c r="Q16" s="95">
        <v>103145000</v>
      </c>
      <c r="R16" s="92" t="s">
        <v>19903</v>
      </c>
      <c r="S16" s="92" t="s">
        <v>19903</v>
      </c>
      <c r="T16" s="94"/>
      <c r="U16" s="94"/>
      <c r="V16" s="92" t="s">
        <v>19905</v>
      </c>
      <c r="W16" s="92" t="s">
        <v>19906</v>
      </c>
      <c r="X16" s="94" t="s">
        <v>19907</v>
      </c>
      <c r="Y16" s="94" t="s">
        <v>19908</v>
      </c>
      <c r="Z16" s="94" t="s">
        <v>19909</v>
      </c>
      <c r="AA16" s="92" t="s">
        <v>19903</v>
      </c>
      <c r="AB16" s="92" t="s">
        <v>19905</v>
      </c>
      <c r="AC16" s="92" t="s">
        <v>19904</v>
      </c>
      <c r="AD16" s="92" t="s">
        <v>19903</v>
      </c>
      <c r="AE16" s="92" t="s">
        <v>19903</v>
      </c>
      <c r="AF16" s="92" t="s">
        <v>19903</v>
      </c>
      <c r="AG16" s="92" t="s">
        <v>19935</v>
      </c>
      <c r="AH16" s="94" t="s">
        <v>5176</v>
      </c>
      <c r="AI16" s="92" t="s">
        <v>19936</v>
      </c>
      <c r="AJ16" s="94" t="s">
        <v>19937</v>
      </c>
      <c r="AK16" s="92" t="s">
        <v>19935</v>
      </c>
      <c r="AL16" s="94" t="s">
        <v>19905</v>
      </c>
      <c r="AM16" s="92" t="s">
        <v>19936</v>
      </c>
      <c r="AN16" s="94" t="s">
        <v>19937</v>
      </c>
      <c r="AO16" s="92" t="s">
        <v>19919</v>
      </c>
      <c r="AP16" s="94" t="s">
        <v>19920</v>
      </c>
      <c r="AQ16" s="92" t="s">
        <v>19903</v>
      </c>
      <c r="AR16" s="92" t="s">
        <v>19903</v>
      </c>
      <c r="AS16" s="92" t="s">
        <v>19903</v>
      </c>
      <c r="AT16" s="92" t="s">
        <v>19903</v>
      </c>
      <c r="AU16" s="92" t="s">
        <v>19903</v>
      </c>
      <c r="AV16" s="92" t="s">
        <v>19903</v>
      </c>
      <c r="AW16" s="94" t="s">
        <v>19909</v>
      </c>
      <c r="AX16" s="94" t="s">
        <v>19909</v>
      </c>
      <c r="AY16" s="94" t="s">
        <v>19901</v>
      </c>
      <c r="AZ16" s="92" t="s">
        <v>19903</v>
      </c>
      <c r="BA16" s="92" t="s">
        <v>19909</v>
      </c>
      <c r="BB16" s="93">
        <v>46140</v>
      </c>
      <c r="BC16" s="96"/>
      <c r="BD16" s="96"/>
    </row>
    <row r="17" spans="1:56" s="96" customFormat="1" ht="18.75" customHeight="1">
      <c r="A17" s="94" t="s">
        <v>5176</v>
      </c>
      <c r="B17" s="126">
        <v>34600000</v>
      </c>
      <c r="C17" s="92" t="s">
        <v>20012</v>
      </c>
      <c r="D17" s="93">
        <v>46127</v>
      </c>
      <c r="E17" s="93">
        <v>46134</v>
      </c>
      <c r="F17" s="93">
        <v>46133</v>
      </c>
      <c r="G17" s="94" t="s">
        <v>20013</v>
      </c>
      <c r="H17" s="92" t="s">
        <v>19902</v>
      </c>
      <c r="I17" s="92" t="s">
        <v>19957</v>
      </c>
      <c r="J17" s="92" t="s">
        <v>20014</v>
      </c>
      <c r="K17" s="94" t="s">
        <v>20015</v>
      </c>
      <c r="L17" s="95">
        <v>34600000</v>
      </c>
      <c r="M17" s="92" t="s">
        <v>19958</v>
      </c>
      <c r="N17" s="94" t="s">
        <v>19959</v>
      </c>
      <c r="O17" s="94"/>
      <c r="P17" s="95">
        <v>34600000</v>
      </c>
      <c r="Q17" s="95">
        <v>34600000</v>
      </c>
      <c r="R17" s="92" t="s">
        <v>19903</v>
      </c>
      <c r="S17" s="92" t="s">
        <v>19903</v>
      </c>
      <c r="T17" s="94"/>
      <c r="U17" s="94"/>
      <c r="V17" s="92" t="s">
        <v>19905</v>
      </c>
      <c r="W17" s="92" t="s">
        <v>19906</v>
      </c>
      <c r="X17" s="94" t="s">
        <v>19907</v>
      </c>
      <c r="Y17" s="94" t="s">
        <v>19908</v>
      </c>
      <c r="Z17" s="94" t="s">
        <v>19909</v>
      </c>
      <c r="AA17" s="92" t="s">
        <v>19903</v>
      </c>
      <c r="AB17" s="92" t="s">
        <v>19905</v>
      </c>
      <c r="AC17" s="92" t="s">
        <v>19904</v>
      </c>
      <c r="AD17" s="92" t="s">
        <v>19903</v>
      </c>
      <c r="AE17" s="92" t="s">
        <v>19903</v>
      </c>
      <c r="AF17" s="92" t="s">
        <v>19903</v>
      </c>
      <c r="AG17" s="92" t="s">
        <v>19935</v>
      </c>
      <c r="AH17" s="94" t="s">
        <v>5176</v>
      </c>
      <c r="AI17" s="92" t="s">
        <v>19936</v>
      </c>
      <c r="AJ17" s="94" t="s">
        <v>19937</v>
      </c>
      <c r="AK17" s="92" t="s">
        <v>19935</v>
      </c>
      <c r="AL17" s="94" t="s">
        <v>19905</v>
      </c>
      <c r="AM17" s="92" t="s">
        <v>19936</v>
      </c>
      <c r="AN17" s="94" t="s">
        <v>19937</v>
      </c>
      <c r="AO17" s="92" t="s">
        <v>19919</v>
      </c>
      <c r="AP17" s="94" t="s">
        <v>19920</v>
      </c>
      <c r="AQ17" s="92" t="s">
        <v>19903</v>
      </c>
      <c r="AR17" s="92" t="s">
        <v>19903</v>
      </c>
      <c r="AS17" s="92" t="s">
        <v>19903</v>
      </c>
      <c r="AT17" s="92" t="s">
        <v>19903</v>
      </c>
      <c r="AU17" s="92" t="s">
        <v>19903</v>
      </c>
      <c r="AV17" s="92" t="s">
        <v>19903</v>
      </c>
      <c r="AW17" s="94" t="s">
        <v>19909</v>
      </c>
      <c r="AX17" s="94" t="s">
        <v>19909</v>
      </c>
      <c r="AY17" s="94" t="s">
        <v>19901</v>
      </c>
      <c r="AZ17" s="92" t="s">
        <v>19903</v>
      </c>
      <c r="BA17" s="92" t="s">
        <v>19909</v>
      </c>
      <c r="BB17" s="93">
        <v>46132</v>
      </c>
    </row>
    <row r="18" spans="1:56" s="2" customFormat="1" ht="18.75" customHeight="1">
      <c r="A18" s="87" t="s">
        <v>19997</v>
      </c>
      <c r="B18" s="125">
        <v>500000</v>
      </c>
      <c r="C18" s="85" t="s">
        <v>20016</v>
      </c>
      <c r="D18" s="86">
        <v>46128</v>
      </c>
      <c r="E18" s="86">
        <v>46164</v>
      </c>
      <c r="F18" s="86">
        <v>46149</v>
      </c>
      <c r="G18" s="87" t="s">
        <v>20017</v>
      </c>
      <c r="H18" s="85" t="s">
        <v>19912</v>
      </c>
      <c r="I18" s="85" t="s">
        <v>19957</v>
      </c>
      <c r="J18" s="85" t="s">
        <v>19921</v>
      </c>
      <c r="K18" s="87" t="s">
        <v>19922</v>
      </c>
      <c r="L18" s="88">
        <v>500000</v>
      </c>
      <c r="M18" s="85" t="s">
        <v>19958</v>
      </c>
      <c r="N18" s="87" t="s">
        <v>19959</v>
      </c>
      <c r="O18" s="87"/>
      <c r="P18" s="88">
        <v>500000</v>
      </c>
      <c r="Q18" s="88">
        <v>500000</v>
      </c>
      <c r="R18" s="85" t="s">
        <v>19903</v>
      </c>
      <c r="S18" s="85" t="s">
        <v>19905</v>
      </c>
      <c r="T18" s="87"/>
      <c r="U18" s="87"/>
      <c r="V18" s="85" t="s">
        <v>19905</v>
      </c>
      <c r="W18" s="85" t="s">
        <v>19905</v>
      </c>
      <c r="X18" s="87"/>
      <c r="Y18" s="87"/>
      <c r="Z18" s="87"/>
      <c r="AA18" s="85" t="s">
        <v>19905</v>
      </c>
      <c r="AB18" s="85" t="s">
        <v>19905</v>
      </c>
      <c r="AC18" s="85" t="s">
        <v>19905</v>
      </c>
      <c r="AD18" s="85" t="s">
        <v>19905</v>
      </c>
      <c r="AE18" s="85" t="s">
        <v>19905</v>
      </c>
      <c r="AF18" s="85" t="s">
        <v>19905</v>
      </c>
      <c r="AG18" s="85" t="s">
        <v>19996</v>
      </c>
      <c r="AH18" s="87" t="s">
        <v>19997</v>
      </c>
      <c r="AI18" s="85" t="s">
        <v>19984</v>
      </c>
      <c r="AJ18" s="87" t="s">
        <v>19985</v>
      </c>
      <c r="AK18" s="85" t="s">
        <v>19905</v>
      </c>
      <c r="AL18" s="87" t="s">
        <v>19905</v>
      </c>
      <c r="AM18" s="85" t="s">
        <v>19905</v>
      </c>
      <c r="AN18" s="87" t="s">
        <v>19923</v>
      </c>
      <c r="AO18" s="85" t="s">
        <v>19905</v>
      </c>
      <c r="AP18" s="87"/>
      <c r="AQ18" s="85" t="s">
        <v>19905</v>
      </c>
      <c r="AR18" s="85" t="s">
        <v>19905</v>
      </c>
      <c r="AS18" s="85" t="s">
        <v>19905</v>
      </c>
      <c r="AT18" s="85" t="s">
        <v>19905</v>
      </c>
      <c r="AU18" s="85" t="s">
        <v>19905</v>
      </c>
      <c r="AV18" s="85" t="s">
        <v>19905</v>
      </c>
      <c r="AW18" s="87"/>
      <c r="AX18" s="87"/>
      <c r="AY18" s="87" t="s">
        <v>19900</v>
      </c>
      <c r="AZ18" s="85" t="s">
        <v>19905</v>
      </c>
      <c r="BA18" s="85"/>
      <c r="BB18" s="86">
        <v>46149</v>
      </c>
      <c r="BC18"/>
      <c r="BD18"/>
    </row>
    <row r="19" spans="1:56" s="2" customFormat="1" ht="18.75" customHeight="1">
      <c r="A19" s="87" t="s">
        <v>19925</v>
      </c>
      <c r="B19" s="125">
        <v>159500</v>
      </c>
      <c r="C19" s="85" t="s">
        <v>20018</v>
      </c>
      <c r="D19" s="86">
        <v>46132</v>
      </c>
      <c r="E19" s="86">
        <v>46140</v>
      </c>
      <c r="F19" s="86">
        <v>46140</v>
      </c>
      <c r="G19" s="87" t="s">
        <v>20019</v>
      </c>
      <c r="H19" s="85" t="s">
        <v>19902</v>
      </c>
      <c r="I19" s="85" t="s">
        <v>19957</v>
      </c>
      <c r="J19" s="85" t="s">
        <v>19942</v>
      </c>
      <c r="K19" s="87" t="s">
        <v>19943</v>
      </c>
      <c r="L19" s="88">
        <v>159500</v>
      </c>
      <c r="M19" s="85" t="s">
        <v>19958</v>
      </c>
      <c r="N19" s="87" t="s">
        <v>19959</v>
      </c>
      <c r="O19" s="87"/>
      <c r="P19" s="88">
        <v>159500</v>
      </c>
      <c r="Q19" s="88">
        <v>159500</v>
      </c>
      <c r="R19" s="85" t="s">
        <v>19903</v>
      </c>
      <c r="S19" s="85" t="s">
        <v>19903</v>
      </c>
      <c r="T19" s="87"/>
      <c r="U19" s="87"/>
      <c r="V19" s="85" t="s">
        <v>19905</v>
      </c>
      <c r="W19" s="85" t="s">
        <v>19906</v>
      </c>
      <c r="X19" s="87" t="s">
        <v>19907</v>
      </c>
      <c r="Y19" s="87" t="s">
        <v>19908</v>
      </c>
      <c r="Z19" s="87" t="s">
        <v>19909</v>
      </c>
      <c r="AA19" s="85" t="s">
        <v>19903</v>
      </c>
      <c r="AB19" s="85" t="s">
        <v>19905</v>
      </c>
      <c r="AC19" s="85" t="s">
        <v>19904</v>
      </c>
      <c r="AD19" s="85" t="s">
        <v>19903</v>
      </c>
      <c r="AE19" s="85" t="s">
        <v>19903</v>
      </c>
      <c r="AF19" s="85" t="s">
        <v>19903</v>
      </c>
      <c r="AG19" s="85" t="s">
        <v>19924</v>
      </c>
      <c r="AH19" s="87" t="s">
        <v>19925</v>
      </c>
      <c r="AI19" s="85" t="s">
        <v>19926</v>
      </c>
      <c r="AJ19" s="87" t="s">
        <v>19927</v>
      </c>
      <c r="AK19" s="85" t="s">
        <v>19924</v>
      </c>
      <c r="AL19" s="87" t="s">
        <v>19925</v>
      </c>
      <c r="AM19" s="85" t="s">
        <v>19926</v>
      </c>
      <c r="AN19" s="87" t="s">
        <v>19927</v>
      </c>
      <c r="AO19" s="85" t="s">
        <v>19910</v>
      </c>
      <c r="AP19" s="87" t="s">
        <v>19911</v>
      </c>
      <c r="AQ19" s="85" t="s">
        <v>19903</v>
      </c>
      <c r="AR19" s="85" t="s">
        <v>19903</v>
      </c>
      <c r="AS19" s="85" t="s">
        <v>19903</v>
      </c>
      <c r="AT19" s="85" t="s">
        <v>19903</v>
      </c>
      <c r="AU19" s="85" t="s">
        <v>19903</v>
      </c>
      <c r="AV19" s="85" t="s">
        <v>19903</v>
      </c>
      <c r="AW19" s="87" t="s">
        <v>19909</v>
      </c>
      <c r="AX19" s="87" t="s">
        <v>19909</v>
      </c>
      <c r="AY19" s="87" t="s">
        <v>19901</v>
      </c>
      <c r="AZ19" s="85" t="s">
        <v>19903</v>
      </c>
      <c r="BA19" s="85" t="s">
        <v>19909</v>
      </c>
      <c r="BB19" s="86">
        <v>46135</v>
      </c>
      <c r="BC19"/>
      <c r="BD19"/>
    </row>
    <row r="20" spans="1:56" s="84" customFormat="1" ht="18.75" customHeight="1">
      <c r="A20" s="91" t="s">
        <v>20055</v>
      </c>
      <c r="B20" s="3">
        <v>10999945</v>
      </c>
      <c r="C20"/>
      <c r="D20"/>
      <c r="E20"/>
      <c r="F20"/>
      <c r="G20" s="129" t="s">
        <v>20060</v>
      </c>
      <c r="H20" s="1" t="s">
        <v>20056</v>
      </c>
      <c r="I20"/>
      <c r="J20"/>
      <c r="K20" s="129" t="s">
        <v>20058</v>
      </c>
      <c r="L20"/>
      <c r="M20"/>
      <c r="N20"/>
      <c r="O20"/>
      <c r="P20"/>
      <c r="Q20" s="128">
        <v>10999945</v>
      </c>
      <c r="R20"/>
      <c r="S20"/>
      <c r="T20"/>
      <c r="U20"/>
      <c r="V20"/>
      <c r="W20"/>
      <c r="X20"/>
      <c r="Y20"/>
      <c r="Z20"/>
      <c r="AA20"/>
      <c r="AB20"/>
      <c r="AC20" s="85" t="s">
        <v>19904</v>
      </c>
      <c r="AD20" s="85" t="s">
        <v>19904</v>
      </c>
      <c r="AE20" s="85" t="s">
        <v>20104</v>
      </c>
      <c r="AF20"/>
      <c r="AG20"/>
      <c r="AH20"/>
      <c r="AI20"/>
      <c r="AJ20"/>
      <c r="AK20"/>
      <c r="AL20"/>
      <c r="AM20"/>
      <c r="AN20"/>
      <c r="AO20"/>
      <c r="AP20"/>
      <c r="AQ20" s="85" t="s">
        <v>19904</v>
      </c>
      <c r="AR20"/>
      <c r="AS20"/>
      <c r="AT20"/>
      <c r="AU20"/>
      <c r="AV20"/>
      <c r="AW20"/>
      <c r="AX20"/>
      <c r="AY20"/>
      <c r="AZ20"/>
      <c r="BA20"/>
      <c r="BB20"/>
      <c r="BC20"/>
      <c r="BD20"/>
    </row>
    <row r="21" spans="1:56" s="2" customFormat="1" ht="18.75" customHeight="1">
      <c r="A21" s="91" t="s">
        <v>20057</v>
      </c>
      <c r="B21" s="3">
        <v>2000000</v>
      </c>
      <c r="C21"/>
      <c r="D21"/>
      <c r="E21"/>
      <c r="F21"/>
      <c r="G21" s="129" t="s">
        <v>20061</v>
      </c>
      <c r="H21" s="1" t="s">
        <v>20056</v>
      </c>
      <c r="I21"/>
      <c r="J21"/>
      <c r="K21" s="129" t="s">
        <v>20059</v>
      </c>
      <c r="L21"/>
      <c r="M21"/>
      <c r="N21"/>
      <c r="O21"/>
      <c r="P21"/>
      <c r="Q21" s="128">
        <v>2000000</v>
      </c>
      <c r="R21"/>
      <c r="S21"/>
      <c r="T21"/>
      <c r="U21"/>
      <c r="V21"/>
      <c r="W21"/>
      <c r="X21"/>
      <c r="Y21"/>
      <c r="Z21"/>
      <c r="AA21"/>
      <c r="AB21"/>
      <c r="AC21" s="85" t="s">
        <v>19904</v>
      </c>
      <c r="AD21" s="85" t="s">
        <v>19904</v>
      </c>
      <c r="AE21" s="183"/>
      <c r="AF21"/>
      <c r="AG21"/>
      <c r="AH21"/>
      <c r="AI21"/>
      <c r="AJ21"/>
      <c r="AK21"/>
      <c r="AL21"/>
      <c r="AM21"/>
      <c r="AN21"/>
      <c r="AO21"/>
      <c r="AP21"/>
      <c r="AQ21"/>
      <c r="AR21" s="183"/>
      <c r="AS21"/>
      <c r="AT21"/>
      <c r="AU21"/>
      <c r="AV21"/>
      <c r="AW21"/>
      <c r="AX21"/>
      <c r="AY21"/>
      <c r="AZ21"/>
      <c r="BA21"/>
      <c r="BB21"/>
      <c r="BC21"/>
      <c r="BD21"/>
    </row>
    <row r="22" spans="1:56" s="184" customFormat="1" ht="12" customHeight="1">
      <c r="A22" s="186" t="s">
        <v>20105</v>
      </c>
      <c r="H22" s="185"/>
    </row>
    <row r="23" spans="1:56" ht="18.75" customHeight="1">
      <c r="A23" s="161" t="s">
        <v>19932</v>
      </c>
      <c r="B23" s="157">
        <v>13000000</v>
      </c>
      <c r="C23" s="156"/>
      <c r="D23" s="156"/>
      <c r="E23" s="156"/>
      <c r="F23" s="157">
        <v>13000000</v>
      </c>
      <c r="G23" s="158" t="s">
        <v>20063</v>
      </c>
      <c r="H23" s="159" t="s">
        <v>13</v>
      </c>
      <c r="K23" s="158" t="s">
        <v>20064</v>
      </c>
      <c r="Q23" s="157">
        <v>13000000</v>
      </c>
      <c r="R23" s="156"/>
      <c r="S23" s="156"/>
      <c r="T23" s="158"/>
      <c r="U23" s="158"/>
      <c r="V23" s="156"/>
      <c r="W23" s="156"/>
      <c r="X23" s="158"/>
      <c r="Y23" s="158"/>
      <c r="Z23" s="158"/>
      <c r="AA23" s="156"/>
      <c r="AB23" s="156"/>
      <c r="AC23" s="156"/>
      <c r="AD23" s="156"/>
      <c r="AE23" s="156"/>
      <c r="AF23" s="156"/>
      <c r="AH23" s="161" t="s">
        <v>19932</v>
      </c>
      <c r="AI23" s="156" t="s">
        <v>19933</v>
      </c>
      <c r="AJ23" s="158" t="s">
        <v>19934</v>
      </c>
      <c r="AK23" s="156"/>
      <c r="AL23" s="158"/>
      <c r="AM23" s="156"/>
      <c r="AN23" s="158"/>
      <c r="AO23" s="156"/>
      <c r="AP23" s="158"/>
      <c r="AQ23" s="156"/>
      <c r="AR23" s="156"/>
      <c r="AS23" s="156"/>
      <c r="AT23" s="156"/>
      <c r="AU23" s="156"/>
      <c r="AV23" s="156"/>
      <c r="AW23" s="158"/>
      <c r="AX23" s="158"/>
      <c r="AY23" s="158" t="s">
        <v>19901</v>
      </c>
      <c r="AZ23" s="156"/>
      <c r="BA23" s="156"/>
      <c r="BB23" s="156">
        <v>45729</v>
      </c>
    </row>
    <row r="24" spans="1:56" ht="18.75" customHeight="1">
      <c r="A24" s="161" t="s">
        <v>20067</v>
      </c>
      <c r="B24" s="157">
        <v>215140000</v>
      </c>
      <c r="C24" s="156"/>
      <c r="D24" s="156"/>
      <c r="E24" s="156"/>
      <c r="F24" s="168">
        <v>215140000</v>
      </c>
      <c r="G24" s="158" t="s">
        <v>20065</v>
      </c>
      <c r="H24" s="156" t="s">
        <v>14</v>
      </c>
      <c r="K24" s="158" t="s">
        <v>20066</v>
      </c>
      <c r="Q24" s="182">
        <f>215140000-B16</f>
        <v>111995000</v>
      </c>
      <c r="R24" s="156" t="s">
        <v>19903</v>
      </c>
      <c r="S24" s="156" t="s">
        <v>19903</v>
      </c>
      <c r="T24" s="158"/>
      <c r="U24" s="158"/>
      <c r="V24" s="156" t="s">
        <v>19905</v>
      </c>
      <c r="W24" s="156" t="s">
        <v>19906</v>
      </c>
      <c r="X24" s="158" t="s">
        <v>19907</v>
      </c>
      <c r="Y24" s="158" t="s">
        <v>19908</v>
      </c>
      <c r="Z24" s="158" t="s">
        <v>19909</v>
      </c>
      <c r="AA24" s="156" t="s">
        <v>19903</v>
      </c>
      <c r="AB24" s="156" t="s">
        <v>19905</v>
      </c>
      <c r="AC24" s="162" t="s">
        <v>19904</v>
      </c>
      <c r="AD24" s="156" t="s">
        <v>19903</v>
      </c>
      <c r="AE24" s="156" t="s">
        <v>19903</v>
      </c>
      <c r="AF24" s="156" t="s">
        <v>19903</v>
      </c>
      <c r="AH24" s="161" t="s">
        <v>20067</v>
      </c>
      <c r="AI24" s="156" t="s">
        <v>19936</v>
      </c>
      <c r="AJ24" s="158" t="s">
        <v>19937</v>
      </c>
      <c r="AK24" s="156" t="s">
        <v>19935</v>
      </c>
      <c r="AL24" s="158" t="s">
        <v>19905</v>
      </c>
      <c r="AM24" s="156" t="s">
        <v>19936</v>
      </c>
      <c r="AN24" s="158" t="s">
        <v>19937</v>
      </c>
      <c r="AO24" s="156" t="s">
        <v>19919</v>
      </c>
      <c r="AP24" s="158" t="s">
        <v>19920</v>
      </c>
      <c r="AQ24" s="156" t="s">
        <v>19903</v>
      </c>
      <c r="AR24" s="156" t="s">
        <v>19903</v>
      </c>
      <c r="AS24" s="156" t="s">
        <v>19903</v>
      </c>
      <c r="AT24" s="156" t="s">
        <v>19903</v>
      </c>
      <c r="AU24" s="156" t="s">
        <v>19903</v>
      </c>
      <c r="AV24" s="156" t="s">
        <v>19903</v>
      </c>
      <c r="AW24" s="158" t="s">
        <v>19909</v>
      </c>
      <c r="AX24" s="158" t="s">
        <v>19909</v>
      </c>
      <c r="AY24" s="158" t="s">
        <v>19901</v>
      </c>
      <c r="AZ24" s="156" t="s">
        <v>19903</v>
      </c>
      <c r="BA24" s="156" t="s">
        <v>19909</v>
      </c>
      <c r="BB24" s="156">
        <v>45749</v>
      </c>
    </row>
    <row r="25" spans="1:56" ht="18.75" customHeight="1">
      <c r="A25" s="161" t="s">
        <v>20069</v>
      </c>
      <c r="B25" s="157">
        <v>20000000</v>
      </c>
      <c r="C25" s="156"/>
      <c r="D25" s="156"/>
      <c r="E25" s="156"/>
      <c r="F25" s="157">
        <v>20000000</v>
      </c>
      <c r="G25" s="158" t="s">
        <v>20068</v>
      </c>
      <c r="H25" s="159" t="s">
        <v>13</v>
      </c>
      <c r="K25" s="158" t="s">
        <v>20064</v>
      </c>
      <c r="Q25" s="157">
        <v>20000000</v>
      </c>
      <c r="R25" s="156"/>
      <c r="S25" s="156"/>
      <c r="T25" s="158"/>
      <c r="U25" s="158"/>
      <c r="V25" s="156"/>
      <c r="W25" s="156"/>
      <c r="X25" s="158"/>
      <c r="Y25" s="158"/>
      <c r="Z25" s="158"/>
      <c r="AA25" s="156"/>
      <c r="AB25" s="156"/>
      <c r="AC25" s="156"/>
      <c r="AD25" s="156"/>
      <c r="AE25" s="156"/>
      <c r="AF25" s="156"/>
      <c r="AH25" s="161" t="s">
        <v>20069</v>
      </c>
      <c r="AI25" s="156"/>
      <c r="AJ25" s="158"/>
      <c r="AK25" s="156"/>
      <c r="AL25" s="158"/>
      <c r="AM25" s="156"/>
      <c r="AN25" s="158"/>
      <c r="AO25" s="156"/>
      <c r="AP25" s="158"/>
      <c r="AQ25" s="156"/>
      <c r="AR25" s="156"/>
      <c r="AS25" s="156"/>
      <c r="AT25" s="156"/>
      <c r="AU25" s="156"/>
      <c r="AV25" s="156"/>
      <c r="AW25" s="158"/>
      <c r="AX25" s="158"/>
      <c r="AY25" s="158"/>
      <c r="AZ25" s="156"/>
      <c r="BA25" s="156"/>
      <c r="BB25" s="156"/>
    </row>
    <row r="26" spans="1:56" ht="18.75" customHeight="1">
      <c r="A26" s="161" t="s">
        <v>20067</v>
      </c>
      <c r="B26" s="157">
        <v>69310000</v>
      </c>
      <c r="C26" s="156"/>
      <c r="D26" s="156"/>
      <c r="E26" s="156"/>
      <c r="F26" s="168">
        <v>69310000</v>
      </c>
      <c r="G26" s="158" t="s">
        <v>20070</v>
      </c>
      <c r="H26" s="156" t="s">
        <v>14</v>
      </c>
      <c r="K26" s="158" t="s">
        <v>20071</v>
      </c>
      <c r="Q26" s="182">
        <f>69310000-B17</f>
        <v>34710000</v>
      </c>
      <c r="R26" s="156" t="s">
        <v>19903</v>
      </c>
      <c r="S26" s="156" t="s">
        <v>19903</v>
      </c>
      <c r="T26" s="158"/>
      <c r="U26" s="158"/>
      <c r="V26" s="156" t="s">
        <v>19905</v>
      </c>
      <c r="W26" s="156" t="s">
        <v>19906</v>
      </c>
      <c r="X26" s="158" t="s">
        <v>19907</v>
      </c>
      <c r="Y26" s="158" t="s">
        <v>19908</v>
      </c>
      <c r="Z26" s="158" t="s">
        <v>19909</v>
      </c>
      <c r="AA26" s="156" t="s">
        <v>19903</v>
      </c>
      <c r="AB26" s="156" t="s">
        <v>19905</v>
      </c>
      <c r="AC26" s="162" t="s">
        <v>19904</v>
      </c>
      <c r="AD26" s="156" t="s">
        <v>19903</v>
      </c>
      <c r="AE26" s="156" t="s">
        <v>19903</v>
      </c>
      <c r="AF26" s="156" t="s">
        <v>19903</v>
      </c>
      <c r="AH26" s="161" t="s">
        <v>20067</v>
      </c>
      <c r="AI26" s="156" t="s">
        <v>19939</v>
      </c>
      <c r="AJ26" s="158" t="s">
        <v>19940</v>
      </c>
      <c r="AK26" s="156" t="s">
        <v>19938</v>
      </c>
      <c r="AL26" s="158" t="s">
        <v>19905</v>
      </c>
      <c r="AM26" s="156" t="s">
        <v>19939</v>
      </c>
      <c r="AN26" s="158" t="s">
        <v>19940</v>
      </c>
      <c r="AO26" s="156" t="s">
        <v>19919</v>
      </c>
      <c r="AP26" s="158" t="s">
        <v>19920</v>
      </c>
      <c r="AQ26" s="156" t="s">
        <v>19903</v>
      </c>
      <c r="AR26" s="156" t="s">
        <v>19903</v>
      </c>
      <c r="AS26" s="156" t="s">
        <v>19903</v>
      </c>
      <c r="AT26" s="156" t="s">
        <v>19903</v>
      </c>
      <c r="AU26" s="156" t="s">
        <v>19903</v>
      </c>
      <c r="AV26" s="156" t="s">
        <v>19903</v>
      </c>
      <c r="AW26" s="158" t="s">
        <v>19909</v>
      </c>
      <c r="AX26" s="158" t="s">
        <v>19909</v>
      </c>
      <c r="AY26" s="158" t="s">
        <v>19901</v>
      </c>
      <c r="AZ26" s="156" t="s">
        <v>19903</v>
      </c>
      <c r="BA26" s="156" t="s">
        <v>19909</v>
      </c>
      <c r="BB26" s="156">
        <v>45848</v>
      </c>
    </row>
    <row r="27" spans="1:56" ht="18.75" customHeight="1">
      <c r="A27" s="161" t="s">
        <v>20075</v>
      </c>
      <c r="B27" s="157">
        <v>8000000</v>
      </c>
      <c r="C27" s="156"/>
      <c r="D27" s="156"/>
      <c r="E27" s="156"/>
      <c r="F27" s="157">
        <v>8000000</v>
      </c>
      <c r="G27" s="158" t="s">
        <v>20072</v>
      </c>
      <c r="H27" s="156" t="s">
        <v>14</v>
      </c>
      <c r="K27" s="158" t="s">
        <v>20073</v>
      </c>
      <c r="Q27" s="157">
        <v>8000000</v>
      </c>
      <c r="R27" s="156" t="s">
        <v>19903</v>
      </c>
      <c r="S27" s="156" t="s">
        <v>19903</v>
      </c>
      <c r="T27" s="158"/>
      <c r="U27" s="158"/>
      <c r="V27" s="156" t="s">
        <v>19905</v>
      </c>
      <c r="W27" s="156" t="s">
        <v>19906</v>
      </c>
      <c r="X27" s="158" t="s">
        <v>19907</v>
      </c>
      <c r="Y27" s="158" t="s">
        <v>19908</v>
      </c>
      <c r="Z27" s="158" t="s">
        <v>19909</v>
      </c>
      <c r="AA27" s="156" t="s">
        <v>19903</v>
      </c>
      <c r="AB27" s="156" t="s">
        <v>19905</v>
      </c>
      <c r="AC27" s="156" t="s">
        <v>20074</v>
      </c>
      <c r="AD27" s="156" t="s">
        <v>19903</v>
      </c>
      <c r="AE27" s="156" t="s">
        <v>19903</v>
      </c>
      <c r="AF27" s="156" t="s">
        <v>19903</v>
      </c>
      <c r="AH27" s="161" t="s">
        <v>20075</v>
      </c>
      <c r="AI27" s="156" t="s">
        <v>19948</v>
      </c>
      <c r="AJ27" s="158" t="s">
        <v>19949</v>
      </c>
      <c r="AK27" s="156" t="s">
        <v>19946</v>
      </c>
      <c r="AL27" s="158" t="s">
        <v>19905</v>
      </c>
      <c r="AM27" s="156" t="s">
        <v>19948</v>
      </c>
      <c r="AN27" s="158" t="s">
        <v>19949</v>
      </c>
      <c r="AO27" s="156" t="s">
        <v>19910</v>
      </c>
      <c r="AP27" s="158" t="s">
        <v>19911</v>
      </c>
      <c r="AQ27" s="156" t="s">
        <v>19903</v>
      </c>
      <c r="AR27" s="156" t="s">
        <v>19903</v>
      </c>
      <c r="AS27" s="156" t="s">
        <v>19903</v>
      </c>
      <c r="AT27" s="156" t="s">
        <v>19903</v>
      </c>
      <c r="AU27" s="156" t="s">
        <v>19903</v>
      </c>
      <c r="AV27" s="156" t="s">
        <v>19903</v>
      </c>
      <c r="AW27" s="158" t="s">
        <v>19909</v>
      </c>
      <c r="AX27" s="158" t="s">
        <v>19909</v>
      </c>
      <c r="AY27" s="158" t="s">
        <v>19901</v>
      </c>
      <c r="AZ27" s="156" t="s">
        <v>19903</v>
      </c>
      <c r="BA27" s="156" t="s">
        <v>19909</v>
      </c>
      <c r="BB27" s="156">
        <v>45853</v>
      </c>
    </row>
    <row r="28" spans="1:56" ht="18.75" customHeight="1">
      <c r="A28" s="161" t="s">
        <v>20075</v>
      </c>
      <c r="B28" s="157">
        <v>1320000</v>
      </c>
      <c r="C28" s="156"/>
      <c r="D28" s="156"/>
      <c r="E28" s="156"/>
      <c r="F28" s="157">
        <v>1320000</v>
      </c>
      <c r="G28" s="158" t="s">
        <v>20076</v>
      </c>
      <c r="H28" s="156" t="s">
        <v>14</v>
      </c>
      <c r="K28" s="158" t="s">
        <v>20064</v>
      </c>
      <c r="Q28" s="157">
        <v>1320000</v>
      </c>
      <c r="R28" s="156" t="s">
        <v>19903</v>
      </c>
      <c r="S28" s="156" t="s">
        <v>19903</v>
      </c>
      <c r="T28" s="158"/>
      <c r="U28" s="158"/>
      <c r="V28" s="156" t="s">
        <v>19905</v>
      </c>
      <c r="W28" s="156" t="s">
        <v>19906</v>
      </c>
      <c r="X28" s="158" t="s">
        <v>19907</v>
      </c>
      <c r="Y28" s="158" t="s">
        <v>19908</v>
      </c>
      <c r="Z28" s="158" t="s">
        <v>19909</v>
      </c>
      <c r="AA28" s="156" t="s">
        <v>19903</v>
      </c>
      <c r="AB28" s="156" t="s">
        <v>19905</v>
      </c>
      <c r="AC28" s="156" t="s">
        <v>20074</v>
      </c>
      <c r="AD28" s="156" t="s">
        <v>19903</v>
      </c>
      <c r="AE28" s="156" t="s">
        <v>19903</v>
      </c>
      <c r="AF28" s="156" t="s">
        <v>19903</v>
      </c>
      <c r="AH28" s="161" t="s">
        <v>20075</v>
      </c>
      <c r="AI28" s="156" t="s">
        <v>19948</v>
      </c>
      <c r="AJ28" s="158" t="s">
        <v>19949</v>
      </c>
      <c r="AK28" s="156" t="s">
        <v>19946</v>
      </c>
      <c r="AL28" s="158" t="s">
        <v>19905</v>
      </c>
      <c r="AM28" s="156" t="s">
        <v>19948</v>
      </c>
      <c r="AN28" s="158" t="s">
        <v>19949</v>
      </c>
      <c r="AO28" s="156" t="s">
        <v>19910</v>
      </c>
      <c r="AP28" s="158" t="s">
        <v>19911</v>
      </c>
      <c r="AQ28" s="156" t="s">
        <v>19903</v>
      </c>
      <c r="AR28" s="156" t="s">
        <v>19903</v>
      </c>
      <c r="AS28" s="156" t="s">
        <v>19903</v>
      </c>
      <c r="AT28" s="156" t="s">
        <v>19903</v>
      </c>
      <c r="AU28" s="156" t="s">
        <v>19903</v>
      </c>
      <c r="AV28" s="156" t="s">
        <v>19903</v>
      </c>
      <c r="AW28" s="158" t="s">
        <v>19909</v>
      </c>
      <c r="AX28" s="158" t="s">
        <v>19909</v>
      </c>
      <c r="AY28" s="158" t="s">
        <v>19901</v>
      </c>
      <c r="AZ28" s="156" t="s">
        <v>19903</v>
      </c>
      <c r="BA28" s="156" t="s">
        <v>19909</v>
      </c>
      <c r="BB28" s="156">
        <v>45853</v>
      </c>
    </row>
    <row r="29" spans="1:56" ht="18.75" customHeight="1">
      <c r="A29" s="161" t="s">
        <v>20075</v>
      </c>
      <c r="B29" s="157">
        <v>1300000</v>
      </c>
      <c r="C29" s="156"/>
      <c r="D29" s="156"/>
      <c r="E29" s="156"/>
      <c r="F29" s="157">
        <v>1300000</v>
      </c>
      <c r="G29" s="158" t="s">
        <v>20077</v>
      </c>
      <c r="H29" s="156" t="s">
        <v>14</v>
      </c>
      <c r="K29" s="158" t="s">
        <v>20064</v>
      </c>
      <c r="Q29" s="157">
        <v>1300000</v>
      </c>
      <c r="R29" s="156" t="s">
        <v>19903</v>
      </c>
      <c r="S29" s="156" t="s">
        <v>19903</v>
      </c>
      <c r="T29" s="158"/>
      <c r="U29" s="158"/>
      <c r="V29" s="156" t="s">
        <v>19905</v>
      </c>
      <c r="W29" s="156" t="s">
        <v>19906</v>
      </c>
      <c r="X29" s="158" t="s">
        <v>19907</v>
      </c>
      <c r="Y29" s="158" t="s">
        <v>19908</v>
      </c>
      <c r="Z29" s="158" t="s">
        <v>19909</v>
      </c>
      <c r="AA29" s="156" t="s">
        <v>19903</v>
      </c>
      <c r="AB29" s="156" t="s">
        <v>19905</v>
      </c>
      <c r="AC29" s="156" t="s">
        <v>20074</v>
      </c>
      <c r="AD29" s="156" t="s">
        <v>19903</v>
      </c>
      <c r="AE29" s="156" t="s">
        <v>19903</v>
      </c>
      <c r="AF29" s="156" t="s">
        <v>19903</v>
      </c>
      <c r="AH29" s="161" t="s">
        <v>20075</v>
      </c>
      <c r="AI29" s="156" t="s">
        <v>19948</v>
      </c>
      <c r="AJ29" s="158" t="s">
        <v>19949</v>
      </c>
      <c r="AK29" s="156" t="s">
        <v>19946</v>
      </c>
      <c r="AL29" s="158" t="s">
        <v>19905</v>
      </c>
      <c r="AM29" s="156" t="s">
        <v>19948</v>
      </c>
      <c r="AN29" s="158" t="s">
        <v>19949</v>
      </c>
      <c r="AO29" s="156" t="s">
        <v>19910</v>
      </c>
      <c r="AP29" s="158" t="s">
        <v>19911</v>
      </c>
      <c r="AQ29" s="156" t="s">
        <v>19903</v>
      </c>
      <c r="AR29" s="156" t="s">
        <v>19903</v>
      </c>
      <c r="AS29" s="156" t="s">
        <v>19903</v>
      </c>
      <c r="AT29" s="156" t="s">
        <v>19903</v>
      </c>
      <c r="AU29" s="156" t="s">
        <v>19903</v>
      </c>
      <c r="AV29" s="156" t="s">
        <v>19903</v>
      </c>
      <c r="AW29" s="158" t="s">
        <v>19909</v>
      </c>
      <c r="AX29" s="158" t="s">
        <v>19909</v>
      </c>
      <c r="AY29" s="158" t="s">
        <v>19901</v>
      </c>
      <c r="AZ29" s="156" t="s">
        <v>19903</v>
      </c>
      <c r="BA29" s="156" t="s">
        <v>19909</v>
      </c>
      <c r="BB29" s="156">
        <v>45853</v>
      </c>
    </row>
    <row r="30" spans="1:56" ht="18.75" customHeight="1">
      <c r="A30" s="161" t="s">
        <v>20079</v>
      </c>
      <c r="B30" s="164">
        <v>169000000</v>
      </c>
      <c r="C30" s="163"/>
      <c r="D30" s="163"/>
      <c r="E30" s="163"/>
      <c r="F30" s="169">
        <v>169000000</v>
      </c>
      <c r="G30" s="160" t="s">
        <v>20078</v>
      </c>
      <c r="H30" s="159" t="s">
        <v>14</v>
      </c>
      <c r="K30" s="160" t="s">
        <v>19943</v>
      </c>
      <c r="Q30" s="182">
        <f>169000000-B7-B9</f>
        <v>140300000</v>
      </c>
      <c r="R30" s="163" t="s">
        <v>19903</v>
      </c>
      <c r="S30" s="163" t="s">
        <v>19903</v>
      </c>
      <c r="T30" s="160"/>
      <c r="U30" s="160"/>
      <c r="V30" s="163" t="s">
        <v>19905</v>
      </c>
      <c r="W30" s="163" t="s">
        <v>19906</v>
      </c>
      <c r="X30" s="160" t="s">
        <v>19907</v>
      </c>
      <c r="Y30" s="160" t="s">
        <v>19908</v>
      </c>
      <c r="Z30" s="160" t="s">
        <v>19909</v>
      </c>
      <c r="AA30" s="163" t="s">
        <v>19903</v>
      </c>
      <c r="AB30" s="163" t="s">
        <v>19905</v>
      </c>
      <c r="AC30" s="156" t="s">
        <v>20074</v>
      </c>
      <c r="AD30" s="163" t="s">
        <v>19903</v>
      </c>
      <c r="AE30" s="163" t="s">
        <v>19903</v>
      </c>
      <c r="AF30" s="163" t="s">
        <v>19903</v>
      </c>
      <c r="AH30" s="161" t="s">
        <v>20079</v>
      </c>
      <c r="AI30" s="163" t="s">
        <v>19980</v>
      </c>
      <c r="AJ30" s="160" t="s">
        <v>19981</v>
      </c>
      <c r="AK30" s="163" t="s">
        <v>19978</v>
      </c>
      <c r="AL30" s="160" t="s">
        <v>19979</v>
      </c>
      <c r="AM30" s="163" t="s">
        <v>19980</v>
      </c>
      <c r="AN30" s="160" t="s">
        <v>19981</v>
      </c>
      <c r="AO30" s="163" t="s">
        <v>19910</v>
      </c>
      <c r="AP30" s="160" t="s">
        <v>19911</v>
      </c>
      <c r="AQ30" s="163" t="s">
        <v>19903</v>
      </c>
      <c r="AR30" s="163" t="s">
        <v>19903</v>
      </c>
      <c r="AS30" s="163" t="s">
        <v>19903</v>
      </c>
      <c r="AT30" s="163" t="s">
        <v>19903</v>
      </c>
      <c r="AU30" s="163" t="s">
        <v>19903</v>
      </c>
      <c r="AV30" s="163" t="s">
        <v>19903</v>
      </c>
      <c r="AW30" s="160" t="s">
        <v>19909</v>
      </c>
      <c r="AX30" s="160" t="s">
        <v>19909</v>
      </c>
      <c r="AY30" s="160" t="s">
        <v>19901</v>
      </c>
      <c r="AZ30" s="163" t="s">
        <v>19903</v>
      </c>
      <c r="BA30" s="163" t="s">
        <v>19909</v>
      </c>
      <c r="BB30" s="163">
        <v>45681</v>
      </c>
    </row>
    <row r="31" spans="1:56" ht="18.75" customHeight="1">
      <c r="A31" s="161" t="s">
        <v>20081</v>
      </c>
      <c r="B31" s="164">
        <v>11000000</v>
      </c>
      <c r="C31" s="163"/>
      <c r="D31" s="163"/>
      <c r="E31" s="163"/>
      <c r="F31" s="164">
        <v>11000000</v>
      </c>
      <c r="G31" s="160" t="s">
        <v>20080</v>
      </c>
      <c r="H31" s="159" t="s">
        <v>14</v>
      </c>
      <c r="K31" s="160" t="s">
        <v>20064</v>
      </c>
      <c r="Q31" s="164">
        <v>11000000</v>
      </c>
      <c r="R31" s="163"/>
      <c r="S31" s="163"/>
      <c r="T31" s="160"/>
      <c r="U31" s="160"/>
      <c r="V31" s="163"/>
      <c r="W31" s="163"/>
      <c r="X31" s="160"/>
      <c r="Y31" s="160"/>
      <c r="Z31" s="160"/>
      <c r="AA31" s="163"/>
      <c r="AB31" s="163"/>
      <c r="AC31" s="165" t="s">
        <v>19904</v>
      </c>
      <c r="AD31" s="163"/>
      <c r="AE31" s="163"/>
      <c r="AF31" s="163"/>
      <c r="AH31" s="161" t="s">
        <v>20081</v>
      </c>
      <c r="AI31" s="163"/>
      <c r="AJ31" s="160"/>
      <c r="AK31" s="163"/>
      <c r="AL31" s="160"/>
      <c r="AM31" s="163"/>
      <c r="AN31" s="160"/>
      <c r="AO31" s="163"/>
      <c r="AP31" s="160"/>
      <c r="AQ31" s="163"/>
      <c r="AR31" s="163"/>
      <c r="AS31" s="163"/>
      <c r="AT31" s="163"/>
      <c r="AU31" s="163"/>
      <c r="AV31" s="163"/>
      <c r="AW31" s="160"/>
      <c r="AX31" s="160"/>
      <c r="AY31" s="160"/>
      <c r="AZ31" s="163"/>
      <c r="BA31" s="163"/>
      <c r="BB31" s="163"/>
    </row>
    <row r="32" spans="1:56" ht="18.75" customHeight="1">
      <c r="A32" s="161" t="s">
        <v>20075</v>
      </c>
      <c r="B32" s="157">
        <v>5640000</v>
      </c>
      <c r="C32" s="156"/>
      <c r="D32" s="156"/>
      <c r="E32" s="156"/>
      <c r="F32" s="157">
        <v>5640000</v>
      </c>
      <c r="G32" s="158" t="s">
        <v>20082</v>
      </c>
      <c r="H32" s="156" t="s">
        <v>14</v>
      </c>
      <c r="K32" s="158" t="s">
        <v>20064</v>
      </c>
      <c r="Q32" s="157">
        <v>5640000</v>
      </c>
      <c r="R32" s="156" t="s">
        <v>19903</v>
      </c>
      <c r="S32" s="156" t="s">
        <v>19903</v>
      </c>
      <c r="T32" s="158"/>
      <c r="U32" s="158"/>
      <c r="V32" s="156" t="s">
        <v>19905</v>
      </c>
      <c r="W32" s="156" t="s">
        <v>19906</v>
      </c>
      <c r="X32" s="158" t="s">
        <v>19907</v>
      </c>
      <c r="Y32" s="158" t="s">
        <v>19908</v>
      </c>
      <c r="Z32" s="158" t="s">
        <v>19909</v>
      </c>
      <c r="AA32" s="156" t="s">
        <v>19903</v>
      </c>
      <c r="AB32" s="156" t="s">
        <v>19905</v>
      </c>
      <c r="AC32" s="156" t="s">
        <v>20074</v>
      </c>
      <c r="AD32" s="156" t="s">
        <v>19903</v>
      </c>
      <c r="AE32" s="156" t="s">
        <v>19903</v>
      </c>
      <c r="AF32" s="156" t="s">
        <v>19903</v>
      </c>
      <c r="AH32" s="161" t="s">
        <v>20075</v>
      </c>
      <c r="AI32" s="156" t="s">
        <v>19948</v>
      </c>
      <c r="AJ32" s="158" t="s">
        <v>19949</v>
      </c>
      <c r="AK32" s="156" t="s">
        <v>19946</v>
      </c>
      <c r="AL32" s="158" t="s">
        <v>19905</v>
      </c>
      <c r="AM32" s="156" t="s">
        <v>19948</v>
      </c>
      <c r="AN32" s="158" t="s">
        <v>19949</v>
      </c>
      <c r="AO32" s="156" t="s">
        <v>19910</v>
      </c>
      <c r="AP32" s="158" t="s">
        <v>19911</v>
      </c>
      <c r="AQ32" s="156" t="s">
        <v>19903</v>
      </c>
      <c r="AR32" s="156" t="s">
        <v>19903</v>
      </c>
      <c r="AS32" s="156" t="s">
        <v>19903</v>
      </c>
      <c r="AT32" s="156" t="s">
        <v>19903</v>
      </c>
      <c r="AU32" s="156" t="s">
        <v>19903</v>
      </c>
      <c r="AV32" s="156" t="s">
        <v>19903</v>
      </c>
      <c r="AW32" s="158" t="s">
        <v>19909</v>
      </c>
      <c r="AX32" s="158" t="s">
        <v>19909</v>
      </c>
      <c r="AY32" s="158" t="s">
        <v>19901</v>
      </c>
      <c r="AZ32" s="156" t="s">
        <v>19903</v>
      </c>
      <c r="BA32" s="156" t="s">
        <v>19909</v>
      </c>
      <c r="BB32" s="156">
        <v>45853</v>
      </c>
    </row>
    <row r="33" spans="1:54" ht="18.75" customHeight="1">
      <c r="A33" s="161" t="s">
        <v>20084</v>
      </c>
      <c r="B33" s="157">
        <v>22000000</v>
      </c>
      <c r="C33" s="156"/>
      <c r="D33" s="156"/>
      <c r="E33" s="156"/>
      <c r="F33" s="157">
        <v>22000000</v>
      </c>
      <c r="G33" s="158" t="s">
        <v>20083</v>
      </c>
      <c r="H33" s="156" t="s">
        <v>14</v>
      </c>
      <c r="K33" s="158" t="s">
        <v>20064</v>
      </c>
      <c r="Q33" s="157">
        <v>22000000</v>
      </c>
      <c r="R33" s="156" t="s">
        <v>19903</v>
      </c>
      <c r="S33" s="156" t="s">
        <v>19903</v>
      </c>
      <c r="T33" s="158"/>
      <c r="U33" s="158"/>
      <c r="V33" s="156" t="s">
        <v>19905</v>
      </c>
      <c r="W33" s="156" t="s">
        <v>19906</v>
      </c>
      <c r="X33" s="158" t="s">
        <v>19907</v>
      </c>
      <c r="Y33" s="158" t="s">
        <v>19908</v>
      </c>
      <c r="Z33" s="158" t="s">
        <v>19909</v>
      </c>
      <c r="AA33" s="156" t="s">
        <v>19903</v>
      </c>
      <c r="AB33" s="156" t="s">
        <v>19905</v>
      </c>
      <c r="AC33" s="156" t="s">
        <v>20074</v>
      </c>
      <c r="AD33" s="156" t="s">
        <v>19903</v>
      </c>
      <c r="AE33" s="156" t="s">
        <v>19903</v>
      </c>
      <c r="AF33" s="156" t="s">
        <v>19903</v>
      </c>
      <c r="AH33" s="161" t="s">
        <v>20084</v>
      </c>
      <c r="AI33" s="156" t="s">
        <v>19948</v>
      </c>
      <c r="AJ33" s="158" t="s">
        <v>19949</v>
      </c>
      <c r="AK33" s="156" t="s">
        <v>19946</v>
      </c>
      <c r="AL33" s="158" t="s">
        <v>19905</v>
      </c>
      <c r="AM33" s="156" t="s">
        <v>19948</v>
      </c>
      <c r="AN33" s="158" t="s">
        <v>19949</v>
      </c>
      <c r="AO33" s="156" t="s">
        <v>19910</v>
      </c>
      <c r="AP33" s="158" t="s">
        <v>19911</v>
      </c>
      <c r="AQ33" s="156" t="s">
        <v>19903</v>
      </c>
      <c r="AR33" s="156" t="s">
        <v>19903</v>
      </c>
      <c r="AS33" s="156" t="s">
        <v>19903</v>
      </c>
      <c r="AT33" s="156" t="s">
        <v>19903</v>
      </c>
      <c r="AU33" s="156" t="s">
        <v>19903</v>
      </c>
      <c r="AV33" s="156" t="s">
        <v>19903</v>
      </c>
      <c r="AW33" s="158" t="s">
        <v>19909</v>
      </c>
      <c r="AX33" s="158" t="s">
        <v>19909</v>
      </c>
      <c r="AY33" s="158" t="s">
        <v>19901</v>
      </c>
      <c r="AZ33" s="156" t="s">
        <v>19903</v>
      </c>
      <c r="BA33" s="156" t="s">
        <v>19909</v>
      </c>
      <c r="BB33" s="156">
        <v>45853</v>
      </c>
    </row>
    <row r="34" spans="1:54" ht="18.75" customHeight="1">
      <c r="A34" s="158" t="s">
        <v>20086</v>
      </c>
      <c r="B34" s="157">
        <v>150000000</v>
      </c>
      <c r="C34" s="156"/>
      <c r="D34" s="156"/>
      <c r="E34" s="156"/>
      <c r="F34" s="157">
        <v>150000000</v>
      </c>
      <c r="G34" s="158" t="s">
        <v>20085</v>
      </c>
      <c r="H34" s="156" t="s">
        <v>14</v>
      </c>
      <c r="K34" s="158" t="s">
        <v>20066</v>
      </c>
      <c r="Q34" s="157">
        <v>150000000</v>
      </c>
      <c r="R34" s="156" t="s">
        <v>19903</v>
      </c>
      <c r="S34" s="156" t="s">
        <v>19903</v>
      </c>
      <c r="T34" s="158"/>
      <c r="U34" s="158"/>
      <c r="V34" s="156" t="s">
        <v>19905</v>
      </c>
      <c r="W34" s="156" t="s">
        <v>19906</v>
      </c>
      <c r="X34" s="158" t="s">
        <v>19907</v>
      </c>
      <c r="Y34" s="158" t="s">
        <v>19908</v>
      </c>
      <c r="Z34" s="158" t="s">
        <v>19909</v>
      </c>
      <c r="AA34" s="156" t="s">
        <v>19903</v>
      </c>
      <c r="AB34" s="156" t="s">
        <v>19905</v>
      </c>
      <c r="AC34" s="162" t="s">
        <v>19904</v>
      </c>
      <c r="AD34" s="156" t="s">
        <v>19903</v>
      </c>
      <c r="AE34" s="156" t="s">
        <v>19903</v>
      </c>
      <c r="AF34" s="156" t="s">
        <v>19904</v>
      </c>
      <c r="AH34" s="158" t="s">
        <v>20086</v>
      </c>
      <c r="AI34" s="156" t="s">
        <v>19905</v>
      </c>
      <c r="AJ34" s="158" t="s">
        <v>19941</v>
      </c>
      <c r="AK34" s="156" t="s">
        <v>20087</v>
      </c>
      <c r="AL34" s="158" t="s">
        <v>20088</v>
      </c>
      <c r="AM34" s="156" t="s">
        <v>19905</v>
      </c>
      <c r="AN34" s="158" t="s">
        <v>19941</v>
      </c>
      <c r="AO34" s="156" t="s">
        <v>19919</v>
      </c>
      <c r="AP34" s="158" t="s">
        <v>19920</v>
      </c>
      <c r="AQ34" s="156" t="s">
        <v>19903</v>
      </c>
      <c r="AR34" s="156" t="s">
        <v>19903</v>
      </c>
      <c r="AS34" s="156" t="s">
        <v>19903</v>
      </c>
      <c r="AT34" s="156" t="s">
        <v>19903</v>
      </c>
      <c r="AU34" s="156" t="s">
        <v>19903</v>
      </c>
      <c r="AV34" s="156" t="s">
        <v>19903</v>
      </c>
      <c r="AW34" s="158" t="s">
        <v>19909</v>
      </c>
      <c r="AX34" s="158" t="s">
        <v>19909</v>
      </c>
      <c r="AY34" s="158" t="s">
        <v>19901</v>
      </c>
      <c r="AZ34" s="156" t="s">
        <v>19903</v>
      </c>
      <c r="BA34" s="156" t="s">
        <v>19909</v>
      </c>
      <c r="BB34" s="156">
        <v>46013</v>
      </c>
    </row>
    <row r="35" spans="1:54" ht="18.75" customHeight="1">
      <c r="A35" s="166" t="s">
        <v>20091</v>
      </c>
      <c r="B35" s="157">
        <v>20000000</v>
      </c>
      <c r="C35" s="156"/>
      <c r="D35" s="156"/>
      <c r="E35" s="156"/>
      <c r="F35" s="157">
        <v>20000000</v>
      </c>
      <c r="G35" s="158" t="s">
        <v>20089</v>
      </c>
      <c r="H35" s="156" t="s">
        <v>14</v>
      </c>
      <c r="K35" s="158" t="s">
        <v>20090</v>
      </c>
      <c r="Q35" s="157">
        <v>20000000</v>
      </c>
      <c r="R35" s="156"/>
      <c r="S35" s="156"/>
      <c r="T35" s="158"/>
      <c r="U35" s="158"/>
      <c r="V35" s="156"/>
      <c r="W35" s="156"/>
      <c r="X35" s="158"/>
      <c r="Y35" s="158"/>
      <c r="Z35" s="158"/>
      <c r="AA35" s="156"/>
      <c r="AB35" s="156"/>
      <c r="AC35" s="162" t="s">
        <v>19954</v>
      </c>
      <c r="AD35" s="156"/>
      <c r="AE35" s="156"/>
      <c r="AF35" s="156"/>
      <c r="AH35" s="166" t="s">
        <v>20091</v>
      </c>
      <c r="AI35" s="156"/>
      <c r="AJ35" s="158"/>
      <c r="AK35" s="156"/>
      <c r="AL35" s="166" t="s">
        <v>20091</v>
      </c>
      <c r="AM35" s="156"/>
      <c r="AN35" s="158"/>
      <c r="AO35" s="156"/>
      <c r="AP35" s="158"/>
      <c r="AQ35" s="156"/>
      <c r="AR35" s="156"/>
      <c r="AS35" s="156"/>
      <c r="AT35" s="156"/>
      <c r="AU35" s="156"/>
      <c r="AV35" s="156"/>
      <c r="AW35" s="158"/>
      <c r="AX35" s="158"/>
      <c r="AY35" s="158"/>
      <c r="AZ35" s="156"/>
      <c r="BA35" s="156"/>
      <c r="BB35" s="156"/>
    </row>
    <row r="36" spans="1:54" ht="18.75" customHeight="1">
      <c r="A36" s="161" t="s">
        <v>20093</v>
      </c>
      <c r="B36" s="157">
        <v>20000000</v>
      </c>
      <c r="C36" s="156"/>
      <c r="D36" s="156"/>
      <c r="E36" s="156"/>
      <c r="F36" s="157">
        <v>16500000</v>
      </c>
      <c r="G36" s="158" t="s">
        <v>20092</v>
      </c>
      <c r="H36" s="156" t="s">
        <v>14</v>
      </c>
      <c r="K36" s="158" t="s">
        <v>20090</v>
      </c>
      <c r="Q36" s="157">
        <v>16500000</v>
      </c>
      <c r="R36" s="156" t="s">
        <v>19903</v>
      </c>
      <c r="S36" s="156" t="s">
        <v>19905</v>
      </c>
      <c r="T36" s="158"/>
      <c r="U36" s="158"/>
      <c r="V36" s="156" t="s">
        <v>19905</v>
      </c>
      <c r="W36" s="156" t="s">
        <v>19906</v>
      </c>
      <c r="X36" s="158" t="s">
        <v>19907</v>
      </c>
      <c r="Y36" s="158" t="s">
        <v>19908</v>
      </c>
      <c r="Z36" s="158" t="s">
        <v>19909</v>
      </c>
      <c r="AA36" s="156" t="s">
        <v>19903</v>
      </c>
      <c r="AB36" s="156" t="s">
        <v>19905</v>
      </c>
      <c r="AC36" s="162" t="s">
        <v>19954</v>
      </c>
      <c r="AD36" s="156" t="s">
        <v>19903</v>
      </c>
      <c r="AE36" s="156" t="s">
        <v>19903</v>
      </c>
      <c r="AF36" s="156" t="s">
        <v>19903</v>
      </c>
      <c r="AH36" s="161" t="s">
        <v>20093</v>
      </c>
      <c r="AI36" s="156" t="s">
        <v>20094</v>
      </c>
      <c r="AJ36" s="158" t="s">
        <v>20095</v>
      </c>
      <c r="AK36" s="156" t="s">
        <v>20096</v>
      </c>
      <c r="AL36" s="161" t="s">
        <v>20093</v>
      </c>
      <c r="AM36" s="156" t="s">
        <v>20094</v>
      </c>
      <c r="AN36" s="158" t="s">
        <v>20095</v>
      </c>
      <c r="AO36" s="156" t="s">
        <v>19905</v>
      </c>
      <c r="AP36" s="158"/>
      <c r="AQ36" s="156" t="s">
        <v>19905</v>
      </c>
      <c r="AR36" s="156" t="s">
        <v>19905</v>
      </c>
      <c r="AS36" s="156" t="s">
        <v>19903</v>
      </c>
      <c r="AT36" s="156" t="s">
        <v>19903</v>
      </c>
      <c r="AU36" s="156" t="s">
        <v>19905</v>
      </c>
      <c r="AV36" s="156" t="s">
        <v>19903</v>
      </c>
      <c r="AW36" s="158" t="s">
        <v>19909</v>
      </c>
      <c r="AX36" s="158" t="s">
        <v>19909</v>
      </c>
      <c r="AY36" s="158" t="s">
        <v>19901</v>
      </c>
      <c r="AZ36" s="156" t="s">
        <v>19903</v>
      </c>
      <c r="BA36" s="156" t="s">
        <v>19909</v>
      </c>
      <c r="BB36" s="156">
        <v>46010</v>
      </c>
    </row>
    <row r="37" spans="1:54" ht="18.75" customHeight="1">
      <c r="A37" s="158" t="s">
        <v>20099</v>
      </c>
      <c r="B37" s="157">
        <v>135000000</v>
      </c>
      <c r="C37" s="156"/>
      <c r="D37" s="156"/>
      <c r="E37" s="156"/>
      <c r="F37" s="157">
        <v>135000000</v>
      </c>
      <c r="G37" s="158" t="s">
        <v>20097</v>
      </c>
      <c r="H37" s="156" t="s">
        <v>14</v>
      </c>
      <c r="K37" s="158" t="s">
        <v>20098</v>
      </c>
      <c r="Q37" s="157">
        <v>135000000</v>
      </c>
      <c r="R37" s="156" t="s">
        <v>19903</v>
      </c>
      <c r="S37" s="156" t="s">
        <v>19903</v>
      </c>
      <c r="T37" s="158"/>
      <c r="U37" s="158"/>
      <c r="V37" s="156" t="s">
        <v>19905</v>
      </c>
      <c r="W37" s="156" t="s">
        <v>19906</v>
      </c>
      <c r="X37" s="158" t="s">
        <v>19907</v>
      </c>
      <c r="Y37" s="158" t="s">
        <v>19908</v>
      </c>
      <c r="Z37" s="158" t="s">
        <v>19909</v>
      </c>
      <c r="AA37" s="156" t="s">
        <v>19903</v>
      </c>
      <c r="AB37" s="156" t="s">
        <v>19905</v>
      </c>
      <c r="AC37" s="162" t="s">
        <v>19904</v>
      </c>
      <c r="AD37" s="156" t="s">
        <v>19903</v>
      </c>
      <c r="AE37" s="156" t="s">
        <v>19903</v>
      </c>
      <c r="AF37" s="156" t="s">
        <v>19903</v>
      </c>
      <c r="AH37" s="158" t="s">
        <v>20099</v>
      </c>
      <c r="AI37" s="156" t="s">
        <v>20100</v>
      </c>
      <c r="AJ37" s="158" t="s">
        <v>20101</v>
      </c>
      <c r="AK37" s="156" t="s">
        <v>20102</v>
      </c>
      <c r="AL37" s="158" t="s">
        <v>20099</v>
      </c>
      <c r="AM37" s="156" t="s">
        <v>20100</v>
      </c>
      <c r="AN37" s="158" t="s">
        <v>20101</v>
      </c>
      <c r="AO37" s="156" t="s">
        <v>19910</v>
      </c>
      <c r="AP37" s="158" t="s">
        <v>19911</v>
      </c>
      <c r="AQ37" s="156" t="s">
        <v>19903</v>
      </c>
      <c r="AR37" s="156" t="s">
        <v>19903</v>
      </c>
      <c r="AS37" s="156" t="s">
        <v>19903</v>
      </c>
      <c r="AT37" s="156" t="s">
        <v>19903</v>
      </c>
      <c r="AU37" s="156" t="s">
        <v>19903</v>
      </c>
      <c r="AV37" s="156" t="s">
        <v>19903</v>
      </c>
      <c r="AW37" s="158" t="s">
        <v>19909</v>
      </c>
      <c r="AX37" s="158" t="s">
        <v>19909</v>
      </c>
      <c r="AY37" s="158" t="s">
        <v>19901</v>
      </c>
      <c r="AZ37" s="156" t="s">
        <v>19903</v>
      </c>
      <c r="BA37" s="156" t="s">
        <v>19909</v>
      </c>
      <c r="BB37" s="156">
        <v>45989</v>
      </c>
    </row>
    <row r="38" spans="1:54" ht="18.75" customHeight="1">
      <c r="A38" s="161" t="s">
        <v>20103</v>
      </c>
      <c r="B38" s="157">
        <v>12000000</v>
      </c>
      <c r="C38" s="156"/>
      <c r="D38" s="156"/>
      <c r="E38" s="156"/>
      <c r="F38" s="157">
        <v>12000000</v>
      </c>
      <c r="G38" s="158" t="s">
        <v>20097</v>
      </c>
      <c r="H38" s="156" t="s">
        <v>14</v>
      </c>
      <c r="K38" s="158" t="s">
        <v>20098</v>
      </c>
      <c r="Q38" s="157">
        <v>12000000</v>
      </c>
      <c r="R38" s="156" t="s">
        <v>19903</v>
      </c>
      <c r="S38" s="156" t="s">
        <v>19903</v>
      </c>
      <c r="T38" s="158"/>
      <c r="U38" s="158"/>
      <c r="V38" s="156" t="s">
        <v>19905</v>
      </c>
      <c r="W38" s="156" t="s">
        <v>19906</v>
      </c>
      <c r="X38" s="158" t="s">
        <v>19907</v>
      </c>
      <c r="Y38" s="158" t="s">
        <v>19908</v>
      </c>
      <c r="Z38" s="158" t="s">
        <v>19909</v>
      </c>
      <c r="AA38" s="156" t="s">
        <v>19903</v>
      </c>
      <c r="AB38" s="156" t="s">
        <v>19905</v>
      </c>
      <c r="AC38" s="156" t="s">
        <v>20074</v>
      </c>
      <c r="AD38" s="156" t="s">
        <v>19903</v>
      </c>
      <c r="AE38" s="156" t="s">
        <v>19903</v>
      </c>
      <c r="AF38" s="156" t="s">
        <v>19903</v>
      </c>
      <c r="AH38" s="161" t="s">
        <v>20103</v>
      </c>
      <c r="AI38" s="156" t="s">
        <v>20100</v>
      </c>
      <c r="AJ38" s="158" t="s">
        <v>20101</v>
      </c>
      <c r="AK38" s="156" t="s">
        <v>20102</v>
      </c>
      <c r="AL38" s="158" t="s">
        <v>20099</v>
      </c>
      <c r="AM38" s="156" t="s">
        <v>20100</v>
      </c>
      <c r="AN38" s="158" t="s">
        <v>20101</v>
      </c>
      <c r="AO38" s="156" t="s">
        <v>19910</v>
      </c>
      <c r="AP38" s="158" t="s">
        <v>19911</v>
      </c>
      <c r="AQ38" s="156" t="s">
        <v>19903</v>
      </c>
      <c r="AR38" s="156" t="s">
        <v>19903</v>
      </c>
      <c r="AS38" s="156" t="s">
        <v>19903</v>
      </c>
      <c r="AT38" s="156" t="s">
        <v>19903</v>
      </c>
      <c r="AU38" s="156" t="s">
        <v>19903</v>
      </c>
      <c r="AV38" s="156" t="s">
        <v>19903</v>
      </c>
      <c r="AW38" s="158" t="s">
        <v>19909</v>
      </c>
      <c r="AX38" s="158" t="s">
        <v>19909</v>
      </c>
      <c r="AY38" s="158" t="s">
        <v>19901</v>
      </c>
      <c r="AZ38" s="156" t="s">
        <v>19903</v>
      </c>
      <c r="BA38" s="156" t="s">
        <v>19909</v>
      </c>
      <c r="BB38" s="156">
        <v>45989</v>
      </c>
    </row>
    <row r="39" spans="1:54" ht="18.75" customHeight="1">
      <c r="A39"/>
      <c r="B39"/>
      <c r="H39" s="1"/>
      <c r="Q39"/>
    </row>
    <row r="40" spans="1:54" ht="18.75" customHeight="1">
      <c r="H40" s="1"/>
      <c r="Q40"/>
    </row>
    <row r="41" spans="1:54" ht="18.75" customHeight="1">
      <c r="H41" s="1"/>
      <c r="Q41"/>
    </row>
    <row r="42" spans="1:54" ht="18.75" customHeight="1">
      <c r="H42" s="1"/>
      <c r="Q42"/>
    </row>
    <row r="43" spans="1:54" ht="18.75" customHeight="1">
      <c r="H43" s="1"/>
      <c r="Q43"/>
    </row>
    <row r="44" spans="1:54" ht="18.75" customHeight="1">
      <c r="H44" s="1"/>
      <c r="Q44"/>
    </row>
    <row r="45" spans="1:54" ht="18.75" customHeight="1">
      <c r="H45" s="1"/>
      <c r="Q45"/>
    </row>
    <row r="46" spans="1:54" s="55" customFormat="1" ht="18.75" customHeight="1">
      <c r="A46" s="91"/>
      <c r="B46" s="3"/>
      <c r="C46"/>
      <c r="D46"/>
      <c r="E46"/>
      <c r="F46"/>
      <c r="G46"/>
      <c r="H46" s="1"/>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row>
    <row r="47" spans="1:54" ht="18.75" customHeight="1">
      <c r="H47" s="1"/>
      <c r="Q47"/>
    </row>
    <row r="48" spans="1:54" ht="18.75" customHeight="1">
      <c r="H48" s="1"/>
      <c r="Q48"/>
    </row>
    <row r="49" spans="8:17" ht="18.75" customHeight="1">
      <c r="H49" s="1"/>
      <c r="Q49"/>
    </row>
    <row r="50" spans="8:17" ht="18.75" customHeight="1">
      <c r="H50" s="1"/>
      <c r="Q50"/>
    </row>
    <row r="51" spans="8:17" ht="18.75" customHeight="1">
      <c r="H51" s="1"/>
      <c r="Q51"/>
    </row>
    <row r="52" spans="8:17" ht="18.75" customHeight="1">
      <c r="H52" s="1"/>
      <c r="Q52"/>
    </row>
    <row r="53" spans="8:17" ht="18.75" customHeight="1">
      <c r="H53" s="1"/>
      <c r="Q53"/>
    </row>
    <row r="54" spans="8:17" ht="18.75" customHeight="1">
      <c r="H54" s="1"/>
      <c r="Q54"/>
    </row>
    <row r="55" spans="8:17" ht="18.75" customHeight="1">
      <c r="H55" s="1"/>
      <c r="Q55"/>
    </row>
    <row r="56" spans="8:17" ht="18.75" customHeight="1">
      <c r="H56" s="1"/>
      <c r="Q56"/>
    </row>
    <row r="57" spans="8:17" ht="18.75" customHeight="1">
      <c r="H57" s="1"/>
      <c r="Q57"/>
    </row>
    <row r="58" spans="8:17" ht="18.75" customHeight="1">
      <c r="H58" s="1"/>
      <c r="Q58"/>
    </row>
    <row r="59" spans="8:17" ht="18.75" customHeight="1">
      <c r="H59" s="1"/>
      <c r="Q59"/>
    </row>
    <row r="60" spans="8:17" ht="18.75" customHeight="1">
      <c r="H60" s="1"/>
      <c r="Q60"/>
    </row>
    <row r="61" spans="8:17" ht="18.75" customHeight="1">
      <c r="H61" s="1"/>
      <c r="Q61"/>
    </row>
    <row r="62" spans="8:17" ht="18.75" customHeight="1">
      <c r="H62" s="1"/>
      <c r="Q62"/>
    </row>
    <row r="63" spans="8:17" ht="18.75" customHeight="1">
      <c r="H63" s="1"/>
      <c r="Q63"/>
    </row>
    <row r="64" spans="8:17" ht="18.75" customHeight="1">
      <c r="H64" s="1"/>
      <c r="Q64"/>
    </row>
    <row r="65" spans="8:17" ht="18.75" customHeight="1">
      <c r="H65" s="1"/>
      <c r="Q65"/>
    </row>
    <row r="66" spans="8:17" ht="18.75" customHeight="1">
      <c r="H66" s="1"/>
      <c r="Q66"/>
    </row>
    <row r="67" spans="8:17" ht="18.75" customHeight="1">
      <c r="H67" s="1"/>
      <c r="Q67"/>
    </row>
    <row r="68" spans="8:17" ht="18.75" customHeight="1">
      <c r="H68" s="1"/>
      <c r="Q68"/>
    </row>
    <row r="69" spans="8:17" ht="18.75" customHeight="1">
      <c r="H69" s="1"/>
      <c r="Q69"/>
    </row>
    <row r="70" spans="8:17" ht="18.75" customHeight="1">
      <c r="H70" s="1"/>
      <c r="Q70"/>
    </row>
    <row r="71" spans="8:17" ht="18.75" customHeight="1">
      <c r="H71" s="1"/>
      <c r="Q71"/>
    </row>
    <row r="72" spans="8:17" ht="18.75" customHeight="1">
      <c r="H72" s="1"/>
      <c r="Q72"/>
    </row>
    <row r="73" spans="8:17" ht="18.75" customHeight="1">
      <c r="H73" s="1"/>
      <c r="Q73"/>
    </row>
    <row r="74" spans="8:17" ht="18.75" customHeight="1">
      <c r="H74" s="1"/>
      <c r="Q74"/>
    </row>
    <row r="75" spans="8:17" ht="18.75" customHeight="1">
      <c r="H75" s="1"/>
      <c r="Q75"/>
    </row>
    <row r="76" spans="8:17" ht="18.75" customHeight="1">
      <c r="H76" s="1"/>
      <c r="Q76"/>
    </row>
    <row r="77" spans="8:17" ht="18.75" customHeight="1">
      <c r="H77" s="1"/>
      <c r="Q77"/>
    </row>
    <row r="78" spans="8:17" ht="18.75" customHeight="1">
      <c r="H78" s="1"/>
      <c r="Q78"/>
    </row>
    <row r="79" spans="8:17" ht="18.75" customHeight="1">
      <c r="H79" s="1"/>
      <c r="Q79"/>
    </row>
    <row r="80" spans="8:17" ht="18.75" customHeight="1">
      <c r="H80" s="1"/>
      <c r="Q80"/>
    </row>
    <row r="81" spans="8:17" ht="18.75" customHeight="1">
      <c r="H81" s="1"/>
      <c r="Q81"/>
    </row>
    <row r="82" spans="8:17" ht="18.75" customHeight="1">
      <c r="H82" s="1"/>
      <c r="Q82"/>
    </row>
    <row r="83" spans="8:17" ht="18.75" customHeight="1">
      <c r="H83" s="1"/>
      <c r="Q83"/>
    </row>
    <row r="84" spans="8:17" ht="18.75" customHeight="1">
      <c r="H84" s="1"/>
      <c r="Q84"/>
    </row>
    <row r="85" spans="8:17" ht="18.75" customHeight="1">
      <c r="H85" s="1"/>
      <c r="Q85"/>
    </row>
    <row r="86" spans="8:17" ht="18.75" customHeight="1">
      <c r="H86" s="1"/>
      <c r="Q86"/>
    </row>
    <row r="87" spans="8:17" ht="18.75" customHeight="1">
      <c r="H87" s="1"/>
      <c r="Q87"/>
    </row>
    <row r="88" spans="8:17" ht="18.75" customHeight="1"/>
    <row r="89" spans="8:17" ht="18.75" customHeight="1"/>
    <row r="90" spans="8:17" ht="18.75" customHeight="1"/>
    <row r="91" spans="8:17" ht="18.75" customHeight="1"/>
    <row r="92" spans="8:17" ht="18.75" customHeight="1"/>
    <row r="93" spans="8:17" ht="18.75" customHeight="1"/>
    <row r="94" spans="8:17" ht="18.75" customHeight="1"/>
    <row r="95" spans="8:17" ht="18.75" customHeight="1"/>
    <row r="96" spans="8:17" ht="18.75" customHeight="1"/>
    <row r="97" ht="18.75" customHeight="1"/>
    <row r="98" ht="18.75" customHeight="1"/>
    <row r="99" ht="18.75" customHeight="1"/>
    <row r="100" ht="18.75" customHeight="1"/>
    <row r="101" ht="18.75" customHeight="1"/>
    <row r="102" ht="18.75" customHeight="1"/>
    <row r="103" ht="18.75" customHeight="1"/>
    <row r="104" ht="18.75" customHeight="1"/>
    <row r="105" ht="18.75" customHeight="1"/>
    <row r="106" ht="18.75" customHeight="1"/>
    <row r="107" ht="18.75" customHeight="1"/>
    <row r="108" ht="18.75" customHeight="1"/>
    <row r="109" ht="18.75" customHeight="1"/>
    <row r="110" ht="18.75" customHeight="1"/>
    <row r="111" ht="18.75" customHeight="1"/>
    <row r="112" ht="18.75" customHeight="1"/>
    <row r="113" ht="18.75" customHeight="1"/>
    <row r="114" ht="18.75" customHeight="1"/>
    <row r="115" ht="18.75" customHeight="1"/>
    <row r="116" ht="18.75" customHeight="1"/>
    <row r="117" ht="18.75" customHeight="1"/>
    <row r="118" ht="18.75" customHeight="1"/>
    <row r="119" ht="18.75" customHeight="1"/>
    <row r="120" ht="18.75" customHeight="1"/>
    <row r="121" ht="18.75" customHeight="1"/>
    <row r="122" ht="18.75" customHeight="1"/>
    <row r="123" ht="18.75" customHeight="1"/>
    <row r="124" ht="18.75" customHeight="1"/>
    <row r="125" ht="18.75" customHeight="1"/>
    <row r="126" ht="18.75" customHeight="1"/>
    <row r="127" ht="18.75" customHeight="1"/>
    <row r="128" ht="18.75" customHeight="1"/>
    <row r="129" ht="18.75" customHeight="1"/>
    <row r="130" ht="18.75" customHeight="1"/>
    <row r="131" ht="18.75" customHeight="1"/>
    <row r="132" ht="18.75" customHeight="1"/>
    <row r="133" ht="18.75" customHeight="1"/>
    <row r="134" ht="18.75" customHeight="1"/>
    <row r="135" ht="18.75" customHeight="1"/>
    <row r="136" ht="18.75" customHeight="1"/>
    <row r="137" ht="18.75" customHeight="1"/>
    <row r="138" ht="18.75" customHeight="1"/>
    <row r="139" ht="18.75" customHeight="1"/>
    <row r="140" ht="18.75" customHeight="1"/>
    <row r="141" ht="18.75" customHeight="1"/>
    <row r="142" ht="18.75" customHeight="1"/>
    <row r="143" ht="18.75" customHeight="1"/>
    <row r="144" ht="18.75" customHeight="1"/>
    <row r="145" ht="18.75" customHeight="1"/>
    <row r="146" ht="18.75" customHeight="1"/>
    <row r="147" ht="18.75" customHeight="1"/>
    <row r="148" ht="18.75" customHeight="1"/>
    <row r="149" ht="18.75" customHeight="1"/>
    <row r="150" ht="18.75" customHeight="1"/>
    <row r="151" ht="18.75" customHeight="1"/>
    <row r="152" ht="18.75" customHeight="1"/>
    <row r="153" ht="18.75" customHeight="1"/>
    <row r="154" ht="18.75" customHeight="1"/>
    <row r="155" ht="18.75" customHeight="1"/>
    <row r="156" ht="18.75" customHeight="1"/>
    <row r="157" ht="18.75" customHeight="1"/>
    <row r="158" ht="18.75" customHeight="1"/>
    <row r="159" ht="18.75" customHeight="1"/>
    <row r="160" ht="18.75" customHeight="1"/>
    <row r="161" ht="18.75" customHeight="1"/>
    <row r="162" ht="18.75" customHeight="1"/>
    <row r="163" ht="18.75" customHeight="1"/>
    <row r="164" ht="18.75" customHeight="1"/>
    <row r="165" ht="18.75" customHeight="1"/>
    <row r="166" ht="18.75" customHeight="1"/>
    <row r="167" ht="18.75" customHeight="1"/>
    <row r="168" ht="18.75" customHeight="1"/>
    <row r="169" ht="18.75" customHeight="1"/>
    <row r="170" ht="18.75" customHeight="1"/>
    <row r="171" ht="18.75" customHeight="1"/>
    <row r="172" ht="18.75" customHeight="1"/>
    <row r="173" ht="18.75" customHeight="1"/>
    <row r="174" ht="18.75" customHeight="1"/>
    <row r="175" ht="18.75" customHeight="1"/>
    <row r="176" ht="18.75" customHeight="1"/>
    <row r="177" ht="18.75" customHeight="1"/>
    <row r="178" ht="18.75" customHeight="1"/>
    <row r="179" ht="18.75" customHeight="1"/>
    <row r="180" ht="18.75" customHeight="1"/>
    <row r="181" ht="18.75" customHeight="1"/>
    <row r="182" ht="18.75" customHeight="1"/>
    <row r="183" ht="18.75" customHeight="1"/>
    <row r="184" ht="18.75" customHeight="1"/>
    <row r="185" ht="18.75" customHeight="1"/>
    <row r="186" ht="18.75" customHeight="1"/>
    <row r="187" ht="18.75" customHeight="1"/>
    <row r="188" ht="18.75" customHeight="1"/>
    <row r="189" ht="18.75" customHeight="1"/>
    <row r="190" ht="18.75" customHeight="1"/>
    <row r="191" ht="18.75" customHeight="1"/>
    <row r="192" ht="18.75" customHeight="1"/>
    <row r="193" ht="18.75" customHeight="1"/>
    <row r="194" ht="18.75" customHeight="1"/>
    <row r="195" ht="18.75" customHeight="1"/>
    <row r="196" ht="18.75" customHeight="1"/>
    <row r="197" ht="18.75" customHeight="1"/>
    <row r="198" ht="18.75" customHeight="1"/>
    <row r="199" ht="18.75" customHeight="1"/>
    <row r="200" ht="18.75" customHeight="1"/>
    <row r="201" ht="18.75" customHeight="1"/>
    <row r="202" ht="18.75" customHeight="1"/>
    <row r="203" ht="18.75" customHeight="1"/>
    <row r="204" ht="18.75" customHeight="1"/>
    <row r="205" ht="18.75" customHeight="1"/>
    <row r="206" ht="18.75" customHeight="1"/>
    <row r="207" ht="18.75" customHeight="1"/>
    <row r="208" ht="18.75" customHeight="1"/>
    <row r="209" ht="18.75" customHeight="1"/>
    <row r="210" ht="18.75" customHeight="1"/>
    <row r="211" ht="18.75" customHeight="1"/>
    <row r="212" ht="18.75" customHeight="1"/>
    <row r="213" ht="18.75" customHeight="1"/>
    <row r="214" ht="18.75" customHeight="1"/>
    <row r="215" ht="18.75" customHeight="1"/>
    <row r="216" ht="18.75" customHeight="1"/>
    <row r="217" ht="18.75" customHeight="1"/>
    <row r="218" ht="18.75" customHeight="1"/>
    <row r="219" ht="18.75" customHeight="1"/>
    <row r="220" ht="18.75" customHeight="1"/>
    <row r="221" ht="18.75" customHeight="1"/>
    <row r="222" ht="18.75" customHeight="1"/>
    <row r="223" ht="18.75" customHeight="1"/>
    <row r="224" ht="18.75" customHeight="1"/>
    <row r="225" ht="18.75" customHeight="1"/>
    <row r="226" ht="18.75" customHeight="1"/>
    <row r="227" ht="18.75" customHeight="1"/>
    <row r="228" ht="18.75" customHeight="1"/>
    <row r="229" ht="18.75" customHeight="1"/>
    <row r="230" ht="18.75" customHeight="1"/>
    <row r="231" ht="18.75" customHeight="1"/>
    <row r="232" ht="18.75" customHeight="1"/>
    <row r="233" ht="18.75" customHeight="1"/>
    <row r="234" ht="18.75" customHeight="1"/>
    <row r="235" ht="18.75" customHeight="1"/>
    <row r="236" ht="18.75" customHeight="1"/>
    <row r="237" ht="18.75" customHeight="1"/>
    <row r="238" ht="18.75" customHeight="1"/>
    <row r="239" ht="18.75" customHeight="1"/>
    <row r="240" ht="18.75" customHeight="1"/>
    <row r="241" ht="18.75" customHeight="1"/>
    <row r="242" ht="18.75" customHeight="1"/>
    <row r="243" ht="18.75" customHeight="1"/>
    <row r="244" ht="18.75" customHeight="1"/>
    <row r="245" ht="18.75" customHeight="1"/>
    <row r="246" ht="18.75" customHeight="1"/>
    <row r="247" ht="18.75" customHeight="1"/>
    <row r="248" ht="18.75" customHeight="1"/>
    <row r="249" ht="18.75" customHeight="1"/>
    <row r="250" ht="18.75" customHeight="1"/>
    <row r="251" ht="18.75" customHeight="1"/>
    <row r="252" ht="18.75" customHeight="1"/>
    <row r="253" ht="18.75" customHeight="1"/>
    <row r="254" ht="18.75" customHeight="1"/>
    <row r="255" ht="18.75" customHeight="1"/>
    <row r="256" ht="18.75" customHeight="1"/>
    <row r="257" ht="18.75" customHeight="1"/>
    <row r="258" ht="18.75" customHeight="1"/>
    <row r="259" ht="18.75" customHeight="1"/>
    <row r="260" ht="18.75" customHeight="1"/>
    <row r="261" ht="18.75" customHeight="1"/>
    <row r="262" ht="18.75" customHeight="1"/>
    <row r="263" ht="18.75" customHeight="1"/>
    <row r="264" ht="18.75" customHeight="1"/>
    <row r="265" ht="18.75" customHeight="1"/>
    <row r="266" ht="18.75" customHeight="1"/>
    <row r="267" ht="18.75" customHeight="1"/>
    <row r="268" ht="18.75" customHeight="1"/>
    <row r="269" ht="18.75" customHeight="1"/>
    <row r="270" ht="18.75" customHeight="1"/>
    <row r="271" ht="18.75" customHeight="1"/>
    <row r="272" ht="18.75" customHeight="1"/>
    <row r="273" ht="18.75" customHeight="1"/>
    <row r="274" ht="18.75" customHeight="1"/>
    <row r="275" ht="18.75" customHeight="1"/>
    <row r="276" ht="18.75" customHeight="1"/>
    <row r="277" ht="18.75" customHeight="1"/>
    <row r="278" ht="18.75" customHeight="1"/>
    <row r="279" ht="18.75" customHeight="1"/>
    <row r="280" ht="18.75" customHeight="1"/>
    <row r="281" ht="18.75" customHeight="1"/>
    <row r="282" ht="18.75" customHeight="1"/>
    <row r="283" ht="18.75" customHeight="1"/>
    <row r="284" ht="18.75" customHeight="1"/>
    <row r="285" ht="18.75" customHeight="1"/>
    <row r="286" ht="18.75" customHeight="1"/>
    <row r="287" ht="18.75" customHeight="1"/>
    <row r="288" ht="18.75" customHeight="1"/>
    <row r="289" ht="18.75" customHeight="1"/>
    <row r="290" ht="18.75" customHeight="1"/>
    <row r="291" ht="18.75" customHeight="1"/>
    <row r="292" ht="18.75" customHeight="1"/>
    <row r="293" ht="18.75" customHeight="1"/>
    <row r="294" ht="18.75" customHeight="1"/>
    <row r="295" ht="18.75" customHeight="1"/>
    <row r="296" ht="18.75" customHeight="1"/>
    <row r="297" ht="18.75" customHeight="1"/>
    <row r="298" ht="18.75" customHeight="1"/>
    <row r="299" ht="18.75" customHeight="1"/>
    <row r="300" ht="18.75" customHeight="1"/>
    <row r="301" ht="18.75" customHeight="1"/>
    <row r="302" ht="18.75" customHeight="1"/>
    <row r="303" ht="18.75" customHeight="1"/>
    <row r="304" ht="18.75" customHeight="1"/>
    <row r="305" ht="18.75" customHeight="1"/>
    <row r="306" ht="18.75" customHeight="1"/>
    <row r="307" ht="18.75" customHeight="1"/>
    <row r="308" ht="18.75" customHeight="1"/>
    <row r="309" ht="18.75" customHeight="1"/>
    <row r="310" ht="18.75" customHeight="1"/>
    <row r="311" ht="18.75" customHeight="1"/>
    <row r="312" ht="18.75" customHeight="1"/>
    <row r="313" ht="18.75" customHeight="1"/>
    <row r="314" ht="18.75" customHeight="1"/>
    <row r="315" ht="18.75" customHeight="1"/>
    <row r="316" ht="18.75" customHeight="1"/>
    <row r="317" ht="18.75" customHeight="1"/>
    <row r="318" ht="18.75" customHeight="1"/>
    <row r="319" ht="18.75" customHeight="1"/>
    <row r="320" ht="18.75" customHeight="1"/>
    <row r="321" ht="18.75" customHeight="1"/>
    <row r="322" ht="18.75" customHeight="1"/>
    <row r="323" ht="18.75" customHeight="1"/>
    <row r="324" ht="18.75" customHeight="1"/>
    <row r="325" ht="18.75" customHeight="1"/>
    <row r="326" ht="18.75" customHeight="1"/>
    <row r="327" ht="18.75" customHeight="1"/>
    <row r="328" ht="18.75" customHeight="1"/>
    <row r="329" ht="18.75" customHeight="1"/>
    <row r="330" ht="18.75" customHeight="1"/>
    <row r="331" ht="18.75" customHeight="1"/>
    <row r="332" ht="18.75" customHeight="1"/>
    <row r="333" ht="18.75" customHeight="1"/>
    <row r="334" ht="18.75" customHeight="1"/>
    <row r="335" ht="18.75" customHeight="1"/>
    <row r="336" ht="18.75" customHeight="1"/>
    <row r="337" ht="18.75" customHeight="1"/>
    <row r="338" ht="18.75" customHeight="1"/>
    <row r="339" ht="18.75" customHeight="1"/>
    <row r="340" ht="18.75" customHeight="1"/>
    <row r="341" ht="18.75" customHeight="1"/>
    <row r="342" ht="18.75" customHeight="1"/>
    <row r="343" ht="18.75" customHeight="1"/>
    <row r="344" ht="18.75" customHeight="1"/>
    <row r="345" ht="18.75" customHeight="1"/>
    <row r="346" ht="18.75" customHeight="1"/>
    <row r="347" ht="18.75" customHeight="1"/>
    <row r="348" ht="18.75" customHeight="1"/>
    <row r="349" ht="18.75" customHeight="1"/>
    <row r="350" ht="18.75" customHeight="1"/>
    <row r="351" ht="18.75" customHeight="1"/>
    <row r="352" ht="18.75" customHeight="1"/>
    <row r="353" ht="18.75" customHeight="1"/>
    <row r="354" ht="18.75" customHeight="1"/>
    <row r="355" ht="18.75" customHeight="1"/>
    <row r="356" ht="18.75" customHeight="1"/>
    <row r="357" ht="18.75" customHeight="1"/>
    <row r="358" ht="18.75" customHeight="1"/>
    <row r="359" ht="18.75" customHeight="1"/>
    <row r="360" ht="18.75" customHeight="1"/>
    <row r="361" ht="18.75" customHeight="1"/>
    <row r="362" ht="18.75" customHeight="1"/>
    <row r="363" ht="18.75" customHeight="1"/>
    <row r="364" ht="18.75" customHeight="1"/>
    <row r="365" ht="18.75" customHeight="1"/>
    <row r="366" ht="18.75" customHeight="1"/>
    <row r="367" ht="18.75" customHeight="1"/>
    <row r="368" ht="18.75" customHeight="1"/>
    <row r="369" ht="18.75" customHeight="1"/>
    <row r="370" ht="18.75" customHeight="1"/>
    <row r="371" ht="18.75" customHeight="1"/>
    <row r="372" ht="18.75" customHeight="1"/>
    <row r="373" ht="18.75" customHeight="1"/>
    <row r="374" ht="18.75" customHeight="1"/>
    <row r="375" ht="18.75" customHeight="1"/>
    <row r="376" ht="18.75" customHeight="1"/>
    <row r="377" ht="18.75" customHeight="1"/>
    <row r="378" ht="18.75" customHeight="1"/>
    <row r="379" ht="18.75" customHeight="1"/>
    <row r="380" ht="18.75" customHeight="1"/>
    <row r="381" ht="18.75" customHeight="1"/>
    <row r="382" ht="18.75" customHeight="1"/>
    <row r="383" ht="18.75" customHeight="1"/>
    <row r="384" ht="18.75" customHeight="1"/>
    <row r="385" ht="18.75" customHeight="1"/>
    <row r="386" ht="18.75" customHeight="1"/>
    <row r="387" ht="18.75" customHeight="1"/>
    <row r="388" ht="18.75" customHeight="1"/>
    <row r="389" ht="18.75" customHeight="1"/>
    <row r="390" ht="18.75" customHeight="1"/>
    <row r="391" ht="18.75" customHeight="1"/>
    <row r="392" ht="18.75" customHeight="1"/>
    <row r="393" ht="18.75" customHeight="1"/>
    <row r="394" ht="18.75" customHeight="1"/>
    <row r="395" ht="18.75" customHeight="1"/>
    <row r="396" ht="18.75" customHeight="1"/>
    <row r="397" ht="18.75" customHeight="1"/>
    <row r="398" ht="18.75" customHeight="1"/>
    <row r="399" ht="18.75" customHeight="1"/>
    <row r="400" ht="18.75" customHeight="1"/>
    <row r="401" ht="18.75" customHeight="1"/>
    <row r="402" ht="18.75" customHeight="1"/>
    <row r="403" ht="18.75" customHeight="1"/>
    <row r="404" ht="18.75" customHeight="1"/>
    <row r="405" ht="18.75" customHeight="1"/>
    <row r="406" ht="18.75" customHeight="1"/>
    <row r="407" ht="18.75" customHeight="1"/>
    <row r="408" ht="18.75" customHeight="1"/>
    <row r="409" ht="18.75" customHeight="1"/>
    <row r="410" ht="18.75" customHeight="1"/>
    <row r="411" ht="18.75" customHeight="1"/>
    <row r="412" ht="18.75" customHeight="1"/>
    <row r="413" ht="18.75" customHeight="1"/>
    <row r="414" ht="18.75" customHeight="1"/>
    <row r="415" ht="18.75" customHeight="1"/>
    <row r="416" ht="18.75" customHeight="1"/>
    <row r="417" ht="18.75" customHeight="1"/>
    <row r="418" ht="18.75" customHeight="1"/>
    <row r="419" ht="18.75" customHeight="1"/>
    <row r="420" ht="18.75" customHeight="1"/>
    <row r="421" ht="18.75" customHeight="1"/>
    <row r="422" ht="18.75" customHeight="1"/>
    <row r="423" ht="18.75" customHeight="1"/>
    <row r="424" ht="18.75" customHeight="1"/>
    <row r="425" ht="18.75" customHeight="1"/>
    <row r="426" ht="18.75" customHeight="1"/>
    <row r="427" ht="18.75" customHeight="1"/>
    <row r="428" ht="18.75" customHeight="1"/>
    <row r="429" ht="18.75" customHeight="1"/>
    <row r="430" ht="18.75" customHeight="1"/>
    <row r="431" ht="18.75" customHeight="1"/>
    <row r="432" ht="18.75" customHeight="1"/>
    <row r="433" ht="18.75" customHeight="1"/>
    <row r="434" ht="18.75" customHeight="1"/>
    <row r="435" ht="18.75" customHeight="1"/>
    <row r="436" ht="18.75" customHeight="1"/>
    <row r="437" ht="18.75" customHeight="1"/>
    <row r="438" ht="18.75" customHeight="1"/>
    <row r="439" ht="18.75" customHeight="1"/>
    <row r="440" ht="18.75" customHeight="1"/>
    <row r="441" ht="18.75" customHeight="1"/>
    <row r="442" ht="18.75" customHeight="1"/>
    <row r="443" ht="18.75" customHeight="1"/>
    <row r="444" ht="18.75" customHeight="1"/>
    <row r="445" ht="18.75" customHeight="1"/>
    <row r="446" ht="18.75" customHeight="1"/>
    <row r="447" ht="18.75" customHeight="1"/>
    <row r="448" ht="18.75" customHeight="1"/>
    <row r="449" ht="18.75" customHeight="1"/>
    <row r="450" ht="18.75" customHeight="1"/>
    <row r="451" ht="18.75" customHeight="1"/>
    <row r="452" ht="18.75" customHeight="1"/>
    <row r="453" ht="18.75" customHeight="1"/>
    <row r="454" ht="18.75" customHeight="1"/>
    <row r="455" ht="18.75" customHeight="1"/>
    <row r="456" ht="18.75" customHeight="1"/>
    <row r="457" ht="18.75" customHeight="1"/>
    <row r="458" ht="18.75" customHeight="1"/>
    <row r="459" ht="18.75" customHeight="1"/>
    <row r="460" ht="18.75" customHeight="1"/>
    <row r="461" ht="18.75" customHeight="1"/>
    <row r="462" ht="18.75" customHeight="1"/>
    <row r="463" ht="18.75" customHeight="1"/>
    <row r="464" ht="18.75" customHeight="1"/>
    <row r="465" ht="18.75" customHeight="1"/>
    <row r="466" ht="18.75" customHeight="1"/>
    <row r="467" ht="18.75" customHeight="1"/>
    <row r="468" ht="18.75" customHeight="1"/>
    <row r="469" ht="18.75" customHeight="1"/>
    <row r="470" ht="18.75" customHeight="1"/>
    <row r="471" ht="18.75" customHeight="1"/>
    <row r="472" ht="18.75" customHeight="1"/>
    <row r="473" ht="18.75" customHeight="1"/>
    <row r="474" ht="18.75" customHeight="1"/>
    <row r="475" ht="18.75" customHeight="1"/>
    <row r="476" ht="18.75" customHeight="1"/>
    <row r="477" ht="18.75" customHeight="1"/>
    <row r="478" ht="18.75" customHeight="1"/>
    <row r="479" ht="18.75" customHeight="1"/>
    <row r="480" ht="18.75" customHeight="1"/>
    <row r="481" ht="18.75" customHeight="1"/>
    <row r="482" ht="18.75" customHeight="1"/>
    <row r="483" ht="18.75" customHeight="1"/>
    <row r="484" ht="18.75" customHeight="1"/>
    <row r="485" ht="18.75" customHeight="1"/>
    <row r="486" ht="18.75" customHeight="1"/>
    <row r="487" ht="18.75" customHeight="1"/>
    <row r="488" ht="18.75" customHeight="1"/>
    <row r="489" ht="18.75" customHeight="1"/>
    <row r="490" ht="18.75" customHeight="1"/>
    <row r="491" ht="18.75" customHeight="1"/>
    <row r="492" ht="18.75" customHeight="1"/>
    <row r="493" ht="18.75" customHeight="1"/>
    <row r="494" ht="18.75" customHeight="1"/>
    <row r="495" ht="18.75" customHeight="1"/>
    <row r="496" ht="18.75" customHeight="1"/>
    <row r="497" ht="18.75" customHeight="1"/>
    <row r="498" ht="18.75" customHeight="1"/>
    <row r="499" ht="18.75" customHeight="1"/>
    <row r="500" ht="18.75" customHeight="1"/>
    <row r="501" ht="18.75" customHeight="1"/>
    <row r="502" ht="18.75" customHeight="1"/>
    <row r="503" ht="18.75" customHeight="1"/>
    <row r="504" ht="18.75" customHeight="1"/>
    <row r="505" ht="18.75" customHeight="1"/>
    <row r="506" ht="18.75" customHeight="1"/>
    <row r="507" ht="18.75" customHeight="1"/>
    <row r="508" ht="18.75" customHeight="1"/>
    <row r="509" ht="18.75" customHeight="1"/>
    <row r="510" ht="18.75" customHeight="1"/>
    <row r="511" ht="18.75" customHeight="1"/>
    <row r="512" ht="18.75" customHeight="1"/>
    <row r="513" ht="18.75" customHeight="1"/>
    <row r="514" ht="18.75" customHeight="1"/>
    <row r="515" ht="18.75" customHeight="1"/>
    <row r="516" ht="18.75" customHeight="1"/>
    <row r="517" ht="18.75" customHeight="1"/>
    <row r="518" ht="18.75" customHeight="1"/>
    <row r="519" ht="18.75" customHeight="1"/>
    <row r="520" ht="18.75" customHeight="1"/>
    <row r="521" ht="18.75" customHeight="1"/>
    <row r="522" ht="18.75" customHeight="1"/>
    <row r="523" ht="18.75" customHeight="1"/>
    <row r="524" ht="18.75" customHeight="1"/>
    <row r="525" ht="18.75" customHeight="1"/>
    <row r="526" ht="18.75" customHeight="1"/>
    <row r="527" ht="18.75" customHeight="1"/>
    <row r="528" ht="18.75" customHeight="1"/>
    <row r="529" ht="18.75" customHeight="1"/>
    <row r="530" ht="18.75" customHeight="1"/>
    <row r="531" ht="18.75" customHeight="1"/>
    <row r="532" ht="18.75" customHeight="1"/>
    <row r="533" ht="18.75" customHeight="1"/>
    <row r="534" ht="18.75" customHeight="1"/>
    <row r="535" ht="18.75" customHeight="1"/>
    <row r="536" ht="18.75" customHeight="1"/>
    <row r="537" ht="18.75" customHeight="1"/>
    <row r="538" ht="18.75" customHeight="1"/>
    <row r="539" ht="18.75" customHeight="1"/>
    <row r="540" ht="18.75" customHeight="1"/>
    <row r="541" ht="18.75" customHeight="1"/>
    <row r="542" ht="18.75" customHeight="1"/>
    <row r="543" ht="18.75" customHeight="1"/>
    <row r="544" ht="18.75" customHeight="1"/>
    <row r="545" ht="18.75" customHeight="1"/>
    <row r="546" ht="18.75" customHeight="1"/>
    <row r="547" ht="18.75" customHeight="1"/>
    <row r="548" ht="18.75" customHeight="1"/>
    <row r="549" ht="18.75" customHeight="1"/>
    <row r="550" ht="18.75" customHeight="1"/>
    <row r="551" ht="18.75" customHeight="1"/>
    <row r="552" ht="18.75" customHeight="1"/>
    <row r="553" ht="18.75" customHeight="1"/>
    <row r="554" ht="18.75" customHeight="1"/>
    <row r="555" ht="18.75" customHeight="1"/>
    <row r="556" ht="18.75" customHeight="1"/>
    <row r="557" ht="18.75" customHeight="1"/>
    <row r="558" ht="18.75" customHeight="1"/>
    <row r="559" ht="18.75" customHeight="1"/>
    <row r="560" ht="18.75" customHeight="1"/>
    <row r="561" ht="18.75" customHeight="1"/>
    <row r="562" ht="18.75" customHeight="1"/>
    <row r="563" ht="18.75" customHeight="1"/>
    <row r="564" ht="18.75" customHeight="1"/>
    <row r="565" ht="18.75" customHeight="1"/>
    <row r="566" ht="18.75" customHeight="1"/>
    <row r="567" ht="18.75" customHeight="1"/>
    <row r="568" ht="18.75" customHeight="1"/>
    <row r="569" ht="18.75" customHeight="1"/>
    <row r="570" ht="18.75" customHeight="1"/>
    <row r="571" ht="18.75" customHeight="1"/>
    <row r="572" ht="18.75" customHeight="1"/>
    <row r="573" ht="18.75" customHeight="1"/>
    <row r="574" ht="18.75" customHeight="1"/>
    <row r="575" ht="18.75" customHeight="1"/>
    <row r="576" ht="18.75" customHeight="1"/>
    <row r="577" ht="18.75" customHeight="1"/>
    <row r="578" ht="18.75" customHeight="1"/>
    <row r="579" ht="18.75" customHeight="1"/>
    <row r="580" ht="18.75" customHeight="1"/>
    <row r="581" ht="18.75" customHeight="1"/>
    <row r="582" ht="18.75" customHeight="1"/>
    <row r="583" ht="18.75" customHeight="1"/>
    <row r="584" ht="18.75" customHeight="1"/>
    <row r="585" ht="18.75" customHeight="1"/>
    <row r="586" ht="18.75" customHeight="1"/>
    <row r="587" ht="18.75" customHeight="1"/>
    <row r="588" ht="18.75" customHeight="1"/>
    <row r="589" ht="18.75" customHeight="1"/>
    <row r="590" ht="18.75" customHeight="1"/>
    <row r="591" ht="18.75" customHeight="1"/>
    <row r="592" ht="18.75" customHeight="1"/>
    <row r="593" ht="18.75" customHeight="1"/>
    <row r="594" ht="18.75" customHeight="1"/>
    <row r="595" ht="18.75" customHeight="1"/>
    <row r="596" ht="18.75" customHeight="1"/>
    <row r="597" ht="18.75" customHeight="1"/>
    <row r="598" ht="18.75" customHeight="1"/>
    <row r="599" ht="18.75" customHeight="1"/>
    <row r="600" ht="18.75" customHeight="1"/>
    <row r="601" ht="18.75" customHeight="1"/>
    <row r="602" ht="18.75" customHeight="1"/>
    <row r="603" ht="18.75" customHeight="1"/>
    <row r="604" ht="18.75" customHeight="1"/>
    <row r="605" ht="18.75" customHeight="1"/>
    <row r="606" ht="18.75" customHeight="1"/>
    <row r="607" ht="18.75" customHeight="1"/>
    <row r="608" ht="18.75" customHeight="1"/>
    <row r="609" ht="18.75" customHeight="1"/>
    <row r="610" ht="18.75" customHeight="1"/>
    <row r="611" ht="18.75" customHeight="1"/>
    <row r="612" ht="18.75" customHeight="1"/>
    <row r="613" ht="18.75" customHeight="1"/>
    <row r="614" ht="18.75" customHeight="1"/>
    <row r="615" ht="18.75" customHeight="1"/>
    <row r="616" ht="18.75" customHeight="1"/>
    <row r="617" ht="18.75" customHeight="1"/>
    <row r="618" ht="18.75" customHeight="1"/>
    <row r="619" ht="18.75" customHeight="1"/>
    <row r="620" ht="18.75" customHeight="1"/>
    <row r="621" ht="18.75" customHeight="1"/>
    <row r="622" ht="18.75" customHeight="1"/>
    <row r="623" ht="18.75" customHeight="1"/>
    <row r="624" ht="18.75" customHeight="1"/>
    <row r="625" ht="18.75" customHeight="1"/>
    <row r="626" ht="18.75" customHeight="1"/>
    <row r="627" ht="18.75" customHeight="1"/>
    <row r="628" ht="18.75" customHeight="1"/>
    <row r="629" ht="18.75" customHeight="1"/>
    <row r="630" ht="18.75" customHeight="1"/>
    <row r="631" ht="18.75" customHeight="1"/>
    <row r="632" ht="18.75" customHeight="1"/>
    <row r="633" ht="18.75" customHeight="1"/>
    <row r="634" ht="18.75" customHeight="1"/>
    <row r="635" ht="18.75" customHeight="1"/>
    <row r="636" ht="18.75" customHeight="1"/>
    <row r="637" ht="18.75" customHeight="1"/>
    <row r="638" ht="18.75" customHeight="1"/>
    <row r="639" ht="18.75" customHeight="1"/>
    <row r="640" ht="18.75" customHeight="1"/>
    <row r="641" ht="18.75" customHeight="1"/>
    <row r="642" ht="18.75" customHeight="1"/>
    <row r="643" ht="18.75" customHeight="1"/>
    <row r="644" ht="18.75" customHeight="1"/>
    <row r="645" ht="18.75" customHeight="1"/>
    <row r="646" ht="18.75" customHeight="1"/>
    <row r="647" ht="18.75" customHeight="1"/>
    <row r="648" ht="18.75" customHeight="1"/>
    <row r="649" ht="18.75" customHeight="1"/>
    <row r="650" ht="18.75" customHeight="1"/>
    <row r="651" ht="18.75" customHeight="1"/>
    <row r="652" ht="18.75" customHeight="1"/>
    <row r="653" ht="18.75" customHeight="1"/>
    <row r="654" ht="18.75" customHeight="1"/>
    <row r="655" ht="18.75" customHeight="1"/>
    <row r="656" ht="18.75" customHeight="1"/>
    <row r="657" ht="18.75" customHeight="1"/>
    <row r="658" ht="18.75" customHeight="1"/>
    <row r="659" ht="18.75" customHeight="1"/>
    <row r="660" ht="18.75" customHeight="1"/>
    <row r="661" ht="18.75" customHeight="1"/>
    <row r="662" ht="18.75" customHeight="1"/>
    <row r="663" ht="18.75" customHeight="1"/>
    <row r="664" ht="18.75" customHeight="1"/>
    <row r="665" ht="18.75" customHeight="1"/>
    <row r="666" ht="18.75" customHeight="1"/>
    <row r="667" ht="18.75" customHeight="1"/>
    <row r="668" ht="18.75" customHeight="1"/>
    <row r="669" ht="18.75" customHeight="1"/>
    <row r="670" ht="18.75" customHeight="1"/>
    <row r="671" ht="18.75" customHeight="1"/>
    <row r="672" ht="18.75" customHeight="1"/>
    <row r="673" ht="18.75" customHeight="1"/>
    <row r="674" ht="18.75" customHeight="1"/>
    <row r="675" ht="18.75" customHeight="1"/>
    <row r="676" ht="18.75" customHeight="1"/>
    <row r="677" ht="18.75" customHeight="1"/>
    <row r="678" ht="18.75" customHeight="1"/>
    <row r="679" ht="18.75" customHeight="1"/>
    <row r="680" ht="18.75" customHeight="1"/>
    <row r="681" ht="18.75" customHeight="1"/>
    <row r="682" ht="18.75" customHeight="1"/>
    <row r="683" ht="18.75" customHeight="1"/>
    <row r="684" ht="18.75" customHeight="1"/>
    <row r="685" ht="18.75" customHeight="1"/>
    <row r="686" ht="18.75" customHeight="1"/>
    <row r="687" ht="18.75" customHeight="1"/>
    <row r="688" ht="18.75" customHeight="1"/>
    <row r="689" ht="18.75" customHeight="1"/>
    <row r="690" ht="18.75" customHeight="1"/>
    <row r="691" ht="18.75" customHeight="1"/>
    <row r="692" ht="18.75" customHeight="1"/>
    <row r="693" ht="18.75" customHeight="1"/>
    <row r="694" ht="18.75" customHeight="1"/>
    <row r="695" ht="18.75" customHeight="1"/>
    <row r="696" ht="18.75" customHeight="1"/>
    <row r="697" ht="18.75" customHeight="1"/>
    <row r="698" ht="18.75" customHeight="1"/>
    <row r="699" ht="18.75" customHeight="1"/>
    <row r="700" ht="18.75" customHeight="1"/>
    <row r="701" ht="18.75" customHeight="1"/>
    <row r="702" ht="18.75" customHeight="1"/>
    <row r="703" ht="18.75" customHeight="1"/>
    <row r="704" ht="18.75" customHeight="1"/>
    <row r="705" ht="18.75" customHeight="1"/>
    <row r="706" ht="18.75" customHeight="1"/>
    <row r="707" ht="18.75" customHeight="1"/>
    <row r="708" ht="18.75" customHeight="1"/>
    <row r="709" ht="18.75" customHeight="1"/>
    <row r="710" ht="18.75" customHeight="1"/>
    <row r="711" ht="18.75" customHeight="1"/>
    <row r="712" ht="18.75" customHeight="1"/>
    <row r="713" ht="18.75" customHeight="1"/>
    <row r="714" ht="18.75" customHeight="1"/>
    <row r="715" ht="18.75" customHeight="1"/>
    <row r="716" ht="18.75" customHeight="1"/>
    <row r="717" ht="18.75" customHeight="1"/>
    <row r="718" ht="18.75" customHeight="1"/>
    <row r="719" ht="18.75" customHeight="1"/>
    <row r="720" ht="18.75" customHeight="1"/>
    <row r="721" ht="18.75" customHeight="1"/>
    <row r="722" ht="18.75" customHeight="1"/>
    <row r="723" ht="18.75" customHeight="1"/>
    <row r="724" ht="18.75" customHeight="1"/>
    <row r="725" ht="18.75" customHeight="1"/>
    <row r="726" ht="18.75" customHeight="1"/>
    <row r="727" ht="18.75" customHeight="1"/>
    <row r="728" ht="18.75" customHeight="1"/>
    <row r="729" ht="18.75" customHeight="1"/>
    <row r="730" ht="18.75" customHeight="1"/>
    <row r="731" ht="18.75" customHeight="1"/>
    <row r="732" ht="18.75" customHeight="1"/>
    <row r="733" ht="18.75" customHeight="1"/>
    <row r="734" ht="18.75" customHeight="1"/>
    <row r="735" ht="18.75" customHeight="1"/>
    <row r="736" ht="18.75" customHeight="1"/>
    <row r="737" ht="18.75" customHeight="1"/>
    <row r="738" ht="18.75" customHeight="1"/>
    <row r="739" ht="18.75" customHeight="1"/>
    <row r="740" ht="18.75" customHeight="1"/>
    <row r="741" ht="18.75" customHeight="1"/>
    <row r="742" ht="18.75" customHeight="1"/>
    <row r="743" ht="18.75" customHeight="1"/>
    <row r="744" ht="18.75" customHeight="1"/>
  </sheetData>
  <sortState ref="A2:BB749">
    <sortCondition ref="C1:C749"/>
  </sortState>
  <phoneticPr fontId="7" type="noConversion"/>
  <conditionalFormatting sqref="C645">
    <cfRule type="duplicateValues" dxfId="20" priority="111"/>
  </conditionalFormatting>
  <conditionalFormatting sqref="C646">
    <cfRule type="duplicateValues" dxfId="19" priority="108"/>
  </conditionalFormatting>
  <conditionalFormatting sqref="C647">
    <cfRule type="duplicateValues" dxfId="18" priority="105"/>
  </conditionalFormatting>
  <conditionalFormatting sqref="C904:C934 C635:C644 C648:C725 C941:C1048576 C1 C88:C631">
    <cfRule type="duplicateValues" dxfId="17" priority="275"/>
  </conditionalFormatting>
  <conditionalFormatting sqref="C726:C903">
    <cfRule type="duplicateValues" dxfId="16" priority="286"/>
  </conditionalFormatting>
  <conditionalFormatting sqref="C935">
    <cfRule type="duplicateValues" dxfId="15" priority="54"/>
  </conditionalFormatting>
  <conditionalFormatting sqref="C936">
    <cfRule type="duplicateValues" dxfId="14" priority="51"/>
  </conditionalFormatting>
  <conditionalFormatting sqref="C937">
    <cfRule type="duplicateValues" dxfId="13" priority="48"/>
  </conditionalFormatting>
  <conditionalFormatting sqref="C938">
    <cfRule type="duplicateValues" dxfId="12" priority="45"/>
  </conditionalFormatting>
  <conditionalFormatting sqref="C939">
    <cfRule type="duplicateValues" dxfId="11" priority="42"/>
  </conditionalFormatting>
  <conditionalFormatting sqref="C940">
    <cfRule type="duplicateValues" dxfId="10" priority="39"/>
  </conditionalFormatting>
  <conditionalFormatting sqref="C28">
    <cfRule type="duplicateValues" dxfId="9" priority="7"/>
  </conditionalFormatting>
  <conditionalFormatting sqref="C29">
    <cfRule type="duplicateValues" dxfId="8" priority="6"/>
  </conditionalFormatting>
  <conditionalFormatting sqref="C34:C35 C23:C27 C30:C31 C37">
    <cfRule type="duplicateValues" dxfId="7" priority="8"/>
  </conditionalFormatting>
  <conditionalFormatting sqref="C32">
    <cfRule type="duplicateValues" dxfId="6" priority="5"/>
  </conditionalFormatting>
  <conditionalFormatting sqref="C33">
    <cfRule type="duplicateValues" dxfId="5" priority="4"/>
  </conditionalFormatting>
  <conditionalFormatting sqref="C36">
    <cfRule type="duplicateValues" dxfId="4" priority="3"/>
  </conditionalFormatting>
  <conditionalFormatting sqref="C38">
    <cfRule type="duplicateValues" dxfId="3" priority="2"/>
  </conditionalFormatting>
  <conditionalFormatting sqref="R1:BB1048576">
    <cfRule type="containsText" dxfId="2" priority="1" operator="containsText" text="Y">
      <formula>NOT(ISERROR(SEARCH("Y",R1)))</formula>
    </cfRule>
  </conditionalFormatting>
  <pageMargins left="0.7" right="0.7" top="0.75" bottom="0.75" header="0.3" footer="0.3"/>
  <pageSetup paperSize="8" scale="18" orientation="landscape"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B1:S1048559"/>
  <sheetViews>
    <sheetView zoomScale="85" zoomScaleNormal="85" workbookViewId="0">
      <selection activeCell="D34" sqref="D34"/>
    </sheetView>
  </sheetViews>
  <sheetFormatPr defaultRowHeight="16.5"/>
  <cols>
    <col min="1" max="1" width="4.5" customWidth="1"/>
    <col min="2" max="2" width="13.75" bestFit="1" customWidth="1"/>
    <col min="3" max="3" width="15.375" bestFit="1" customWidth="1"/>
    <col min="4" max="4" width="22.75" bestFit="1" customWidth="1"/>
    <col min="5" max="5" width="13" style="1" customWidth="1"/>
    <col min="6" max="6" width="15.25" style="3" customWidth="1"/>
    <col min="7" max="7" width="15.375" bestFit="1" customWidth="1"/>
    <col min="8" max="9" width="13" customWidth="1"/>
    <col min="10" max="10" width="17.75" bestFit="1" customWidth="1"/>
    <col min="11" max="11" width="10.875" bestFit="1" customWidth="1"/>
    <col min="12" max="12" width="10.25" bestFit="1" customWidth="1"/>
    <col min="14" max="14" width="9.75" customWidth="1"/>
  </cols>
  <sheetData>
    <row r="1" spans="2:15" ht="28.5" customHeight="1">
      <c r="B1" s="6" t="s">
        <v>19955</v>
      </c>
    </row>
    <row r="2" spans="2:15">
      <c r="B2" t="s">
        <v>19945</v>
      </c>
      <c r="E2" s="71"/>
      <c r="O2" s="34"/>
    </row>
    <row r="3" spans="2:15" ht="17.25" thickBot="1"/>
    <row r="4" spans="2:15" s="55" customFormat="1" ht="17.25" thickBot="1">
      <c r="B4" s="154" t="s">
        <v>37</v>
      </c>
      <c r="C4" s="155">
        <f>SUM(C5:C7)</f>
        <v>890649345</v>
      </c>
      <c r="D4" s="52"/>
      <c r="E4" s="53"/>
      <c r="F4" s="54"/>
    </row>
    <row r="5" spans="2:15" s="55" customFormat="1" ht="17.25" thickTop="1">
      <c r="B5" s="152" t="s">
        <v>30</v>
      </c>
      <c r="C5" s="153">
        <f>SUMIF(RAW!$H$1:$H$9904,"공사",RAW!$Q$1:$Q$9904)</f>
        <v>0</v>
      </c>
      <c r="D5" s="52"/>
      <c r="E5" s="53"/>
      <c r="F5" s="54"/>
    </row>
    <row r="6" spans="2:15" s="55" customFormat="1">
      <c r="B6" s="135" t="s">
        <v>31</v>
      </c>
      <c r="C6" s="136">
        <f>SUMIF(RAW!$H$1:$H$9904,"용역",RAW!$Q$1:$Q$9904)</f>
        <v>841358000</v>
      </c>
      <c r="D6" s="52"/>
      <c r="E6" s="53" t="s">
        <v>19915</v>
      </c>
      <c r="F6" s="54">
        <f>SUMIFS(RAW!Q1:Q9904,RAW!H1:H9904,"물품",RAW!AC1:AC9904,"Y")</f>
        <v>12999945</v>
      </c>
    </row>
    <row r="7" spans="2:15" s="55" customFormat="1" ht="17.25" thickBot="1">
      <c r="B7" s="137" t="s">
        <v>32</v>
      </c>
      <c r="C7" s="138">
        <f>SUMIF(RAW!$H$1:$H$9904,"물품",RAW!$Q$1:$Q$9904)</f>
        <v>49291345</v>
      </c>
      <c r="D7" s="52"/>
      <c r="E7" s="53"/>
      <c r="F7" s="54"/>
      <c r="H7" s="56"/>
      <c r="I7" s="56"/>
    </row>
    <row r="8" spans="2:15" s="55" customFormat="1" ht="17.25" thickBot="1">
      <c r="B8" s="57"/>
      <c r="C8" s="57"/>
      <c r="D8" s="57"/>
      <c r="E8" s="58"/>
      <c r="F8" s="54"/>
      <c r="J8" s="59" t="s">
        <v>19896</v>
      </c>
    </row>
    <row r="9" spans="2:15" s="64" customFormat="1" ht="17.25" thickBot="1">
      <c r="D9" s="192" t="s">
        <v>39</v>
      </c>
      <c r="E9" s="193"/>
      <c r="F9" s="144" t="s">
        <v>38</v>
      </c>
      <c r="G9" s="144" t="s">
        <v>34</v>
      </c>
      <c r="H9" s="144" t="s">
        <v>19953</v>
      </c>
      <c r="I9" s="144" t="s">
        <v>14686</v>
      </c>
      <c r="J9" s="144" t="s">
        <v>14684</v>
      </c>
      <c r="K9" s="145" t="s">
        <v>33</v>
      </c>
      <c r="L9" s="146" t="s">
        <v>36</v>
      </c>
    </row>
    <row r="10" spans="2:15" s="64" customFormat="1" ht="17.25" thickBot="1">
      <c r="B10" s="197" t="s">
        <v>12</v>
      </c>
      <c r="C10" s="198"/>
      <c r="D10" s="147" t="s">
        <v>40</v>
      </c>
      <c r="E10" s="139">
        <v>0.8</v>
      </c>
      <c r="F10" s="140">
        <f>$C$4*E10</f>
        <v>712519476</v>
      </c>
      <c r="G10" s="140">
        <f>SUMIF(RAW!$AC$1:$AC$9904,"Y",RAW!$Q$1:$Q$9904)</f>
        <v>631748445</v>
      </c>
      <c r="H10" s="141">
        <f>G10/$C$4</f>
        <v>0.70931219850613603</v>
      </c>
      <c r="I10" s="141">
        <f>G10/F10</f>
        <v>0.88664024813266995</v>
      </c>
      <c r="J10" s="140">
        <f>F10-G10</f>
        <v>80771031</v>
      </c>
      <c r="K10" s="142">
        <f t="shared" ref="K10:K21" si="0">IF(G10&gt;=F10,L10,0)</f>
        <v>0</v>
      </c>
      <c r="L10" s="143">
        <v>1</v>
      </c>
      <c r="M10" s="64" t="s">
        <v>19884</v>
      </c>
    </row>
    <row r="11" spans="2:15" s="64" customFormat="1">
      <c r="B11" s="194" t="s">
        <v>16</v>
      </c>
      <c r="C11" s="149" t="s">
        <v>13</v>
      </c>
      <c r="D11" s="122" t="s">
        <v>19889</v>
      </c>
      <c r="E11" s="72">
        <v>0.05</v>
      </c>
      <c r="F11" s="61">
        <f>C7*E11</f>
        <v>2464567.25</v>
      </c>
      <c r="G11" s="61">
        <f>SUMIFS(RAW!$Q$1:$Q$9904,RAW!$AD$1:$AD$9904,"Y",RAW!$H$1:$H$9904,"물품")</f>
        <v>12999945</v>
      </c>
      <c r="H11" s="77">
        <f>G11/$C$7</f>
        <v>0.26373686901828303</v>
      </c>
      <c r="I11" s="77">
        <f t="shared" ref="I11:I25" si="1">G11/F11</f>
        <v>5.2747373803656608</v>
      </c>
      <c r="J11" s="61">
        <f t="shared" ref="J11:J24" si="2">F11-G11</f>
        <v>-10535377.75</v>
      </c>
      <c r="K11" s="130">
        <f t="shared" si="0"/>
        <v>0.5</v>
      </c>
      <c r="L11" s="66">
        <v>0.5</v>
      </c>
      <c r="M11" s="64" t="s">
        <v>19885</v>
      </c>
    </row>
    <row r="12" spans="2:15" s="64" customFormat="1">
      <c r="B12" s="196"/>
      <c r="C12" s="187" t="s">
        <v>14</v>
      </c>
      <c r="D12" s="122" t="s">
        <v>19890</v>
      </c>
      <c r="E12" s="72">
        <v>0.05</v>
      </c>
      <c r="F12" s="61">
        <f>C6*E12</f>
        <v>42067900</v>
      </c>
      <c r="G12" s="61">
        <f>SUMIFS(RAW!$Q$1:$Q$9904,RAW!$AD$1:$AD$9904,"Y",RAW!$H$1:$H$9904,"용역")</f>
        <v>0</v>
      </c>
      <c r="H12" s="77">
        <f>G12/$C$6</f>
        <v>0</v>
      </c>
      <c r="I12" s="77">
        <f t="shared" si="1"/>
        <v>0</v>
      </c>
      <c r="J12" s="61">
        <f t="shared" si="2"/>
        <v>42067900</v>
      </c>
      <c r="K12" s="130">
        <f t="shared" si="0"/>
        <v>0</v>
      </c>
      <c r="L12" s="66">
        <v>0.5</v>
      </c>
      <c r="M12" s="64" t="s">
        <v>19885</v>
      </c>
    </row>
    <row r="13" spans="2:15" s="64" customFormat="1" ht="17.25" thickBot="1">
      <c r="B13" s="195"/>
      <c r="C13" s="171" t="s">
        <v>15</v>
      </c>
      <c r="D13" s="172" t="s">
        <v>19891</v>
      </c>
      <c r="E13" s="173">
        <v>0.03</v>
      </c>
      <c r="F13" s="174">
        <f>C5*E13</f>
        <v>0</v>
      </c>
      <c r="G13" s="175">
        <f>SUMIFS(RAW!$Q$1:$Q$9904,RAW!$AD$1:$AD$9904,"Y",RAW!$H$1:$H$9904,"공사")</f>
        <v>0</v>
      </c>
      <c r="H13" s="176" t="e">
        <f>G13/$C$5</f>
        <v>#DIV/0!</v>
      </c>
      <c r="I13" s="176" t="e">
        <f t="shared" si="1"/>
        <v>#DIV/0!</v>
      </c>
      <c r="J13" s="61">
        <f t="shared" si="2"/>
        <v>0</v>
      </c>
      <c r="K13" s="80">
        <f t="shared" si="0"/>
        <v>0.5</v>
      </c>
      <c r="L13" s="177">
        <v>0.5</v>
      </c>
      <c r="M13" s="64" t="s">
        <v>19885</v>
      </c>
    </row>
    <row r="14" spans="2:15" s="64" customFormat="1" ht="17.25" thickBot="1">
      <c r="B14" s="199" t="s">
        <v>17</v>
      </c>
      <c r="C14" s="200"/>
      <c r="D14" s="122" t="s">
        <v>40</v>
      </c>
      <c r="E14" s="148">
        <v>0.15</v>
      </c>
      <c r="F14" s="167">
        <f>$C$4*E14</f>
        <v>133597401.75</v>
      </c>
      <c r="G14" s="76">
        <f>SUMIF(RAW!$AU$1:$AU$9904,"Y",RAW!$Q$1:$Q$99904)</f>
        <v>0</v>
      </c>
      <c r="H14" s="77">
        <f t="shared" ref="H14:H15" si="3">G14/$C$4</f>
        <v>0</v>
      </c>
      <c r="I14" s="77">
        <f t="shared" si="1"/>
        <v>0</v>
      </c>
      <c r="J14" s="61">
        <f>F14-G14</f>
        <v>133597401.75</v>
      </c>
      <c r="K14" s="130">
        <f t="shared" si="0"/>
        <v>0</v>
      </c>
      <c r="L14" s="66">
        <v>0.5</v>
      </c>
      <c r="M14" s="67" t="s">
        <v>20054</v>
      </c>
    </row>
    <row r="15" spans="2:15" s="64" customFormat="1">
      <c r="B15" s="194" t="s">
        <v>18</v>
      </c>
      <c r="C15" s="149" t="s">
        <v>19</v>
      </c>
      <c r="D15" s="122" t="s">
        <v>40</v>
      </c>
      <c r="E15" s="72">
        <v>0.01</v>
      </c>
      <c r="F15" s="61">
        <f>$C$4*E15</f>
        <v>8906493.4499999993</v>
      </c>
      <c r="G15" s="61">
        <f>SUMIF(RAW!$S$1:$S$9904,"Y",RAW!$Q$1:$Q$9904)</f>
        <v>0</v>
      </c>
      <c r="H15" s="77">
        <f t="shared" si="3"/>
        <v>0</v>
      </c>
      <c r="I15" s="77">
        <f t="shared" si="1"/>
        <v>0</v>
      </c>
      <c r="J15" s="61">
        <f t="shared" si="2"/>
        <v>8906493.4499999993</v>
      </c>
      <c r="K15" s="130">
        <f t="shared" si="0"/>
        <v>0</v>
      </c>
      <c r="L15" s="66">
        <v>0.5</v>
      </c>
      <c r="M15" s="64" t="s">
        <v>19885</v>
      </c>
    </row>
    <row r="16" spans="2:15" s="64" customFormat="1">
      <c r="B16" s="196"/>
      <c r="C16" s="150" t="s">
        <v>20</v>
      </c>
      <c r="D16" s="122" t="s">
        <v>41</v>
      </c>
      <c r="E16" s="73">
        <v>8.0000000000000002E-3</v>
      </c>
      <c r="F16" s="61">
        <f>($C$6+$C$7)*E16</f>
        <v>7125194.7599999998</v>
      </c>
      <c r="G16" s="61">
        <f>SUMIF(RAW!$AQ$1:$AQ$9904,"Y",RAW!$Q$1:$Q$9904)</f>
        <v>10999945</v>
      </c>
      <c r="H16" s="77">
        <f>G16/($C$6+$C$7)</f>
        <v>1.2350477841534818E-2</v>
      </c>
      <c r="I16" s="77">
        <f t="shared" si="1"/>
        <v>1.5438097301918523</v>
      </c>
      <c r="J16" s="61">
        <f t="shared" si="2"/>
        <v>-3874750.24</v>
      </c>
      <c r="K16" s="130">
        <f t="shared" si="0"/>
        <v>0.5</v>
      </c>
      <c r="L16" s="66">
        <v>0.5</v>
      </c>
      <c r="M16" s="64" t="s">
        <v>19885</v>
      </c>
      <c r="O16" s="67"/>
    </row>
    <row r="17" spans="2:19" s="64" customFormat="1" ht="17.25" thickBot="1">
      <c r="B17" s="195"/>
      <c r="C17" s="151" t="s">
        <v>21</v>
      </c>
      <c r="D17" s="122" t="s">
        <v>41</v>
      </c>
      <c r="E17" s="73">
        <v>1.0999999999999999E-2</v>
      </c>
      <c r="F17" s="61">
        <f t="shared" ref="F17:F19" si="4">($C$6+$C$7)*E17</f>
        <v>9797142.7949999999</v>
      </c>
      <c r="G17" s="61">
        <f>SUMIF(RAW!U2:U221,"Y",RAW!Q2:Q221)</f>
        <v>0</v>
      </c>
      <c r="H17" s="77">
        <f t="shared" ref="H17:H19" si="5">G17/($C$6+$C$7)</f>
        <v>0</v>
      </c>
      <c r="I17" s="77">
        <f t="shared" si="1"/>
        <v>0</v>
      </c>
      <c r="J17" s="76">
        <f t="shared" si="2"/>
        <v>9797142.7949999999</v>
      </c>
      <c r="K17" s="130">
        <f t="shared" si="0"/>
        <v>0</v>
      </c>
      <c r="L17" s="66">
        <v>0.5</v>
      </c>
      <c r="M17" s="67" t="s">
        <v>19886</v>
      </c>
    </row>
    <row r="18" spans="2:19" s="64" customFormat="1">
      <c r="B18" s="194" t="s">
        <v>22</v>
      </c>
      <c r="C18" s="149" t="s">
        <v>23</v>
      </c>
      <c r="D18" s="122" t="s">
        <v>41</v>
      </c>
      <c r="E18" s="72">
        <v>0.05</v>
      </c>
      <c r="F18" s="61">
        <f t="shared" si="4"/>
        <v>44532467.25</v>
      </c>
      <c r="G18" s="61">
        <f>SUMIF(RAW!$AE$1:$AE$9904,"Y",RAW!$Q$1:$Q$9904)</f>
        <v>10999945</v>
      </c>
      <c r="H18" s="77">
        <f t="shared" si="5"/>
        <v>1.2350477841534818E-2</v>
      </c>
      <c r="I18" s="77">
        <f t="shared" si="1"/>
        <v>0.24700955683069636</v>
      </c>
      <c r="J18" s="76">
        <f t="shared" si="2"/>
        <v>33532522.25</v>
      </c>
      <c r="K18" s="130">
        <f t="shared" si="0"/>
        <v>0</v>
      </c>
      <c r="L18" s="66">
        <v>0.7</v>
      </c>
      <c r="M18" s="64" t="s">
        <v>19885</v>
      </c>
    </row>
    <row r="19" spans="2:19" s="64" customFormat="1" ht="17.25" thickBot="1">
      <c r="B19" s="195"/>
      <c r="C19" s="151" t="s">
        <v>24</v>
      </c>
      <c r="D19" s="122" t="s">
        <v>41</v>
      </c>
      <c r="E19" s="73">
        <v>1E-3</v>
      </c>
      <c r="F19" s="61">
        <f t="shared" si="4"/>
        <v>890649.34499999997</v>
      </c>
      <c r="G19" s="61">
        <f>SUMIF(RAW!$AR$1:$AR$9904,"Y",RAW!$Q$1:$Q$9904)</f>
        <v>0</v>
      </c>
      <c r="H19" s="77">
        <f t="shared" si="5"/>
        <v>0</v>
      </c>
      <c r="I19" s="77">
        <f t="shared" si="1"/>
        <v>0</v>
      </c>
      <c r="J19" s="76">
        <f t="shared" si="2"/>
        <v>890649.34499999997</v>
      </c>
      <c r="K19" s="130">
        <f t="shared" si="0"/>
        <v>0</v>
      </c>
      <c r="L19" s="66">
        <v>0.3</v>
      </c>
      <c r="M19" s="64" t="s">
        <v>19885</v>
      </c>
    </row>
    <row r="20" spans="2:19" s="64" customFormat="1">
      <c r="B20" s="194" t="s">
        <v>25</v>
      </c>
      <c r="C20" s="149" t="s">
        <v>25</v>
      </c>
      <c r="D20" s="122" t="s">
        <v>42</v>
      </c>
      <c r="E20" s="74">
        <v>0.2</v>
      </c>
      <c r="F20" s="61">
        <f>SUMIFS(RAW!Q1:Q9904,RAW!H1:H9904,"물품",RAW!AC1:AC9904,"Y")*E20</f>
        <v>2599989</v>
      </c>
      <c r="G20" s="132">
        <v>3291400</v>
      </c>
      <c r="H20" s="77">
        <f>G20/$F$6</f>
        <v>0.2531856865548277</v>
      </c>
      <c r="I20" s="77">
        <f t="shared" si="1"/>
        <v>1.2659284327741387</v>
      </c>
      <c r="J20" s="76">
        <f>F20-G20</f>
        <v>-691411</v>
      </c>
      <c r="K20" s="130">
        <f>IF(G20&gt;=F20,L20,0)</f>
        <v>0.5</v>
      </c>
      <c r="L20" s="66">
        <v>0.5</v>
      </c>
    </row>
    <row r="21" spans="2:19" s="64" customFormat="1">
      <c r="B21" s="196"/>
      <c r="C21" s="150" t="s">
        <v>26</v>
      </c>
      <c r="D21" s="122" t="s">
        <v>42</v>
      </c>
      <c r="E21" s="73">
        <v>1.4999999999999999E-2</v>
      </c>
      <c r="F21" s="61">
        <f>SUMIFS(RAW!Q1:Q9904,RAW!H1:H9904,"물품",RAW!AC1:AC9904,"Y")*E21</f>
        <v>194999.17499999999</v>
      </c>
      <c r="G21" s="61">
        <f>SUMIF(RAW!$AS$1:$AS9904,"Y",RAW!$Q$1:$Q$9904)</f>
        <v>0</v>
      </c>
      <c r="H21" s="77">
        <f>G21/$F$6</f>
        <v>0</v>
      </c>
      <c r="I21" s="77">
        <f t="shared" si="1"/>
        <v>0</v>
      </c>
      <c r="J21" s="76">
        <f t="shared" si="2"/>
        <v>194999.17499999999</v>
      </c>
      <c r="K21" s="130">
        <f t="shared" si="0"/>
        <v>0</v>
      </c>
      <c r="L21" s="66">
        <v>0.3</v>
      </c>
      <c r="M21" s="67" t="s">
        <v>20054</v>
      </c>
    </row>
    <row r="22" spans="2:19" s="64" customFormat="1" ht="17.25" thickBot="1">
      <c r="B22" s="195"/>
      <c r="C22" s="171" t="s">
        <v>19916</v>
      </c>
      <c r="D22" s="172" t="s">
        <v>42</v>
      </c>
      <c r="E22" s="173">
        <v>0.2</v>
      </c>
      <c r="F22" s="178">
        <f>3291400*0.2</f>
        <v>658280</v>
      </c>
      <c r="G22" s="178">
        <v>3291400</v>
      </c>
      <c r="H22" s="179">
        <f>G22/$F$6</f>
        <v>0.2531856865548277</v>
      </c>
      <c r="I22" s="176">
        <f>G22/F22</f>
        <v>5</v>
      </c>
      <c r="J22" s="131">
        <f t="shared" si="2"/>
        <v>-2633120</v>
      </c>
      <c r="K22" s="170">
        <f t="shared" ref="K22" si="6">IF(G22&gt;=F22,L22,0)</f>
        <v>0.2</v>
      </c>
      <c r="L22" s="180">
        <v>0.2</v>
      </c>
      <c r="M22" s="67"/>
    </row>
    <row r="23" spans="2:19" s="68" customFormat="1">
      <c r="B23" s="201" t="s">
        <v>14685</v>
      </c>
      <c r="C23" s="202"/>
      <c r="D23" s="203" t="s">
        <v>20053</v>
      </c>
      <c r="E23" s="204"/>
      <c r="F23" s="123">
        <v>2247000</v>
      </c>
      <c r="G23" s="61">
        <f>SUMIF(RAW!$AA$1:$AA$9904,"Y",RAW!$Q$1:$Q$9904)</f>
        <v>0</v>
      </c>
      <c r="H23" s="77">
        <f>G23/F23</f>
        <v>0</v>
      </c>
      <c r="I23" s="77">
        <f t="shared" si="1"/>
        <v>0</v>
      </c>
      <c r="J23" s="76">
        <f t="shared" si="2"/>
        <v>2247000</v>
      </c>
      <c r="K23" s="130">
        <f>IF(G23&gt;=F23,L23,0)</f>
        <v>0</v>
      </c>
      <c r="L23" s="66">
        <v>1</v>
      </c>
      <c r="M23" s="67" t="s">
        <v>19887</v>
      </c>
      <c r="N23" s="64"/>
      <c r="O23" s="67"/>
      <c r="P23" s="67"/>
      <c r="Q23" s="67"/>
      <c r="R23" s="67"/>
      <c r="S23" s="67"/>
    </row>
    <row r="24" spans="2:19" s="64" customFormat="1">
      <c r="B24" s="188" t="s">
        <v>27</v>
      </c>
      <c r="C24" s="189"/>
      <c r="D24" s="203" t="s">
        <v>20053</v>
      </c>
      <c r="E24" s="204"/>
      <c r="F24" s="123">
        <v>1420000</v>
      </c>
      <c r="G24" s="61"/>
      <c r="H24" s="65"/>
      <c r="I24" s="77">
        <f t="shared" si="1"/>
        <v>0</v>
      </c>
      <c r="J24" s="76">
        <f t="shared" si="2"/>
        <v>1420000</v>
      </c>
      <c r="K24" s="130">
        <f>IF(G24&gt;=F24,L24,0)</f>
        <v>0</v>
      </c>
      <c r="L24" s="66">
        <v>1</v>
      </c>
      <c r="M24" s="67" t="s">
        <v>19887</v>
      </c>
      <c r="O24" s="67"/>
      <c r="P24" s="67"/>
      <c r="Q24" s="67"/>
      <c r="R24" s="67"/>
      <c r="S24" s="67"/>
    </row>
    <row r="25" spans="2:19" ht="17.25" thickBot="1">
      <c r="B25" s="190" t="s">
        <v>28</v>
      </c>
      <c r="C25" s="191"/>
      <c r="D25" s="122" t="s">
        <v>42</v>
      </c>
      <c r="E25" s="72">
        <v>1</v>
      </c>
      <c r="F25" s="61">
        <f>C28*250000</f>
        <v>3500000</v>
      </c>
      <c r="G25" s="61">
        <f>SUMIF(RAW!$H$1:$H$621,"온누리상품권",RAW!$Q$1:$Q$621)</f>
        <v>1000000</v>
      </c>
      <c r="H25" s="65"/>
      <c r="I25" s="77">
        <f t="shared" si="1"/>
        <v>0.2857142857142857</v>
      </c>
      <c r="J25" s="61">
        <f t="shared" ref="J25" si="7">F25-G25</f>
        <v>2500000</v>
      </c>
      <c r="K25" s="130">
        <f>IF(G25&gt;=F25,L25,0)</f>
        <v>0</v>
      </c>
      <c r="L25" s="66">
        <v>1</v>
      </c>
      <c r="N25" s="64"/>
    </row>
    <row r="26" spans="2:19" ht="17.25" thickBot="1"/>
    <row r="27" spans="2:19">
      <c r="B27" s="64"/>
      <c r="C27" s="64"/>
      <c r="D27" s="64"/>
      <c r="E27" s="69"/>
      <c r="F27" s="70"/>
      <c r="G27" s="64"/>
      <c r="H27" s="64"/>
      <c r="I27" s="64"/>
      <c r="J27" s="133" t="s">
        <v>20062</v>
      </c>
      <c r="K27" s="64"/>
      <c r="L27" s="64"/>
      <c r="M27" s="64"/>
      <c r="N27" s="64"/>
    </row>
    <row r="28" spans="2:19" s="64" customFormat="1" ht="17.25" thickBot="1">
      <c r="B28" s="60" t="s">
        <v>29</v>
      </c>
      <c r="C28" s="79">
        <v>14</v>
      </c>
      <c r="D28" s="75" t="s">
        <v>19956</v>
      </c>
      <c r="E28" s="62"/>
      <c r="F28" s="54"/>
      <c r="G28" s="55"/>
      <c r="H28" s="54"/>
      <c r="I28" s="54"/>
      <c r="J28" s="134">
        <f>SUMIF(J10:J25,"&gt;0",J10:J25)</f>
        <v>315925139.76500005</v>
      </c>
      <c r="K28" s="56"/>
      <c r="L28" s="55"/>
      <c r="M28" s="55"/>
      <c r="N28" s="55"/>
    </row>
    <row r="29" spans="2:19" s="55" customFormat="1">
      <c r="E29" s="62"/>
      <c r="F29"/>
      <c r="G29"/>
      <c r="H29"/>
      <c r="I29"/>
      <c r="J29"/>
      <c r="K29"/>
    </row>
    <row r="30" spans="2:19" s="55" customFormat="1">
      <c r="B30" s="63" t="s">
        <v>35</v>
      </c>
      <c r="C30" s="63">
        <f>SUM($K$10:$K$25)/9.5*4</f>
        <v>0.92631578947368431</v>
      </c>
      <c r="D30" s="57"/>
      <c r="E30" s="62"/>
      <c r="F30"/>
      <c r="G30"/>
      <c r="H30"/>
      <c r="I30"/>
      <c r="J30"/>
      <c r="K30"/>
    </row>
    <row r="31" spans="2:19" s="55" customFormat="1">
      <c r="E31" s="62"/>
      <c r="F31"/>
      <c r="G31"/>
      <c r="H31"/>
      <c r="I31"/>
      <c r="J31"/>
      <c r="K31"/>
    </row>
    <row r="32" spans="2:19" s="55" customFormat="1">
      <c r="B32"/>
      <c r="C32"/>
      <c r="D32"/>
      <c r="E32" s="1"/>
      <c r="F32"/>
      <c r="G32"/>
      <c r="H32"/>
      <c r="I32"/>
      <c r="J32"/>
      <c r="K32"/>
      <c r="L32"/>
      <c r="M32"/>
      <c r="N32"/>
    </row>
    <row r="33" spans="6:6">
      <c r="F33"/>
    </row>
    <row r="34" spans="6:6">
      <c r="F34"/>
    </row>
    <row r="35" spans="6:6">
      <c r="F35"/>
    </row>
    <row r="36" spans="6:6">
      <c r="F36"/>
    </row>
    <row r="37" spans="6:6">
      <c r="F37"/>
    </row>
    <row r="1048559" spans="5:5">
      <c r="E1048559" s="72">
        <v>1</v>
      </c>
    </row>
  </sheetData>
  <mergeCells count="12">
    <mergeCell ref="B24:C24"/>
    <mergeCell ref="B25:C25"/>
    <mergeCell ref="D9:E9"/>
    <mergeCell ref="B18:B19"/>
    <mergeCell ref="B11:B13"/>
    <mergeCell ref="B10:C10"/>
    <mergeCell ref="B14:C14"/>
    <mergeCell ref="B15:B17"/>
    <mergeCell ref="B23:C23"/>
    <mergeCell ref="D23:E23"/>
    <mergeCell ref="D24:E24"/>
    <mergeCell ref="B20:B22"/>
  </mergeCells>
  <phoneticPr fontId="7" type="noConversion"/>
  <conditionalFormatting sqref="J10:J24">
    <cfRule type="cellIs" dxfId="1" priority="6" operator="greaterThan">
      <formula>0</formula>
    </cfRule>
  </conditionalFormatting>
  <conditionalFormatting sqref="J25">
    <cfRule type="cellIs" dxfId="0" priority="1" operator="greaterThan">
      <formula>0</formula>
    </cfRule>
  </conditionalFormatting>
  <pageMargins left="0.7" right="0.7" top="0.75" bottom="0.75" header="0.3" footer="0.3"/>
  <pageSetup paperSize="9" scale="66" orientation="landscape"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9"/>
  <sheetViews>
    <sheetView topLeftCell="C1" workbookViewId="0">
      <selection activeCell="N3" sqref="N3"/>
    </sheetView>
  </sheetViews>
  <sheetFormatPr defaultRowHeight="16.5"/>
  <cols>
    <col min="2" max="2" width="17.625" bestFit="1" customWidth="1"/>
    <col min="3" max="3" width="24.625" customWidth="1"/>
    <col min="5" max="5" width="21.125" bestFit="1" customWidth="1"/>
    <col min="6" max="6" width="12.75" customWidth="1"/>
    <col min="8" max="8" width="22.875" bestFit="1" customWidth="1"/>
    <col min="10" max="10" width="21.125" bestFit="1" customWidth="1"/>
    <col min="12" max="12" width="29" bestFit="1" customWidth="1"/>
    <col min="13" max="13" width="14" customWidth="1"/>
    <col min="14" max="14" width="22.875" bestFit="1" customWidth="1"/>
  </cols>
  <sheetData>
    <row r="1" spans="1:16" ht="17.25" thickBot="1">
      <c r="A1" t="s">
        <v>20021</v>
      </c>
      <c r="F1" s="99"/>
      <c r="L1" s="100" t="s">
        <v>20022</v>
      </c>
      <c r="M1" s="101">
        <v>0.879</v>
      </c>
    </row>
    <row r="2" spans="1:16" ht="17.25" thickTop="1">
      <c r="A2" s="71" t="s">
        <v>20023</v>
      </c>
      <c r="B2" s="71" t="s">
        <v>20024</v>
      </c>
      <c r="C2" s="102" t="s">
        <v>20025</v>
      </c>
      <c r="D2" s="102" t="s">
        <v>20026</v>
      </c>
      <c r="E2" s="103" t="s">
        <v>20027</v>
      </c>
      <c r="F2" s="99" t="s">
        <v>20028</v>
      </c>
      <c r="G2" t="s">
        <v>20029</v>
      </c>
      <c r="H2" s="104" t="s">
        <v>20030</v>
      </c>
      <c r="I2" t="s">
        <v>20031</v>
      </c>
      <c r="J2" s="105" t="s">
        <v>20032</v>
      </c>
      <c r="K2" s="106" t="s">
        <v>20033</v>
      </c>
      <c r="L2" s="107" t="s">
        <v>20034</v>
      </c>
      <c r="M2" s="100" t="s">
        <v>20035</v>
      </c>
      <c r="N2" s="108" t="s">
        <v>20036</v>
      </c>
      <c r="O2" t="s">
        <v>20037</v>
      </c>
      <c r="P2" t="s">
        <v>20038</v>
      </c>
    </row>
    <row r="3" spans="1:16">
      <c r="A3" t="s">
        <v>20039</v>
      </c>
      <c r="B3" t="s">
        <v>19959</v>
      </c>
      <c r="C3" s="99">
        <v>257632250</v>
      </c>
      <c r="D3" s="99">
        <v>0</v>
      </c>
      <c r="E3" s="100">
        <f t="shared" ref="E3" si="0">C3+D3</f>
        <v>257632250</v>
      </c>
      <c r="F3" s="99">
        <v>38100100</v>
      </c>
      <c r="G3" s="101">
        <f t="shared" ref="G3" si="1">F3/E3</f>
        <v>0.14788560050226632</v>
      </c>
      <c r="H3" s="100">
        <v>0</v>
      </c>
      <c r="I3" s="109">
        <v>0.04</v>
      </c>
      <c r="J3" s="110">
        <v>432160000</v>
      </c>
      <c r="K3" s="111">
        <v>0</v>
      </c>
      <c r="L3" s="112">
        <f t="shared" ref="L3" si="2">J3+K3</f>
        <v>432160000</v>
      </c>
      <c r="M3" s="100">
        <f>G3*I3*L3</f>
        <v>2556409.6445223764</v>
      </c>
      <c r="N3" s="113">
        <f t="shared" ref="N3" si="3">ROUND($M$1*M3,-3)</f>
        <v>2247000</v>
      </c>
      <c r="O3" s="101" t="e">
        <f t="shared" ref="O3" si="4">N3/H3</f>
        <v>#DIV/0!</v>
      </c>
      <c r="P3" s="101">
        <f t="shared" ref="P3" si="5">L3/E3</f>
        <v>1.6774297472463171</v>
      </c>
    </row>
    <row r="5" spans="1:16">
      <c r="A5" s="114" t="s">
        <v>20040</v>
      </c>
      <c r="B5" s="114"/>
      <c r="C5" s="114"/>
      <c r="D5" s="114"/>
      <c r="E5" s="114"/>
      <c r="F5" s="114"/>
      <c r="G5" s="114"/>
      <c r="H5" s="114"/>
      <c r="I5" s="114"/>
      <c r="J5" s="114"/>
      <c r="K5" s="114"/>
      <c r="L5" s="114"/>
      <c r="M5" s="114"/>
    </row>
    <row r="7" spans="1:16" ht="17.25" thickBot="1">
      <c r="A7" t="s">
        <v>20041</v>
      </c>
      <c r="B7" s="71"/>
      <c r="D7" s="99"/>
      <c r="E7" s="99"/>
      <c r="F7" s="100"/>
      <c r="G7" s="100"/>
      <c r="H7" s="100"/>
      <c r="I7" s="115"/>
      <c r="J7" s="116"/>
      <c r="K7" s="116"/>
      <c r="L7" s="116"/>
      <c r="M7" s="99"/>
    </row>
    <row r="8" spans="1:16" s="71" customFormat="1" ht="17.25" thickTop="1">
      <c r="A8" s="71" t="s">
        <v>20023</v>
      </c>
      <c r="B8" s="71" t="s">
        <v>20042</v>
      </c>
      <c r="C8" s="71" t="s">
        <v>20043</v>
      </c>
      <c r="D8" s="102" t="s">
        <v>20044</v>
      </c>
      <c r="E8" s="102" t="s">
        <v>20025</v>
      </c>
      <c r="F8" s="103" t="s">
        <v>20045</v>
      </c>
      <c r="G8" s="103" t="s">
        <v>20046</v>
      </c>
      <c r="H8" s="117" t="s">
        <v>20032</v>
      </c>
      <c r="I8" s="118" t="s">
        <v>20047</v>
      </c>
      <c r="J8" s="103" t="s">
        <v>20048</v>
      </c>
      <c r="K8" s="103" t="s">
        <v>20049</v>
      </c>
      <c r="L8" s="103" t="s">
        <v>20050</v>
      </c>
      <c r="M8" s="119" t="s">
        <v>20051</v>
      </c>
    </row>
    <row r="9" spans="1:16">
      <c r="A9" t="s">
        <v>20039</v>
      </c>
      <c r="B9" s="71">
        <v>6</v>
      </c>
      <c r="C9" t="s">
        <v>19959</v>
      </c>
      <c r="D9" s="99" t="s">
        <v>20052</v>
      </c>
      <c r="E9" s="99">
        <v>257632250</v>
      </c>
      <c r="F9" s="100">
        <v>38100100</v>
      </c>
      <c r="G9" s="101">
        <f>F9/E9</f>
        <v>0.14788560050226632</v>
      </c>
      <c r="H9" s="120">
        <v>432160000</v>
      </c>
      <c r="I9" s="115">
        <f>G9*H9</f>
        <v>63910241.113059409</v>
      </c>
      <c r="J9" s="116">
        <f>ROUNDUP(I9*0.022186403403744,-4)</f>
        <v>1420000</v>
      </c>
      <c r="K9" s="116">
        <f>IF(J9&gt;5000000,J9*60%,J9)</f>
        <v>1420000</v>
      </c>
      <c r="L9" s="116">
        <f>IF(K9&lt;300000,300000,K9)</f>
        <v>1420000</v>
      </c>
      <c r="M9" s="121">
        <f>IF(L9&gt;6000000,6000000,L9)</f>
        <v>1420000</v>
      </c>
    </row>
  </sheetData>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J6062"/>
  <sheetViews>
    <sheetView topLeftCell="B3096" zoomScale="85" zoomScaleNormal="85" workbookViewId="0">
      <selection activeCell="C4620" sqref="C4620"/>
    </sheetView>
  </sheetViews>
  <sheetFormatPr defaultRowHeight="16.5"/>
  <cols>
    <col min="1" max="1" width="13.125" style="4" bestFit="1" customWidth="1"/>
    <col min="2" max="2" width="11.625" style="4" bestFit="1" customWidth="1"/>
    <col min="3" max="3" width="22.25" style="4" customWidth="1"/>
    <col min="4" max="4" width="9.125" style="4" bestFit="1" customWidth="1"/>
    <col min="5" max="5" width="9.5" style="4" bestFit="1" customWidth="1"/>
    <col min="6" max="6" width="19.375" style="4" customWidth="1"/>
    <col min="7" max="7" width="21.875" style="4" customWidth="1"/>
    <col min="8" max="8" width="80.25" style="4" bestFit="1" customWidth="1"/>
    <col min="9" max="9" width="76.125" style="4" bestFit="1" customWidth="1"/>
    <col min="10" max="16384" width="9" style="4"/>
  </cols>
  <sheetData>
    <row r="1" spans="1:10">
      <c r="A1" s="4" t="s">
        <v>14683</v>
      </c>
      <c r="B1" s="4" t="s">
        <v>14682</v>
      </c>
      <c r="C1" s="4" t="s">
        <v>14681</v>
      </c>
      <c r="D1" s="4" t="s">
        <v>14680</v>
      </c>
      <c r="E1" s="4" t="s">
        <v>14679</v>
      </c>
      <c r="F1" s="4" t="s">
        <v>14678</v>
      </c>
      <c r="G1" s="4" t="s">
        <v>14677</v>
      </c>
      <c r="H1" s="4" t="s">
        <v>14676</v>
      </c>
      <c r="I1" s="4" t="s">
        <v>14675</v>
      </c>
      <c r="J1" s="4" t="s">
        <v>14674</v>
      </c>
    </row>
    <row r="2" spans="1:10" hidden="1">
      <c r="A2" s="5">
        <v>2.0210633910000499E+17</v>
      </c>
      <c r="B2" s="5">
        <v>8308100069</v>
      </c>
      <c r="C2" s="5" t="s">
        <v>13494</v>
      </c>
      <c r="D2" s="5">
        <v>33910</v>
      </c>
      <c r="E2" s="5">
        <v>20210630</v>
      </c>
      <c r="F2" s="5">
        <v>20210630</v>
      </c>
      <c r="G2" s="5">
        <v>20220609</v>
      </c>
      <c r="H2" s="5" t="s">
        <v>774</v>
      </c>
      <c r="I2" s="5" t="s">
        <v>13493</v>
      </c>
      <c r="J2" s="5" t="s">
        <v>310</v>
      </c>
    </row>
    <row r="3" spans="1:10" hidden="1">
      <c r="A3" s="4">
        <v>2.0210746510000602E+17</v>
      </c>
      <c r="B3" s="4">
        <v>7428801663</v>
      </c>
      <c r="C3" s="4" t="s">
        <v>14671</v>
      </c>
      <c r="D3" s="4">
        <v>46510</v>
      </c>
      <c r="E3" s="4">
        <v>20210707</v>
      </c>
      <c r="F3" s="4">
        <v>20210707</v>
      </c>
      <c r="G3" s="4">
        <v>20240707</v>
      </c>
      <c r="H3" s="4" t="s">
        <v>10741</v>
      </c>
      <c r="I3" s="4" t="s">
        <v>14670</v>
      </c>
      <c r="J3" s="4" t="s">
        <v>126</v>
      </c>
    </row>
    <row r="4" spans="1:10" hidden="1">
      <c r="A4" s="4">
        <v>2.0210773202000602E+17</v>
      </c>
      <c r="B4" s="4">
        <v>6548100937</v>
      </c>
      <c r="C4" s="4" t="s">
        <v>14669</v>
      </c>
      <c r="D4" s="4">
        <v>73202</v>
      </c>
      <c r="E4" s="4">
        <v>20210707</v>
      </c>
      <c r="F4" s="4">
        <v>20210707</v>
      </c>
      <c r="G4" s="4">
        <v>20240707</v>
      </c>
      <c r="H4" s="4" t="s">
        <v>1559</v>
      </c>
      <c r="I4" s="4" t="s">
        <v>2200</v>
      </c>
      <c r="J4" s="4" t="s">
        <v>605</v>
      </c>
    </row>
    <row r="5" spans="1:10" hidden="1">
      <c r="A5" s="4">
        <v>2.0210772112000602E+17</v>
      </c>
      <c r="B5" s="4">
        <v>8028101248</v>
      </c>
      <c r="C5" s="4" t="s">
        <v>14668</v>
      </c>
      <c r="D5" s="4">
        <v>72112</v>
      </c>
      <c r="E5" s="4">
        <v>20210707</v>
      </c>
      <c r="F5" s="4">
        <v>20210707</v>
      </c>
      <c r="G5" s="4">
        <v>20240707</v>
      </c>
      <c r="H5" s="4" t="s">
        <v>14667</v>
      </c>
      <c r="J5" s="4" t="s">
        <v>5034</v>
      </c>
    </row>
    <row r="6" spans="1:10" hidden="1">
      <c r="A6" s="4">
        <v>2.0210722222000602E+17</v>
      </c>
      <c r="B6" s="4">
        <v>7758700347</v>
      </c>
      <c r="C6" s="4" t="s">
        <v>14666</v>
      </c>
      <c r="D6" s="4">
        <v>22222</v>
      </c>
      <c r="E6" s="4">
        <v>20210707</v>
      </c>
      <c r="F6" s="4">
        <v>20210707</v>
      </c>
      <c r="G6" s="4">
        <v>20230118</v>
      </c>
      <c r="H6" s="4" t="s">
        <v>14665</v>
      </c>
      <c r="I6" s="4" t="s">
        <v>14664</v>
      </c>
      <c r="J6" s="4" t="s">
        <v>5939</v>
      </c>
    </row>
    <row r="7" spans="1:10" hidden="1">
      <c r="A7" s="4">
        <v>2.0210733920000602E+17</v>
      </c>
      <c r="B7" s="4">
        <v>1688802035</v>
      </c>
      <c r="C7" s="4" t="s">
        <v>14663</v>
      </c>
      <c r="D7" s="4">
        <v>33920</v>
      </c>
      <c r="E7" s="4">
        <v>20210707</v>
      </c>
      <c r="F7" s="4">
        <v>20210707</v>
      </c>
      <c r="G7" s="4">
        <v>20240707</v>
      </c>
      <c r="H7" s="4" t="s">
        <v>14662</v>
      </c>
      <c r="I7" s="4" t="s">
        <v>14661</v>
      </c>
      <c r="J7" s="4" t="s">
        <v>5055</v>
      </c>
    </row>
    <row r="8" spans="1:10" hidden="1">
      <c r="A8" s="4">
        <v>2.0210772129000602E+17</v>
      </c>
      <c r="B8" s="4">
        <v>8528100680</v>
      </c>
      <c r="C8" s="4" t="s">
        <v>14660</v>
      </c>
      <c r="D8" s="4">
        <v>72129</v>
      </c>
      <c r="E8" s="4">
        <v>20210707</v>
      </c>
      <c r="F8" s="4">
        <v>20210707</v>
      </c>
      <c r="G8" s="4">
        <v>20240302</v>
      </c>
      <c r="H8" s="4" t="s">
        <v>14659</v>
      </c>
      <c r="I8" s="4" t="s">
        <v>14658</v>
      </c>
      <c r="J8" s="4" t="s">
        <v>1679</v>
      </c>
    </row>
    <row r="9" spans="1:10" hidden="1">
      <c r="A9" s="4">
        <v>2.0210741229000602E+17</v>
      </c>
      <c r="B9" s="4">
        <v>4448601367</v>
      </c>
      <c r="C9" s="4" t="s">
        <v>14657</v>
      </c>
      <c r="D9" s="4">
        <v>41229</v>
      </c>
      <c r="E9" s="4">
        <v>20210707</v>
      </c>
      <c r="F9" s="4">
        <v>20210707</v>
      </c>
      <c r="G9" s="4">
        <v>20240707</v>
      </c>
      <c r="H9" s="4" t="s">
        <v>14656</v>
      </c>
      <c r="J9" s="4" t="s">
        <v>5083</v>
      </c>
    </row>
    <row r="10" spans="1:10" hidden="1">
      <c r="A10" s="4">
        <v>2.0210726323000602E+17</v>
      </c>
      <c r="B10" s="4">
        <v>7938801017</v>
      </c>
      <c r="C10" s="4" t="s">
        <v>14655</v>
      </c>
      <c r="D10" s="4">
        <v>26323</v>
      </c>
      <c r="E10" s="4">
        <v>20210707</v>
      </c>
      <c r="F10" s="4">
        <v>20210707</v>
      </c>
      <c r="G10" s="4">
        <v>20240707</v>
      </c>
      <c r="H10" s="4" t="s">
        <v>14654</v>
      </c>
      <c r="I10" s="4" t="s">
        <v>14653</v>
      </c>
      <c r="J10" s="4" t="s">
        <v>2186</v>
      </c>
    </row>
    <row r="11" spans="1:10" hidden="1">
      <c r="A11" s="4">
        <v>2.0210758222000602E+17</v>
      </c>
      <c r="B11" s="4">
        <v>8078100491</v>
      </c>
      <c r="C11" s="4" t="s">
        <v>14652</v>
      </c>
      <c r="D11" s="4">
        <v>58222</v>
      </c>
      <c r="E11" s="4">
        <v>20210707</v>
      </c>
      <c r="F11" s="4">
        <v>20210707</v>
      </c>
      <c r="G11" s="4">
        <v>20231115</v>
      </c>
      <c r="H11" s="4" t="s">
        <v>4685</v>
      </c>
      <c r="I11" s="4" t="s">
        <v>14651</v>
      </c>
      <c r="J11" s="4" t="s">
        <v>94</v>
      </c>
    </row>
    <row r="12" spans="1:10" hidden="1">
      <c r="A12" s="4">
        <v>2.0210727216000602E+17</v>
      </c>
      <c r="B12" s="4">
        <v>3958600969</v>
      </c>
      <c r="C12" s="4" t="s">
        <v>14650</v>
      </c>
      <c r="D12" s="4">
        <v>27216</v>
      </c>
      <c r="E12" s="4">
        <v>20210707</v>
      </c>
      <c r="F12" s="4">
        <v>20210707</v>
      </c>
      <c r="G12" s="4">
        <v>20240707</v>
      </c>
      <c r="H12" s="4" t="s">
        <v>14649</v>
      </c>
      <c r="J12" s="4" t="s">
        <v>527</v>
      </c>
    </row>
    <row r="13" spans="1:10" hidden="1">
      <c r="A13" s="4">
        <v>2.0210726410000602E+17</v>
      </c>
      <c r="B13" s="4">
        <v>4798800752</v>
      </c>
      <c r="C13" s="4" t="s">
        <v>14648</v>
      </c>
      <c r="D13" s="4">
        <v>26410</v>
      </c>
      <c r="E13" s="4">
        <v>20210707</v>
      </c>
      <c r="F13" s="4">
        <v>20210707</v>
      </c>
      <c r="G13" s="4">
        <v>20240707</v>
      </c>
      <c r="H13" s="4" t="s">
        <v>14647</v>
      </c>
      <c r="I13" s="4" t="s">
        <v>14646</v>
      </c>
      <c r="J13" s="4" t="s">
        <v>1102</v>
      </c>
    </row>
    <row r="14" spans="1:10" hidden="1">
      <c r="A14" s="5">
        <v>2.0210533910000301E+17</v>
      </c>
      <c r="B14" s="5">
        <v>2221356254</v>
      </c>
      <c r="C14" s="5" t="s">
        <v>8785</v>
      </c>
      <c r="D14" s="5">
        <v>33910</v>
      </c>
      <c r="E14" s="5">
        <v>20210512</v>
      </c>
      <c r="F14" s="5">
        <v>20210512</v>
      </c>
      <c r="G14" s="5">
        <v>20240512</v>
      </c>
      <c r="H14" s="5" t="s">
        <v>8786</v>
      </c>
      <c r="I14" s="5" t="s">
        <v>8785</v>
      </c>
      <c r="J14" s="5" t="s">
        <v>310</v>
      </c>
    </row>
    <row r="15" spans="1:10" hidden="1">
      <c r="A15" s="4">
        <v>2.0210772921000602E+17</v>
      </c>
      <c r="B15" s="4">
        <v>4858700314</v>
      </c>
      <c r="C15" s="4" t="s">
        <v>14643</v>
      </c>
      <c r="D15" s="4">
        <v>72921</v>
      </c>
      <c r="E15" s="4">
        <v>20210707</v>
      </c>
      <c r="F15" s="4">
        <v>20210707</v>
      </c>
      <c r="G15" s="4">
        <v>20230126</v>
      </c>
      <c r="H15" s="4" t="s">
        <v>14642</v>
      </c>
      <c r="J15" s="4" t="s">
        <v>2880</v>
      </c>
    </row>
    <row r="16" spans="1:10">
      <c r="A16" s="4">
        <v>2.021015819E+17</v>
      </c>
      <c r="B16" s="4">
        <v>1888101706</v>
      </c>
      <c r="C16" s="4" t="s">
        <v>501</v>
      </c>
      <c r="D16" s="4">
        <v>58190</v>
      </c>
      <c r="E16" s="4">
        <v>20210119</v>
      </c>
      <c r="F16" s="4">
        <v>20210119</v>
      </c>
      <c r="G16" s="4">
        <v>20240118</v>
      </c>
      <c r="H16" s="4" t="s">
        <v>500</v>
      </c>
      <c r="I16" s="4" t="s">
        <v>499</v>
      </c>
      <c r="J16" s="4" t="s">
        <v>196</v>
      </c>
    </row>
    <row r="17" spans="1:10" hidden="1">
      <c r="A17" s="4">
        <v>2.0210762010000602E+17</v>
      </c>
      <c r="B17" s="4">
        <v>4108706615</v>
      </c>
      <c r="C17" s="4" t="s">
        <v>14638</v>
      </c>
      <c r="D17" s="4">
        <v>58190</v>
      </c>
      <c r="E17" s="4">
        <v>20210707</v>
      </c>
      <c r="F17" s="4">
        <v>20210707</v>
      </c>
      <c r="G17" s="4">
        <v>20220108</v>
      </c>
      <c r="H17" s="4" t="s">
        <v>4666</v>
      </c>
      <c r="I17" s="4">
        <v>206</v>
      </c>
      <c r="J17" s="4" t="s">
        <v>118</v>
      </c>
    </row>
    <row r="18" spans="1:10" hidden="1">
      <c r="A18" s="4">
        <v>2.0210746539000602E+17</v>
      </c>
      <c r="B18" s="4">
        <v>4553100975</v>
      </c>
      <c r="C18" s="4" t="s">
        <v>14637</v>
      </c>
      <c r="D18" s="4">
        <v>46539</v>
      </c>
      <c r="E18" s="4">
        <v>20210707</v>
      </c>
      <c r="F18" s="4">
        <v>20210707</v>
      </c>
      <c r="G18" s="4">
        <v>20240707</v>
      </c>
      <c r="H18" s="4" t="s">
        <v>14636</v>
      </c>
      <c r="I18" s="4" t="s">
        <v>1064</v>
      </c>
      <c r="J18" s="4" t="s">
        <v>3056</v>
      </c>
    </row>
    <row r="19" spans="1:10" hidden="1">
      <c r="A19" s="4">
        <v>2.0210773203000602E+17</v>
      </c>
      <c r="B19" s="4">
        <v>5528701097</v>
      </c>
      <c r="C19" s="4" t="s">
        <v>14635</v>
      </c>
      <c r="D19" s="4">
        <v>73203</v>
      </c>
      <c r="E19" s="4">
        <v>20210707</v>
      </c>
      <c r="F19" s="4">
        <v>20210707</v>
      </c>
      <c r="G19" s="4">
        <v>20240707</v>
      </c>
      <c r="H19" s="4" t="s">
        <v>14634</v>
      </c>
      <c r="I19" s="4" t="s">
        <v>591</v>
      </c>
      <c r="J19" s="4" t="s">
        <v>260</v>
      </c>
    </row>
    <row r="20" spans="1:10" hidden="1">
      <c r="A20" s="4">
        <v>2.0210762021000602E+17</v>
      </c>
      <c r="B20" s="4">
        <v>3480701007</v>
      </c>
      <c r="C20" s="4" t="s">
        <v>14633</v>
      </c>
      <c r="D20" s="4">
        <v>62021</v>
      </c>
      <c r="E20" s="4">
        <v>20210707</v>
      </c>
      <c r="F20" s="4">
        <v>20210707</v>
      </c>
      <c r="G20" s="4">
        <v>20240707</v>
      </c>
      <c r="H20" s="4" t="s">
        <v>14632</v>
      </c>
      <c r="I20" s="4" t="s">
        <v>14631</v>
      </c>
      <c r="J20" s="4" t="s">
        <v>1505</v>
      </c>
    </row>
    <row r="21" spans="1:10" hidden="1">
      <c r="A21" s="4">
        <v>2.0210759113000602E+17</v>
      </c>
      <c r="B21" s="4">
        <v>5330201309</v>
      </c>
      <c r="C21" s="4" t="s">
        <v>14630</v>
      </c>
      <c r="D21" s="4">
        <v>59113</v>
      </c>
      <c r="E21" s="4">
        <v>20210707</v>
      </c>
      <c r="F21" s="4">
        <v>20210707</v>
      </c>
      <c r="G21" s="4">
        <v>20240707</v>
      </c>
      <c r="H21" s="4" t="s">
        <v>14629</v>
      </c>
      <c r="I21" s="4" t="s">
        <v>91</v>
      </c>
      <c r="J21" s="4" t="s">
        <v>3651</v>
      </c>
    </row>
    <row r="22" spans="1:10" hidden="1">
      <c r="A22" s="4">
        <v>2.0210746329000602E+17</v>
      </c>
      <c r="B22" s="4">
        <v>6796600495</v>
      </c>
      <c r="C22" s="4" t="s">
        <v>14628</v>
      </c>
      <c r="D22" s="4">
        <v>46329</v>
      </c>
      <c r="E22" s="4">
        <v>20210707</v>
      </c>
      <c r="F22" s="4">
        <v>20210707</v>
      </c>
      <c r="G22" s="4">
        <v>20240707</v>
      </c>
      <c r="H22" s="4" t="s">
        <v>14627</v>
      </c>
      <c r="I22" s="4" t="s">
        <v>14626</v>
      </c>
      <c r="J22" s="4" t="s">
        <v>830</v>
      </c>
    </row>
    <row r="23" spans="1:10" hidden="1">
      <c r="A23" s="5">
        <v>2.0210428423000301E+17</v>
      </c>
      <c r="B23" s="5">
        <v>1810401344</v>
      </c>
      <c r="C23" s="5" t="s">
        <v>7897</v>
      </c>
      <c r="D23" s="5">
        <v>28423</v>
      </c>
      <c r="E23" s="5">
        <v>20210428</v>
      </c>
      <c r="F23" s="5">
        <v>20210428</v>
      </c>
      <c r="G23" s="5">
        <v>20240428</v>
      </c>
      <c r="H23" s="5" t="s">
        <v>7896</v>
      </c>
      <c r="I23" s="5"/>
      <c r="J23" s="5" t="s">
        <v>485</v>
      </c>
    </row>
    <row r="24" spans="1:10" hidden="1">
      <c r="A24" s="4">
        <v>2.0210790191000602E+17</v>
      </c>
      <c r="B24" s="4">
        <v>2335100295</v>
      </c>
      <c r="C24" s="4" t="s">
        <v>14622</v>
      </c>
      <c r="D24" s="4">
        <v>90191</v>
      </c>
      <c r="E24" s="4">
        <v>20210707</v>
      </c>
      <c r="F24" s="4">
        <v>20210707</v>
      </c>
      <c r="G24" s="4">
        <v>20240707</v>
      </c>
      <c r="H24" s="4" t="s">
        <v>14621</v>
      </c>
      <c r="J24" s="4" t="s">
        <v>3866</v>
      </c>
    </row>
    <row r="25" spans="1:10" hidden="1">
      <c r="A25" s="4">
        <v>2.0210747812000602E+17</v>
      </c>
      <c r="B25" s="4">
        <v>3210402072</v>
      </c>
      <c r="C25" s="4" t="s">
        <v>14620</v>
      </c>
      <c r="D25" s="4">
        <v>47812</v>
      </c>
      <c r="E25" s="4">
        <v>20210707</v>
      </c>
      <c r="F25" s="4">
        <v>20210707</v>
      </c>
      <c r="G25" s="4">
        <v>20240707</v>
      </c>
      <c r="H25" s="4" t="s">
        <v>14619</v>
      </c>
      <c r="I25" s="4" t="s">
        <v>14618</v>
      </c>
      <c r="J25" s="4" t="s">
        <v>12459</v>
      </c>
    </row>
    <row r="26" spans="1:10" hidden="1">
      <c r="A26" s="4">
        <v>2.0210747912000602E+17</v>
      </c>
      <c r="B26" s="4">
        <v>4493600882</v>
      </c>
      <c r="C26" s="4" t="s">
        <v>14617</v>
      </c>
      <c r="D26" s="4">
        <v>47912</v>
      </c>
      <c r="E26" s="4">
        <v>20210707</v>
      </c>
      <c r="F26" s="4">
        <v>20210707</v>
      </c>
      <c r="G26" s="4">
        <v>20240707</v>
      </c>
      <c r="H26" s="4" t="s">
        <v>14616</v>
      </c>
      <c r="J26" s="4" t="s">
        <v>78</v>
      </c>
    </row>
    <row r="27" spans="1:10" hidden="1">
      <c r="A27" s="4">
        <v>2.0210762010000602E+17</v>
      </c>
      <c r="B27" s="4">
        <v>1958101835</v>
      </c>
      <c r="C27" s="4" t="s">
        <v>14615</v>
      </c>
      <c r="D27" s="4">
        <v>62010</v>
      </c>
      <c r="E27" s="4">
        <v>20210707</v>
      </c>
      <c r="F27" s="4">
        <v>20210707</v>
      </c>
      <c r="G27" s="4">
        <v>20240707</v>
      </c>
      <c r="H27" s="4" t="s">
        <v>14614</v>
      </c>
      <c r="I27" s="4" t="s">
        <v>14613</v>
      </c>
      <c r="J27" s="4" t="s">
        <v>118</v>
      </c>
    </row>
    <row r="28" spans="1:10" hidden="1">
      <c r="A28" s="4">
        <v>2.0210741129000602E+17</v>
      </c>
      <c r="B28" s="4">
        <v>2162187378</v>
      </c>
      <c r="C28" s="4" t="s">
        <v>14612</v>
      </c>
      <c r="D28" s="4">
        <v>41129</v>
      </c>
      <c r="E28" s="4">
        <v>20210707</v>
      </c>
      <c r="F28" s="4">
        <v>20210707</v>
      </c>
      <c r="G28" s="4">
        <v>20240707</v>
      </c>
      <c r="H28" s="4" t="s">
        <v>14611</v>
      </c>
      <c r="J28" s="4" t="s">
        <v>4352</v>
      </c>
    </row>
    <row r="29" spans="1:10" hidden="1">
      <c r="A29" s="4">
        <v>2.0210747841000602E+17</v>
      </c>
      <c r="B29" s="4">
        <v>6964700373</v>
      </c>
      <c r="C29" s="4" t="s">
        <v>14610</v>
      </c>
      <c r="D29" s="4">
        <v>47841</v>
      </c>
      <c r="E29" s="4">
        <v>20210707</v>
      </c>
      <c r="F29" s="4">
        <v>20210707</v>
      </c>
      <c r="G29" s="4">
        <v>20240707</v>
      </c>
      <c r="H29" s="4" t="s">
        <v>14609</v>
      </c>
      <c r="J29" s="4" t="s">
        <v>4404</v>
      </c>
    </row>
    <row r="30" spans="1:10" hidden="1">
      <c r="A30" s="4">
        <v>2.0210746739000602E+17</v>
      </c>
      <c r="B30" s="4">
        <v>5401900311</v>
      </c>
      <c r="C30" s="4" t="s">
        <v>14608</v>
      </c>
      <c r="D30" s="4">
        <v>46739</v>
      </c>
      <c r="E30" s="4">
        <v>20210707</v>
      </c>
      <c r="F30" s="4">
        <v>20210707</v>
      </c>
      <c r="G30" s="4">
        <v>20240201</v>
      </c>
      <c r="H30" s="4" t="s">
        <v>14607</v>
      </c>
      <c r="J30" s="4" t="s">
        <v>2551</v>
      </c>
    </row>
    <row r="31" spans="1:10" hidden="1">
      <c r="A31" s="4">
        <v>2.0210785709000602E+17</v>
      </c>
      <c r="B31" s="4">
        <v>4058111545</v>
      </c>
      <c r="C31" s="4" t="s">
        <v>14606</v>
      </c>
      <c r="D31" s="4">
        <v>85709</v>
      </c>
      <c r="E31" s="4">
        <v>20210707</v>
      </c>
      <c r="F31" s="4">
        <v>20210707</v>
      </c>
      <c r="G31" s="4">
        <v>20240417</v>
      </c>
      <c r="H31" s="4" t="s">
        <v>14605</v>
      </c>
      <c r="I31" s="4" t="s">
        <v>14604</v>
      </c>
      <c r="J31" s="4" t="s">
        <v>141</v>
      </c>
    </row>
    <row r="32" spans="1:10" hidden="1">
      <c r="A32" s="4">
        <v>2.0210759113000602E+17</v>
      </c>
      <c r="B32" s="4">
        <v>2111212583</v>
      </c>
      <c r="C32" s="4" t="s">
        <v>14603</v>
      </c>
      <c r="D32" s="4">
        <v>59113</v>
      </c>
      <c r="E32" s="4">
        <v>20210707</v>
      </c>
      <c r="F32" s="4">
        <v>20210707</v>
      </c>
      <c r="G32" s="4">
        <v>20240707</v>
      </c>
      <c r="H32" s="4" t="s">
        <v>8853</v>
      </c>
      <c r="I32" s="4" t="s">
        <v>3363</v>
      </c>
      <c r="J32" s="4" t="s">
        <v>3651</v>
      </c>
    </row>
    <row r="33" spans="1:10" hidden="1">
      <c r="A33" s="4">
        <v>2.0210720424000602E+17</v>
      </c>
      <c r="B33" s="4">
        <v>3761600285</v>
      </c>
      <c r="C33" s="4" t="s">
        <v>14602</v>
      </c>
      <c r="D33" s="4">
        <v>20424</v>
      </c>
      <c r="E33" s="4">
        <v>20210707</v>
      </c>
      <c r="F33" s="4">
        <v>20210707</v>
      </c>
      <c r="G33" s="4">
        <v>20230215</v>
      </c>
      <c r="H33" s="4" t="s">
        <v>14601</v>
      </c>
      <c r="I33" s="4" t="s">
        <v>146</v>
      </c>
      <c r="J33" s="4" t="s">
        <v>2964</v>
      </c>
    </row>
    <row r="34" spans="1:10" hidden="1">
      <c r="A34" s="4">
        <v>2.0210772111000602E+17</v>
      </c>
      <c r="B34" s="4">
        <v>3440900602</v>
      </c>
      <c r="C34" s="4" t="s">
        <v>14600</v>
      </c>
      <c r="D34" s="4">
        <v>72111</v>
      </c>
      <c r="E34" s="4">
        <v>20210707</v>
      </c>
      <c r="F34" s="4">
        <v>20210707</v>
      </c>
      <c r="G34" s="4">
        <v>20240220</v>
      </c>
      <c r="H34" s="4" t="s">
        <v>14599</v>
      </c>
      <c r="I34" s="4" t="s">
        <v>159</v>
      </c>
      <c r="J34" s="4" t="s">
        <v>3461</v>
      </c>
    </row>
    <row r="35" spans="1:10" hidden="1">
      <c r="A35" s="4">
        <v>2.0210746800000602E+17</v>
      </c>
      <c r="B35" s="4">
        <v>7048101978</v>
      </c>
      <c r="C35" s="4" t="s">
        <v>14598</v>
      </c>
      <c r="D35" s="4">
        <v>46800</v>
      </c>
      <c r="E35" s="4">
        <v>20210707</v>
      </c>
      <c r="F35" s="4">
        <v>20210707</v>
      </c>
      <c r="G35" s="4">
        <v>20240707</v>
      </c>
      <c r="H35" s="4" t="s">
        <v>9142</v>
      </c>
      <c r="J35" s="4" t="s">
        <v>979</v>
      </c>
    </row>
    <row r="36" spans="1:10" hidden="1">
      <c r="A36" s="4">
        <v>2.0210728909000602E+17</v>
      </c>
      <c r="B36" s="4">
        <v>2338702292</v>
      </c>
      <c r="C36" s="4" t="s">
        <v>14597</v>
      </c>
      <c r="D36" s="4">
        <v>28909</v>
      </c>
      <c r="E36" s="4">
        <v>20210707</v>
      </c>
      <c r="F36" s="4">
        <v>20210707</v>
      </c>
      <c r="G36" s="4">
        <v>20240707</v>
      </c>
      <c r="H36" s="4" t="s">
        <v>3331</v>
      </c>
      <c r="I36" s="4" t="s">
        <v>14596</v>
      </c>
      <c r="J36" s="4" t="s">
        <v>253</v>
      </c>
    </row>
    <row r="37" spans="1:10" hidden="1">
      <c r="A37" s="4">
        <v>2.0210726519000602E+17</v>
      </c>
      <c r="B37" s="4">
        <v>6038190222</v>
      </c>
      <c r="C37" s="4" t="s">
        <v>14595</v>
      </c>
      <c r="D37" s="4">
        <v>26519</v>
      </c>
      <c r="E37" s="4">
        <v>20210707</v>
      </c>
      <c r="F37" s="4">
        <v>20210707</v>
      </c>
      <c r="G37" s="4">
        <v>20220226</v>
      </c>
      <c r="H37" s="4" t="s">
        <v>2718</v>
      </c>
      <c r="I37" s="4" t="s">
        <v>14594</v>
      </c>
      <c r="J37" s="4" t="s">
        <v>668</v>
      </c>
    </row>
    <row r="38" spans="1:10" hidden="1">
      <c r="A38" s="4">
        <v>2.0210710309000602E+17</v>
      </c>
      <c r="B38" s="4">
        <v>6408101859</v>
      </c>
      <c r="C38" s="4" t="s">
        <v>14593</v>
      </c>
      <c r="D38" s="4">
        <v>10309</v>
      </c>
      <c r="E38" s="4">
        <v>20210707</v>
      </c>
      <c r="F38" s="4">
        <v>20210707</v>
      </c>
      <c r="G38" s="4">
        <v>20240707</v>
      </c>
      <c r="H38" s="4" t="s">
        <v>2575</v>
      </c>
      <c r="J38" s="4" t="s">
        <v>519</v>
      </c>
    </row>
    <row r="39" spans="1:10" hidden="1">
      <c r="A39" s="4">
        <v>2.0210758222000602E+17</v>
      </c>
      <c r="B39" s="4">
        <v>5708801369</v>
      </c>
      <c r="C39" s="4" t="s">
        <v>14592</v>
      </c>
      <c r="D39" s="4">
        <v>58222</v>
      </c>
      <c r="E39" s="4">
        <v>20210707</v>
      </c>
      <c r="F39" s="4">
        <v>20210707</v>
      </c>
      <c r="G39" s="4">
        <v>20240707</v>
      </c>
      <c r="H39" s="4" t="s">
        <v>14591</v>
      </c>
      <c r="I39" s="4" t="s">
        <v>14590</v>
      </c>
      <c r="J39" s="4" t="s">
        <v>94</v>
      </c>
    </row>
    <row r="40" spans="1:10" hidden="1">
      <c r="A40" s="4">
        <v>2.0210742311000602E+17</v>
      </c>
      <c r="B40" s="4">
        <v>5138701831</v>
      </c>
      <c r="C40" s="4" t="s">
        <v>12829</v>
      </c>
      <c r="D40" s="4">
        <v>42311</v>
      </c>
      <c r="E40" s="4">
        <v>20210707</v>
      </c>
      <c r="F40" s="4">
        <v>20210707</v>
      </c>
      <c r="G40" s="4">
        <v>20240707</v>
      </c>
      <c r="H40" s="4" t="s">
        <v>14589</v>
      </c>
      <c r="I40" s="4" t="s">
        <v>149</v>
      </c>
      <c r="J40" s="4" t="s">
        <v>718</v>
      </c>
    </row>
    <row r="41" spans="1:10" hidden="1">
      <c r="A41" s="4">
        <v>2.0210746539000602E+17</v>
      </c>
      <c r="B41" s="4">
        <v>3618101636</v>
      </c>
      <c r="C41" s="4" t="s">
        <v>14588</v>
      </c>
      <c r="D41" s="4">
        <v>46539</v>
      </c>
      <c r="E41" s="4">
        <v>20210707</v>
      </c>
      <c r="F41" s="4">
        <v>20210707</v>
      </c>
      <c r="G41" s="4">
        <v>20240707</v>
      </c>
      <c r="H41" s="4" t="s">
        <v>4675</v>
      </c>
      <c r="I41" s="4" t="s">
        <v>14587</v>
      </c>
      <c r="J41" s="4" t="s">
        <v>3056</v>
      </c>
    </row>
    <row r="42" spans="1:10" hidden="1">
      <c r="A42" s="4">
        <v>2.0210728901000602E+17</v>
      </c>
      <c r="B42" s="4">
        <v>6648800985</v>
      </c>
      <c r="C42" s="4" t="s">
        <v>14586</v>
      </c>
      <c r="D42" s="4">
        <v>28901</v>
      </c>
      <c r="E42" s="4">
        <v>20210707</v>
      </c>
      <c r="F42" s="4">
        <v>20210707</v>
      </c>
      <c r="G42" s="4">
        <v>20240707</v>
      </c>
      <c r="H42" s="4" t="s">
        <v>1132</v>
      </c>
      <c r="I42" s="4" t="s">
        <v>14585</v>
      </c>
      <c r="J42" s="4" t="s">
        <v>4186</v>
      </c>
    </row>
    <row r="43" spans="1:10" hidden="1">
      <c r="A43" s="4">
        <v>2.0210733302000602E+17</v>
      </c>
      <c r="B43" s="4">
        <v>6538102136</v>
      </c>
      <c r="C43" s="4" t="s">
        <v>14584</v>
      </c>
      <c r="D43" s="4">
        <v>33302</v>
      </c>
      <c r="E43" s="4">
        <v>20210707</v>
      </c>
      <c r="F43" s="4">
        <v>20210707</v>
      </c>
      <c r="G43" s="4">
        <v>20240707</v>
      </c>
      <c r="H43" s="4" t="s">
        <v>14583</v>
      </c>
      <c r="I43" s="4" t="s">
        <v>1403</v>
      </c>
      <c r="J43" s="4" t="s">
        <v>4679</v>
      </c>
    </row>
    <row r="44" spans="1:10" hidden="1">
      <c r="A44" s="4">
        <v>2.0210762021000602E+17</v>
      </c>
      <c r="B44" s="4">
        <v>5328700930</v>
      </c>
      <c r="C44" s="4" t="s">
        <v>14582</v>
      </c>
      <c r="D44" s="4">
        <v>62021</v>
      </c>
      <c r="E44" s="4">
        <v>20210707</v>
      </c>
      <c r="F44" s="4">
        <v>20210707</v>
      </c>
      <c r="G44" s="4">
        <v>20240707</v>
      </c>
      <c r="H44" s="4" t="s">
        <v>14581</v>
      </c>
      <c r="I44" s="4" t="s">
        <v>185</v>
      </c>
      <c r="J44" s="4" t="s">
        <v>1505</v>
      </c>
    </row>
    <row r="45" spans="1:10" hidden="1">
      <c r="A45" s="4">
        <v>2.0210758221000602E+17</v>
      </c>
      <c r="B45" s="4">
        <v>4268600939</v>
      </c>
      <c r="C45" s="4" t="s">
        <v>14580</v>
      </c>
      <c r="D45" s="4">
        <v>58221</v>
      </c>
      <c r="E45" s="4">
        <v>20210707</v>
      </c>
      <c r="F45" s="4">
        <v>20210707</v>
      </c>
      <c r="G45" s="4">
        <v>20240707</v>
      </c>
      <c r="H45" s="4" t="s">
        <v>1423</v>
      </c>
      <c r="I45" s="4" t="s">
        <v>14579</v>
      </c>
      <c r="J45" s="4" t="s">
        <v>228</v>
      </c>
    </row>
    <row r="46" spans="1:10" hidden="1">
      <c r="A46" s="4">
        <v>2.0210729174000602E+17</v>
      </c>
      <c r="B46" s="4">
        <v>2328601162</v>
      </c>
      <c r="C46" s="4" t="s">
        <v>14578</v>
      </c>
      <c r="D46" s="4">
        <v>29174</v>
      </c>
      <c r="E46" s="4">
        <v>20210707</v>
      </c>
      <c r="F46" s="4">
        <v>20210707</v>
      </c>
      <c r="G46" s="4">
        <v>20240707</v>
      </c>
      <c r="H46" s="4" t="s">
        <v>1423</v>
      </c>
      <c r="I46" s="4" t="s">
        <v>14577</v>
      </c>
      <c r="J46" s="4" t="s">
        <v>877</v>
      </c>
    </row>
    <row r="47" spans="1:10" hidden="1">
      <c r="A47" s="4">
        <v>2.0210742202000602E+17</v>
      </c>
      <c r="B47" s="4">
        <v>3558800363</v>
      </c>
      <c r="C47" s="4" t="s">
        <v>14576</v>
      </c>
      <c r="D47" s="4">
        <v>42202</v>
      </c>
      <c r="E47" s="4">
        <v>20210707</v>
      </c>
      <c r="F47" s="4">
        <v>20210707</v>
      </c>
      <c r="G47" s="4">
        <v>20230519</v>
      </c>
      <c r="H47" s="4" t="s">
        <v>14575</v>
      </c>
      <c r="I47" s="4" t="s">
        <v>175</v>
      </c>
      <c r="J47" s="4" t="s">
        <v>447</v>
      </c>
    </row>
    <row r="48" spans="1:10" hidden="1">
      <c r="A48" s="4">
        <v>2.0210725111000602E+17</v>
      </c>
      <c r="B48" s="4">
        <v>7128801828</v>
      </c>
      <c r="C48" s="4" t="s">
        <v>14574</v>
      </c>
      <c r="D48" s="4">
        <v>25111</v>
      </c>
      <c r="E48" s="4">
        <v>20210707</v>
      </c>
      <c r="F48" s="4">
        <v>20210707</v>
      </c>
      <c r="G48" s="4">
        <v>20240707</v>
      </c>
      <c r="H48" s="4" t="s">
        <v>14573</v>
      </c>
      <c r="I48" s="4" t="s">
        <v>10166</v>
      </c>
      <c r="J48" s="4" t="s">
        <v>82</v>
      </c>
    </row>
    <row r="49" spans="1:10" hidden="1">
      <c r="A49" s="4">
        <v>2.0210758222000602E+17</v>
      </c>
      <c r="B49" s="4">
        <v>6318801121</v>
      </c>
      <c r="C49" s="4" t="s">
        <v>14572</v>
      </c>
      <c r="D49" s="4">
        <v>58222</v>
      </c>
      <c r="E49" s="4">
        <v>20210707</v>
      </c>
      <c r="F49" s="4">
        <v>20210707</v>
      </c>
      <c r="G49" s="4">
        <v>20240707</v>
      </c>
      <c r="H49" s="4" t="s">
        <v>14571</v>
      </c>
      <c r="I49" s="4" t="s">
        <v>6814</v>
      </c>
      <c r="J49" s="4" t="s">
        <v>94</v>
      </c>
    </row>
    <row r="50" spans="1:10" hidden="1">
      <c r="A50" s="4">
        <v>2.0210772111000602E+17</v>
      </c>
      <c r="B50" s="4">
        <v>7928100409</v>
      </c>
      <c r="C50" s="4" t="s">
        <v>14570</v>
      </c>
      <c r="D50" s="4">
        <v>72111</v>
      </c>
      <c r="E50" s="4">
        <v>20210707</v>
      </c>
      <c r="F50" s="4">
        <v>20210707</v>
      </c>
      <c r="G50" s="4">
        <v>20230408</v>
      </c>
      <c r="H50" s="4" t="s">
        <v>14569</v>
      </c>
      <c r="I50" s="4" t="s">
        <v>14568</v>
      </c>
      <c r="J50" s="4" t="s">
        <v>3461</v>
      </c>
    </row>
    <row r="51" spans="1:10" hidden="1">
      <c r="A51" s="4">
        <v>2.0210726111000602E+17</v>
      </c>
      <c r="B51" s="4">
        <v>6278700316</v>
      </c>
      <c r="C51" s="4" t="s">
        <v>14567</v>
      </c>
      <c r="D51" s="4">
        <v>26111</v>
      </c>
      <c r="E51" s="4">
        <v>20210707</v>
      </c>
      <c r="F51" s="4">
        <v>20210707</v>
      </c>
      <c r="G51" s="4">
        <v>20221123</v>
      </c>
      <c r="H51" s="4" t="s">
        <v>14566</v>
      </c>
      <c r="J51" s="4" t="s">
        <v>6729</v>
      </c>
    </row>
    <row r="52" spans="1:10" hidden="1">
      <c r="A52" s="4">
        <v>2.0210746109000602E+17</v>
      </c>
      <c r="B52" s="4">
        <v>4800101686</v>
      </c>
      <c r="C52" s="4" t="s">
        <v>14565</v>
      </c>
      <c r="D52" s="4">
        <v>46109</v>
      </c>
      <c r="E52" s="4">
        <v>20210707</v>
      </c>
      <c r="F52" s="4">
        <v>20210707</v>
      </c>
      <c r="G52" s="4">
        <v>20240707</v>
      </c>
      <c r="H52" s="4" t="s">
        <v>14564</v>
      </c>
      <c r="I52" s="4" t="s">
        <v>14563</v>
      </c>
      <c r="J52" s="4" t="s">
        <v>133</v>
      </c>
    </row>
    <row r="53" spans="1:10" hidden="1">
      <c r="A53" s="4">
        <v>2.0210770129000602E+17</v>
      </c>
      <c r="B53" s="4">
        <v>3161600681</v>
      </c>
      <c r="C53" s="4" t="s">
        <v>14562</v>
      </c>
      <c r="D53" s="4">
        <v>70129</v>
      </c>
      <c r="E53" s="4">
        <v>20210707</v>
      </c>
      <c r="F53" s="4">
        <v>20210707</v>
      </c>
      <c r="G53" s="4">
        <v>20240707</v>
      </c>
      <c r="H53" s="4" t="s">
        <v>14561</v>
      </c>
      <c r="I53" s="4" t="s">
        <v>14560</v>
      </c>
      <c r="J53" s="4" t="s">
        <v>937</v>
      </c>
    </row>
    <row r="54" spans="1:10">
      <c r="A54" s="4">
        <v>2.0210218111E+17</v>
      </c>
      <c r="B54" s="4">
        <v>5352400929</v>
      </c>
      <c r="C54" s="4" t="s">
        <v>1228</v>
      </c>
      <c r="D54" s="4">
        <v>18111</v>
      </c>
      <c r="E54" s="4">
        <v>20210205</v>
      </c>
      <c r="F54" s="4">
        <v>20210205</v>
      </c>
      <c r="G54" s="4">
        <v>20240205</v>
      </c>
      <c r="H54" s="4" t="s">
        <v>1227</v>
      </c>
      <c r="J54" s="4" t="s">
        <v>662</v>
      </c>
    </row>
    <row r="55" spans="1:10" hidden="1">
      <c r="A55" s="4">
        <v>2.0210758221000602E+17</v>
      </c>
      <c r="B55" s="4">
        <v>3688101409</v>
      </c>
      <c r="C55" s="4" t="s">
        <v>14557</v>
      </c>
      <c r="D55" s="4">
        <v>58221</v>
      </c>
      <c r="E55" s="4">
        <v>20210707</v>
      </c>
      <c r="F55" s="4">
        <v>20210707</v>
      </c>
      <c r="G55" s="4">
        <v>20240707</v>
      </c>
      <c r="H55" s="4" t="s">
        <v>14556</v>
      </c>
      <c r="I55" s="4" t="s">
        <v>14555</v>
      </c>
      <c r="J55" s="4" t="s">
        <v>228</v>
      </c>
    </row>
    <row r="56" spans="1:10" hidden="1">
      <c r="A56" s="5">
        <v>2.0210433910000198E+17</v>
      </c>
      <c r="B56" s="5">
        <v>5848700042</v>
      </c>
      <c r="C56" s="5" t="s">
        <v>5743</v>
      </c>
      <c r="D56" s="5">
        <v>33910</v>
      </c>
      <c r="E56" s="5">
        <v>20210401</v>
      </c>
      <c r="F56" s="5">
        <v>20210401</v>
      </c>
      <c r="G56" s="5">
        <v>20220317</v>
      </c>
      <c r="H56" s="5" t="s">
        <v>5742</v>
      </c>
      <c r="I56" s="5"/>
      <c r="J56" s="5" t="s">
        <v>310</v>
      </c>
    </row>
    <row r="57" spans="1:10" hidden="1">
      <c r="A57" s="4">
        <v>2.0210772129000602E+17</v>
      </c>
      <c r="B57" s="4">
        <v>7408801691</v>
      </c>
      <c r="C57" s="4" t="s">
        <v>14552</v>
      </c>
      <c r="D57" s="4">
        <v>72129</v>
      </c>
      <c r="E57" s="4">
        <v>20210706</v>
      </c>
      <c r="F57" s="4">
        <v>20210706</v>
      </c>
      <c r="G57" s="4">
        <v>20240706</v>
      </c>
      <c r="H57" s="4" t="s">
        <v>14551</v>
      </c>
      <c r="I57" s="4" t="s">
        <v>14550</v>
      </c>
      <c r="J57" s="4" t="s">
        <v>1679</v>
      </c>
    </row>
    <row r="58" spans="1:10" hidden="1">
      <c r="A58" s="4">
        <v>2.0210726299000602E+17</v>
      </c>
      <c r="B58" s="4">
        <v>2938801327</v>
      </c>
      <c r="C58" s="4" t="s">
        <v>14549</v>
      </c>
      <c r="D58" s="4">
        <v>26299</v>
      </c>
      <c r="E58" s="4">
        <v>20210706</v>
      </c>
      <c r="F58" s="4">
        <v>20210706</v>
      </c>
      <c r="G58" s="4">
        <v>20240706</v>
      </c>
      <c r="H58" s="4" t="s">
        <v>14548</v>
      </c>
      <c r="I58" s="4" t="s">
        <v>591</v>
      </c>
      <c r="J58" s="4" t="s">
        <v>339</v>
      </c>
    </row>
    <row r="59" spans="1:10" hidden="1">
      <c r="A59" s="4">
        <v>2.0210729199000602E+17</v>
      </c>
      <c r="B59" s="4">
        <v>1888800119</v>
      </c>
      <c r="C59" s="4" t="s">
        <v>14547</v>
      </c>
      <c r="D59" s="4">
        <v>29199</v>
      </c>
      <c r="E59" s="4">
        <v>20210706</v>
      </c>
      <c r="F59" s="4">
        <v>20210706</v>
      </c>
      <c r="G59" s="4">
        <v>20220609</v>
      </c>
      <c r="H59" s="4" t="s">
        <v>4859</v>
      </c>
      <c r="I59" s="4" t="s">
        <v>14546</v>
      </c>
      <c r="J59" s="4" t="s">
        <v>166</v>
      </c>
    </row>
    <row r="60" spans="1:10" hidden="1">
      <c r="A60" s="4">
        <v>2.0210772122000602E+17</v>
      </c>
      <c r="B60" s="4">
        <v>2668100900</v>
      </c>
      <c r="C60" s="4" t="s">
        <v>14545</v>
      </c>
      <c r="D60" s="4">
        <v>72122</v>
      </c>
      <c r="E60" s="4">
        <v>20210706</v>
      </c>
      <c r="F60" s="4">
        <v>20210706</v>
      </c>
      <c r="G60" s="4">
        <v>20240706</v>
      </c>
      <c r="H60" s="4" t="s">
        <v>3578</v>
      </c>
      <c r="I60" s="4" t="s">
        <v>14544</v>
      </c>
      <c r="J60" s="4" t="s">
        <v>2484</v>
      </c>
    </row>
    <row r="61" spans="1:10" hidden="1">
      <c r="A61" s="4">
        <v>2.0210770130000602E+17</v>
      </c>
      <c r="B61" s="4">
        <v>2948101748</v>
      </c>
      <c r="C61" s="4" t="s">
        <v>14543</v>
      </c>
      <c r="D61" s="4">
        <v>70130</v>
      </c>
      <c r="E61" s="4">
        <v>20210706</v>
      </c>
      <c r="F61" s="4">
        <v>20210706</v>
      </c>
      <c r="G61" s="4">
        <v>20240706</v>
      </c>
      <c r="H61" s="4" t="s">
        <v>14542</v>
      </c>
      <c r="I61" s="4" t="s">
        <v>14541</v>
      </c>
      <c r="J61" s="4" t="s">
        <v>170</v>
      </c>
    </row>
    <row r="62" spans="1:10" hidden="1">
      <c r="A62" s="4">
        <v>2.0210773202000602E+17</v>
      </c>
      <c r="B62" s="4">
        <v>2188601303</v>
      </c>
      <c r="C62" s="4" t="s">
        <v>14540</v>
      </c>
      <c r="D62" s="4">
        <v>73202</v>
      </c>
      <c r="E62" s="4">
        <v>20210706</v>
      </c>
      <c r="F62" s="4">
        <v>20210706</v>
      </c>
      <c r="G62" s="4">
        <v>20240706</v>
      </c>
      <c r="H62" s="4" t="s">
        <v>474</v>
      </c>
      <c r="I62" s="4" t="s">
        <v>14539</v>
      </c>
      <c r="J62" s="4" t="s">
        <v>605</v>
      </c>
    </row>
    <row r="63" spans="1:10" hidden="1">
      <c r="A63" s="4">
        <v>2.0210728119000602E+17</v>
      </c>
      <c r="B63" s="4">
        <v>6628801182</v>
      </c>
      <c r="C63" s="4" t="s">
        <v>14538</v>
      </c>
      <c r="D63" s="4">
        <v>28119</v>
      </c>
      <c r="E63" s="4">
        <v>20210706</v>
      </c>
      <c r="F63" s="4">
        <v>20210706</v>
      </c>
      <c r="G63" s="4">
        <v>20240706</v>
      </c>
      <c r="H63" s="4" t="s">
        <v>4721</v>
      </c>
      <c r="I63" s="4" t="s">
        <v>14537</v>
      </c>
      <c r="J63" s="4" t="s">
        <v>1816</v>
      </c>
    </row>
    <row r="64" spans="1:10" hidden="1">
      <c r="A64" s="4">
        <v>2.0210729299000602E+17</v>
      </c>
      <c r="B64" s="4">
        <v>7158701460</v>
      </c>
      <c r="C64" s="4" t="s">
        <v>14536</v>
      </c>
      <c r="D64" s="4">
        <v>29299</v>
      </c>
      <c r="E64" s="4">
        <v>20210706</v>
      </c>
      <c r="F64" s="4">
        <v>20210706</v>
      </c>
      <c r="G64" s="4">
        <v>20240706</v>
      </c>
      <c r="H64" s="4" t="s">
        <v>2769</v>
      </c>
      <c r="I64" s="4" t="s">
        <v>14535</v>
      </c>
      <c r="J64" s="4" t="s">
        <v>137</v>
      </c>
    </row>
    <row r="65" spans="1:10" hidden="1">
      <c r="A65" s="4">
        <v>2.0210758222000602E+17</v>
      </c>
      <c r="B65" s="4">
        <v>5028801634</v>
      </c>
      <c r="C65" s="4" t="s">
        <v>14534</v>
      </c>
      <c r="D65" s="4">
        <v>58222</v>
      </c>
      <c r="E65" s="4">
        <v>20210706</v>
      </c>
      <c r="F65" s="4">
        <v>20210706</v>
      </c>
      <c r="G65" s="4">
        <v>20240706</v>
      </c>
      <c r="H65" s="4" t="s">
        <v>14533</v>
      </c>
      <c r="I65" s="4" t="s">
        <v>14532</v>
      </c>
      <c r="J65" s="4" t="s">
        <v>94</v>
      </c>
    </row>
    <row r="66" spans="1:10" hidden="1">
      <c r="A66" s="4">
        <v>2.0210763991000602E+17</v>
      </c>
      <c r="B66" s="4">
        <v>3363400826</v>
      </c>
      <c r="C66" s="4" t="s">
        <v>14531</v>
      </c>
      <c r="D66" s="4">
        <v>63991</v>
      </c>
      <c r="E66" s="4">
        <v>20210706</v>
      </c>
      <c r="F66" s="4">
        <v>20210706</v>
      </c>
      <c r="G66" s="4">
        <v>20240706</v>
      </c>
      <c r="H66" s="4" t="s">
        <v>7681</v>
      </c>
      <c r="I66" s="4" t="s">
        <v>14530</v>
      </c>
      <c r="J66" s="4" t="s">
        <v>395</v>
      </c>
    </row>
    <row r="67" spans="1:10" hidden="1">
      <c r="A67" s="4">
        <v>2.0210772111000602E+17</v>
      </c>
      <c r="B67" s="4">
        <v>5470901312</v>
      </c>
      <c r="C67" s="4" t="s">
        <v>14529</v>
      </c>
      <c r="D67" s="4">
        <v>72111</v>
      </c>
      <c r="E67" s="4">
        <v>20210706</v>
      </c>
      <c r="F67" s="4">
        <v>20210706</v>
      </c>
      <c r="G67" s="4">
        <v>20240706</v>
      </c>
      <c r="H67" s="4" t="s">
        <v>14528</v>
      </c>
      <c r="I67" s="4" t="s">
        <v>146</v>
      </c>
      <c r="J67" s="4" t="s">
        <v>3461</v>
      </c>
    </row>
    <row r="68" spans="1:10" hidden="1">
      <c r="A68" s="4">
        <v>2.0210710613000602E+17</v>
      </c>
      <c r="B68" s="4">
        <v>1368136000</v>
      </c>
      <c r="C68" s="4" t="s">
        <v>14527</v>
      </c>
      <c r="D68" s="4">
        <v>10613</v>
      </c>
      <c r="E68" s="4">
        <v>20210706</v>
      </c>
      <c r="F68" s="4">
        <v>20210706</v>
      </c>
      <c r="G68" s="4">
        <v>20240706</v>
      </c>
      <c r="H68" s="4" t="s">
        <v>14526</v>
      </c>
      <c r="I68" s="4" t="s">
        <v>14525</v>
      </c>
      <c r="J68" s="4" t="s">
        <v>14524</v>
      </c>
    </row>
    <row r="69" spans="1:10" hidden="1">
      <c r="A69" s="4">
        <v>2.0210774100000602E+17</v>
      </c>
      <c r="B69" s="4">
        <v>2071863144</v>
      </c>
      <c r="C69" s="4" t="s">
        <v>14523</v>
      </c>
      <c r="D69" s="4">
        <v>74100</v>
      </c>
      <c r="E69" s="4">
        <v>20210706</v>
      </c>
      <c r="F69" s="4">
        <v>20210706</v>
      </c>
      <c r="G69" s="4">
        <v>20240706</v>
      </c>
      <c r="H69" s="4" t="s">
        <v>14522</v>
      </c>
      <c r="J69" s="4" t="s">
        <v>2207</v>
      </c>
    </row>
    <row r="70" spans="1:10" hidden="1">
      <c r="A70" s="4">
        <v>2.0210702040000602E+17</v>
      </c>
      <c r="B70" s="4">
        <v>5638701874</v>
      </c>
      <c r="C70" s="4" t="s">
        <v>14673</v>
      </c>
      <c r="D70" s="4">
        <v>2040</v>
      </c>
      <c r="E70" s="4">
        <v>20210707</v>
      </c>
      <c r="F70" s="4">
        <v>20210707</v>
      </c>
      <c r="G70" s="4">
        <v>20240707</v>
      </c>
      <c r="H70" s="4" t="s">
        <v>14672</v>
      </c>
      <c r="I70" s="4" t="s">
        <v>91</v>
      </c>
      <c r="J70" s="4" t="s">
        <v>13968</v>
      </c>
    </row>
    <row r="71" spans="1:10" hidden="1">
      <c r="A71" s="4">
        <v>2.0210726519000602E+17</v>
      </c>
      <c r="B71" s="4">
        <v>4188800494</v>
      </c>
      <c r="C71" s="4" t="s">
        <v>14520</v>
      </c>
      <c r="D71" s="4">
        <v>26519</v>
      </c>
      <c r="E71" s="4">
        <v>20210706</v>
      </c>
      <c r="F71" s="4">
        <v>20210706</v>
      </c>
      <c r="G71" s="4">
        <v>20231128</v>
      </c>
      <c r="H71" s="4" t="s">
        <v>14519</v>
      </c>
      <c r="I71" s="4" t="s">
        <v>591</v>
      </c>
      <c r="J71" s="4" t="s">
        <v>668</v>
      </c>
    </row>
    <row r="72" spans="1:10" hidden="1">
      <c r="A72" s="4">
        <v>2.0210728111000602E+17</v>
      </c>
      <c r="B72" s="4">
        <v>6288601835</v>
      </c>
      <c r="C72" s="4" t="s">
        <v>14645</v>
      </c>
      <c r="D72" s="4">
        <v>28111</v>
      </c>
      <c r="E72" s="4">
        <v>20210707</v>
      </c>
      <c r="F72" s="4">
        <v>20210707</v>
      </c>
      <c r="G72" s="4">
        <v>20240707</v>
      </c>
      <c r="H72" s="4" t="s">
        <v>14644</v>
      </c>
      <c r="J72" s="4" t="s">
        <v>1614</v>
      </c>
    </row>
    <row r="73" spans="1:10" hidden="1">
      <c r="A73" s="4">
        <v>2.0210772112000602E+17</v>
      </c>
      <c r="B73" s="4">
        <v>3818101547</v>
      </c>
      <c r="C73" s="4" t="s">
        <v>14516</v>
      </c>
      <c r="D73" s="4">
        <v>72112</v>
      </c>
      <c r="E73" s="4">
        <v>20210706</v>
      </c>
      <c r="F73" s="4">
        <v>20210706</v>
      </c>
      <c r="G73" s="4">
        <v>20240706</v>
      </c>
      <c r="H73" s="4" t="s">
        <v>14515</v>
      </c>
      <c r="J73" s="4" t="s">
        <v>5034</v>
      </c>
    </row>
    <row r="74" spans="1:10" hidden="1">
      <c r="A74" s="4">
        <v>2.0210785503000602E+17</v>
      </c>
      <c r="B74" s="4">
        <v>1948601797</v>
      </c>
      <c r="C74" s="4" t="s">
        <v>14514</v>
      </c>
      <c r="D74" s="4">
        <v>85503</v>
      </c>
      <c r="E74" s="4">
        <v>20210706</v>
      </c>
      <c r="F74" s="4">
        <v>20210706</v>
      </c>
      <c r="G74" s="4">
        <v>20240706</v>
      </c>
      <c r="H74" s="4" t="s">
        <v>14513</v>
      </c>
      <c r="J74" s="4" t="s">
        <v>4470</v>
      </c>
    </row>
    <row r="75" spans="1:10" hidden="1">
      <c r="A75" s="4">
        <v>2.0210746329000602E+17</v>
      </c>
      <c r="B75" s="4">
        <v>1215290088</v>
      </c>
      <c r="C75" s="4" t="s">
        <v>14512</v>
      </c>
      <c r="D75" s="4">
        <v>46329</v>
      </c>
      <c r="E75" s="4">
        <v>20210706</v>
      </c>
      <c r="F75" s="4">
        <v>20210706</v>
      </c>
      <c r="G75" s="4">
        <v>20220424</v>
      </c>
      <c r="H75" s="4" t="s">
        <v>14511</v>
      </c>
      <c r="J75" s="4" t="s">
        <v>830</v>
      </c>
    </row>
    <row r="76" spans="1:10">
      <c r="A76" s="4">
        <v>2.02106181110004E+17</v>
      </c>
      <c r="B76" s="4">
        <v>4688602080</v>
      </c>
      <c r="C76" s="4" t="s">
        <v>10047</v>
      </c>
      <c r="D76" s="4">
        <v>18111</v>
      </c>
      <c r="E76" s="4">
        <v>20210601</v>
      </c>
      <c r="F76" s="4">
        <v>20210601</v>
      </c>
      <c r="G76" s="4">
        <v>20240601</v>
      </c>
      <c r="H76" s="4" t="s">
        <v>10048</v>
      </c>
      <c r="I76" s="4" t="s">
        <v>10047</v>
      </c>
      <c r="J76" s="4" t="s">
        <v>662</v>
      </c>
    </row>
    <row r="77" spans="1:10" hidden="1">
      <c r="A77" s="4">
        <v>2.0210726322000602E+17</v>
      </c>
      <c r="B77" s="4">
        <v>7814400291</v>
      </c>
      <c r="C77" s="4" t="s">
        <v>14507</v>
      </c>
      <c r="D77" s="4">
        <v>26322</v>
      </c>
      <c r="E77" s="4">
        <v>20210706</v>
      </c>
      <c r="F77" s="4">
        <v>20210706</v>
      </c>
      <c r="G77" s="4">
        <v>20240703</v>
      </c>
      <c r="H77" s="4" t="s">
        <v>14508</v>
      </c>
      <c r="I77" s="4" t="s">
        <v>14507</v>
      </c>
      <c r="J77" s="4" t="s">
        <v>1262</v>
      </c>
    </row>
    <row r="78" spans="1:10" hidden="1">
      <c r="A78" s="4">
        <v>2.0210759113000602E+17</v>
      </c>
      <c r="B78" s="4">
        <v>3090393805</v>
      </c>
      <c r="C78" s="4" t="s">
        <v>14506</v>
      </c>
      <c r="D78" s="4">
        <v>59113</v>
      </c>
      <c r="E78" s="4">
        <v>20210706</v>
      </c>
      <c r="F78" s="4">
        <v>20210706</v>
      </c>
      <c r="G78" s="4">
        <v>20240706</v>
      </c>
      <c r="H78" s="4" t="s">
        <v>825</v>
      </c>
      <c r="I78" s="4" t="s">
        <v>14505</v>
      </c>
      <c r="J78" s="4" t="s">
        <v>3651</v>
      </c>
    </row>
    <row r="79" spans="1:10" hidden="1">
      <c r="A79" s="4">
        <v>2.0210785699000602E+17</v>
      </c>
      <c r="B79" s="4">
        <v>8599800127</v>
      </c>
      <c r="C79" s="4" t="s">
        <v>14504</v>
      </c>
      <c r="D79" s="4">
        <v>85699</v>
      </c>
      <c r="E79" s="4">
        <v>20210706</v>
      </c>
      <c r="F79" s="4">
        <v>20210706</v>
      </c>
      <c r="G79" s="4">
        <v>20230705</v>
      </c>
      <c r="H79" s="4" t="s">
        <v>14503</v>
      </c>
      <c r="J79" s="4" t="s">
        <v>2192</v>
      </c>
    </row>
    <row r="80" spans="1:10" hidden="1">
      <c r="A80" s="4">
        <v>2.0210746800000602E+17</v>
      </c>
      <c r="B80" s="4">
        <v>6720701666</v>
      </c>
      <c r="C80" s="4" t="s">
        <v>14502</v>
      </c>
      <c r="D80" s="4">
        <v>46800</v>
      </c>
      <c r="E80" s="4">
        <v>20210706</v>
      </c>
      <c r="F80" s="4">
        <v>20210706</v>
      </c>
      <c r="G80" s="4">
        <v>20240706</v>
      </c>
      <c r="H80" s="4" t="s">
        <v>14501</v>
      </c>
      <c r="I80" s="4" t="s">
        <v>14500</v>
      </c>
      <c r="J80" s="4" t="s">
        <v>979</v>
      </c>
    </row>
    <row r="81" spans="1:10" hidden="1">
      <c r="A81" s="4">
        <v>2.0210741226000602E+17</v>
      </c>
      <c r="B81" s="4">
        <v>4428800600</v>
      </c>
      <c r="C81" s="4" t="s">
        <v>14499</v>
      </c>
      <c r="D81" s="4">
        <v>41226</v>
      </c>
      <c r="E81" s="4">
        <v>20210706</v>
      </c>
      <c r="F81" s="4">
        <v>20210706</v>
      </c>
      <c r="G81" s="4">
        <v>20240112</v>
      </c>
      <c r="H81" s="4" t="s">
        <v>14498</v>
      </c>
      <c r="I81" s="4">
        <v>202</v>
      </c>
      <c r="J81" s="4" t="s">
        <v>1063</v>
      </c>
    </row>
    <row r="82" spans="1:10" hidden="1">
      <c r="A82" s="4">
        <v>2.0210762010000602E+17</v>
      </c>
      <c r="B82" s="4">
        <v>4138801372</v>
      </c>
      <c r="C82" s="4" t="s">
        <v>14497</v>
      </c>
      <c r="D82" s="4">
        <v>62010</v>
      </c>
      <c r="E82" s="4">
        <v>20210706</v>
      </c>
      <c r="F82" s="4">
        <v>20210706</v>
      </c>
      <c r="G82" s="4">
        <v>20240706</v>
      </c>
      <c r="H82" s="4" t="s">
        <v>497</v>
      </c>
      <c r="I82" s="4" t="s">
        <v>14496</v>
      </c>
      <c r="J82" s="4" t="s">
        <v>118</v>
      </c>
    </row>
    <row r="83" spans="1:10" hidden="1">
      <c r="A83" s="4">
        <v>2.0210758121000602E+17</v>
      </c>
      <c r="B83" s="4">
        <v>4278601227</v>
      </c>
      <c r="C83" s="4" t="s">
        <v>14495</v>
      </c>
      <c r="D83" s="4">
        <v>58121</v>
      </c>
      <c r="E83" s="4">
        <v>20210706</v>
      </c>
      <c r="F83" s="4">
        <v>20210706</v>
      </c>
      <c r="G83" s="4">
        <v>20240706</v>
      </c>
      <c r="H83" s="4" t="s">
        <v>14494</v>
      </c>
      <c r="I83" s="4" t="s">
        <v>14493</v>
      </c>
      <c r="J83" s="4" t="s">
        <v>14492</v>
      </c>
    </row>
    <row r="84" spans="1:10" hidden="1">
      <c r="A84" s="4">
        <v>2.0210746592000602E+17</v>
      </c>
      <c r="B84" s="4">
        <v>4138601266</v>
      </c>
      <c r="C84" s="4" t="s">
        <v>14491</v>
      </c>
      <c r="D84" s="4">
        <v>46592</v>
      </c>
      <c r="E84" s="4">
        <v>20210706</v>
      </c>
      <c r="F84" s="4">
        <v>20210706</v>
      </c>
      <c r="G84" s="4">
        <v>20221019</v>
      </c>
      <c r="H84" s="4" t="s">
        <v>14490</v>
      </c>
      <c r="I84" s="4" t="s">
        <v>149</v>
      </c>
      <c r="J84" s="4" t="s">
        <v>148</v>
      </c>
    </row>
    <row r="85" spans="1:10" hidden="1">
      <c r="A85" s="4">
        <v>2.0210726429000602E+17</v>
      </c>
      <c r="B85" s="4">
        <v>3368101585</v>
      </c>
      <c r="C85" s="4" t="s">
        <v>14489</v>
      </c>
      <c r="D85" s="4">
        <v>26429</v>
      </c>
      <c r="E85" s="4">
        <v>20210706</v>
      </c>
      <c r="F85" s="4">
        <v>20210706</v>
      </c>
      <c r="G85" s="4">
        <v>20240706</v>
      </c>
      <c r="H85" s="4" t="s">
        <v>6583</v>
      </c>
      <c r="I85" s="4" t="s">
        <v>11250</v>
      </c>
      <c r="J85" s="4" t="s">
        <v>422</v>
      </c>
    </row>
    <row r="86" spans="1:10" hidden="1">
      <c r="A86" s="4">
        <v>2.0210785699000602E+17</v>
      </c>
      <c r="B86" s="4">
        <v>5548801426</v>
      </c>
      <c r="C86" s="4" t="s">
        <v>14488</v>
      </c>
      <c r="D86" s="4">
        <v>85699</v>
      </c>
      <c r="E86" s="4">
        <v>20210706</v>
      </c>
      <c r="F86" s="4">
        <v>20210706</v>
      </c>
      <c r="G86" s="4">
        <v>20240706</v>
      </c>
      <c r="H86" s="4" t="s">
        <v>3256</v>
      </c>
      <c r="I86" s="4" t="s">
        <v>14487</v>
      </c>
      <c r="J86" s="4" t="s">
        <v>2192</v>
      </c>
    </row>
    <row r="87" spans="1:10" hidden="1">
      <c r="A87" s="4">
        <v>2.0210758222000602E+17</v>
      </c>
      <c r="B87" s="4">
        <v>6998801772</v>
      </c>
      <c r="C87" s="4" t="s">
        <v>14486</v>
      </c>
      <c r="D87" s="4">
        <v>58222</v>
      </c>
      <c r="E87" s="4">
        <v>20210706</v>
      </c>
      <c r="F87" s="4">
        <v>20210706</v>
      </c>
      <c r="G87" s="4">
        <v>20240706</v>
      </c>
      <c r="H87" s="4" t="s">
        <v>8847</v>
      </c>
      <c r="I87" s="4" t="s">
        <v>14485</v>
      </c>
      <c r="J87" s="4" t="s">
        <v>94</v>
      </c>
    </row>
    <row r="88" spans="1:10" hidden="1">
      <c r="A88" s="4">
        <v>2.0210775992000602E+17</v>
      </c>
      <c r="B88" s="4">
        <v>7738700910</v>
      </c>
      <c r="C88" s="4" t="s">
        <v>14484</v>
      </c>
      <c r="D88" s="4">
        <v>75992</v>
      </c>
      <c r="E88" s="4">
        <v>20210706</v>
      </c>
      <c r="F88" s="4">
        <v>20210706</v>
      </c>
      <c r="G88" s="4">
        <v>20240706</v>
      </c>
      <c r="H88" s="4" t="s">
        <v>8295</v>
      </c>
      <c r="I88" s="4" t="s">
        <v>14483</v>
      </c>
      <c r="J88" s="4" t="s">
        <v>111</v>
      </c>
    </row>
    <row r="89" spans="1:10" hidden="1">
      <c r="A89" s="4">
        <v>2.0210727216000602E+17</v>
      </c>
      <c r="B89" s="4">
        <v>6698801261</v>
      </c>
      <c r="C89" s="4" t="s">
        <v>14482</v>
      </c>
      <c r="D89" s="4">
        <v>27216</v>
      </c>
      <c r="E89" s="4">
        <v>20210706</v>
      </c>
      <c r="F89" s="4">
        <v>20210706</v>
      </c>
      <c r="G89" s="4">
        <v>20240706</v>
      </c>
      <c r="H89" s="4" t="s">
        <v>14481</v>
      </c>
      <c r="I89" s="4" t="s">
        <v>14480</v>
      </c>
      <c r="J89" s="4" t="s">
        <v>527</v>
      </c>
    </row>
    <row r="90" spans="1:10" hidden="1">
      <c r="A90" s="4">
        <v>2.0210758221000602E+17</v>
      </c>
      <c r="B90" s="4">
        <v>2588600506</v>
      </c>
      <c r="C90" s="4" t="s">
        <v>14479</v>
      </c>
      <c r="D90" s="4">
        <v>58221</v>
      </c>
      <c r="E90" s="4">
        <v>20210706</v>
      </c>
      <c r="F90" s="4">
        <v>20210706</v>
      </c>
      <c r="G90" s="4">
        <v>20231107</v>
      </c>
      <c r="H90" s="4" t="s">
        <v>4012</v>
      </c>
      <c r="J90" s="4" t="s">
        <v>228</v>
      </c>
    </row>
    <row r="91" spans="1:10" hidden="1">
      <c r="A91" s="4">
        <v>2.0210727199000602E+17</v>
      </c>
      <c r="B91" s="4">
        <v>1098655301</v>
      </c>
      <c r="C91" s="4" t="s">
        <v>14478</v>
      </c>
      <c r="D91" s="4">
        <v>27199</v>
      </c>
      <c r="E91" s="4">
        <v>20210706</v>
      </c>
      <c r="F91" s="4">
        <v>20210706</v>
      </c>
      <c r="G91" s="4">
        <v>20240706</v>
      </c>
      <c r="H91" s="4" t="s">
        <v>202</v>
      </c>
      <c r="I91" s="4" t="s">
        <v>3672</v>
      </c>
      <c r="J91" s="4" t="s">
        <v>418</v>
      </c>
    </row>
    <row r="92" spans="1:10" hidden="1">
      <c r="A92" s="4">
        <v>2.0210727199000602E+17</v>
      </c>
      <c r="B92" s="4">
        <v>2328801472</v>
      </c>
      <c r="C92" s="4" t="s">
        <v>14477</v>
      </c>
      <c r="D92" s="4">
        <v>27199</v>
      </c>
      <c r="E92" s="4">
        <v>20210706</v>
      </c>
      <c r="F92" s="4">
        <v>20210706</v>
      </c>
      <c r="G92" s="4">
        <v>20240706</v>
      </c>
      <c r="H92" s="4" t="s">
        <v>4281</v>
      </c>
      <c r="I92" s="4" t="s">
        <v>14476</v>
      </c>
      <c r="J92" s="4" t="s">
        <v>418</v>
      </c>
    </row>
    <row r="93" spans="1:10" hidden="1">
      <c r="A93" s="4">
        <v>2.0210746510000602E+17</v>
      </c>
      <c r="B93" s="4">
        <v>1858701015</v>
      </c>
      <c r="C93" s="4" t="s">
        <v>14475</v>
      </c>
      <c r="D93" s="4">
        <v>46510</v>
      </c>
      <c r="E93" s="4">
        <v>20210706</v>
      </c>
      <c r="F93" s="4">
        <v>20210706</v>
      </c>
      <c r="G93" s="4">
        <v>20240706</v>
      </c>
      <c r="H93" s="4" t="s">
        <v>14474</v>
      </c>
      <c r="I93" s="4" t="s">
        <v>14473</v>
      </c>
      <c r="J93" s="4" t="s">
        <v>126</v>
      </c>
    </row>
    <row r="94" spans="1:10" hidden="1">
      <c r="A94" s="4">
        <v>2.0210747611000602E+17</v>
      </c>
      <c r="B94" s="4">
        <v>2209133573</v>
      </c>
      <c r="C94" s="4" t="s">
        <v>14625</v>
      </c>
      <c r="D94" s="4">
        <v>47611</v>
      </c>
      <c r="E94" s="4">
        <v>20210707</v>
      </c>
      <c r="F94" s="4">
        <v>20210707</v>
      </c>
      <c r="G94" s="4">
        <v>20240707</v>
      </c>
      <c r="H94" s="4" t="s">
        <v>14624</v>
      </c>
      <c r="I94" s="4" t="s">
        <v>14623</v>
      </c>
      <c r="J94" s="4" t="s">
        <v>4252</v>
      </c>
    </row>
    <row r="95" spans="1:10" hidden="1">
      <c r="A95" s="4">
        <v>2.0210720322000602E+17</v>
      </c>
      <c r="B95" s="4">
        <v>5598701763</v>
      </c>
      <c r="C95" s="4" t="s">
        <v>14470</v>
      </c>
      <c r="D95" s="4">
        <v>20322</v>
      </c>
      <c r="E95" s="4">
        <v>20210706</v>
      </c>
      <c r="F95" s="4">
        <v>20210706</v>
      </c>
      <c r="G95" s="4">
        <v>20240706</v>
      </c>
      <c r="H95" s="4" t="s">
        <v>14469</v>
      </c>
      <c r="I95" s="4" t="s">
        <v>6385</v>
      </c>
      <c r="J95" s="4" t="s">
        <v>105</v>
      </c>
    </row>
    <row r="96" spans="1:10" hidden="1">
      <c r="A96" s="4">
        <v>2.0210729180000602E+17</v>
      </c>
      <c r="B96" s="4">
        <v>7968700330</v>
      </c>
      <c r="C96" s="4" t="s">
        <v>14468</v>
      </c>
      <c r="D96" s="4">
        <v>29180</v>
      </c>
      <c r="E96" s="4">
        <v>20210706</v>
      </c>
      <c r="F96" s="4">
        <v>20210706</v>
      </c>
      <c r="G96" s="4">
        <v>20230708</v>
      </c>
      <c r="H96" s="4" t="s">
        <v>10274</v>
      </c>
      <c r="I96" s="4" t="s">
        <v>3038</v>
      </c>
      <c r="J96" s="4" t="s">
        <v>609</v>
      </c>
    </row>
    <row r="97" spans="1:10" hidden="1">
      <c r="A97" s="4">
        <v>2.0210727192000602E+17</v>
      </c>
      <c r="B97" s="4">
        <v>7172100928</v>
      </c>
      <c r="C97" s="4" t="s">
        <v>14467</v>
      </c>
      <c r="D97" s="4">
        <v>27192</v>
      </c>
      <c r="E97" s="4">
        <v>20210706</v>
      </c>
      <c r="F97" s="4">
        <v>20210706</v>
      </c>
      <c r="G97" s="4">
        <v>20240706</v>
      </c>
      <c r="H97" s="4" t="s">
        <v>14466</v>
      </c>
      <c r="I97" s="4" t="s">
        <v>14465</v>
      </c>
      <c r="J97" s="4" t="s">
        <v>1033</v>
      </c>
    </row>
    <row r="98" spans="1:10" hidden="1">
      <c r="A98" s="4">
        <v>2.0210758221000602E+17</v>
      </c>
      <c r="B98" s="4">
        <v>1398801284</v>
      </c>
      <c r="C98" s="4" t="s">
        <v>14464</v>
      </c>
      <c r="D98" s="4">
        <v>58221</v>
      </c>
      <c r="E98" s="4">
        <v>20210706</v>
      </c>
      <c r="F98" s="4">
        <v>20210706</v>
      </c>
      <c r="G98" s="4">
        <v>20240706</v>
      </c>
      <c r="H98" s="4" t="s">
        <v>1861</v>
      </c>
      <c r="I98" s="4" t="s">
        <v>14463</v>
      </c>
      <c r="J98" s="4" t="s">
        <v>228</v>
      </c>
    </row>
    <row r="99" spans="1:10" hidden="1">
      <c r="A99" s="4">
        <v>2.0210733910000602E+17</v>
      </c>
      <c r="B99" s="4">
        <v>7808200096</v>
      </c>
      <c r="C99" s="4" t="s">
        <v>14462</v>
      </c>
      <c r="D99" s="4">
        <v>33910</v>
      </c>
      <c r="E99" s="4">
        <v>20210706</v>
      </c>
      <c r="F99" s="4">
        <v>20210706</v>
      </c>
      <c r="G99" s="4">
        <v>20240327</v>
      </c>
      <c r="H99" s="4" t="s">
        <v>12520</v>
      </c>
      <c r="I99" s="4" t="s">
        <v>14461</v>
      </c>
      <c r="J99" s="4" t="s">
        <v>310</v>
      </c>
    </row>
    <row r="100" spans="1:10" hidden="1">
      <c r="A100" s="4">
        <v>2.0210785701000602E+17</v>
      </c>
      <c r="B100" s="4">
        <v>3138801427</v>
      </c>
      <c r="C100" s="4" t="s">
        <v>14460</v>
      </c>
      <c r="D100" s="4">
        <v>85701</v>
      </c>
      <c r="E100" s="4">
        <v>20210705</v>
      </c>
      <c r="F100" s="4">
        <v>20210705</v>
      </c>
      <c r="G100" s="4">
        <v>20240705</v>
      </c>
      <c r="H100" s="4" t="s">
        <v>14344</v>
      </c>
      <c r="I100" s="4" t="s">
        <v>14459</v>
      </c>
      <c r="J100" s="4" t="s">
        <v>11745</v>
      </c>
    </row>
    <row r="101" spans="1:10" hidden="1">
      <c r="A101" s="4">
        <v>2.0210728119000602E+17</v>
      </c>
      <c r="B101" s="4">
        <v>3678800634</v>
      </c>
      <c r="C101" s="4" t="s">
        <v>14458</v>
      </c>
      <c r="D101" s="4">
        <v>28119</v>
      </c>
      <c r="E101" s="4">
        <v>20210705</v>
      </c>
      <c r="F101" s="4">
        <v>20210705</v>
      </c>
      <c r="G101" s="4">
        <v>20240308</v>
      </c>
      <c r="H101" s="4" t="s">
        <v>713</v>
      </c>
      <c r="I101" s="4" t="s">
        <v>14457</v>
      </c>
      <c r="J101" s="4" t="s">
        <v>1816</v>
      </c>
    </row>
    <row r="102" spans="1:10" hidden="1">
      <c r="A102" s="4">
        <v>2.0210758222000602E+17</v>
      </c>
      <c r="B102" s="4">
        <v>2828702033</v>
      </c>
      <c r="C102" s="4" t="s">
        <v>14456</v>
      </c>
      <c r="D102" s="4">
        <v>58222</v>
      </c>
      <c r="E102" s="4">
        <v>20210705</v>
      </c>
      <c r="F102" s="4">
        <v>20210705</v>
      </c>
      <c r="G102" s="4">
        <v>20240705</v>
      </c>
      <c r="H102" s="4" t="s">
        <v>366</v>
      </c>
      <c r="I102" s="4" t="s">
        <v>14455</v>
      </c>
      <c r="J102" s="4" t="s">
        <v>94</v>
      </c>
    </row>
    <row r="103" spans="1:10" hidden="1">
      <c r="A103" s="4">
        <v>2.0210727213000602E+17</v>
      </c>
      <c r="B103" s="4">
        <v>6038188425</v>
      </c>
      <c r="C103" s="4" t="s">
        <v>14454</v>
      </c>
      <c r="D103" s="4">
        <v>27213</v>
      </c>
      <c r="E103" s="4">
        <v>20210705</v>
      </c>
      <c r="F103" s="4">
        <v>20210705</v>
      </c>
      <c r="G103" s="4">
        <v>20210813</v>
      </c>
      <c r="H103" s="4" t="s">
        <v>14453</v>
      </c>
      <c r="J103" s="4" t="s">
        <v>264</v>
      </c>
    </row>
    <row r="104" spans="1:10" hidden="1">
      <c r="A104" s="4">
        <v>2.0210713104000602E+17</v>
      </c>
      <c r="B104" s="4">
        <v>7118800898</v>
      </c>
      <c r="C104" s="4" t="s">
        <v>14452</v>
      </c>
      <c r="D104" s="4">
        <v>13104</v>
      </c>
      <c r="E104" s="4">
        <v>20210705</v>
      </c>
      <c r="F104" s="4">
        <v>20210705</v>
      </c>
      <c r="G104" s="4">
        <v>20240705</v>
      </c>
      <c r="H104" s="4" t="s">
        <v>1578</v>
      </c>
      <c r="I104" s="4" t="s">
        <v>14451</v>
      </c>
      <c r="J104" s="4" t="s">
        <v>8142</v>
      </c>
    </row>
    <row r="105" spans="1:10" hidden="1">
      <c r="A105" s="4">
        <v>2.0210746621000602E+17</v>
      </c>
      <c r="B105" s="4">
        <v>3658701381</v>
      </c>
      <c r="C105" s="4" t="s">
        <v>14450</v>
      </c>
      <c r="D105" s="4">
        <v>46621</v>
      </c>
      <c r="E105" s="4">
        <v>20210705</v>
      </c>
      <c r="F105" s="4">
        <v>20210705</v>
      </c>
      <c r="G105" s="4">
        <v>20240705</v>
      </c>
      <c r="H105" s="4" t="s">
        <v>14449</v>
      </c>
      <c r="I105" s="4" t="s">
        <v>14448</v>
      </c>
      <c r="J105" s="4" t="s">
        <v>4506</v>
      </c>
    </row>
    <row r="106" spans="1:10" hidden="1">
      <c r="A106" s="4">
        <v>2.0210758221000602E+17</v>
      </c>
      <c r="B106" s="4">
        <v>3538601149</v>
      </c>
      <c r="C106" s="4" t="s">
        <v>14447</v>
      </c>
      <c r="D106" s="4">
        <v>58221</v>
      </c>
      <c r="E106" s="4">
        <v>20210705</v>
      </c>
      <c r="F106" s="4">
        <v>20210705</v>
      </c>
      <c r="G106" s="4">
        <v>20240705</v>
      </c>
      <c r="H106" s="4" t="s">
        <v>1749</v>
      </c>
      <c r="I106" s="4" t="s">
        <v>14446</v>
      </c>
      <c r="J106" s="4" t="s">
        <v>228</v>
      </c>
    </row>
    <row r="107" spans="1:10" hidden="1">
      <c r="A107" s="4">
        <v>2.0210729299000602E+17</v>
      </c>
      <c r="B107" s="4">
        <v>1188801496</v>
      </c>
      <c r="C107" s="4" t="s">
        <v>14445</v>
      </c>
      <c r="D107" s="4">
        <v>29299</v>
      </c>
      <c r="E107" s="4">
        <v>20210705</v>
      </c>
      <c r="F107" s="4">
        <v>20210705</v>
      </c>
      <c r="G107" s="4">
        <v>20240705</v>
      </c>
      <c r="H107" s="4" t="s">
        <v>14444</v>
      </c>
      <c r="J107" s="4" t="s">
        <v>137</v>
      </c>
    </row>
    <row r="108" spans="1:10" hidden="1">
      <c r="A108" s="4">
        <v>2.0210726429000602E+17</v>
      </c>
      <c r="B108" s="4">
        <v>6038190988</v>
      </c>
      <c r="C108" s="4" t="s">
        <v>14443</v>
      </c>
      <c r="D108" s="4">
        <v>26429</v>
      </c>
      <c r="E108" s="4">
        <v>20210705</v>
      </c>
      <c r="F108" s="4">
        <v>20210705</v>
      </c>
      <c r="G108" s="4">
        <v>20240116</v>
      </c>
      <c r="H108" s="4" t="s">
        <v>1481</v>
      </c>
      <c r="I108" s="4" t="s">
        <v>14442</v>
      </c>
      <c r="J108" s="4" t="s">
        <v>422</v>
      </c>
    </row>
    <row r="109" spans="1:10" hidden="1">
      <c r="A109" s="4">
        <v>2.0210729131000602E+17</v>
      </c>
      <c r="B109" s="4">
        <v>1748600834</v>
      </c>
      <c r="C109" s="4" t="s">
        <v>14554</v>
      </c>
      <c r="D109" s="4">
        <v>29131</v>
      </c>
      <c r="E109" s="4">
        <v>20210706</v>
      </c>
      <c r="F109" s="4">
        <v>20210706</v>
      </c>
      <c r="G109" s="4">
        <v>20240706</v>
      </c>
      <c r="H109" s="4" t="s">
        <v>14553</v>
      </c>
      <c r="J109" s="4" t="s">
        <v>4077</v>
      </c>
    </row>
    <row r="110" spans="1:10" hidden="1">
      <c r="A110" s="4">
        <v>2.0210772911000602E+17</v>
      </c>
      <c r="B110" s="4">
        <v>1518801402</v>
      </c>
      <c r="C110" s="4" t="s">
        <v>14439</v>
      </c>
      <c r="D110" s="4">
        <v>72911</v>
      </c>
      <c r="E110" s="4">
        <v>20210705</v>
      </c>
      <c r="F110" s="4">
        <v>20210705</v>
      </c>
      <c r="G110" s="4">
        <v>20240705</v>
      </c>
      <c r="H110" s="4" t="s">
        <v>14438</v>
      </c>
      <c r="I110" s="4" t="s">
        <v>14437</v>
      </c>
      <c r="J110" s="4" t="s">
        <v>5020</v>
      </c>
    </row>
    <row r="111" spans="1:10" hidden="1">
      <c r="A111" s="4">
        <v>2.0210713229000602E+17</v>
      </c>
      <c r="B111" s="4">
        <v>2678801861</v>
      </c>
      <c r="C111" s="4" t="s">
        <v>14436</v>
      </c>
      <c r="D111" s="4">
        <v>13229</v>
      </c>
      <c r="E111" s="4">
        <v>20210705</v>
      </c>
      <c r="F111" s="4">
        <v>20210705</v>
      </c>
      <c r="G111" s="4">
        <v>20240705</v>
      </c>
      <c r="H111" s="4" t="s">
        <v>14435</v>
      </c>
      <c r="I111" s="4" t="s">
        <v>149</v>
      </c>
      <c r="J111" s="4" t="s">
        <v>115</v>
      </c>
    </row>
    <row r="112" spans="1:10" hidden="1">
      <c r="A112" s="4">
        <v>2.0210758221000602E+17</v>
      </c>
      <c r="B112" s="4">
        <v>1568100845</v>
      </c>
      <c r="C112" s="4" t="s">
        <v>14434</v>
      </c>
      <c r="D112" s="4">
        <v>58221</v>
      </c>
      <c r="E112" s="4">
        <v>20210705</v>
      </c>
      <c r="F112" s="4">
        <v>20210705</v>
      </c>
      <c r="G112" s="4">
        <v>20240705</v>
      </c>
      <c r="H112" s="4" t="s">
        <v>1684</v>
      </c>
      <c r="I112" s="4" t="s">
        <v>14433</v>
      </c>
      <c r="J112" s="4" t="s">
        <v>228</v>
      </c>
    </row>
    <row r="113" spans="1:10" hidden="1">
      <c r="A113" s="4">
        <v>2.0210775310000602E+17</v>
      </c>
      <c r="B113" s="4">
        <v>2218149929</v>
      </c>
      <c r="C113" s="4" t="s">
        <v>14432</v>
      </c>
      <c r="D113" s="4">
        <v>75310</v>
      </c>
      <c r="E113" s="4">
        <v>20210705</v>
      </c>
      <c r="F113" s="4">
        <v>20210705</v>
      </c>
      <c r="G113" s="4">
        <v>20231205</v>
      </c>
      <c r="H113" s="4" t="s">
        <v>13184</v>
      </c>
      <c r="I113" s="4" t="s">
        <v>8424</v>
      </c>
      <c r="J113" s="4" t="s">
        <v>7690</v>
      </c>
    </row>
    <row r="114" spans="1:10" hidden="1">
      <c r="A114" s="4">
        <v>2.0210758222000602E+17</v>
      </c>
      <c r="B114" s="4">
        <v>1848801120</v>
      </c>
      <c r="C114" s="4" t="s">
        <v>14431</v>
      </c>
      <c r="D114" s="4">
        <v>58222</v>
      </c>
      <c r="E114" s="4">
        <v>20210705</v>
      </c>
      <c r="F114" s="4">
        <v>20210705</v>
      </c>
      <c r="G114" s="4">
        <v>20240705</v>
      </c>
      <c r="H114" s="4" t="s">
        <v>2735</v>
      </c>
      <c r="I114" s="4" t="s">
        <v>14430</v>
      </c>
      <c r="J114" s="4" t="s">
        <v>94</v>
      </c>
    </row>
    <row r="115" spans="1:10" hidden="1">
      <c r="A115" s="4">
        <v>2.0210770130000602E+17</v>
      </c>
      <c r="B115" s="4">
        <v>3398801981</v>
      </c>
      <c r="C115" s="4" t="s">
        <v>14429</v>
      </c>
      <c r="D115" s="4">
        <v>70130</v>
      </c>
      <c r="E115" s="4">
        <v>20210705</v>
      </c>
      <c r="F115" s="4">
        <v>20210705</v>
      </c>
      <c r="G115" s="4">
        <v>20240705</v>
      </c>
      <c r="H115" s="4" t="s">
        <v>13640</v>
      </c>
      <c r="I115" s="4" t="s">
        <v>14428</v>
      </c>
      <c r="J115" s="4" t="s">
        <v>170</v>
      </c>
    </row>
    <row r="116" spans="1:10" hidden="1">
      <c r="A116" s="4">
        <v>2.0210772111000602E+17</v>
      </c>
      <c r="B116" s="4">
        <v>1161164945</v>
      </c>
      <c r="C116" s="4" t="s">
        <v>14427</v>
      </c>
      <c r="D116" s="4">
        <v>72111</v>
      </c>
      <c r="E116" s="4">
        <v>20210705</v>
      </c>
      <c r="F116" s="4">
        <v>20210705</v>
      </c>
      <c r="G116" s="4">
        <v>20230212</v>
      </c>
      <c r="H116" s="4" t="s">
        <v>13889</v>
      </c>
      <c r="I116" s="4" t="s">
        <v>549</v>
      </c>
      <c r="J116" s="4" t="s">
        <v>3461</v>
      </c>
    </row>
    <row r="117" spans="1:10" hidden="1">
      <c r="A117" s="4">
        <v>2.0210763120000602E+17</v>
      </c>
      <c r="B117" s="4">
        <v>8474500735</v>
      </c>
      <c r="C117" s="4" t="s">
        <v>14426</v>
      </c>
      <c r="D117" s="4">
        <v>63120</v>
      </c>
      <c r="E117" s="4">
        <v>20210705</v>
      </c>
      <c r="F117" s="4">
        <v>20210705</v>
      </c>
      <c r="G117" s="4">
        <v>20240705</v>
      </c>
      <c r="H117" s="4" t="s">
        <v>14425</v>
      </c>
      <c r="I117" s="4" t="s">
        <v>14424</v>
      </c>
      <c r="J117" s="4" t="s">
        <v>632</v>
      </c>
    </row>
    <row r="118" spans="1:10" hidden="1">
      <c r="A118" s="4">
        <v>2.0210758221000602E+17</v>
      </c>
      <c r="B118" s="4">
        <v>2058801621</v>
      </c>
      <c r="C118" s="4" t="s">
        <v>14423</v>
      </c>
      <c r="D118" s="4">
        <v>58221</v>
      </c>
      <c r="E118" s="4">
        <v>20210705</v>
      </c>
      <c r="F118" s="4">
        <v>20210705</v>
      </c>
      <c r="G118" s="4">
        <v>20240705</v>
      </c>
      <c r="H118" s="4" t="s">
        <v>366</v>
      </c>
      <c r="I118" s="4" t="s">
        <v>14422</v>
      </c>
      <c r="J118" s="4" t="s">
        <v>228</v>
      </c>
    </row>
    <row r="119" spans="1:10" hidden="1">
      <c r="A119" s="4">
        <v>2.0210710309000602E+17</v>
      </c>
      <c r="B119" s="4">
        <v>4928801040</v>
      </c>
      <c r="C119" s="4" t="s">
        <v>14421</v>
      </c>
      <c r="D119" s="4">
        <v>10309</v>
      </c>
      <c r="E119" s="4">
        <v>20210705</v>
      </c>
      <c r="F119" s="4">
        <v>20210705</v>
      </c>
      <c r="G119" s="4">
        <v>20240705</v>
      </c>
      <c r="H119" s="4" t="s">
        <v>14420</v>
      </c>
      <c r="I119" s="4" t="s">
        <v>14419</v>
      </c>
      <c r="J119" s="4" t="s">
        <v>519</v>
      </c>
    </row>
    <row r="120" spans="1:10" hidden="1">
      <c r="A120" s="4">
        <v>2.0210747419000602E+17</v>
      </c>
      <c r="B120" s="4">
        <v>4214700648</v>
      </c>
      <c r="C120" s="4" t="s">
        <v>14418</v>
      </c>
      <c r="D120" s="4">
        <v>47419</v>
      </c>
      <c r="E120" s="4">
        <v>20210705</v>
      </c>
      <c r="F120" s="4">
        <v>20210705</v>
      </c>
      <c r="G120" s="4">
        <v>20240705</v>
      </c>
      <c r="H120" s="4" t="s">
        <v>14417</v>
      </c>
      <c r="I120" s="4" t="s">
        <v>175</v>
      </c>
      <c r="J120" s="4" t="s">
        <v>14416</v>
      </c>
    </row>
    <row r="121" spans="1:10" hidden="1">
      <c r="A121" s="4">
        <v>2.0210726299000602E+17</v>
      </c>
      <c r="B121" s="4">
        <v>3302801073</v>
      </c>
      <c r="C121" s="4" t="s">
        <v>14414</v>
      </c>
      <c r="D121" s="4">
        <v>26299</v>
      </c>
      <c r="E121" s="4">
        <v>20210705</v>
      </c>
      <c r="F121" s="4">
        <v>20210705</v>
      </c>
      <c r="G121" s="4">
        <v>20240705</v>
      </c>
      <c r="H121" s="4" t="s">
        <v>14415</v>
      </c>
      <c r="I121" s="4" t="s">
        <v>14414</v>
      </c>
      <c r="J121" s="4" t="s">
        <v>339</v>
      </c>
    </row>
    <row r="122" spans="1:10" hidden="1">
      <c r="A122" s="4">
        <v>2.0210772111000602E+17</v>
      </c>
      <c r="B122" s="4">
        <v>6140367344</v>
      </c>
      <c r="C122" s="4" t="s">
        <v>14413</v>
      </c>
      <c r="D122" s="4">
        <v>72111</v>
      </c>
      <c r="E122" s="4">
        <v>20210705</v>
      </c>
      <c r="F122" s="4">
        <v>20210705</v>
      </c>
      <c r="G122" s="4">
        <v>20240705</v>
      </c>
      <c r="H122" s="4" t="s">
        <v>975</v>
      </c>
      <c r="I122" s="4" t="s">
        <v>14412</v>
      </c>
      <c r="J122" s="4" t="s">
        <v>3461</v>
      </c>
    </row>
    <row r="123" spans="1:10" hidden="1">
      <c r="A123" s="4">
        <v>2.0210758222000602E+17</v>
      </c>
      <c r="B123" s="4">
        <v>4928800357</v>
      </c>
      <c r="C123" s="4" t="s">
        <v>14411</v>
      </c>
      <c r="D123" s="4">
        <v>58222</v>
      </c>
      <c r="E123" s="4">
        <v>20210705</v>
      </c>
      <c r="F123" s="4">
        <v>20210705</v>
      </c>
      <c r="G123" s="4">
        <v>20230218</v>
      </c>
      <c r="H123" s="4" t="s">
        <v>366</v>
      </c>
      <c r="I123" s="4" t="s">
        <v>14410</v>
      </c>
      <c r="J123" s="4" t="s">
        <v>94</v>
      </c>
    </row>
    <row r="124" spans="1:10" hidden="1">
      <c r="A124" s="4">
        <v>2.0210713229000602E+17</v>
      </c>
      <c r="B124" s="4">
        <v>7583100817</v>
      </c>
      <c r="C124" s="4" t="s">
        <v>14409</v>
      </c>
      <c r="D124" s="4">
        <v>13229</v>
      </c>
      <c r="E124" s="4">
        <v>20210705</v>
      </c>
      <c r="F124" s="4">
        <v>20210705</v>
      </c>
      <c r="G124" s="4">
        <v>20240705</v>
      </c>
      <c r="H124" s="4" t="s">
        <v>14408</v>
      </c>
      <c r="I124" s="4" t="s">
        <v>2340</v>
      </c>
      <c r="J124" s="4" t="s">
        <v>115</v>
      </c>
    </row>
    <row r="125" spans="1:10" hidden="1">
      <c r="A125" s="4">
        <v>2.0210747813000602E+17</v>
      </c>
      <c r="B125" s="4">
        <v>6652301130</v>
      </c>
      <c r="C125" s="4" t="s">
        <v>14407</v>
      </c>
      <c r="D125" s="4">
        <v>47813</v>
      </c>
      <c r="E125" s="4">
        <v>20210705</v>
      </c>
      <c r="F125" s="4">
        <v>20210705</v>
      </c>
      <c r="G125" s="4">
        <v>20240705</v>
      </c>
      <c r="H125" s="4" t="s">
        <v>14406</v>
      </c>
      <c r="I125" s="4" t="s">
        <v>14405</v>
      </c>
      <c r="J125" s="4" t="s">
        <v>376</v>
      </c>
    </row>
    <row r="126" spans="1:10" hidden="1">
      <c r="A126" s="4">
        <v>2.0210746599000602E+17</v>
      </c>
      <c r="B126" s="4">
        <v>6842001028</v>
      </c>
      <c r="C126" s="4" t="s">
        <v>14404</v>
      </c>
      <c r="D126" s="4">
        <v>46599</v>
      </c>
      <c r="E126" s="4">
        <v>20210705</v>
      </c>
      <c r="F126" s="4">
        <v>20210705</v>
      </c>
      <c r="G126" s="4">
        <v>20240705</v>
      </c>
      <c r="H126" s="4" t="s">
        <v>11161</v>
      </c>
      <c r="I126" s="4" t="s">
        <v>14403</v>
      </c>
      <c r="J126" s="4" t="s">
        <v>2310</v>
      </c>
    </row>
    <row r="127" spans="1:10" hidden="1">
      <c r="A127" s="4">
        <v>2.0210741122000602E+17</v>
      </c>
      <c r="B127" s="4">
        <v>4196400491</v>
      </c>
      <c r="C127" s="4" t="s">
        <v>14402</v>
      </c>
      <c r="D127" s="4">
        <v>41122</v>
      </c>
      <c r="E127" s="4">
        <v>20210705</v>
      </c>
      <c r="F127" s="4">
        <v>20210705</v>
      </c>
      <c r="G127" s="4">
        <v>20240705</v>
      </c>
      <c r="H127" s="4" t="s">
        <v>10096</v>
      </c>
      <c r="I127" s="4" t="s">
        <v>11853</v>
      </c>
      <c r="J127" s="4" t="s">
        <v>1368</v>
      </c>
    </row>
    <row r="128" spans="1:10" hidden="1">
      <c r="A128" s="4">
        <v>2.0210772919000602E+17</v>
      </c>
      <c r="B128" s="4">
        <v>6584300543</v>
      </c>
      <c r="C128" s="4" t="s">
        <v>14401</v>
      </c>
      <c r="D128" s="4">
        <v>72919</v>
      </c>
      <c r="E128" s="4">
        <v>20210705</v>
      </c>
      <c r="F128" s="4">
        <v>20210705</v>
      </c>
      <c r="G128" s="4">
        <v>20240705</v>
      </c>
      <c r="H128" s="4" t="s">
        <v>2101</v>
      </c>
      <c r="I128" s="4" t="s">
        <v>14400</v>
      </c>
      <c r="J128" s="4" t="s">
        <v>6865</v>
      </c>
    </row>
    <row r="129" spans="1:10" hidden="1">
      <c r="A129" s="4">
        <v>2.0210758222000602E+17</v>
      </c>
      <c r="B129" s="4">
        <v>8228701977</v>
      </c>
      <c r="C129" s="4" t="s">
        <v>14399</v>
      </c>
      <c r="D129" s="4">
        <v>58222</v>
      </c>
      <c r="E129" s="4">
        <v>20210705</v>
      </c>
      <c r="F129" s="4">
        <v>20210705</v>
      </c>
      <c r="G129" s="4">
        <v>20240705</v>
      </c>
      <c r="H129" s="4" t="s">
        <v>1433</v>
      </c>
      <c r="I129" s="4" t="s">
        <v>14398</v>
      </c>
      <c r="J129" s="4" t="s">
        <v>94</v>
      </c>
    </row>
    <row r="130" spans="1:10" hidden="1">
      <c r="A130" s="4">
        <v>2.0210770209000602E+17</v>
      </c>
      <c r="B130" s="4">
        <v>4338602124</v>
      </c>
      <c r="C130" s="4" t="s">
        <v>14397</v>
      </c>
      <c r="D130" s="4">
        <v>70209</v>
      </c>
      <c r="E130" s="4">
        <v>20210705</v>
      </c>
      <c r="F130" s="4">
        <v>20210705</v>
      </c>
      <c r="G130" s="4">
        <v>20240705</v>
      </c>
      <c r="H130" s="4" t="s">
        <v>14396</v>
      </c>
      <c r="I130" s="4" t="s">
        <v>5624</v>
      </c>
      <c r="J130" s="4" t="s">
        <v>242</v>
      </c>
    </row>
    <row r="131" spans="1:10" hidden="1">
      <c r="A131" s="4">
        <v>2.0210773909000602E+17</v>
      </c>
      <c r="B131" s="4">
        <v>5440401356</v>
      </c>
      <c r="C131" s="4" t="s">
        <v>14395</v>
      </c>
      <c r="D131" s="4">
        <v>73909</v>
      </c>
      <c r="E131" s="4">
        <v>20210705</v>
      </c>
      <c r="F131" s="4">
        <v>20210705</v>
      </c>
      <c r="G131" s="4">
        <v>20240705</v>
      </c>
      <c r="H131" s="4" t="s">
        <v>14394</v>
      </c>
      <c r="I131" s="4" t="s">
        <v>14393</v>
      </c>
      <c r="J131" s="4" t="s">
        <v>293</v>
      </c>
    </row>
    <row r="132" spans="1:10" hidden="1">
      <c r="A132" s="4">
        <v>2.0210702040000602E+17</v>
      </c>
      <c r="B132" s="4">
        <v>4220601759</v>
      </c>
      <c r="C132" s="4" t="s">
        <v>14392</v>
      </c>
      <c r="D132" s="4">
        <v>2040</v>
      </c>
      <c r="E132" s="4">
        <v>20210705</v>
      </c>
      <c r="F132" s="4">
        <v>20210705</v>
      </c>
      <c r="G132" s="4">
        <v>20240705</v>
      </c>
      <c r="H132" s="4" t="s">
        <v>14391</v>
      </c>
      <c r="I132" s="4" t="s">
        <v>14390</v>
      </c>
      <c r="J132" s="4" t="s">
        <v>13968</v>
      </c>
    </row>
    <row r="133" spans="1:10" hidden="1">
      <c r="A133" s="4">
        <v>2.0210733999000602E+17</v>
      </c>
      <c r="B133" s="4">
        <v>2104307359</v>
      </c>
      <c r="C133" s="4" t="s">
        <v>14389</v>
      </c>
      <c r="D133" s="4">
        <v>33999</v>
      </c>
      <c r="E133" s="4">
        <v>20210705</v>
      </c>
      <c r="F133" s="4">
        <v>20210705</v>
      </c>
      <c r="G133" s="4">
        <v>20221001</v>
      </c>
      <c r="H133" s="4" t="s">
        <v>14033</v>
      </c>
      <c r="I133" s="4" t="s">
        <v>14388</v>
      </c>
      <c r="J133" s="4" t="s">
        <v>780</v>
      </c>
    </row>
    <row r="134" spans="1:10" hidden="1">
      <c r="A134" s="4">
        <v>2.0210742110000602E+17</v>
      </c>
      <c r="B134" s="4">
        <v>2468601481</v>
      </c>
      <c r="C134" s="4" t="s">
        <v>14387</v>
      </c>
      <c r="D134" s="4">
        <v>42110</v>
      </c>
      <c r="E134" s="4">
        <v>20210705</v>
      </c>
      <c r="F134" s="4">
        <v>20210705</v>
      </c>
      <c r="G134" s="4">
        <v>20240705</v>
      </c>
      <c r="H134" s="4" t="s">
        <v>14386</v>
      </c>
      <c r="J134" s="4" t="s">
        <v>8525</v>
      </c>
    </row>
    <row r="135" spans="1:10" hidden="1">
      <c r="A135" s="4">
        <v>2.0210729271000602E+17</v>
      </c>
      <c r="B135" s="4">
        <v>3882800938</v>
      </c>
      <c r="C135" s="4" t="s">
        <v>14385</v>
      </c>
      <c r="D135" s="4">
        <v>29271</v>
      </c>
      <c r="E135" s="4">
        <v>20210705</v>
      </c>
      <c r="F135" s="4">
        <v>20210705</v>
      </c>
      <c r="G135" s="4">
        <v>20240705</v>
      </c>
      <c r="H135" s="4" t="s">
        <v>1044</v>
      </c>
      <c r="I135" s="4" t="s">
        <v>14384</v>
      </c>
      <c r="J135" s="4" t="s">
        <v>285</v>
      </c>
    </row>
    <row r="136" spans="1:10" hidden="1">
      <c r="A136" s="4">
        <v>2.0210746800000602E+17</v>
      </c>
      <c r="B136" s="4">
        <v>4920800748</v>
      </c>
      <c r="C136" s="4" t="s">
        <v>14383</v>
      </c>
      <c r="D136" s="4">
        <v>46800</v>
      </c>
      <c r="E136" s="4">
        <v>20210705</v>
      </c>
      <c r="F136" s="4">
        <v>20210705</v>
      </c>
      <c r="G136" s="4">
        <v>20240705</v>
      </c>
      <c r="H136" s="4" t="s">
        <v>14382</v>
      </c>
      <c r="J136" s="4" t="s">
        <v>979</v>
      </c>
    </row>
    <row r="137" spans="1:10" hidden="1">
      <c r="A137" s="4">
        <v>2.0210710792000602E+17</v>
      </c>
      <c r="B137" s="4">
        <v>4420501718</v>
      </c>
      <c r="C137" s="4" t="s">
        <v>14381</v>
      </c>
      <c r="D137" s="4">
        <v>10792</v>
      </c>
      <c r="E137" s="4">
        <v>20210705</v>
      </c>
      <c r="F137" s="4">
        <v>20210705</v>
      </c>
      <c r="G137" s="4">
        <v>20240705</v>
      </c>
      <c r="H137" s="4" t="s">
        <v>14380</v>
      </c>
      <c r="I137" s="4" t="s">
        <v>91</v>
      </c>
      <c r="J137" s="4" t="s">
        <v>9874</v>
      </c>
    </row>
    <row r="138" spans="1:10" hidden="1">
      <c r="A138" s="4">
        <v>2.0210728902000602E+17</v>
      </c>
      <c r="B138" s="4">
        <v>4351001257</v>
      </c>
      <c r="C138" s="4" t="s">
        <v>14379</v>
      </c>
      <c r="D138" s="4">
        <v>28902</v>
      </c>
      <c r="E138" s="4">
        <v>20210705</v>
      </c>
      <c r="F138" s="4">
        <v>20210705</v>
      </c>
      <c r="G138" s="4">
        <v>20240705</v>
      </c>
      <c r="H138" s="4" t="s">
        <v>3146</v>
      </c>
      <c r="I138" s="4" t="s">
        <v>5492</v>
      </c>
      <c r="J138" s="4" t="s">
        <v>1037</v>
      </c>
    </row>
    <row r="139" spans="1:10" hidden="1">
      <c r="A139" s="4">
        <v>2.0210759111000602E+17</v>
      </c>
      <c r="B139" s="4">
        <v>6140452343</v>
      </c>
      <c r="C139" s="4" t="s">
        <v>14378</v>
      </c>
      <c r="D139" s="4">
        <v>59111</v>
      </c>
      <c r="E139" s="4">
        <v>20210705</v>
      </c>
      <c r="F139" s="4">
        <v>20210705</v>
      </c>
      <c r="G139" s="4">
        <v>20240705</v>
      </c>
      <c r="H139" s="4" t="s">
        <v>14377</v>
      </c>
      <c r="I139" s="4" t="s">
        <v>91</v>
      </c>
      <c r="J139" s="4" t="s">
        <v>1857</v>
      </c>
    </row>
    <row r="140" spans="1:10" hidden="1">
      <c r="A140" s="4">
        <v>2.0210762021000602E+17</v>
      </c>
      <c r="B140" s="4">
        <v>3841601330</v>
      </c>
      <c r="C140" s="4" t="s">
        <v>14376</v>
      </c>
      <c r="D140" s="4">
        <v>62021</v>
      </c>
      <c r="E140" s="4">
        <v>20210705</v>
      </c>
      <c r="F140" s="4">
        <v>20210705</v>
      </c>
      <c r="G140" s="4">
        <v>20240705</v>
      </c>
      <c r="H140" s="4" t="s">
        <v>14375</v>
      </c>
      <c r="I140" s="4" t="s">
        <v>14374</v>
      </c>
      <c r="J140" s="4" t="s">
        <v>1505</v>
      </c>
    </row>
    <row r="141" spans="1:10" hidden="1">
      <c r="A141" s="4">
        <v>2.0210746800000602E+17</v>
      </c>
      <c r="B141" s="4">
        <v>5510701942</v>
      </c>
      <c r="C141" s="4" t="s">
        <v>14373</v>
      </c>
      <c r="D141" s="4">
        <v>46800</v>
      </c>
      <c r="E141" s="4">
        <v>20210705</v>
      </c>
      <c r="F141" s="4">
        <v>20210705</v>
      </c>
      <c r="G141" s="4">
        <v>20240705</v>
      </c>
      <c r="H141" s="4" t="s">
        <v>14372</v>
      </c>
      <c r="J141" s="4" t="s">
        <v>979</v>
      </c>
    </row>
    <row r="142" spans="1:10" hidden="1">
      <c r="A142" s="4">
        <v>2.0210771531000602E+17</v>
      </c>
      <c r="B142" s="4">
        <v>3198701073</v>
      </c>
      <c r="C142" s="4" t="s">
        <v>14371</v>
      </c>
      <c r="D142" s="4">
        <v>71531</v>
      </c>
      <c r="E142" s="4">
        <v>20210705</v>
      </c>
      <c r="F142" s="4">
        <v>20210705</v>
      </c>
      <c r="G142" s="4">
        <v>20240705</v>
      </c>
      <c r="H142" s="4" t="s">
        <v>14370</v>
      </c>
      <c r="I142" s="4" t="s">
        <v>14369</v>
      </c>
      <c r="J142" s="4" t="s">
        <v>87</v>
      </c>
    </row>
    <row r="143" spans="1:10" hidden="1">
      <c r="A143" s="4">
        <v>2.0210729210000602E+17</v>
      </c>
      <c r="B143" s="4">
        <v>2458801686</v>
      </c>
      <c r="C143" s="4" t="s">
        <v>14368</v>
      </c>
      <c r="D143" s="4">
        <v>29210</v>
      </c>
      <c r="E143" s="4">
        <v>20210705</v>
      </c>
      <c r="F143" s="4">
        <v>20210705</v>
      </c>
      <c r="G143" s="4">
        <v>20240705</v>
      </c>
      <c r="H143" s="4" t="s">
        <v>7071</v>
      </c>
      <c r="I143" s="4" t="s">
        <v>14367</v>
      </c>
      <c r="J143" s="4" t="s">
        <v>1274</v>
      </c>
    </row>
    <row r="144" spans="1:10" hidden="1">
      <c r="A144" s="4">
        <v>2.0210758222000602E+17</v>
      </c>
      <c r="B144" s="4">
        <v>6688801900</v>
      </c>
      <c r="C144" s="4" t="s">
        <v>14366</v>
      </c>
      <c r="D144" s="4">
        <v>58222</v>
      </c>
      <c r="E144" s="4">
        <v>20210705</v>
      </c>
      <c r="F144" s="4">
        <v>20210705</v>
      </c>
      <c r="G144" s="4">
        <v>20240705</v>
      </c>
      <c r="H144" s="4" t="s">
        <v>2452</v>
      </c>
      <c r="I144" s="4" t="s">
        <v>496</v>
      </c>
      <c r="J144" s="4" t="s">
        <v>94</v>
      </c>
    </row>
    <row r="145" spans="1:10" hidden="1">
      <c r="A145" s="4">
        <v>2.0210729199000602E+17</v>
      </c>
      <c r="B145" s="4">
        <v>7528800701</v>
      </c>
      <c r="C145" s="4" t="s">
        <v>14365</v>
      </c>
      <c r="D145" s="4">
        <v>29199</v>
      </c>
      <c r="E145" s="4">
        <v>20210705</v>
      </c>
      <c r="F145" s="4">
        <v>20210705</v>
      </c>
      <c r="G145" s="4">
        <v>20240425</v>
      </c>
      <c r="H145" s="4" t="s">
        <v>7329</v>
      </c>
      <c r="I145" s="4" t="s">
        <v>14364</v>
      </c>
      <c r="J145" s="4" t="s">
        <v>166</v>
      </c>
    </row>
    <row r="146" spans="1:10" hidden="1">
      <c r="A146" s="4">
        <v>2.0210728111000602E+17</v>
      </c>
      <c r="B146" s="4">
        <v>8088601300</v>
      </c>
      <c r="C146" s="4" t="s">
        <v>14363</v>
      </c>
      <c r="D146" s="4">
        <v>28111</v>
      </c>
      <c r="E146" s="4">
        <v>20210705</v>
      </c>
      <c r="F146" s="4">
        <v>20210705</v>
      </c>
      <c r="G146" s="4">
        <v>20240705</v>
      </c>
      <c r="H146" s="4" t="s">
        <v>14362</v>
      </c>
      <c r="I146" s="4" t="s">
        <v>855</v>
      </c>
      <c r="J146" s="4" t="s">
        <v>1614</v>
      </c>
    </row>
    <row r="147" spans="1:10" hidden="1">
      <c r="A147" s="4">
        <v>2.0210773202000602E+17</v>
      </c>
      <c r="B147" s="4">
        <v>8748700722</v>
      </c>
      <c r="C147" s="4" t="s">
        <v>14361</v>
      </c>
      <c r="D147" s="4">
        <v>73202</v>
      </c>
      <c r="E147" s="4">
        <v>20210705</v>
      </c>
      <c r="F147" s="4">
        <v>20210705</v>
      </c>
      <c r="G147" s="4">
        <v>20240623</v>
      </c>
      <c r="H147" s="4" t="s">
        <v>14360</v>
      </c>
      <c r="I147" s="4" t="s">
        <v>14359</v>
      </c>
      <c r="J147" s="4" t="s">
        <v>605</v>
      </c>
    </row>
    <row r="148" spans="1:10" hidden="1">
      <c r="A148" s="4">
        <v>2.0210720423000602E+17</v>
      </c>
      <c r="B148" s="4">
        <v>8218800628</v>
      </c>
      <c r="C148" s="4" t="s">
        <v>14358</v>
      </c>
      <c r="D148" s="4">
        <v>20423</v>
      </c>
      <c r="E148" s="4">
        <v>20210705</v>
      </c>
      <c r="F148" s="4">
        <v>20210705</v>
      </c>
      <c r="G148" s="4">
        <v>20240120</v>
      </c>
      <c r="H148" s="4" t="s">
        <v>14357</v>
      </c>
      <c r="I148" s="4" t="s">
        <v>14356</v>
      </c>
      <c r="J148" s="4" t="s">
        <v>368</v>
      </c>
    </row>
    <row r="149" spans="1:10" hidden="1">
      <c r="A149" s="4">
        <v>2.0210746599000602E+17</v>
      </c>
      <c r="B149" s="4">
        <v>2028701912</v>
      </c>
      <c r="C149" s="4" t="s">
        <v>14355</v>
      </c>
      <c r="D149" s="4">
        <v>46599</v>
      </c>
      <c r="E149" s="4">
        <v>20210705</v>
      </c>
      <c r="F149" s="4">
        <v>20210705</v>
      </c>
      <c r="G149" s="4">
        <v>20240705</v>
      </c>
      <c r="H149" s="4" t="s">
        <v>14354</v>
      </c>
      <c r="I149" s="4" t="s">
        <v>14353</v>
      </c>
      <c r="J149" s="4" t="s">
        <v>2310</v>
      </c>
    </row>
    <row r="150" spans="1:10" hidden="1">
      <c r="A150" s="4">
        <v>2.0210773909000602E+17</v>
      </c>
      <c r="B150" s="4">
        <v>4178601365</v>
      </c>
      <c r="C150" s="4" t="s">
        <v>14352</v>
      </c>
      <c r="D150" s="4">
        <v>73909</v>
      </c>
      <c r="E150" s="4">
        <v>20210705</v>
      </c>
      <c r="F150" s="4">
        <v>20210705</v>
      </c>
      <c r="G150" s="4">
        <v>20240705</v>
      </c>
      <c r="H150" s="4" t="s">
        <v>14351</v>
      </c>
      <c r="I150" s="4" t="s">
        <v>146</v>
      </c>
      <c r="J150" s="4" t="s">
        <v>293</v>
      </c>
    </row>
    <row r="151" spans="1:10" hidden="1">
      <c r="A151" s="4">
        <v>2.0210762021000602E+17</v>
      </c>
      <c r="B151" s="4">
        <v>4858801120</v>
      </c>
      <c r="C151" s="4" t="s">
        <v>14350</v>
      </c>
      <c r="D151" s="4">
        <v>62021</v>
      </c>
      <c r="E151" s="4">
        <v>20210705</v>
      </c>
      <c r="F151" s="4">
        <v>20210705</v>
      </c>
      <c r="G151" s="4">
        <v>20240705</v>
      </c>
      <c r="H151" s="4" t="s">
        <v>14349</v>
      </c>
      <c r="I151" s="4" t="s">
        <v>596</v>
      </c>
      <c r="J151" s="4" t="s">
        <v>1505</v>
      </c>
    </row>
    <row r="152" spans="1:10" hidden="1">
      <c r="A152" s="4">
        <v>2.0210785709000602E+17</v>
      </c>
      <c r="B152" s="4">
        <v>2318701550</v>
      </c>
      <c r="C152" s="4" t="s">
        <v>14348</v>
      </c>
      <c r="D152" s="4">
        <v>85709</v>
      </c>
      <c r="E152" s="4">
        <v>20210705</v>
      </c>
      <c r="F152" s="4">
        <v>20210705</v>
      </c>
      <c r="G152" s="4">
        <v>20240705</v>
      </c>
      <c r="H152" s="4" t="s">
        <v>14347</v>
      </c>
      <c r="I152" s="4" t="s">
        <v>14346</v>
      </c>
      <c r="J152" s="4" t="s">
        <v>141</v>
      </c>
    </row>
    <row r="153" spans="1:10" hidden="1">
      <c r="A153" s="4">
        <v>2.0210726211000602E+17</v>
      </c>
      <c r="B153" s="4">
        <v>6728100110</v>
      </c>
      <c r="C153" s="4" t="s">
        <v>14345</v>
      </c>
      <c r="D153" s="4">
        <v>26211</v>
      </c>
      <c r="E153" s="4">
        <v>20210705</v>
      </c>
      <c r="F153" s="4">
        <v>20210705</v>
      </c>
      <c r="G153" s="4">
        <v>20220724</v>
      </c>
      <c r="H153" s="4" t="s">
        <v>14344</v>
      </c>
      <c r="I153" s="4" t="s">
        <v>14343</v>
      </c>
      <c r="J153" s="4" t="s">
        <v>4480</v>
      </c>
    </row>
    <row r="154" spans="1:10" hidden="1">
      <c r="A154" s="4">
        <v>2.0210758222000602E+17</v>
      </c>
      <c r="B154" s="4">
        <v>7948601700</v>
      </c>
      <c r="C154" s="4" t="s">
        <v>14342</v>
      </c>
      <c r="D154" s="4">
        <v>58222</v>
      </c>
      <c r="E154" s="4">
        <v>20210705</v>
      </c>
      <c r="F154" s="4">
        <v>20210705</v>
      </c>
      <c r="G154" s="4">
        <v>20240705</v>
      </c>
      <c r="H154" s="4" t="s">
        <v>14341</v>
      </c>
      <c r="J154" s="4" t="s">
        <v>94</v>
      </c>
    </row>
    <row r="155" spans="1:10" hidden="1">
      <c r="A155" s="4">
        <v>2.0210741121000602E+17</v>
      </c>
      <c r="B155" s="4">
        <v>5618101560</v>
      </c>
      <c r="C155" s="4" t="s">
        <v>14340</v>
      </c>
      <c r="D155" s="4">
        <v>41121</v>
      </c>
      <c r="E155" s="4">
        <v>20210705</v>
      </c>
      <c r="F155" s="4">
        <v>20210705</v>
      </c>
      <c r="G155" s="4">
        <v>20240705</v>
      </c>
      <c r="H155" s="4" t="s">
        <v>14339</v>
      </c>
      <c r="I155" s="4" t="s">
        <v>1064</v>
      </c>
      <c r="J155" s="4" t="s">
        <v>2302</v>
      </c>
    </row>
    <row r="156" spans="1:10" hidden="1">
      <c r="A156" s="4">
        <v>2.0210758221000602E+17</v>
      </c>
      <c r="B156" s="4">
        <v>3488801869</v>
      </c>
      <c r="C156" s="4" t="s">
        <v>14338</v>
      </c>
      <c r="D156" s="4">
        <v>58221</v>
      </c>
      <c r="E156" s="4">
        <v>20210705</v>
      </c>
      <c r="F156" s="4">
        <v>20210705</v>
      </c>
      <c r="G156" s="4">
        <v>20240705</v>
      </c>
      <c r="H156" s="4" t="s">
        <v>5841</v>
      </c>
      <c r="J156" s="4" t="s">
        <v>228</v>
      </c>
    </row>
    <row r="157" spans="1:10" hidden="1">
      <c r="A157" s="4">
        <v>2.0210763999000602E+17</v>
      </c>
      <c r="B157" s="4">
        <v>2538701453</v>
      </c>
      <c r="C157" s="4" t="s">
        <v>14337</v>
      </c>
      <c r="D157" s="4">
        <v>63999</v>
      </c>
      <c r="E157" s="4">
        <v>20210705</v>
      </c>
      <c r="F157" s="4">
        <v>20210705</v>
      </c>
      <c r="G157" s="4">
        <v>20240705</v>
      </c>
      <c r="H157" s="4" t="s">
        <v>1746</v>
      </c>
      <c r="I157" s="4" t="s">
        <v>14336</v>
      </c>
      <c r="J157" s="4" t="s">
        <v>643</v>
      </c>
    </row>
    <row r="158" spans="1:10" hidden="1">
      <c r="A158" s="4">
        <v>2.0210720111000602E+17</v>
      </c>
      <c r="B158" s="4">
        <v>7408702164</v>
      </c>
      <c r="C158" s="4" t="s">
        <v>14335</v>
      </c>
      <c r="D158" s="4">
        <v>20111</v>
      </c>
      <c r="E158" s="4">
        <v>20210705</v>
      </c>
      <c r="F158" s="4">
        <v>20210705</v>
      </c>
      <c r="G158" s="4">
        <v>20240705</v>
      </c>
      <c r="H158" s="4" t="s">
        <v>14334</v>
      </c>
      <c r="J158" s="4" t="s">
        <v>3910</v>
      </c>
    </row>
    <row r="159" spans="1:10" hidden="1">
      <c r="A159" s="4">
        <v>2.0210742139000602E+17</v>
      </c>
      <c r="B159" s="4">
        <v>8458102337</v>
      </c>
      <c r="C159" s="4" t="s">
        <v>14333</v>
      </c>
      <c r="D159" s="4">
        <v>42139</v>
      </c>
      <c r="E159" s="4">
        <v>20210705</v>
      </c>
      <c r="F159" s="4">
        <v>20210705</v>
      </c>
      <c r="G159" s="4">
        <v>20240705</v>
      </c>
      <c r="H159" s="4" t="s">
        <v>13840</v>
      </c>
      <c r="J159" s="4" t="s">
        <v>5502</v>
      </c>
    </row>
    <row r="160" spans="1:10" hidden="1">
      <c r="A160" s="4">
        <v>2.0210770209000602E+17</v>
      </c>
      <c r="B160" s="4">
        <v>3218701246</v>
      </c>
      <c r="C160" s="4" t="s">
        <v>14332</v>
      </c>
      <c r="D160" s="4">
        <v>70209</v>
      </c>
      <c r="E160" s="4">
        <v>20210705</v>
      </c>
      <c r="F160" s="4">
        <v>20210705</v>
      </c>
      <c r="G160" s="4">
        <v>20240705</v>
      </c>
      <c r="H160" s="4" t="s">
        <v>14331</v>
      </c>
      <c r="I160" s="4" t="s">
        <v>146</v>
      </c>
      <c r="J160" s="4" t="s">
        <v>242</v>
      </c>
    </row>
    <row r="161" spans="1:10" hidden="1">
      <c r="A161" s="4">
        <v>2.0210724219000602E+17</v>
      </c>
      <c r="B161" s="4">
        <v>8058101553</v>
      </c>
      <c r="C161" s="4" t="s">
        <v>14330</v>
      </c>
      <c r="D161" s="4">
        <v>24219</v>
      </c>
      <c r="E161" s="4">
        <v>20210705</v>
      </c>
      <c r="F161" s="4">
        <v>20210705</v>
      </c>
      <c r="G161" s="4">
        <v>20240705</v>
      </c>
      <c r="H161" s="4" t="s">
        <v>11519</v>
      </c>
      <c r="I161" s="4" t="s">
        <v>8184</v>
      </c>
      <c r="J161" s="4" t="s">
        <v>14329</v>
      </c>
    </row>
    <row r="162" spans="1:10" s="35" customFormat="1" hidden="1">
      <c r="A162" s="35">
        <v>2.0210746452000602E+17</v>
      </c>
      <c r="B162" s="35">
        <v>2355500023</v>
      </c>
      <c r="C162" s="35" t="s">
        <v>14521</v>
      </c>
      <c r="D162" s="35">
        <v>46452</v>
      </c>
      <c r="E162" s="35">
        <v>20210706</v>
      </c>
      <c r="F162" s="35">
        <v>20210706</v>
      </c>
      <c r="G162" s="35">
        <v>20220427</v>
      </c>
      <c r="H162" s="35" t="s">
        <v>945</v>
      </c>
      <c r="J162" s="35" t="s">
        <v>516</v>
      </c>
    </row>
    <row r="163" spans="1:10" hidden="1">
      <c r="A163" s="4">
        <v>2.0210732029000602E+17</v>
      </c>
      <c r="B163" s="4">
        <v>1508701931</v>
      </c>
      <c r="C163" s="4" t="s">
        <v>14325</v>
      </c>
      <c r="D163" s="4">
        <v>32029</v>
      </c>
      <c r="E163" s="4">
        <v>20210705</v>
      </c>
      <c r="F163" s="4">
        <v>20210705</v>
      </c>
      <c r="G163" s="4">
        <v>20240705</v>
      </c>
      <c r="H163" s="4" t="s">
        <v>14324</v>
      </c>
      <c r="J163" s="4" t="s">
        <v>637</v>
      </c>
    </row>
    <row r="164" spans="1:10" hidden="1">
      <c r="A164" s="4">
        <v>2.0210728909000602E+17</v>
      </c>
      <c r="B164" s="4">
        <v>3578601971</v>
      </c>
      <c r="C164" s="4" t="s">
        <v>14323</v>
      </c>
      <c r="D164" s="4">
        <v>28909</v>
      </c>
      <c r="E164" s="4">
        <v>20210705</v>
      </c>
      <c r="F164" s="4">
        <v>20210705</v>
      </c>
      <c r="G164" s="4">
        <v>20240705</v>
      </c>
      <c r="H164" s="4" t="s">
        <v>1515</v>
      </c>
      <c r="I164" s="4" t="s">
        <v>14322</v>
      </c>
      <c r="J164" s="4" t="s">
        <v>253</v>
      </c>
    </row>
    <row r="165" spans="1:10" hidden="1">
      <c r="A165" s="4">
        <v>2.0210758221000602E+17</v>
      </c>
      <c r="B165" s="4">
        <v>6498101384</v>
      </c>
      <c r="C165" s="4" t="s">
        <v>14321</v>
      </c>
      <c r="D165" s="4">
        <v>58221</v>
      </c>
      <c r="E165" s="4">
        <v>20210705</v>
      </c>
      <c r="F165" s="4">
        <v>20210705</v>
      </c>
      <c r="G165" s="4">
        <v>20240705</v>
      </c>
      <c r="H165" s="4" t="s">
        <v>2581</v>
      </c>
      <c r="I165" s="4" t="s">
        <v>14320</v>
      </c>
      <c r="J165" s="4" t="s">
        <v>228</v>
      </c>
    </row>
    <row r="166" spans="1:10" hidden="1">
      <c r="A166" s="4">
        <v>2.0210722223000602E+17</v>
      </c>
      <c r="B166" s="4">
        <v>7598602012</v>
      </c>
      <c r="C166" s="4" t="s">
        <v>14319</v>
      </c>
      <c r="D166" s="4">
        <v>22223</v>
      </c>
      <c r="E166" s="4">
        <v>20210705</v>
      </c>
      <c r="F166" s="4">
        <v>20210705</v>
      </c>
      <c r="G166" s="4">
        <v>20240705</v>
      </c>
      <c r="H166" s="4" t="s">
        <v>13569</v>
      </c>
      <c r="I166" s="4" t="s">
        <v>14318</v>
      </c>
      <c r="J166" s="4" t="s">
        <v>1618</v>
      </c>
    </row>
    <row r="167" spans="1:10" hidden="1">
      <c r="A167" s="4">
        <v>2.0210728422000602E+17</v>
      </c>
      <c r="B167" s="4">
        <v>4058112490</v>
      </c>
      <c r="C167" s="4" t="s">
        <v>14317</v>
      </c>
      <c r="D167" s="4">
        <v>28422</v>
      </c>
      <c r="E167" s="4">
        <v>20210705</v>
      </c>
      <c r="F167" s="4">
        <v>20210705</v>
      </c>
      <c r="G167" s="4">
        <v>20240705</v>
      </c>
      <c r="H167" s="4" t="s">
        <v>6193</v>
      </c>
      <c r="I167" s="4" t="s">
        <v>14316</v>
      </c>
      <c r="J167" s="4" t="s">
        <v>188</v>
      </c>
    </row>
    <row r="168" spans="1:10" hidden="1">
      <c r="A168" s="4">
        <v>2.0210774211000602E+17</v>
      </c>
      <c r="B168" s="4">
        <v>4318802248</v>
      </c>
      <c r="C168" s="4" t="s">
        <v>14315</v>
      </c>
      <c r="D168" s="4">
        <v>74211</v>
      </c>
      <c r="E168" s="4">
        <v>20210705</v>
      </c>
      <c r="F168" s="4">
        <v>20210705</v>
      </c>
      <c r="G168" s="4">
        <v>20240705</v>
      </c>
      <c r="H168" s="4" t="s">
        <v>14314</v>
      </c>
      <c r="J168" s="4" t="s">
        <v>5576</v>
      </c>
    </row>
    <row r="169" spans="1:10" hidden="1">
      <c r="A169" s="4">
        <v>2.0210770113000602E+17</v>
      </c>
      <c r="B169" s="4">
        <v>4448702403</v>
      </c>
      <c r="C169" s="4" t="s">
        <v>14313</v>
      </c>
      <c r="D169" s="4">
        <v>70113</v>
      </c>
      <c r="E169" s="4">
        <v>20210705</v>
      </c>
      <c r="F169" s="4">
        <v>20210705</v>
      </c>
      <c r="G169" s="4">
        <v>20240705</v>
      </c>
      <c r="H169" s="4" t="s">
        <v>14312</v>
      </c>
      <c r="I169" s="4" t="s">
        <v>14311</v>
      </c>
      <c r="J169" s="4" t="s">
        <v>1173</v>
      </c>
    </row>
    <row r="170" spans="1:10" hidden="1">
      <c r="A170" s="4">
        <v>2.0210726429000602E+17</v>
      </c>
      <c r="B170" s="4">
        <v>5928102146</v>
      </c>
      <c r="C170" s="4" t="s">
        <v>14310</v>
      </c>
      <c r="D170" s="4">
        <v>26429</v>
      </c>
      <c r="E170" s="4">
        <v>20210705</v>
      </c>
      <c r="F170" s="4">
        <v>20210705</v>
      </c>
      <c r="G170" s="4">
        <v>20240705</v>
      </c>
      <c r="H170" s="4" t="s">
        <v>2721</v>
      </c>
      <c r="I170" s="4" t="s">
        <v>14309</v>
      </c>
      <c r="J170" s="4" t="s">
        <v>422</v>
      </c>
    </row>
    <row r="171" spans="1:10" hidden="1">
      <c r="A171" s="4">
        <v>2.0210775992000602E+17</v>
      </c>
      <c r="B171" s="4">
        <v>4778700201</v>
      </c>
      <c r="C171" s="4" t="s">
        <v>14308</v>
      </c>
      <c r="D171" s="4">
        <v>75992</v>
      </c>
      <c r="E171" s="4">
        <v>20210705</v>
      </c>
      <c r="F171" s="4">
        <v>20210705</v>
      </c>
      <c r="G171" s="4">
        <v>20220904</v>
      </c>
      <c r="H171" s="4" t="s">
        <v>14307</v>
      </c>
      <c r="I171" s="4" t="s">
        <v>14306</v>
      </c>
      <c r="J171" s="4" t="s">
        <v>111</v>
      </c>
    </row>
    <row r="172" spans="1:10" hidden="1">
      <c r="A172" s="4">
        <v>2.0210785503000602E+17</v>
      </c>
      <c r="B172" s="4">
        <v>2558701916</v>
      </c>
      <c r="C172" s="4" t="s">
        <v>14305</v>
      </c>
      <c r="D172" s="4">
        <v>85503</v>
      </c>
      <c r="E172" s="4">
        <v>20210705</v>
      </c>
      <c r="F172" s="4">
        <v>20210705</v>
      </c>
      <c r="G172" s="4">
        <v>20240705</v>
      </c>
      <c r="H172" s="4" t="s">
        <v>14304</v>
      </c>
      <c r="I172" s="4" t="s">
        <v>14303</v>
      </c>
      <c r="J172" s="4" t="s">
        <v>4470</v>
      </c>
    </row>
    <row r="173" spans="1:10" hidden="1">
      <c r="A173" s="4">
        <v>2.0210747919000602E+17</v>
      </c>
      <c r="B173" s="4">
        <v>3038800950</v>
      </c>
      <c r="C173" s="4" t="s">
        <v>14302</v>
      </c>
      <c r="D173" s="4">
        <v>47919</v>
      </c>
      <c r="E173" s="4">
        <v>20210705</v>
      </c>
      <c r="F173" s="4">
        <v>20210705</v>
      </c>
      <c r="G173" s="4">
        <v>20240705</v>
      </c>
      <c r="H173" s="4" t="s">
        <v>12096</v>
      </c>
      <c r="I173" s="4" t="s">
        <v>91</v>
      </c>
      <c r="J173" s="4" t="s">
        <v>4897</v>
      </c>
    </row>
    <row r="174" spans="1:10" hidden="1">
      <c r="A174" s="4">
        <v>2.0210774100000602E+17</v>
      </c>
      <c r="B174" s="4">
        <v>8168701986</v>
      </c>
      <c r="C174" s="4" t="s">
        <v>14301</v>
      </c>
      <c r="D174" s="4">
        <v>74100</v>
      </c>
      <c r="E174" s="4">
        <v>20210705</v>
      </c>
      <c r="F174" s="4">
        <v>20210705</v>
      </c>
      <c r="G174" s="4">
        <v>20240705</v>
      </c>
      <c r="H174" s="4" t="s">
        <v>14300</v>
      </c>
      <c r="J174" s="4" t="s">
        <v>2207</v>
      </c>
    </row>
    <row r="175" spans="1:10" hidden="1">
      <c r="A175" s="4">
        <v>2.0210742499000602E+17</v>
      </c>
      <c r="B175" s="4">
        <v>8518101556</v>
      </c>
      <c r="C175" s="4" t="s">
        <v>14299</v>
      </c>
      <c r="D175" s="4">
        <v>42499</v>
      </c>
      <c r="E175" s="4">
        <v>20210705</v>
      </c>
      <c r="F175" s="4">
        <v>20210705</v>
      </c>
      <c r="G175" s="4">
        <v>20240705</v>
      </c>
      <c r="H175" s="4" t="s">
        <v>14298</v>
      </c>
      <c r="I175" s="4" t="s">
        <v>14297</v>
      </c>
      <c r="J175" s="4" t="s">
        <v>505</v>
      </c>
    </row>
    <row r="176" spans="1:10" hidden="1">
      <c r="A176" s="4">
        <v>2.0210714130000602E+17</v>
      </c>
      <c r="B176" s="4">
        <v>6318701901</v>
      </c>
      <c r="C176" s="4" t="s">
        <v>14296</v>
      </c>
      <c r="D176" s="4">
        <v>14130</v>
      </c>
      <c r="E176" s="4">
        <v>20210705</v>
      </c>
      <c r="F176" s="4">
        <v>20210705</v>
      </c>
      <c r="G176" s="4">
        <v>20240705</v>
      </c>
      <c r="H176" s="4" t="s">
        <v>14295</v>
      </c>
      <c r="I176" s="4">
        <v>201</v>
      </c>
      <c r="J176" s="4" t="s">
        <v>14294</v>
      </c>
    </row>
    <row r="177" spans="1:10" hidden="1">
      <c r="A177" s="4">
        <v>2.0210772921000602E+17</v>
      </c>
      <c r="B177" s="4">
        <v>5268701652</v>
      </c>
      <c r="C177" s="4" t="s">
        <v>14293</v>
      </c>
      <c r="D177" s="4">
        <v>72921</v>
      </c>
      <c r="E177" s="4">
        <v>20210705</v>
      </c>
      <c r="F177" s="4">
        <v>20210705</v>
      </c>
      <c r="G177" s="4">
        <v>20240705</v>
      </c>
      <c r="H177" s="4" t="s">
        <v>14292</v>
      </c>
      <c r="I177" s="4" t="s">
        <v>14291</v>
      </c>
      <c r="J177" s="4" t="s">
        <v>2880</v>
      </c>
    </row>
    <row r="178" spans="1:10" hidden="1">
      <c r="A178" s="4">
        <v>2.0210747859000602E+17</v>
      </c>
      <c r="B178" s="4">
        <v>1458702281</v>
      </c>
      <c r="C178" s="4" t="s">
        <v>14290</v>
      </c>
      <c r="D178" s="4">
        <v>47859</v>
      </c>
      <c r="E178" s="4">
        <v>20210705</v>
      </c>
      <c r="F178" s="4">
        <v>20210705</v>
      </c>
      <c r="G178" s="4">
        <v>20240705</v>
      </c>
      <c r="H178" s="4" t="s">
        <v>14289</v>
      </c>
      <c r="I178" s="4" t="s">
        <v>14288</v>
      </c>
      <c r="J178" s="4" t="s">
        <v>5820</v>
      </c>
    </row>
    <row r="179" spans="1:10" hidden="1">
      <c r="A179" s="4">
        <v>2.0210746433000602E+17</v>
      </c>
      <c r="B179" s="4">
        <v>3643300727</v>
      </c>
      <c r="C179" s="4" t="s">
        <v>14287</v>
      </c>
      <c r="D179" s="4">
        <v>46433</v>
      </c>
      <c r="E179" s="4">
        <v>20210705</v>
      </c>
      <c r="F179" s="4">
        <v>20210705</v>
      </c>
      <c r="G179" s="4">
        <v>20240705</v>
      </c>
      <c r="H179" s="4" t="s">
        <v>11215</v>
      </c>
      <c r="I179" s="4" t="s">
        <v>14286</v>
      </c>
      <c r="J179" s="4" t="s">
        <v>4201</v>
      </c>
    </row>
    <row r="180" spans="1:10" hidden="1">
      <c r="A180" s="4">
        <v>2.0210774211000602E+17</v>
      </c>
      <c r="B180" s="4">
        <v>5086552016</v>
      </c>
      <c r="C180" s="4" t="s">
        <v>14285</v>
      </c>
      <c r="D180" s="4">
        <v>74211</v>
      </c>
      <c r="E180" s="4">
        <v>20210705</v>
      </c>
      <c r="F180" s="4">
        <v>20210705</v>
      </c>
      <c r="G180" s="4">
        <v>20240705</v>
      </c>
      <c r="H180" s="4" t="s">
        <v>10700</v>
      </c>
      <c r="I180" s="4" t="s">
        <v>14284</v>
      </c>
      <c r="J180" s="4" t="s">
        <v>5576</v>
      </c>
    </row>
    <row r="181" spans="1:10" hidden="1">
      <c r="A181" s="4">
        <v>2.0210722223000602E+17</v>
      </c>
      <c r="B181" s="4">
        <v>5566900140</v>
      </c>
      <c r="C181" s="4" t="s">
        <v>14283</v>
      </c>
      <c r="D181" s="4">
        <v>22223</v>
      </c>
      <c r="E181" s="4">
        <v>20210705</v>
      </c>
      <c r="F181" s="4">
        <v>20210705</v>
      </c>
      <c r="G181" s="4">
        <v>20240210</v>
      </c>
      <c r="H181" s="4" t="s">
        <v>14282</v>
      </c>
      <c r="J181" s="4" t="s">
        <v>1618</v>
      </c>
    </row>
    <row r="182" spans="1:10">
      <c r="A182" s="4">
        <v>2.0210518119000301E+17</v>
      </c>
      <c r="B182" s="4">
        <v>7978200212</v>
      </c>
      <c r="C182" s="4" t="s">
        <v>8671</v>
      </c>
      <c r="D182" s="4">
        <v>18119</v>
      </c>
      <c r="E182" s="4">
        <v>20210510</v>
      </c>
      <c r="F182" s="4">
        <v>20210510</v>
      </c>
      <c r="G182" s="4">
        <v>20240510</v>
      </c>
      <c r="H182" s="4" t="s">
        <v>8670</v>
      </c>
      <c r="J182" s="4" t="s">
        <v>707</v>
      </c>
    </row>
    <row r="183" spans="1:10" hidden="1">
      <c r="A183" s="4">
        <v>2.0210729294000602E+17</v>
      </c>
      <c r="B183" s="4">
        <v>5264500124</v>
      </c>
      <c r="C183" s="4" t="s">
        <v>14278</v>
      </c>
      <c r="D183" s="4">
        <v>29294</v>
      </c>
      <c r="E183" s="4">
        <v>20210705</v>
      </c>
      <c r="F183" s="4">
        <v>20210705</v>
      </c>
      <c r="G183" s="4">
        <v>20230609</v>
      </c>
      <c r="H183" s="4" t="s">
        <v>14277</v>
      </c>
      <c r="J183" s="4" t="s">
        <v>1848</v>
      </c>
    </row>
    <row r="184" spans="1:10" hidden="1">
      <c r="A184" s="4">
        <v>2.0210773909000602E+17</v>
      </c>
      <c r="B184" s="4">
        <v>3808100865</v>
      </c>
      <c r="C184" s="4" t="s">
        <v>14276</v>
      </c>
      <c r="D184" s="4">
        <v>73909</v>
      </c>
      <c r="E184" s="4">
        <v>20210705</v>
      </c>
      <c r="F184" s="4">
        <v>20210705</v>
      </c>
      <c r="G184" s="4">
        <v>20240705</v>
      </c>
      <c r="H184" s="4" t="s">
        <v>14275</v>
      </c>
      <c r="I184" s="4" t="s">
        <v>185</v>
      </c>
      <c r="J184" s="4" t="s">
        <v>293</v>
      </c>
    </row>
    <row r="185" spans="1:10" hidden="1">
      <c r="A185" s="4">
        <v>2.0210720202000602E+17</v>
      </c>
      <c r="B185" s="4">
        <v>4120796334</v>
      </c>
      <c r="C185" s="4" t="s">
        <v>14274</v>
      </c>
      <c r="D185" s="4">
        <v>20202</v>
      </c>
      <c r="E185" s="4">
        <v>20210705</v>
      </c>
      <c r="F185" s="4">
        <v>20210705</v>
      </c>
      <c r="G185" s="4">
        <v>20220111</v>
      </c>
      <c r="H185" s="4" t="s">
        <v>14273</v>
      </c>
      <c r="I185" s="4" t="s">
        <v>149</v>
      </c>
      <c r="J185" s="4" t="s">
        <v>224</v>
      </c>
    </row>
    <row r="186" spans="1:10" hidden="1">
      <c r="A186" s="4">
        <v>2.0210747911000602E+17</v>
      </c>
      <c r="B186" s="4">
        <v>2474800580</v>
      </c>
      <c r="C186" s="4" t="s">
        <v>14518</v>
      </c>
      <c r="D186" s="4">
        <v>47911</v>
      </c>
      <c r="E186" s="4">
        <v>20210706</v>
      </c>
      <c r="F186" s="4">
        <v>20210706</v>
      </c>
      <c r="G186" s="4">
        <v>20240706</v>
      </c>
      <c r="H186" s="4" t="s">
        <v>14517</v>
      </c>
      <c r="I186" s="4" t="s">
        <v>6226</v>
      </c>
      <c r="J186" s="4" t="s">
        <v>440</v>
      </c>
    </row>
    <row r="187" spans="1:10" hidden="1">
      <c r="A187" s="4">
        <v>2.0210713229000602E+17</v>
      </c>
      <c r="B187" s="4">
        <v>6040193249</v>
      </c>
      <c r="C187" s="4" t="s">
        <v>14269</v>
      </c>
      <c r="D187" s="4">
        <v>13229</v>
      </c>
      <c r="E187" s="4">
        <v>20210705</v>
      </c>
      <c r="F187" s="4">
        <v>20210705</v>
      </c>
      <c r="G187" s="4">
        <v>20211215</v>
      </c>
      <c r="H187" s="4" t="s">
        <v>14270</v>
      </c>
      <c r="I187" s="4" t="s">
        <v>14269</v>
      </c>
      <c r="J187" s="4" t="s">
        <v>115</v>
      </c>
    </row>
    <row r="188" spans="1:10" hidden="1">
      <c r="A188" s="4">
        <v>2.0210772129000602E+17</v>
      </c>
      <c r="B188" s="4">
        <v>8328801802</v>
      </c>
      <c r="C188" s="4" t="s">
        <v>14268</v>
      </c>
      <c r="D188" s="4">
        <v>72129</v>
      </c>
      <c r="E188" s="4">
        <v>20210705</v>
      </c>
      <c r="F188" s="4">
        <v>20210705</v>
      </c>
      <c r="G188" s="4">
        <v>20240705</v>
      </c>
      <c r="H188" s="4" t="s">
        <v>5178</v>
      </c>
      <c r="J188" s="4" t="s">
        <v>1679</v>
      </c>
    </row>
    <row r="189" spans="1:10" hidden="1">
      <c r="A189" s="4">
        <v>2.0210746521000602E+17</v>
      </c>
      <c r="B189" s="4">
        <v>3371100970</v>
      </c>
      <c r="C189" s="4" t="s">
        <v>14267</v>
      </c>
      <c r="D189" s="4">
        <v>46521</v>
      </c>
      <c r="E189" s="4">
        <v>20210705</v>
      </c>
      <c r="F189" s="4">
        <v>20210705</v>
      </c>
      <c r="G189" s="4">
        <v>20240705</v>
      </c>
      <c r="H189" s="4" t="s">
        <v>14266</v>
      </c>
      <c r="I189" s="4" t="s">
        <v>14265</v>
      </c>
      <c r="J189" s="4" t="s">
        <v>6178</v>
      </c>
    </row>
    <row r="190" spans="1:10" hidden="1">
      <c r="A190" s="4">
        <v>2.0210710220000602E+17</v>
      </c>
      <c r="B190" s="4">
        <v>2527200345</v>
      </c>
      <c r="C190" s="4" t="s">
        <v>14264</v>
      </c>
      <c r="D190" s="4">
        <v>10220</v>
      </c>
      <c r="E190" s="4">
        <v>20210705</v>
      </c>
      <c r="F190" s="4">
        <v>20210705</v>
      </c>
      <c r="G190" s="4">
        <v>20240705</v>
      </c>
      <c r="H190" s="4" t="s">
        <v>14263</v>
      </c>
      <c r="J190" s="4" t="s">
        <v>14262</v>
      </c>
    </row>
    <row r="191" spans="1:10" hidden="1">
      <c r="A191" s="4">
        <v>2.0210726299000602E+17</v>
      </c>
      <c r="B191" s="4">
        <v>4378100287</v>
      </c>
      <c r="C191" s="4" t="s">
        <v>14261</v>
      </c>
      <c r="D191" s="4">
        <v>26299</v>
      </c>
      <c r="E191" s="4">
        <v>20210705</v>
      </c>
      <c r="F191" s="4">
        <v>20210705</v>
      </c>
      <c r="G191" s="4">
        <v>20221204</v>
      </c>
      <c r="H191" s="4" t="s">
        <v>14260</v>
      </c>
      <c r="I191" s="4" t="s">
        <v>14259</v>
      </c>
      <c r="J191" s="4" t="s">
        <v>339</v>
      </c>
    </row>
    <row r="192" spans="1:10" hidden="1">
      <c r="A192" s="4">
        <v>2.0210764209000602E+17</v>
      </c>
      <c r="B192" s="4">
        <v>7158600407</v>
      </c>
      <c r="C192" s="4" t="s">
        <v>14258</v>
      </c>
      <c r="D192" s="4">
        <v>64209</v>
      </c>
      <c r="E192" s="4">
        <v>20210705</v>
      </c>
      <c r="F192" s="4">
        <v>20210705</v>
      </c>
      <c r="G192" s="4">
        <v>20230531</v>
      </c>
      <c r="H192" s="4" t="s">
        <v>14257</v>
      </c>
      <c r="I192" s="4" t="s">
        <v>1156</v>
      </c>
      <c r="J192" s="4" t="s">
        <v>14256</v>
      </c>
    </row>
    <row r="193" spans="1:10" hidden="1">
      <c r="A193" s="4">
        <v>2.0210742202000602E+17</v>
      </c>
      <c r="B193" s="4">
        <v>2188802058</v>
      </c>
      <c r="C193" s="4" t="s">
        <v>14255</v>
      </c>
      <c r="D193" s="4">
        <v>42202</v>
      </c>
      <c r="E193" s="4">
        <v>20210705</v>
      </c>
      <c r="F193" s="4">
        <v>20210705</v>
      </c>
      <c r="G193" s="4">
        <v>20240705</v>
      </c>
      <c r="H193" s="4" t="s">
        <v>14254</v>
      </c>
      <c r="J193" s="4" t="s">
        <v>447</v>
      </c>
    </row>
    <row r="194" spans="1:10" hidden="1">
      <c r="A194" s="4">
        <v>2.0210746315000499E+17</v>
      </c>
      <c r="B194" s="4">
        <v>5568701707</v>
      </c>
      <c r="C194" s="4" t="s">
        <v>14253</v>
      </c>
      <c r="D194" s="4">
        <v>46315</v>
      </c>
      <c r="E194" s="4">
        <v>20210702</v>
      </c>
      <c r="F194" s="4">
        <v>20210702</v>
      </c>
      <c r="G194" s="4">
        <v>20240702</v>
      </c>
      <c r="H194" s="4" t="s">
        <v>14252</v>
      </c>
      <c r="I194" s="4" t="s">
        <v>14251</v>
      </c>
      <c r="J194" s="4" t="s">
        <v>9968</v>
      </c>
    </row>
    <row r="195" spans="1:10" hidden="1">
      <c r="A195" s="4">
        <v>2.0210729199000499E+17</v>
      </c>
      <c r="B195" s="4">
        <v>2408101678</v>
      </c>
      <c r="C195" s="4" t="s">
        <v>14250</v>
      </c>
      <c r="D195" s="4">
        <v>29199</v>
      </c>
      <c r="E195" s="4">
        <v>20210702</v>
      </c>
      <c r="F195" s="4">
        <v>20210702</v>
      </c>
      <c r="G195" s="4">
        <v>20240702</v>
      </c>
      <c r="H195" s="4" t="s">
        <v>660</v>
      </c>
      <c r="I195" s="4" t="s">
        <v>14249</v>
      </c>
      <c r="J195" s="4" t="s">
        <v>166</v>
      </c>
    </row>
    <row r="196" spans="1:10" hidden="1">
      <c r="A196" s="4">
        <v>2.0210728202000499E+17</v>
      </c>
      <c r="B196" s="4">
        <v>1478701293</v>
      </c>
      <c r="C196" s="4" t="s">
        <v>14248</v>
      </c>
      <c r="D196" s="4">
        <v>28202</v>
      </c>
      <c r="E196" s="4">
        <v>20210702</v>
      </c>
      <c r="F196" s="4">
        <v>20210702</v>
      </c>
      <c r="G196" s="4">
        <v>20240702</v>
      </c>
      <c r="H196" s="4" t="s">
        <v>14247</v>
      </c>
      <c r="I196" s="4" t="s">
        <v>14246</v>
      </c>
      <c r="J196" s="4" t="s">
        <v>544</v>
      </c>
    </row>
    <row r="197" spans="1:10" hidden="1">
      <c r="A197" s="4">
        <v>2.0210758222000499E+17</v>
      </c>
      <c r="B197" s="4">
        <v>1758102242</v>
      </c>
      <c r="C197" s="4" t="s">
        <v>14245</v>
      </c>
      <c r="D197" s="4">
        <v>58222</v>
      </c>
      <c r="E197" s="4">
        <v>20210702</v>
      </c>
      <c r="F197" s="4">
        <v>20210702</v>
      </c>
      <c r="G197" s="4">
        <v>20240702</v>
      </c>
      <c r="H197" s="4" t="s">
        <v>14244</v>
      </c>
      <c r="I197" s="4" t="s">
        <v>14243</v>
      </c>
      <c r="J197" s="4" t="s">
        <v>94</v>
      </c>
    </row>
    <row r="198" spans="1:10" hidden="1">
      <c r="A198" s="4">
        <v>2.0210785709000499E+17</v>
      </c>
      <c r="B198" s="4">
        <v>5278101371</v>
      </c>
      <c r="C198" s="4" t="s">
        <v>14242</v>
      </c>
      <c r="D198" s="4">
        <v>85709</v>
      </c>
      <c r="E198" s="4">
        <v>20210702</v>
      </c>
      <c r="F198" s="4">
        <v>20210702</v>
      </c>
      <c r="G198" s="4">
        <v>20240702</v>
      </c>
      <c r="H198" s="4" t="s">
        <v>2326</v>
      </c>
      <c r="I198" s="4" t="s">
        <v>14241</v>
      </c>
      <c r="J198" s="4" t="s">
        <v>141</v>
      </c>
    </row>
    <row r="199" spans="1:10" hidden="1">
      <c r="A199" s="4">
        <v>2.0210758222000499E+17</v>
      </c>
      <c r="B199" s="4">
        <v>3348102176</v>
      </c>
      <c r="C199" s="4" t="s">
        <v>14240</v>
      </c>
      <c r="D199" s="4">
        <v>58222</v>
      </c>
      <c r="E199" s="4">
        <v>20210702</v>
      </c>
      <c r="F199" s="4">
        <v>20210702</v>
      </c>
      <c r="G199" s="4">
        <v>20240702</v>
      </c>
      <c r="H199" s="4" t="s">
        <v>12101</v>
      </c>
      <c r="I199" s="4" t="s">
        <v>14239</v>
      </c>
      <c r="J199" s="4" t="s">
        <v>94</v>
      </c>
    </row>
    <row r="200" spans="1:10" hidden="1">
      <c r="A200" s="4">
        <v>2.0210742321000499E+17</v>
      </c>
      <c r="B200" s="4">
        <v>8318101324</v>
      </c>
      <c r="C200" s="4" t="s">
        <v>14238</v>
      </c>
      <c r="D200" s="4">
        <v>42321</v>
      </c>
      <c r="E200" s="4">
        <v>20210702</v>
      </c>
      <c r="F200" s="4">
        <v>20210702</v>
      </c>
      <c r="G200" s="4">
        <v>20240702</v>
      </c>
      <c r="H200" s="4" t="s">
        <v>14237</v>
      </c>
      <c r="I200" s="4" t="s">
        <v>14236</v>
      </c>
      <c r="J200" s="4" t="s">
        <v>698</v>
      </c>
    </row>
    <row r="201" spans="1:10" hidden="1">
      <c r="A201" s="4">
        <v>2.0210746739000499E+17</v>
      </c>
      <c r="B201" s="4">
        <v>3208800843</v>
      </c>
      <c r="C201" s="4" t="s">
        <v>14235</v>
      </c>
      <c r="D201" s="4">
        <v>46739</v>
      </c>
      <c r="E201" s="4">
        <v>20210702</v>
      </c>
      <c r="F201" s="4">
        <v>20210702</v>
      </c>
      <c r="G201" s="4">
        <v>20240702</v>
      </c>
      <c r="H201" s="4" t="s">
        <v>4687</v>
      </c>
      <c r="I201" s="4" t="s">
        <v>4132</v>
      </c>
      <c r="J201" s="4" t="s">
        <v>2551</v>
      </c>
    </row>
    <row r="202" spans="1:10" hidden="1">
      <c r="A202" s="4">
        <v>2.0210723999000499E+17</v>
      </c>
      <c r="B202" s="4">
        <v>2448801209</v>
      </c>
      <c r="C202" s="4" t="s">
        <v>14234</v>
      </c>
      <c r="D202" s="4">
        <v>23999</v>
      </c>
      <c r="E202" s="4">
        <v>20210702</v>
      </c>
      <c r="F202" s="4">
        <v>20210702</v>
      </c>
      <c r="G202" s="4">
        <v>20240702</v>
      </c>
      <c r="H202" s="4" t="s">
        <v>14233</v>
      </c>
      <c r="I202" s="4" t="s">
        <v>1156</v>
      </c>
      <c r="J202" s="4" t="s">
        <v>1719</v>
      </c>
    </row>
    <row r="203" spans="1:10" hidden="1">
      <c r="A203" s="4">
        <v>2.0210746799000499E+17</v>
      </c>
      <c r="B203" s="4">
        <v>7258800126</v>
      </c>
      <c r="C203" s="4" t="s">
        <v>14231</v>
      </c>
      <c r="D203" s="4">
        <v>46799</v>
      </c>
      <c r="E203" s="4">
        <v>20210702</v>
      </c>
      <c r="F203" s="4">
        <v>20210702</v>
      </c>
      <c r="G203" s="4">
        <v>20220618</v>
      </c>
      <c r="H203" s="4" t="s">
        <v>14232</v>
      </c>
      <c r="I203" s="4" t="s">
        <v>14231</v>
      </c>
      <c r="J203" s="4" t="s">
        <v>2181</v>
      </c>
    </row>
    <row r="204" spans="1:10" hidden="1">
      <c r="A204" s="4">
        <v>2.0210742499000499E+17</v>
      </c>
      <c r="B204" s="4">
        <v>3048132456</v>
      </c>
      <c r="C204" s="4" t="s">
        <v>14230</v>
      </c>
      <c r="D204" s="4">
        <v>42499</v>
      </c>
      <c r="E204" s="4">
        <v>20210702</v>
      </c>
      <c r="F204" s="4">
        <v>20210702</v>
      </c>
      <c r="G204" s="4">
        <v>20240702</v>
      </c>
      <c r="H204" s="4" t="s">
        <v>14229</v>
      </c>
      <c r="I204" s="4" t="s">
        <v>4706</v>
      </c>
      <c r="J204" s="4" t="s">
        <v>505</v>
      </c>
    </row>
    <row r="205" spans="1:10" hidden="1">
      <c r="A205" s="4">
        <v>2.0210773203000499E+17</v>
      </c>
      <c r="B205" s="4">
        <v>5458601582</v>
      </c>
      <c r="C205" s="4" t="s">
        <v>14228</v>
      </c>
      <c r="D205" s="4">
        <v>73203</v>
      </c>
      <c r="E205" s="4">
        <v>20210702</v>
      </c>
      <c r="F205" s="4">
        <v>20210702</v>
      </c>
      <c r="G205" s="4">
        <v>20240702</v>
      </c>
      <c r="H205" s="4" t="s">
        <v>14227</v>
      </c>
      <c r="I205" s="4" t="s">
        <v>14226</v>
      </c>
      <c r="J205" s="4" t="s">
        <v>260</v>
      </c>
    </row>
    <row r="206" spans="1:10" hidden="1">
      <c r="A206" s="4">
        <v>2.0210775992000499E+17</v>
      </c>
      <c r="B206" s="4">
        <v>7018101533</v>
      </c>
      <c r="C206" s="4" t="s">
        <v>14225</v>
      </c>
      <c r="D206" s="4">
        <v>75992</v>
      </c>
      <c r="E206" s="4">
        <v>20210702</v>
      </c>
      <c r="F206" s="4">
        <v>20210702</v>
      </c>
      <c r="G206" s="4">
        <v>20240702</v>
      </c>
      <c r="H206" s="4" t="s">
        <v>14224</v>
      </c>
      <c r="I206" s="4" t="s">
        <v>14223</v>
      </c>
      <c r="J206" s="4" t="s">
        <v>111</v>
      </c>
    </row>
    <row r="207" spans="1:10" hidden="1">
      <c r="A207" s="4">
        <v>2.0210707290000499E+17</v>
      </c>
      <c r="B207" s="4">
        <v>5838801157</v>
      </c>
      <c r="C207" s="4" t="s">
        <v>14222</v>
      </c>
      <c r="D207" s="4">
        <v>7290</v>
      </c>
      <c r="E207" s="4">
        <v>20210702</v>
      </c>
      <c r="F207" s="4">
        <v>20210702</v>
      </c>
      <c r="G207" s="4">
        <v>20240702</v>
      </c>
      <c r="H207" s="4" t="s">
        <v>14221</v>
      </c>
      <c r="J207" s="4" t="s">
        <v>8536</v>
      </c>
    </row>
    <row r="208" spans="1:10" hidden="1">
      <c r="A208" s="4">
        <v>2.0210758222000602E+17</v>
      </c>
      <c r="B208" s="4">
        <v>3118600715</v>
      </c>
      <c r="C208" s="4" t="s">
        <v>14220</v>
      </c>
      <c r="D208" s="4">
        <v>58222</v>
      </c>
      <c r="E208" s="4">
        <v>20210702</v>
      </c>
      <c r="F208" s="4">
        <v>20210702</v>
      </c>
      <c r="G208" s="4">
        <v>20231128</v>
      </c>
      <c r="H208" s="4" t="s">
        <v>14219</v>
      </c>
      <c r="I208" s="4" t="s">
        <v>14218</v>
      </c>
      <c r="J208" s="4" t="s">
        <v>94</v>
      </c>
    </row>
    <row r="209" spans="1:10" hidden="1">
      <c r="A209" s="4">
        <v>2.0210716102000499E+17</v>
      </c>
      <c r="B209" s="4">
        <v>8588801920</v>
      </c>
      <c r="C209" s="4" t="s">
        <v>14217</v>
      </c>
      <c r="D209" s="4">
        <v>16102</v>
      </c>
      <c r="E209" s="4">
        <v>20210702</v>
      </c>
      <c r="F209" s="4">
        <v>20210702</v>
      </c>
      <c r="G209" s="4">
        <v>20240702</v>
      </c>
      <c r="H209" s="4" t="s">
        <v>14216</v>
      </c>
      <c r="I209" s="4" t="s">
        <v>14215</v>
      </c>
      <c r="J209" s="4" t="s">
        <v>451</v>
      </c>
    </row>
    <row r="210" spans="1:10" hidden="1">
      <c r="A210" s="4">
        <v>2.0210727216000499E+17</v>
      </c>
      <c r="B210" s="4">
        <v>5718701249</v>
      </c>
      <c r="C210" s="4" t="s">
        <v>14214</v>
      </c>
      <c r="D210" s="4">
        <v>27216</v>
      </c>
      <c r="E210" s="4">
        <v>20210702</v>
      </c>
      <c r="F210" s="4">
        <v>20210702</v>
      </c>
      <c r="G210" s="4">
        <v>20240702</v>
      </c>
      <c r="H210" s="4" t="s">
        <v>4286</v>
      </c>
      <c r="I210" s="4" t="s">
        <v>14213</v>
      </c>
      <c r="J210" s="4" t="s">
        <v>527</v>
      </c>
    </row>
    <row r="211" spans="1:10" hidden="1">
      <c r="A211" s="4">
        <v>2.0210742500000499E+17</v>
      </c>
      <c r="B211" s="4">
        <v>7838601660</v>
      </c>
      <c r="C211" s="4" t="s">
        <v>14212</v>
      </c>
      <c r="D211" s="4">
        <v>42500</v>
      </c>
      <c r="E211" s="4">
        <v>20210702</v>
      </c>
      <c r="F211" s="4">
        <v>20210702</v>
      </c>
      <c r="G211" s="4">
        <v>20240702</v>
      </c>
      <c r="H211" s="4" t="s">
        <v>10395</v>
      </c>
      <c r="I211" s="4" t="s">
        <v>14211</v>
      </c>
      <c r="J211" s="4" t="s">
        <v>740</v>
      </c>
    </row>
    <row r="212" spans="1:10" hidden="1">
      <c r="A212" s="4">
        <v>2.0210774211000499E+17</v>
      </c>
      <c r="B212" s="4">
        <v>1728600615</v>
      </c>
      <c r="C212" s="4" t="s">
        <v>14210</v>
      </c>
      <c r="D212" s="4">
        <v>74211</v>
      </c>
      <c r="E212" s="4">
        <v>20210702</v>
      </c>
      <c r="F212" s="4">
        <v>20210702</v>
      </c>
      <c r="G212" s="4">
        <v>20231103</v>
      </c>
      <c r="H212" s="4" t="s">
        <v>14209</v>
      </c>
      <c r="J212" s="4" t="s">
        <v>5576</v>
      </c>
    </row>
    <row r="213" spans="1:10" hidden="1">
      <c r="A213" s="4">
        <v>2.0210762021000499E+17</v>
      </c>
      <c r="B213" s="4">
        <v>6448601254</v>
      </c>
      <c r="C213" s="4" t="s">
        <v>14208</v>
      </c>
      <c r="D213" s="4">
        <v>62021</v>
      </c>
      <c r="E213" s="4">
        <v>20210702</v>
      </c>
      <c r="F213" s="4">
        <v>20210702</v>
      </c>
      <c r="G213" s="4">
        <v>20240702</v>
      </c>
      <c r="H213" s="4" t="s">
        <v>14207</v>
      </c>
      <c r="I213" s="4" t="s">
        <v>1633</v>
      </c>
      <c r="J213" s="4" t="s">
        <v>1505</v>
      </c>
    </row>
    <row r="214" spans="1:10" hidden="1">
      <c r="A214" s="4">
        <v>2.0210773909000499E+17</v>
      </c>
      <c r="B214" s="4">
        <v>7848701506</v>
      </c>
      <c r="C214" s="4" t="s">
        <v>14206</v>
      </c>
      <c r="D214" s="4">
        <v>73909</v>
      </c>
      <c r="E214" s="4">
        <v>20210702</v>
      </c>
      <c r="F214" s="4">
        <v>20210702</v>
      </c>
      <c r="G214" s="4">
        <v>20240702</v>
      </c>
      <c r="H214" s="4" t="s">
        <v>14205</v>
      </c>
      <c r="I214" s="4">
        <v>2</v>
      </c>
      <c r="J214" s="4" t="s">
        <v>293</v>
      </c>
    </row>
    <row r="215" spans="1:10" hidden="1">
      <c r="A215" s="4">
        <v>2.0210723993000602E+17</v>
      </c>
      <c r="B215" s="4">
        <v>7258101752</v>
      </c>
      <c r="C215" s="4" t="s">
        <v>14472</v>
      </c>
      <c r="D215" s="4">
        <v>23993</v>
      </c>
      <c r="E215" s="4">
        <v>20210706</v>
      </c>
      <c r="F215" s="4">
        <v>20210706</v>
      </c>
      <c r="G215" s="4">
        <v>20240706</v>
      </c>
      <c r="H215" s="4" t="s">
        <v>13693</v>
      </c>
      <c r="I215" s="4" t="s">
        <v>14471</v>
      </c>
      <c r="J215" s="4" t="s">
        <v>540</v>
      </c>
    </row>
    <row r="216" spans="1:10" hidden="1">
      <c r="A216" s="4">
        <v>2.0210758222000499E+17</v>
      </c>
      <c r="B216" s="4">
        <v>8798701726</v>
      </c>
      <c r="C216" s="4" t="s">
        <v>14204</v>
      </c>
      <c r="D216" s="4">
        <v>58222</v>
      </c>
      <c r="E216" s="4">
        <v>20210702</v>
      </c>
      <c r="F216" s="4">
        <v>20210702</v>
      </c>
      <c r="G216" s="4">
        <v>20240702</v>
      </c>
      <c r="H216" s="4" t="s">
        <v>14203</v>
      </c>
      <c r="I216" s="4" t="s">
        <v>175</v>
      </c>
      <c r="J216" s="4" t="s">
        <v>94</v>
      </c>
    </row>
    <row r="217" spans="1:10" hidden="1">
      <c r="A217" s="4">
        <v>2.0210746592000499E+17</v>
      </c>
      <c r="B217" s="4">
        <v>7628601950</v>
      </c>
      <c r="C217" s="4" t="s">
        <v>14202</v>
      </c>
      <c r="D217" s="4">
        <v>46592</v>
      </c>
      <c r="E217" s="4">
        <v>20210702</v>
      </c>
      <c r="F217" s="4">
        <v>20210702</v>
      </c>
      <c r="G217" s="4">
        <v>20240702</v>
      </c>
      <c r="H217" s="4" t="s">
        <v>14201</v>
      </c>
      <c r="J217" s="4" t="s">
        <v>148</v>
      </c>
    </row>
    <row r="218" spans="1:10" hidden="1">
      <c r="A218" s="4">
        <v>2.0210729171000499E+17</v>
      </c>
      <c r="B218" s="4">
        <v>7958801537</v>
      </c>
      <c r="C218" s="4" t="s">
        <v>14200</v>
      </c>
      <c r="D218" s="4">
        <v>29171</v>
      </c>
      <c r="E218" s="4">
        <v>20210702</v>
      </c>
      <c r="F218" s="4">
        <v>20210702</v>
      </c>
      <c r="G218" s="4">
        <v>20240702</v>
      </c>
      <c r="H218" s="4" t="s">
        <v>1886</v>
      </c>
      <c r="I218" s="4" t="s">
        <v>14199</v>
      </c>
      <c r="J218" s="4" t="s">
        <v>2082</v>
      </c>
    </row>
    <row r="219" spans="1:10" hidden="1">
      <c r="A219" s="4">
        <v>2.0210729292000499E+17</v>
      </c>
      <c r="B219" s="4">
        <v>2098801905</v>
      </c>
      <c r="C219" s="4" t="s">
        <v>14198</v>
      </c>
      <c r="D219" s="4">
        <v>29292</v>
      </c>
      <c r="E219" s="4">
        <v>20210702</v>
      </c>
      <c r="F219" s="4">
        <v>20210702</v>
      </c>
      <c r="G219" s="4">
        <v>20240702</v>
      </c>
      <c r="H219" s="4" t="s">
        <v>1096</v>
      </c>
      <c r="I219" s="4" t="s">
        <v>14197</v>
      </c>
      <c r="J219" s="4" t="s">
        <v>6927</v>
      </c>
    </row>
    <row r="220" spans="1:10" hidden="1">
      <c r="A220" s="4">
        <v>2.0210759112000499E+17</v>
      </c>
      <c r="B220" s="4">
        <v>7178701961</v>
      </c>
      <c r="C220" s="4" t="s">
        <v>14196</v>
      </c>
      <c r="D220" s="4">
        <v>59112</v>
      </c>
      <c r="E220" s="4">
        <v>20210702</v>
      </c>
      <c r="F220" s="4">
        <v>20210702</v>
      </c>
      <c r="G220" s="4">
        <v>20240702</v>
      </c>
      <c r="H220" s="4" t="s">
        <v>10820</v>
      </c>
      <c r="I220" s="4" t="s">
        <v>185</v>
      </c>
      <c r="J220" s="4" t="s">
        <v>6095</v>
      </c>
    </row>
    <row r="221" spans="1:10" hidden="1">
      <c r="A221" s="4">
        <v>2.0210758222000499E+17</v>
      </c>
      <c r="B221" s="4">
        <v>5068191901</v>
      </c>
      <c r="C221" s="4" t="s">
        <v>14195</v>
      </c>
      <c r="D221" s="4">
        <v>58222</v>
      </c>
      <c r="E221" s="4">
        <v>20210702</v>
      </c>
      <c r="F221" s="4">
        <v>20210702</v>
      </c>
      <c r="G221" s="4">
        <v>20220210</v>
      </c>
      <c r="H221" s="4" t="s">
        <v>3831</v>
      </c>
      <c r="I221" s="4" t="s">
        <v>14194</v>
      </c>
      <c r="J221" s="4" t="s">
        <v>94</v>
      </c>
    </row>
    <row r="222" spans="1:10" hidden="1">
      <c r="A222" s="4">
        <v>2.0210729172000602E+17</v>
      </c>
      <c r="B222" s="4">
        <v>5478801073</v>
      </c>
      <c r="C222" s="4" t="s">
        <v>14193</v>
      </c>
      <c r="D222" s="4">
        <v>29172</v>
      </c>
      <c r="E222" s="4">
        <v>20210702</v>
      </c>
      <c r="F222" s="4">
        <v>20210702</v>
      </c>
      <c r="G222" s="4">
        <v>20240702</v>
      </c>
      <c r="H222" s="4" t="s">
        <v>14192</v>
      </c>
      <c r="I222" s="4" t="s">
        <v>14191</v>
      </c>
      <c r="J222" s="4" t="s">
        <v>1204</v>
      </c>
    </row>
    <row r="223" spans="1:10" hidden="1">
      <c r="A223" s="4">
        <v>2.0210746592000499E+17</v>
      </c>
      <c r="B223" s="4">
        <v>3968601132</v>
      </c>
      <c r="C223" s="4" t="s">
        <v>14190</v>
      </c>
      <c r="D223" s="4">
        <v>46592</v>
      </c>
      <c r="E223" s="4">
        <v>20210702</v>
      </c>
      <c r="F223" s="4">
        <v>20210702</v>
      </c>
      <c r="G223" s="4">
        <v>20240702</v>
      </c>
      <c r="H223" s="4" t="s">
        <v>10581</v>
      </c>
      <c r="J223" s="4" t="s">
        <v>148</v>
      </c>
    </row>
    <row r="224" spans="1:10" hidden="1">
      <c r="A224" s="4">
        <v>2.0210729271000499E+17</v>
      </c>
      <c r="B224" s="4">
        <v>8298800239</v>
      </c>
      <c r="C224" s="4" t="s">
        <v>14189</v>
      </c>
      <c r="D224" s="4">
        <v>29271</v>
      </c>
      <c r="E224" s="4">
        <v>20210702</v>
      </c>
      <c r="F224" s="4">
        <v>20210702</v>
      </c>
      <c r="G224" s="4">
        <v>20220924</v>
      </c>
      <c r="H224" s="4" t="s">
        <v>14188</v>
      </c>
      <c r="I224" s="4" t="s">
        <v>14187</v>
      </c>
      <c r="J224" s="4" t="s">
        <v>285</v>
      </c>
    </row>
    <row r="225" spans="1:10" hidden="1">
      <c r="A225" s="4">
        <v>2.0210710712000499E+17</v>
      </c>
      <c r="B225" s="4">
        <v>4888800644</v>
      </c>
      <c r="C225" s="4" t="s">
        <v>14185</v>
      </c>
      <c r="D225" s="4">
        <v>10712</v>
      </c>
      <c r="E225" s="4">
        <v>20210702</v>
      </c>
      <c r="F225" s="4">
        <v>20210702</v>
      </c>
      <c r="G225" s="4">
        <v>20240702</v>
      </c>
      <c r="H225" s="4" t="s">
        <v>14186</v>
      </c>
      <c r="I225" s="4" t="s">
        <v>14185</v>
      </c>
      <c r="J225" s="4" t="s">
        <v>3047</v>
      </c>
    </row>
    <row r="226" spans="1:10" hidden="1">
      <c r="A226" s="4">
        <v>2.0210724133000602E+17</v>
      </c>
      <c r="B226" s="4">
        <v>5508801249</v>
      </c>
      <c r="C226" s="4" t="s">
        <v>14441</v>
      </c>
      <c r="D226" s="4">
        <v>24133</v>
      </c>
      <c r="E226" s="4">
        <v>20210705</v>
      </c>
      <c r="F226" s="4">
        <v>20210705</v>
      </c>
      <c r="G226" s="4">
        <v>20240705</v>
      </c>
      <c r="H226" s="4" t="s">
        <v>12093</v>
      </c>
      <c r="I226" s="4" t="s">
        <v>14440</v>
      </c>
      <c r="J226" s="4" t="s">
        <v>5730</v>
      </c>
    </row>
    <row r="227" spans="1:10" hidden="1">
      <c r="A227" s="4">
        <v>2.0210728111000499E+17</v>
      </c>
      <c r="B227" s="4">
        <v>2238119358</v>
      </c>
      <c r="C227" s="4" t="s">
        <v>14182</v>
      </c>
      <c r="D227" s="4">
        <v>28111</v>
      </c>
      <c r="E227" s="4">
        <v>20210702</v>
      </c>
      <c r="F227" s="4">
        <v>20210702</v>
      </c>
      <c r="G227" s="4">
        <v>20240702</v>
      </c>
      <c r="H227" s="4" t="s">
        <v>14181</v>
      </c>
      <c r="J227" s="4" t="s">
        <v>1614</v>
      </c>
    </row>
    <row r="228" spans="1:10" hidden="1">
      <c r="A228" s="4">
        <v>2.0210725119000499E+17</v>
      </c>
      <c r="B228" s="4">
        <v>8578701726</v>
      </c>
      <c r="C228" s="4" t="s">
        <v>14180</v>
      </c>
      <c r="D228" s="4">
        <v>25119</v>
      </c>
      <c r="E228" s="4">
        <v>20210702</v>
      </c>
      <c r="F228" s="4">
        <v>20210702</v>
      </c>
      <c r="G228" s="4">
        <v>20240702</v>
      </c>
      <c r="H228" s="4" t="s">
        <v>14179</v>
      </c>
      <c r="J228" s="4" t="s">
        <v>679</v>
      </c>
    </row>
    <row r="229" spans="1:10" hidden="1">
      <c r="A229" s="4">
        <v>2.0210758222000499E+17</v>
      </c>
      <c r="B229" s="4">
        <v>2458601756</v>
      </c>
      <c r="C229" s="4" t="s">
        <v>14178</v>
      </c>
      <c r="D229" s="4">
        <v>58222</v>
      </c>
      <c r="E229" s="4">
        <v>20210702</v>
      </c>
      <c r="F229" s="4">
        <v>20210702</v>
      </c>
      <c r="G229" s="4">
        <v>20240702</v>
      </c>
      <c r="H229" s="4" t="s">
        <v>14177</v>
      </c>
      <c r="I229" s="4" t="s">
        <v>14176</v>
      </c>
      <c r="J229" s="4" t="s">
        <v>94</v>
      </c>
    </row>
    <row r="230" spans="1:10" hidden="1">
      <c r="A230" s="4">
        <v>2.0210726129000499E+17</v>
      </c>
      <c r="B230" s="4">
        <v>1248754273</v>
      </c>
      <c r="C230" s="4" t="s">
        <v>14175</v>
      </c>
      <c r="D230" s="4">
        <v>26129</v>
      </c>
      <c r="E230" s="4">
        <v>20210702</v>
      </c>
      <c r="F230" s="4">
        <v>20210702</v>
      </c>
      <c r="G230" s="4">
        <v>20211113</v>
      </c>
      <c r="H230" s="4" t="s">
        <v>362</v>
      </c>
      <c r="I230" s="4" t="s">
        <v>3672</v>
      </c>
      <c r="J230" s="4" t="s">
        <v>403</v>
      </c>
    </row>
    <row r="231" spans="1:10" hidden="1">
      <c r="A231" s="4">
        <v>2.0210717124000602E+17</v>
      </c>
      <c r="B231" s="4">
        <v>1618801016</v>
      </c>
      <c r="C231" s="4" t="s">
        <v>14174</v>
      </c>
      <c r="D231" s="4">
        <v>17124</v>
      </c>
      <c r="E231" s="4">
        <v>20210702</v>
      </c>
      <c r="F231" s="4">
        <v>20210702</v>
      </c>
      <c r="G231" s="4">
        <v>20240702</v>
      </c>
      <c r="H231" s="4" t="s">
        <v>14173</v>
      </c>
      <c r="I231" s="4" t="s">
        <v>14172</v>
      </c>
      <c r="J231" s="4" t="s">
        <v>13037</v>
      </c>
    </row>
    <row r="232" spans="1:10" hidden="1">
      <c r="A232" s="4">
        <v>2.0210747912000499E+17</v>
      </c>
      <c r="B232" s="4">
        <v>8598702115</v>
      </c>
      <c r="C232" s="4" t="s">
        <v>14171</v>
      </c>
      <c r="D232" s="4">
        <v>47912</v>
      </c>
      <c r="E232" s="4">
        <v>20210702</v>
      </c>
      <c r="F232" s="4">
        <v>20210702</v>
      </c>
      <c r="G232" s="4">
        <v>20240702</v>
      </c>
      <c r="H232" s="4" t="s">
        <v>14170</v>
      </c>
      <c r="I232" s="4" t="s">
        <v>14169</v>
      </c>
      <c r="J232" s="4" t="s">
        <v>78</v>
      </c>
    </row>
    <row r="233" spans="1:10" hidden="1">
      <c r="A233" s="4">
        <v>2.0210759113000499E+17</v>
      </c>
      <c r="B233" s="4">
        <v>7328600057</v>
      </c>
      <c r="C233" s="4" t="s">
        <v>14168</v>
      </c>
      <c r="D233" s="4">
        <v>59113</v>
      </c>
      <c r="E233" s="4">
        <v>20210702</v>
      </c>
      <c r="F233" s="4">
        <v>20210702</v>
      </c>
      <c r="G233" s="4">
        <v>20220323</v>
      </c>
      <c r="H233" s="4" t="s">
        <v>6066</v>
      </c>
      <c r="I233" s="4" t="s">
        <v>14167</v>
      </c>
      <c r="J233" s="4" t="s">
        <v>3651</v>
      </c>
    </row>
    <row r="234" spans="1:10" hidden="1">
      <c r="A234" s="4">
        <v>2.0210723221000602E+17</v>
      </c>
      <c r="B234" s="4">
        <v>4458601749</v>
      </c>
      <c r="C234" s="4" t="s">
        <v>14166</v>
      </c>
      <c r="D234" s="4">
        <v>23221</v>
      </c>
      <c r="E234" s="4">
        <v>20210702</v>
      </c>
      <c r="F234" s="4">
        <v>20210702</v>
      </c>
      <c r="G234" s="4">
        <v>20240702</v>
      </c>
      <c r="H234" s="4" t="s">
        <v>14165</v>
      </c>
      <c r="J234" s="4" t="s">
        <v>9020</v>
      </c>
    </row>
    <row r="235" spans="1:10" hidden="1">
      <c r="A235" s="4">
        <v>2.0210722299000499E+17</v>
      </c>
      <c r="B235" s="4">
        <v>8828101282</v>
      </c>
      <c r="C235" s="4" t="s">
        <v>14164</v>
      </c>
      <c r="D235" s="4">
        <v>22299</v>
      </c>
      <c r="E235" s="4">
        <v>20210702</v>
      </c>
      <c r="F235" s="4">
        <v>20210702</v>
      </c>
      <c r="G235" s="4">
        <v>20240702</v>
      </c>
      <c r="H235" s="4" t="s">
        <v>14163</v>
      </c>
      <c r="J235" s="4" t="s">
        <v>384</v>
      </c>
    </row>
    <row r="236" spans="1:10" hidden="1">
      <c r="A236" s="4">
        <v>2.0210714192000499E+17</v>
      </c>
      <c r="B236" s="4">
        <v>1328702077</v>
      </c>
      <c r="C236" s="4" t="s">
        <v>14162</v>
      </c>
      <c r="D236" s="4">
        <v>14192</v>
      </c>
      <c r="E236" s="4">
        <v>20210702</v>
      </c>
      <c r="F236" s="4">
        <v>20210702</v>
      </c>
      <c r="G236" s="4">
        <v>20210911</v>
      </c>
      <c r="H236" s="4" t="s">
        <v>8206</v>
      </c>
      <c r="I236" s="4" t="s">
        <v>14161</v>
      </c>
      <c r="J236" s="4" t="s">
        <v>4910</v>
      </c>
    </row>
    <row r="237" spans="1:10" hidden="1">
      <c r="A237" s="4">
        <v>2.0210746464000499E+17</v>
      </c>
      <c r="B237" s="4">
        <v>7230600411</v>
      </c>
      <c r="C237" s="4" t="s">
        <v>14160</v>
      </c>
      <c r="D237" s="4">
        <v>46464</v>
      </c>
      <c r="E237" s="4">
        <v>20210702</v>
      </c>
      <c r="F237" s="4">
        <v>20210702</v>
      </c>
      <c r="G237" s="4">
        <v>20230215</v>
      </c>
      <c r="H237" s="4" t="s">
        <v>14159</v>
      </c>
      <c r="I237" s="4" t="s">
        <v>14158</v>
      </c>
      <c r="J237" s="4" t="s">
        <v>2416</v>
      </c>
    </row>
    <row r="238" spans="1:10" hidden="1">
      <c r="A238" s="4">
        <v>2.0210771531000499E+17</v>
      </c>
      <c r="B238" s="4">
        <v>5170900627</v>
      </c>
      <c r="C238" s="4" t="s">
        <v>14157</v>
      </c>
      <c r="D238" s="4">
        <v>71531</v>
      </c>
      <c r="E238" s="4">
        <v>20210702</v>
      </c>
      <c r="F238" s="4">
        <v>20210702</v>
      </c>
      <c r="G238" s="4">
        <v>20240702</v>
      </c>
      <c r="H238" s="4" t="s">
        <v>14156</v>
      </c>
      <c r="J238" s="4" t="s">
        <v>87</v>
      </c>
    </row>
    <row r="239" spans="1:10" hidden="1">
      <c r="A239" s="4">
        <v>2.0210729171000499E+17</v>
      </c>
      <c r="B239" s="4">
        <v>1161664386</v>
      </c>
      <c r="C239" s="4" t="s">
        <v>14155</v>
      </c>
      <c r="D239" s="4">
        <v>29171</v>
      </c>
      <c r="E239" s="4">
        <v>20210702</v>
      </c>
      <c r="F239" s="4">
        <v>20210702</v>
      </c>
      <c r="G239" s="4">
        <v>20240702</v>
      </c>
      <c r="H239" s="4" t="s">
        <v>14154</v>
      </c>
      <c r="I239" s="4" t="s">
        <v>14153</v>
      </c>
      <c r="J239" s="4" t="s">
        <v>2082</v>
      </c>
    </row>
    <row r="240" spans="1:10" hidden="1">
      <c r="A240" s="4">
        <v>2.0210725111000499E+17</v>
      </c>
      <c r="B240" s="4">
        <v>5231600620</v>
      </c>
      <c r="C240" s="4" t="s">
        <v>14152</v>
      </c>
      <c r="D240" s="4">
        <v>25111</v>
      </c>
      <c r="E240" s="4">
        <v>20210702</v>
      </c>
      <c r="F240" s="4">
        <v>20210702</v>
      </c>
      <c r="G240" s="4">
        <v>20240702</v>
      </c>
      <c r="H240" s="4" t="s">
        <v>14151</v>
      </c>
      <c r="J240" s="4" t="s">
        <v>82</v>
      </c>
    </row>
    <row r="241" spans="1:10" hidden="1">
      <c r="A241" s="4">
        <v>2.0210747813000499E+17</v>
      </c>
      <c r="B241" s="4">
        <v>7970801550</v>
      </c>
      <c r="C241" s="4" t="s">
        <v>14150</v>
      </c>
      <c r="D241" s="4">
        <v>47813</v>
      </c>
      <c r="E241" s="4">
        <v>20210702</v>
      </c>
      <c r="F241" s="4">
        <v>20210702</v>
      </c>
      <c r="G241" s="4">
        <v>20240702</v>
      </c>
      <c r="H241" s="4" t="s">
        <v>14149</v>
      </c>
      <c r="I241" s="4" t="s">
        <v>149</v>
      </c>
      <c r="J241" s="4" t="s">
        <v>376</v>
      </c>
    </row>
    <row r="242" spans="1:10" hidden="1">
      <c r="A242" s="4">
        <v>2.0210729299000602E+17</v>
      </c>
      <c r="B242" s="4">
        <v>4918800499</v>
      </c>
      <c r="C242" s="4" t="s">
        <v>14328</v>
      </c>
      <c r="D242" s="4">
        <v>29299</v>
      </c>
      <c r="E242" s="4">
        <v>20210705</v>
      </c>
      <c r="F242" s="4">
        <v>20210705</v>
      </c>
      <c r="G242" s="4">
        <v>20230708</v>
      </c>
      <c r="H242" s="4" t="s">
        <v>14327</v>
      </c>
      <c r="I242" s="4" t="s">
        <v>14326</v>
      </c>
      <c r="J242" s="4" t="s">
        <v>137</v>
      </c>
    </row>
    <row r="243" spans="1:10" hidden="1">
      <c r="A243" s="4">
        <v>2.0210773909000602E+17</v>
      </c>
      <c r="B243" s="4">
        <v>8433800211</v>
      </c>
      <c r="C243" s="4" t="s">
        <v>14272</v>
      </c>
      <c r="D243" s="4">
        <v>73909</v>
      </c>
      <c r="E243" s="4">
        <v>20210705</v>
      </c>
      <c r="F243" s="4">
        <v>20210705</v>
      </c>
      <c r="G243" s="4">
        <v>20240329</v>
      </c>
      <c r="H243" s="4" t="s">
        <v>14271</v>
      </c>
      <c r="J243" s="4" t="s">
        <v>293</v>
      </c>
    </row>
    <row r="244" spans="1:10" hidden="1">
      <c r="A244" s="4">
        <v>2.0210786201000499E+17</v>
      </c>
      <c r="B244" s="4">
        <v>8780501635</v>
      </c>
      <c r="C244" s="4" t="s">
        <v>14143</v>
      </c>
      <c r="D244" s="4">
        <v>86201</v>
      </c>
      <c r="E244" s="4">
        <v>20210702</v>
      </c>
      <c r="F244" s="4">
        <v>20210702</v>
      </c>
      <c r="G244" s="4">
        <v>20240702</v>
      </c>
      <c r="H244" s="4" t="s">
        <v>14142</v>
      </c>
      <c r="I244" s="4" t="s">
        <v>185</v>
      </c>
      <c r="J244" s="4" t="s">
        <v>8134</v>
      </c>
    </row>
    <row r="245" spans="1:10" hidden="1">
      <c r="A245" s="4">
        <v>2.0210728123000499E+17</v>
      </c>
      <c r="B245" s="4">
        <v>2338109798</v>
      </c>
      <c r="C245" s="4" t="s">
        <v>14141</v>
      </c>
      <c r="D245" s="4">
        <v>28123</v>
      </c>
      <c r="E245" s="4">
        <v>20210702</v>
      </c>
      <c r="F245" s="4">
        <v>20210702</v>
      </c>
      <c r="G245" s="4">
        <v>20240327</v>
      </c>
      <c r="H245" s="4" t="s">
        <v>14140</v>
      </c>
      <c r="I245" s="4" t="s">
        <v>14139</v>
      </c>
      <c r="J245" s="4" t="s">
        <v>640</v>
      </c>
    </row>
    <row r="246" spans="1:10" hidden="1">
      <c r="A246" s="4">
        <v>2.0210720202000499E+17</v>
      </c>
      <c r="B246" s="4">
        <v>4361700997</v>
      </c>
      <c r="C246" s="4" t="s">
        <v>14138</v>
      </c>
      <c r="D246" s="4">
        <v>20202</v>
      </c>
      <c r="E246" s="4">
        <v>20210702</v>
      </c>
      <c r="F246" s="4">
        <v>20210702</v>
      </c>
      <c r="G246" s="4">
        <v>20240702</v>
      </c>
      <c r="H246" s="4" t="s">
        <v>14137</v>
      </c>
      <c r="J246" s="4" t="s">
        <v>224</v>
      </c>
    </row>
    <row r="247" spans="1:10" hidden="1">
      <c r="A247" s="4">
        <v>2.0210725923000499E+17</v>
      </c>
      <c r="B247" s="4">
        <v>7821401092</v>
      </c>
      <c r="C247" s="4" t="s">
        <v>14136</v>
      </c>
      <c r="D247" s="4">
        <v>25923</v>
      </c>
      <c r="E247" s="4">
        <v>20210702</v>
      </c>
      <c r="F247" s="4">
        <v>20210702</v>
      </c>
      <c r="G247" s="4">
        <v>20240702</v>
      </c>
      <c r="H247" s="4" t="s">
        <v>14135</v>
      </c>
      <c r="I247" s="4" t="s">
        <v>14134</v>
      </c>
      <c r="J247" s="4" t="s">
        <v>204</v>
      </c>
    </row>
    <row r="248" spans="1:10" hidden="1">
      <c r="A248" s="4">
        <v>2.0210742202000499E+17</v>
      </c>
      <c r="B248" s="4">
        <v>6591000932</v>
      </c>
      <c r="C248" s="4" t="s">
        <v>14133</v>
      </c>
      <c r="D248" s="4">
        <v>42202</v>
      </c>
      <c r="E248" s="4">
        <v>20210702</v>
      </c>
      <c r="F248" s="4">
        <v>20210702</v>
      </c>
      <c r="G248" s="4">
        <v>20240702</v>
      </c>
      <c r="H248" s="4" t="s">
        <v>4970</v>
      </c>
      <c r="I248" s="4" t="s">
        <v>14132</v>
      </c>
      <c r="J248" s="4" t="s">
        <v>447</v>
      </c>
    </row>
    <row r="249" spans="1:10" hidden="1">
      <c r="A249" s="4">
        <v>2.0210746800000499E+17</v>
      </c>
      <c r="B249" s="4">
        <v>4690100564</v>
      </c>
      <c r="C249" s="4" t="s">
        <v>14131</v>
      </c>
      <c r="D249" s="4">
        <v>46800</v>
      </c>
      <c r="E249" s="4">
        <v>20210702</v>
      </c>
      <c r="F249" s="4">
        <v>20210702</v>
      </c>
      <c r="G249" s="4">
        <v>20231019</v>
      </c>
      <c r="H249" s="4" t="s">
        <v>14130</v>
      </c>
      <c r="J249" s="4" t="s">
        <v>979</v>
      </c>
    </row>
    <row r="250" spans="1:10" hidden="1">
      <c r="A250" s="4">
        <v>2.0210770121000499E+17</v>
      </c>
      <c r="B250" s="4">
        <v>7328601357</v>
      </c>
      <c r="C250" s="4" t="s">
        <v>14129</v>
      </c>
      <c r="D250" s="4">
        <v>70121</v>
      </c>
      <c r="E250" s="4">
        <v>20210702</v>
      </c>
      <c r="F250" s="4">
        <v>20210702</v>
      </c>
      <c r="G250" s="4">
        <v>20240702</v>
      </c>
      <c r="H250" s="4" t="s">
        <v>3519</v>
      </c>
      <c r="I250" s="4" t="s">
        <v>14128</v>
      </c>
      <c r="J250" s="4" t="s">
        <v>1267</v>
      </c>
    </row>
    <row r="251" spans="1:10" hidden="1">
      <c r="A251" s="4">
        <v>2.0210729199000499E+17</v>
      </c>
      <c r="B251" s="4">
        <v>1154900669</v>
      </c>
      <c r="C251" s="4" t="s">
        <v>14127</v>
      </c>
      <c r="D251" s="4">
        <v>29199</v>
      </c>
      <c r="E251" s="4">
        <v>20210702</v>
      </c>
      <c r="F251" s="4">
        <v>20210702</v>
      </c>
      <c r="G251" s="4">
        <v>20240702</v>
      </c>
      <c r="H251" s="4" t="s">
        <v>14126</v>
      </c>
      <c r="I251" s="4" t="s">
        <v>14125</v>
      </c>
      <c r="J251" s="4" t="s">
        <v>166</v>
      </c>
    </row>
    <row r="252" spans="1:10" hidden="1">
      <c r="A252" s="4">
        <v>2.0210759113000499E+17</v>
      </c>
      <c r="B252" s="4">
        <v>5372300909</v>
      </c>
      <c r="C252" s="4" t="s">
        <v>14124</v>
      </c>
      <c r="D252" s="4">
        <v>59113</v>
      </c>
      <c r="E252" s="4">
        <v>20210702</v>
      </c>
      <c r="F252" s="4">
        <v>20210702</v>
      </c>
      <c r="G252" s="4">
        <v>20240702</v>
      </c>
      <c r="H252" s="4" t="s">
        <v>14123</v>
      </c>
      <c r="I252" s="4" t="s">
        <v>754</v>
      </c>
      <c r="J252" s="4" t="s">
        <v>3651</v>
      </c>
    </row>
    <row r="253" spans="1:10" hidden="1">
      <c r="A253" s="4">
        <v>2.0210701140000499E+17</v>
      </c>
      <c r="B253" s="4">
        <v>2838601821</v>
      </c>
      <c r="C253" s="4" t="s">
        <v>14122</v>
      </c>
      <c r="D253" s="4">
        <v>1140</v>
      </c>
      <c r="E253" s="4">
        <v>20210702</v>
      </c>
      <c r="F253" s="4">
        <v>20210702</v>
      </c>
      <c r="G253" s="4">
        <v>20240702</v>
      </c>
      <c r="H253" s="4" t="s">
        <v>14121</v>
      </c>
      <c r="I253" s="4" t="s">
        <v>14120</v>
      </c>
      <c r="J253" s="4" t="s">
        <v>4378</v>
      </c>
    </row>
    <row r="254" spans="1:10" hidden="1">
      <c r="A254" s="4">
        <v>2.0210720313000499E+17</v>
      </c>
      <c r="B254" s="4">
        <v>6928701212</v>
      </c>
      <c r="C254" s="4" t="s">
        <v>14119</v>
      </c>
      <c r="D254" s="4">
        <v>20313</v>
      </c>
      <c r="E254" s="4">
        <v>20210702</v>
      </c>
      <c r="F254" s="4">
        <v>20210702</v>
      </c>
      <c r="G254" s="4">
        <v>20240702</v>
      </c>
      <c r="H254" s="4" t="s">
        <v>14118</v>
      </c>
      <c r="J254" s="4" t="s">
        <v>3533</v>
      </c>
    </row>
    <row r="255" spans="1:10" hidden="1">
      <c r="A255" s="4">
        <v>2.0210701110000499E+17</v>
      </c>
      <c r="B255" s="4">
        <v>1608101839</v>
      </c>
      <c r="C255" s="4" t="s">
        <v>14117</v>
      </c>
      <c r="D255" s="4">
        <v>1110</v>
      </c>
      <c r="E255" s="4">
        <v>20210702</v>
      </c>
      <c r="F255" s="4">
        <v>20210702</v>
      </c>
      <c r="G255" s="4">
        <v>20240702</v>
      </c>
      <c r="H255" s="4" t="s">
        <v>14116</v>
      </c>
      <c r="I255" s="4">
        <v>106</v>
      </c>
      <c r="J255" s="4" t="s">
        <v>8361</v>
      </c>
    </row>
    <row r="256" spans="1:10" hidden="1">
      <c r="A256" s="4">
        <v>2.0210758222000499E+17</v>
      </c>
      <c r="B256" s="4">
        <v>2058800898</v>
      </c>
      <c r="C256" s="4" t="s">
        <v>14115</v>
      </c>
      <c r="D256" s="4">
        <v>58222</v>
      </c>
      <c r="E256" s="4">
        <v>20210702</v>
      </c>
      <c r="F256" s="4">
        <v>20210702</v>
      </c>
      <c r="G256" s="4">
        <v>20240702</v>
      </c>
      <c r="H256" s="4" t="s">
        <v>14114</v>
      </c>
      <c r="I256" s="4" t="s">
        <v>123</v>
      </c>
      <c r="J256" s="4" t="s">
        <v>94</v>
      </c>
    </row>
    <row r="257" spans="1:10" hidden="1">
      <c r="A257" s="4">
        <v>2.0210746441000499E+17</v>
      </c>
      <c r="B257" s="4">
        <v>7820700983</v>
      </c>
      <c r="C257" s="4" t="s">
        <v>14113</v>
      </c>
      <c r="D257" s="4">
        <v>46441</v>
      </c>
      <c r="E257" s="4">
        <v>20210702</v>
      </c>
      <c r="F257" s="4">
        <v>20210702</v>
      </c>
      <c r="G257" s="4">
        <v>20240702</v>
      </c>
      <c r="H257" s="4" t="s">
        <v>14112</v>
      </c>
      <c r="I257" s="4" t="s">
        <v>596</v>
      </c>
      <c r="J257" s="4" t="s">
        <v>9801</v>
      </c>
    </row>
    <row r="258" spans="1:10" hidden="1">
      <c r="A258" s="4">
        <v>2.0210730122000499E+17</v>
      </c>
      <c r="B258" s="4">
        <v>6188801638</v>
      </c>
      <c r="C258" s="4" t="s">
        <v>14111</v>
      </c>
      <c r="D258" s="4">
        <v>30122</v>
      </c>
      <c r="E258" s="4">
        <v>20210702</v>
      </c>
      <c r="F258" s="4">
        <v>20210702</v>
      </c>
      <c r="G258" s="4">
        <v>20240702</v>
      </c>
      <c r="H258" s="4" t="s">
        <v>14110</v>
      </c>
      <c r="I258" s="4" t="s">
        <v>14109</v>
      </c>
      <c r="J258" s="4" t="s">
        <v>2503</v>
      </c>
    </row>
    <row r="259" spans="1:10">
      <c r="A259" s="4">
        <v>2.021015819E+17</v>
      </c>
      <c r="B259" s="4">
        <v>6368101700</v>
      </c>
      <c r="C259" s="4" t="s">
        <v>199</v>
      </c>
      <c r="D259" s="4">
        <v>58190</v>
      </c>
      <c r="E259" s="4">
        <v>20210105</v>
      </c>
      <c r="F259" s="4">
        <v>20210105</v>
      </c>
      <c r="G259" s="4">
        <v>20240104</v>
      </c>
      <c r="H259" s="4" t="s">
        <v>198</v>
      </c>
      <c r="I259" s="4" t="s">
        <v>197</v>
      </c>
      <c r="J259" s="4" t="s">
        <v>196</v>
      </c>
    </row>
    <row r="260" spans="1:10" hidden="1">
      <c r="A260" s="4">
        <v>2.0210772111000499E+17</v>
      </c>
      <c r="B260" s="4">
        <v>7971700645</v>
      </c>
      <c r="C260" s="4" t="s">
        <v>14106</v>
      </c>
      <c r="D260" s="4">
        <v>72111</v>
      </c>
      <c r="E260" s="4">
        <v>20210702</v>
      </c>
      <c r="F260" s="4">
        <v>20210702</v>
      </c>
      <c r="G260" s="4">
        <v>20240702</v>
      </c>
      <c r="H260" s="4" t="s">
        <v>14105</v>
      </c>
      <c r="I260" s="4" t="s">
        <v>185</v>
      </c>
      <c r="J260" s="4" t="s">
        <v>3461</v>
      </c>
    </row>
    <row r="261" spans="1:10" hidden="1">
      <c r="A261" s="4">
        <v>2.0210773202000499E+17</v>
      </c>
      <c r="B261" s="4">
        <v>6651500999</v>
      </c>
      <c r="C261" s="4" t="s">
        <v>14104</v>
      </c>
      <c r="D261" s="4">
        <v>73202</v>
      </c>
      <c r="E261" s="4">
        <v>20210702</v>
      </c>
      <c r="F261" s="4">
        <v>20210702</v>
      </c>
      <c r="G261" s="4">
        <v>20240702</v>
      </c>
      <c r="H261" s="4" t="s">
        <v>14103</v>
      </c>
      <c r="J261" s="4" t="s">
        <v>605</v>
      </c>
    </row>
    <row r="262" spans="1:10" hidden="1">
      <c r="A262" s="4">
        <v>2.0210725999000499E+17</v>
      </c>
      <c r="B262" s="4">
        <v>1343283737</v>
      </c>
      <c r="C262" s="4" t="s">
        <v>14102</v>
      </c>
      <c r="D262" s="4">
        <v>25999</v>
      </c>
      <c r="E262" s="4">
        <v>20210702</v>
      </c>
      <c r="F262" s="4">
        <v>20210702</v>
      </c>
      <c r="G262" s="4">
        <v>20210901</v>
      </c>
      <c r="H262" s="4" t="s">
        <v>14101</v>
      </c>
      <c r="J262" s="4" t="s">
        <v>301</v>
      </c>
    </row>
    <row r="263" spans="1:10" hidden="1">
      <c r="A263" s="4">
        <v>2.0210728903000499E+17</v>
      </c>
      <c r="B263" s="4">
        <v>3748801534</v>
      </c>
      <c r="C263" s="4" t="s">
        <v>8765</v>
      </c>
      <c r="D263" s="4">
        <v>28903</v>
      </c>
      <c r="E263" s="4">
        <v>20210702</v>
      </c>
      <c r="F263" s="4">
        <v>20210702</v>
      </c>
      <c r="G263" s="4">
        <v>20240702</v>
      </c>
      <c r="H263" s="4" t="s">
        <v>2283</v>
      </c>
      <c r="J263" s="4" t="s">
        <v>460</v>
      </c>
    </row>
    <row r="264" spans="1:10" hidden="1">
      <c r="A264" s="4">
        <v>2.0210745301000499E+17</v>
      </c>
      <c r="B264" s="4">
        <v>1720701400</v>
      </c>
      <c r="C264" s="4" t="s">
        <v>14097</v>
      </c>
      <c r="D264" s="4">
        <v>45301</v>
      </c>
      <c r="E264" s="4">
        <v>20210702</v>
      </c>
      <c r="F264" s="4">
        <v>20210702</v>
      </c>
      <c r="G264" s="4">
        <v>20240702</v>
      </c>
      <c r="H264" s="4" t="s">
        <v>9603</v>
      </c>
      <c r="J264" s="4" t="s">
        <v>6868</v>
      </c>
    </row>
    <row r="265" spans="1:10" hidden="1">
      <c r="A265" s="4">
        <v>2.0210758111000499E+17</v>
      </c>
      <c r="B265" s="4">
        <v>8787000196</v>
      </c>
      <c r="C265" s="4" t="s">
        <v>14096</v>
      </c>
      <c r="D265" s="4">
        <v>58111</v>
      </c>
      <c r="E265" s="4">
        <v>20210702</v>
      </c>
      <c r="F265" s="4">
        <v>20210702</v>
      </c>
      <c r="G265" s="4">
        <v>20240702</v>
      </c>
      <c r="H265" s="4" t="s">
        <v>14095</v>
      </c>
      <c r="I265" s="4" t="s">
        <v>149</v>
      </c>
      <c r="J265" s="4" t="s">
        <v>14094</v>
      </c>
    </row>
    <row r="266" spans="1:10" hidden="1">
      <c r="A266" s="4">
        <v>2.0210773203000499E+17</v>
      </c>
      <c r="B266" s="4">
        <v>5970201604</v>
      </c>
      <c r="C266" s="4" t="s">
        <v>14093</v>
      </c>
      <c r="D266" s="4">
        <v>73203</v>
      </c>
      <c r="E266" s="4">
        <v>20210702</v>
      </c>
      <c r="F266" s="4">
        <v>20210702</v>
      </c>
      <c r="G266" s="4">
        <v>20240702</v>
      </c>
      <c r="H266" s="4" t="s">
        <v>14092</v>
      </c>
      <c r="I266" s="4" t="s">
        <v>14091</v>
      </c>
      <c r="J266" s="4" t="s">
        <v>260</v>
      </c>
    </row>
    <row r="267" spans="1:10" hidden="1">
      <c r="A267" s="4">
        <v>2.0210759111000499E+17</v>
      </c>
      <c r="B267" s="4">
        <v>6023807914</v>
      </c>
      <c r="C267" s="4" t="s">
        <v>14090</v>
      </c>
      <c r="D267" s="4">
        <v>59111</v>
      </c>
      <c r="E267" s="4">
        <v>20210702</v>
      </c>
      <c r="F267" s="4">
        <v>20210702</v>
      </c>
      <c r="G267" s="4">
        <v>20240702</v>
      </c>
      <c r="H267" s="4" t="s">
        <v>11594</v>
      </c>
      <c r="I267" s="4" t="s">
        <v>14089</v>
      </c>
      <c r="J267" s="4" t="s">
        <v>1857</v>
      </c>
    </row>
    <row r="268" spans="1:10" hidden="1">
      <c r="A268" s="4">
        <v>2.0210720499000499E+17</v>
      </c>
      <c r="B268" s="4">
        <v>4944300425</v>
      </c>
      <c r="C268" s="4" t="s">
        <v>14088</v>
      </c>
      <c r="D268" s="4">
        <v>20499</v>
      </c>
      <c r="E268" s="4">
        <v>20210702</v>
      </c>
      <c r="F268" s="4">
        <v>20210702</v>
      </c>
      <c r="G268" s="4">
        <v>20240702</v>
      </c>
      <c r="H268" s="4" t="s">
        <v>4599</v>
      </c>
      <c r="I268" s="4" t="s">
        <v>14087</v>
      </c>
      <c r="J268" s="4" t="s">
        <v>406</v>
      </c>
    </row>
    <row r="269" spans="1:10" hidden="1">
      <c r="A269" s="4">
        <v>2.0210763999000499E+17</v>
      </c>
      <c r="B269" s="4">
        <v>7772801097</v>
      </c>
      <c r="C269" s="4" t="s">
        <v>14086</v>
      </c>
      <c r="D269" s="4">
        <v>63999</v>
      </c>
      <c r="E269" s="4">
        <v>20210702</v>
      </c>
      <c r="F269" s="4">
        <v>20210702</v>
      </c>
      <c r="G269" s="4">
        <v>20240702</v>
      </c>
      <c r="H269" s="4" t="s">
        <v>14085</v>
      </c>
      <c r="I269" s="4" t="s">
        <v>185</v>
      </c>
      <c r="J269" s="4" t="s">
        <v>643</v>
      </c>
    </row>
    <row r="270" spans="1:10" hidden="1">
      <c r="A270" s="4">
        <v>2.0210747912000499E+17</v>
      </c>
      <c r="B270" s="4">
        <v>4201801095</v>
      </c>
      <c r="C270" s="4" t="s">
        <v>14084</v>
      </c>
      <c r="D270" s="4">
        <v>47912</v>
      </c>
      <c r="E270" s="4">
        <v>20210702</v>
      </c>
      <c r="F270" s="4">
        <v>20210702</v>
      </c>
      <c r="G270" s="4">
        <v>20240702</v>
      </c>
      <c r="H270" s="4" t="s">
        <v>14083</v>
      </c>
      <c r="I270" s="4" t="s">
        <v>14082</v>
      </c>
      <c r="J270" s="4" t="s">
        <v>78</v>
      </c>
    </row>
    <row r="271" spans="1:10" hidden="1">
      <c r="A271" s="4">
        <v>2.0210729280000499E+17</v>
      </c>
      <c r="B271" s="4">
        <v>2105017836</v>
      </c>
      <c r="C271" s="4" t="s">
        <v>14081</v>
      </c>
      <c r="D271" s="4">
        <v>29280</v>
      </c>
      <c r="E271" s="4">
        <v>20210702</v>
      </c>
      <c r="F271" s="4">
        <v>20210702</v>
      </c>
      <c r="G271" s="4">
        <v>20230701</v>
      </c>
      <c r="H271" s="4" t="s">
        <v>14080</v>
      </c>
      <c r="J271" s="4" t="s">
        <v>533</v>
      </c>
    </row>
    <row r="272" spans="1:10" hidden="1">
      <c r="A272" s="4">
        <v>2.0210746739000499E+17</v>
      </c>
      <c r="B272" s="4">
        <v>6871301257</v>
      </c>
      <c r="C272" s="4" t="s">
        <v>14079</v>
      </c>
      <c r="D272" s="4">
        <v>46739</v>
      </c>
      <c r="E272" s="4">
        <v>20210702</v>
      </c>
      <c r="F272" s="4">
        <v>20210702</v>
      </c>
      <c r="G272" s="4">
        <v>20240702</v>
      </c>
      <c r="H272" s="4" t="s">
        <v>6163</v>
      </c>
      <c r="I272" s="4" t="s">
        <v>14078</v>
      </c>
      <c r="J272" s="4" t="s">
        <v>2551</v>
      </c>
    </row>
    <row r="273" spans="1:10" hidden="1">
      <c r="A273" s="4">
        <v>2.0210746800000499E+17</v>
      </c>
      <c r="B273" s="4">
        <v>4051800933</v>
      </c>
      <c r="C273" s="4" t="s">
        <v>14077</v>
      </c>
      <c r="D273" s="4">
        <v>46800</v>
      </c>
      <c r="E273" s="4">
        <v>20210702</v>
      </c>
      <c r="F273" s="4">
        <v>20210702</v>
      </c>
      <c r="G273" s="4">
        <v>20240702</v>
      </c>
      <c r="H273" s="4" t="s">
        <v>14076</v>
      </c>
      <c r="I273" s="4" t="s">
        <v>14075</v>
      </c>
      <c r="J273" s="4" t="s">
        <v>979</v>
      </c>
    </row>
    <row r="274" spans="1:10" hidden="1">
      <c r="A274" s="4">
        <v>2.0210759120000499E+17</v>
      </c>
      <c r="B274" s="4">
        <v>2358801980</v>
      </c>
      <c r="C274" s="4" t="s">
        <v>14074</v>
      </c>
      <c r="D274" s="4">
        <v>59120</v>
      </c>
      <c r="E274" s="4">
        <v>20210702</v>
      </c>
      <c r="F274" s="4">
        <v>20210702</v>
      </c>
      <c r="G274" s="4">
        <v>20240702</v>
      </c>
      <c r="H274" s="4" t="s">
        <v>7609</v>
      </c>
      <c r="J274" s="4" t="s">
        <v>2961</v>
      </c>
    </row>
    <row r="275" spans="1:10" hidden="1">
      <c r="A275" s="4">
        <v>2.0210729163000499E+17</v>
      </c>
      <c r="B275" s="4">
        <v>7592301056</v>
      </c>
      <c r="C275" s="4" t="s">
        <v>14073</v>
      </c>
      <c r="D275" s="4">
        <v>29163</v>
      </c>
      <c r="E275" s="4">
        <v>20210702</v>
      </c>
      <c r="F275" s="4">
        <v>20210702</v>
      </c>
      <c r="G275" s="4">
        <v>20240702</v>
      </c>
      <c r="H275" s="4" t="s">
        <v>14072</v>
      </c>
      <c r="J275" s="4" t="s">
        <v>313</v>
      </c>
    </row>
    <row r="276" spans="1:10" hidden="1">
      <c r="A276" s="4">
        <v>2.0210742202000499E+17</v>
      </c>
      <c r="B276" s="4">
        <v>2828101589</v>
      </c>
      <c r="C276" s="4" t="s">
        <v>14071</v>
      </c>
      <c r="D276" s="4">
        <v>42202</v>
      </c>
      <c r="E276" s="4">
        <v>20210702</v>
      </c>
      <c r="F276" s="4">
        <v>20210702</v>
      </c>
      <c r="G276" s="4">
        <v>20240702</v>
      </c>
      <c r="H276" s="4" t="s">
        <v>14070</v>
      </c>
      <c r="I276" s="4" t="s">
        <v>239</v>
      </c>
      <c r="J276" s="4" t="s">
        <v>447</v>
      </c>
    </row>
    <row r="277" spans="1:10" hidden="1">
      <c r="A277" s="4">
        <v>2.0210746592000499E+17</v>
      </c>
      <c r="B277" s="4">
        <v>2726400252</v>
      </c>
      <c r="C277" s="4" t="s">
        <v>14069</v>
      </c>
      <c r="D277" s="4">
        <v>46592</v>
      </c>
      <c r="E277" s="4">
        <v>20210702</v>
      </c>
      <c r="F277" s="4">
        <v>20210702</v>
      </c>
      <c r="G277" s="4">
        <v>20240321</v>
      </c>
      <c r="H277" s="4" t="s">
        <v>14068</v>
      </c>
      <c r="I277" s="4" t="s">
        <v>14067</v>
      </c>
      <c r="J277" s="4" t="s">
        <v>148</v>
      </c>
    </row>
    <row r="278" spans="1:10" hidden="1">
      <c r="A278" s="4">
        <v>2.0210758222000499E+17</v>
      </c>
      <c r="B278" s="4">
        <v>5848601516</v>
      </c>
      <c r="C278" s="4" t="s">
        <v>14066</v>
      </c>
      <c r="D278" s="4">
        <v>58222</v>
      </c>
      <c r="E278" s="4">
        <v>20210702</v>
      </c>
      <c r="F278" s="4">
        <v>20210702</v>
      </c>
      <c r="G278" s="4">
        <v>20240702</v>
      </c>
      <c r="H278" s="4" t="s">
        <v>6873</v>
      </c>
      <c r="I278" s="4" t="s">
        <v>14065</v>
      </c>
      <c r="J278" s="4" t="s">
        <v>94</v>
      </c>
    </row>
    <row r="279" spans="1:10" hidden="1">
      <c r="A279" s="4">
        <v>2.0210733999000499E+17</v>
      </c>
      <c r="B279" s="4">
        <v>2583900119</v>
      </c>
      <c r="C279" s="4" t="s">
        <v>14064</v>
      </c>
      <c r="D279" s="4">
        <v>33999</v>
      </c>
      <c r="E279" s="4">
        <v>20210702</v>
      </c>
      <c r="F279" s="4">
        <v>20210702</v>
      </c>
      <c r="G279" s="4">
        <v>20230125</v>
      </c>
      <c r="H279" s="4" t="s">
        <v>10765</v>
      </c>
      <c r="J279" s="4" t="s">
        <v>780</v>
      </c>
    </row>
    <row r="280" spans="1:10" hidden="1">
      <c r="A280" s="4">
        <v>2.0210746442000499E+17</v>
      </c>
      <c r="B280" s="4">
        <v>2842800072</v>
      </c>
      <c r="C280" s="4" t="s">
        <v>14063</v>
      </c>
      <c r="D280" s="4">
        <v>46442</v>
      </c>
      <c r="E280" s="4">
        <v>20210702</v>
      </c>
      <c r="F280" s="4">
        <v>20210702</v>
      </c>
      <c r="G280" s="4">
        <v>20230202</v>
      </c>
      <c r="H280" s="4" t="s">
        <v>6575</v>
      </c>
      <c r="I280" s="4" t="s">
        <v>14062</v>
      </c>
      <c r="J280" s="4" t="s">
        <v>3282</v>
      </c>
    </row>
    <row r="281" spans="1:10" hidden="1">
      <c r="A281" s="4">
        <v>2.0210720129000499E+17</v>
      </c>
      <c r="B281" s="4">
        <v>4973300764</v>
      </c>
      <c r="C281" s="4" t="s">
        <v>14061</v>
      </c>
      <c r="D281" s="4">
        <v>20129</v>
      </c>
      <c r="E281" s="4">
        <v>20210702</v>
      </c>
      <c r="F281" s="4">
        <v>20210702</v>
      </c>
      <c r="G281" s="4">
        <v>20240702</v>
      </c>
      <c r="H281" s="4" t="s">
        <v>14060</v>
      </c>
      <c r="I281" s="4" t="s">
        <v>185</v>
      </c>
      <c r="J281" s="4" t="s">
        <v>1770</v>
      </c>
    </row>
    <row r="282" spans="1:10" hidden="1">
      <c r="A282" s="4">
        <v>2.0210773203000499E+17</v>
      </c>
      <c r="B282" s="4">
        <v>8154700353</v>
      </c>
      <c r="C282" s="4" t="s">
        <v>14059</v>
      </c>
      <c r="D282" s="4">
        <v>73203</v>
      </c>
      <c r="E282" s="4">
        <v>20210702</v>
      </c>
      <c r="F282" s="4">
        <v>20210702</v>
      </c>
      <c r="G282" s="4">
        <v>20240702</v>
      </c>
      <c r="H282" s="4" t="s">
        <v>14058</v>
      </c>
      <c r="I282" s="4" t="s">
        <v>14057</v>
      </c>
      <c r="J282" s="4" t="s">
        <v>260</v>
      </c>
    </row>
    <row r="283" spans="1:10" hidden="1">
      <c r="A283" s="4">
        <v>2.0210742411000499E+17</v>
      </c>
      <c r="B283" s="4">
        <v>7368101408</v>
      </c>
      <c r="C283" s="4" t="s">
        <v>14056</v>
      </c>
      <c r="D283" s="4">
        <v>42411</v>
      </c>
      <c r="E283" s="4">
        <v>20210702</v>
      </c>
      <c r="F283" s="4">
        <v>20210702</v>
      </c>
      <c r="G283" s="4">
        <v>20240702</v>
      </c>
      <c r="H283" s="4" t="s">
        <v>14055</v>
      </c>
      <c r="J283" s="4" t="s">
        <v>2211</v>
      </c>
    </row>
    <row r="284" spans="1:10" hidden="1">
      <c r="A284" s="4">
        <v>2.0210772111000499E+17</v>
      </c>
      <c r="B284" s="4">
        <v>5680401857</v>
      </c>
      <c r="C284" s="4" t="s">
        <v>14054</v>
      </c>
      <c r="D284" s="4">
        <v>72111</v>
      </c>
      <c r="E284" s="4">
        <v>20210702</v>
      </c>
      <c r="F284" s="4">
        <v>20210702</v>
      </c>
      <c r="G284" s="4">
        <v>20240702</v>
      </c>
      <c r="H284" s="4" t="s">
        <v>14053</v>
      </c>
      <c r="I284" s="4" t="s">
        <v>14052</v>
      </c>
      <c r="J284" s="4" t="s">
        <v>3461</v>
      </c>
    </row>
    <row r="285" spans="1:10" hidden="1">
      <c r="A285" s="4">
        <v>2.0210746591000499E+17</v>
      </c>
      <c r="B285" s="4">
        <v>7198200191</v>
      </c>
      <c r="C285" s="4" t="s">
        <v>14051</v>
      </c>
      <c r="D285" s="4">
        <v>46591</v>
      </c>
      <c r="E285" s="4">
        <v>20210702</v>
      </c>
      <c r="F285" s="4">
        <v>20210702</v>
      </c>
      <c r="G285" s="4">
        <v>20240702</v>
      </c>
      <c r="H285" s="4" t="s">
        <v>1339</v>
      </c>
      <c r="I285" s="4" t="s">
        <v>811</v>
      </c>
      <c r="J285" s="4" t="s">
        <v>985</v>
      </c>
    </row>
    <row r="286" spans="1:10" hidden="1">
      <c r="A286" s="4">
        <v>2.0210717902000499E+17</v>
      </c>
      <c r="B286" s="4">
        <v>5308200093</v>
      </c>
      <c r="C286" s="4" t="s">
        <v>14050</v>
      </c>
      <c r="D286" s="4">
        <v>17902</v>
      </c>
      <c r="E286" s="4">
        <v>20210702</v>
      </c>
      <c r="F286" s="4">
        <v>20210702</v>
      </c>
      <c r="G286" s="4">
        <v>20230810</v>
      </c>
      <c r="H286" s="4" t="s">
        <v>14049</v>
      </c>
      <c r="I286" s="4" t="s">
        <v>14048</v>
      </c>
      <c r="J286" s="4" t="s">
        <v>6653</v>
      </c>
    </row>
    <row r="287" spans="1:10" hidden="1">
      <c r="A287" s="4">
        <v>2.0210729222000499E+17</v>
      </c>
      <c r="B287" s="4">
        <v>6540900625</v>
      </c>
      <c r="C287" s="4" t="s">
        <v>14047</v>
      </c>
      <c r="D287" s="4">
        <v>29222</v>
      </c>
      <c r="E287" s="4">
        <v>20210702</v>
      </c>
      <c r="F287" s="4">
        <v>20210702</v>
      </c>
      <c r="G287" s="4">
        <v>20240702</v>
      </c>
      <c r="H287" s="4" t="s">
        <v>14046</v>
      </c>
      <c r="I287" s="4" t="s">
        <v>1490</v>
      </c>
      <c r="J287" s="4" t="s">
        <v>4276</v>
      </c>
    </row>
    <row r="288" spans="1:10" hidden="1">
      <c r="A288" s="4">
        <v>2.0210746329000499E+17</v>
      </c>
      <c r="B288" s="4">
        <v>8411101691</v>
      </c>
      <c r="C288" s="4" t="s">
        <v>14045</v>
      </c>
      <c r="D288" s="4">
        <v>46329</v>
      </c>
      <c r="E288" s="4">
        <v>20210702</v>
      </c>
      <c r="F288" s="4">
        <v>20210702</v>
      </c>
      <c r="G288" s="4">
        <v>20240702</v>
      </c>
      <c r="H288" s="4" t="s">
        <v>14044</v>
      </c>
      <c r="J288" s="4" t="s">
        <v>830</v>
      </c>
    </row>
    <row r="289" spans="1:10">
      <c r="A289" s="4">
        <v>2.0210446453000301E+17</v>
      </c>
      <c r="B289" s="4">
        <v>8272900390</v>
      </c>
      <c r="C289" s="4" t="s">
        <v>8084</v>
      </c>
      <c r="D289" s="4">
        <v>46453</v>
      </c>
      <c r="E289" s="4">
        <v>20210430</v>
      </c>
      <c r="F289" s="4">
        <v>20210430</v>
      </c>
      <c r="G289" s="4">
        <v>20240213</v>
      </c>
      <c r="H289" s="4" t="s">
        <v>8083</v>
      </c>
      <c r="J289" s="4" t="s">
        <v>816</v>
      </c>
    </row>
    <row r="290" spans="1:10" hidden="1">
      <c r="A290" s="4">
        <v>2.0210713409000499E+17</v>
      </c>
      <c r="B290" s="4">
        <v>7290701526</v>
      </c>
      <c r="C290" s="4" t="s">
        <v>14040</v>
      </c>
      <c r="D290" s="4">
        <v>13409</v>
      </c>
      <c r="E290" s="4">
        <v>20210702</v>
      </c>
      <c r="F290" s="4">
        <v>20210702</v>
      </c>
      <c r="G290" s="4">
        <v>20240702</v>
      </c>
      <c r="H290" s="4" t="s">
        <v>14039</v>
      </c>
      <c r="I290" s="4" t="s">
        <v>6226</v>
      </c>
      <c r="J290" s="4" t="s">
        <v>3591</v>
      </c>
    </row>
    <row r="291" spans="1:10" hidden="1">
      <c r="A291" s="4">
        <v>2.0210728119000499E+17</v>
      </c>
      <c r="B291" s="4">
        <v>3548801641</v>
      </c>
      <c r="C291" s="4" t="s">
        <v>14038</v>
      </c>
      <c r="D291" s="4">
        <v>28119</v>
      </c>
      <c r="E291" s="4">
        <v>20210702</v>
      </c>
      <c r="F291" s="4">
        <v>20210702</v>
      </c>
      <c r="G291" s="4">
        <v>20240702</v>
      </c>
      <c r="H291" s="4" t="s">
        <v>14037</v>
      </c>
      <c r="I291" s="4" t="s">
        <v>14036</v>
      </c>
      <c r="J291" s="4" t="s">
        <v>1816</v>
      </c>
    </row>
    <row r="292" spans="1:10" hidden="1">
      <c r="A292" s="4">
        <v>2.0210772111000499E+17</v>
      </c>
      <c r="B292" s="4">
        <v>7793900708</v>
      </c>
      <c r="C292" s="4" t="s">
        <v>14035</v>
      </c>
      <c r="D292" s="4">
        <v>72111</v>
      </c>
      <c r="E292" s="4">
        <v>20210702</v>
      </c>
      <c r="F292" s="4">
        <v>20210702</v>
      </c>
      <c r="G292" s="4">
        <v>20240702</v>
      </c>
      <c r="H292" s="4" t="s">
        <v>794</v>
      </c>
      <c r="J292" s="4" t="s">
        <v>3461</v>
      </c>
    </row>
    <row r="293" spans="1:10" hidden="1">
      <c r="A293" s="4">
        <v>2.0210728520000499E+17</v>
      </c>
      <c r="B293" s="4">
        <v>2878100630</v>
      </c>
      <c r="C293" s="4" t="s">
        <v>14034</v>
      </c>
      <c r="D293" s="4">
        <v>28520</v>
      </c>
      <c r="E293" s="4">
        <v>20210702</v>
      </c>
      <c r="F293" s="4">
        <v>20210702</v>
      </c>
      <c r="G293" s="4">
        <v>20240322</v>
      </c>
      <c r="H293" s="4" t="s">
        <v>14033</v>
      </c>
      <c r="I293" s="4" t="s">
        <v>14032</v>
      </c>
      <c r="J293" s="4" t="s">
        <v>3425</v>
      </c>
    </row>
    <row r="294" spans="1:10" hidden="1">
      <c r="A294" s="4">
        <v>2.0210775310000499E+17</v>
      </c>
      <c r="B294" s="4">
        <v>7198101397</v>
      </c>
      <c r="C294" s="4" t="s">
        <v>14031</v>
      </c>
      <c r="D294" s="4">
        <v>75310</v>
      </c>
      <c r="E294" s="4">
        <v>20210702</v>
      </c>
      <c r="F294" s="4">
        <v>20210702</v>
      </c>
      <c r="G294" s="4">
        <v>20240702</v>
      </c>
      <c r="H294" s="4" t="s">
        <v>14030</v>
      </c>
      <c r="I294" s="4" t="s">
        <v>2902</v>
      </c>
      <c r="J294" s="4" t="s">
        <v>7690</v>
      </c>
    </row>
    <row r="295" spans="1:10" hidden="1">
      <c r="A295" s="4">
        <v>2.0210746592000499E+17</v>
      </c>
      <c r="B295" s="4">
        <v>4156800459</v>
      </c>
      <c r="C295" s="4" t="s">
        <v>14029</v>
      </c>
      <c r="D295" s="4">
        <v>46592</v>
      </c>
      <c r="E295" s="4">
        <v>20210702</v>
      </c>
      <c r="F295" s="4">
        <v>20210702</v>
      </c>
      <c r="G295" s="4">
        <v>20240702</v>
      </c>
      <c r="H295" s="4" t="s">
        <v>14028</v>
      </c>
      <c r="I295" s="4" t="s">
        <v>14027</v>
      </c>
      <c r="J295" s="4" t="s">
        <v>148</v>
      </c>
    </row>
    <row r="296" spans="1:10" hidden="1">
      <c r="A296" s="4">
        <v>2.0210733999000499E+17</v>
      </c>
      <c r="B296" s="4">
        <v>7942200878</v>
      </c>
      <c r="C296" s="4" t="s">
        <v>14026</v>
      </c>
      <c r="D296" s="4">
        <v>33999</v>
      </c>
      <c r="E296" s="4">
        <v>20210702</v>
      </c>
      <c r="F296" s="4">
        <v>20210702</v>
      </c>
      <c r="G296" s="4">
        <v>20240702</v>
      </c>
      <c r="H296" s="4" t="s">
        <v>6596</v>
      </c>
      <c r="I296" s="4" t="s">
        <v>14025</v>
      </c>
      <c r="J296" s="4" t="s">
        <v>780</v>
      </c>
    </row>
    <row r="297" spans="1:10" hidden="1">
      <c r="A297" s="4">
        <v>2.0210746443000499E+17</v>
      </c>
      <c r="B297" s="4">
        <v>8934900605</v>
      </c>
      <c r="C297" s="4" t="s">
        <v>14024</v>
      </c>
      <c r="D297" s="4">
        <v>46443</v>
      </c>
      <c r="E297" s="4">
        <v>20210702</v>
      </c>
      <c r="F297" s="4">
        <v>20210702</v>
      </c>
      <c r="G297" s="4">
        <v>20240702</v>
      </c>
      <c r="H297" s="4" t="s">
        <v>8180</v>
      </c>
      <c r="I297" s="4" t="s">
        <v>938</v>
      </c>
      <c r="J297" s="4" t="s">
        <v>1379</v>
      </c>
    </row>
    <row r="298" spans="1:10" hidden="1">
      <c r="A298" s="4">
        <v>2.0210726299000499E+17</v>
      </c>
      <c r="B298" s="4">
        <v>4700801693</v>
      </c>
      <c r="C298" s="4" t="s">
        <v>14023</v>
      </c>
      <c r="D298" s="4">
        <v>26299</v>
      </c>
      <c r="E298" s="4">
        <v>20210702</v>
      </c>
      <c r="F298" s="4">
        <v>20210702</v>
      </c>
      <c r="G298" s="4">
        <v>20240702</v>
      </c>
      <c r="H298" s="4" t="s">
        <v>4493</v>
      </c>
      <c r="I298" s="4" t="s">
        <v>14022</v>
      </c>
      <c r="J298" s="4" t="s">
        <v>339</v>
      </c>
    </row>
    <row r="299" spans="1:10" hidden="1">
      <c r="A299" s="4">
        <v>2.0210773302000499E+17</v>
      </c>
      <c r="B299" s="4">
        <v>5812700258</v>
      </c>
      <c r="C299" s="4" t="s">
        <v>14021</v>
      </c>
      <c r="D299" s="4">
        <v>73302</v>
      </c>
      <c r="E299" s="4">
        <v>20210702</v>
      </c>
      <c r="F299" s="4">
        <v>20210702</v>
      </c>
      <c r="G299" s="4">
        <v>20230401</v>
      </c>
      <c r="H299" s="4" t="s">
        <v>14020</v>
      </c>
      <c r="I299" s="4" t="s">
        <v>6735</v>
      </c>
      <c r="J299" s="4" t="s">
        <v>14019</v>
      </c>
    </row>
    <row r="300" spans="1:10" hidden="1">
      <c r="A300" s="4">
        <v>2.0210758222000499E+17</v>
      </c>
      <c r="B300" s="4">
        <v>5218801858</v>
      </c>
      <c r="C300" s="4" t="s">
        <v>14018</v>
      </c>
      <c r="D300" s="4">
        <v>58222</v>
      </c>
      <c r="E300" s="4">
        <v>20210702</v>
      </c>
      <c r="F300" s="4">
        <v>20210702</v>
      </c>
      <c r="G300" s="4">
        <v>20240702</v>
      </c>
      <c r="H300" s="4" t="s">
        <v>14017</v>
      </c>
      <c r="I300" s="4" t="s">
        <v>14016</v>
      </c>
      <c r="J300" s="4" t="s">
        <v>94</v>
      </c>
    </row>
    <row r="301" spans="1:10" hidden="1">
      <c r="A301" s="4">
        <v>2.0210763111000499E+17</v>
      </c>
      <c r="B301" s="4">
        <v>4202400665</v>
      </c>
      <c r="C301" s="4" t="s">
        <v>14015</v>
      </c>
      <c r="D301" s="4">
        <v>63111</v>
      </c>
      <c r="E301" s="4">
        <v>20210702</v>
      </c>
      <c r="F301" s="4">
        <v>20210702</v>
      </c>
      <c r="G301" s="4">
        <v>20240702</v>
      </c>
      <c r="H301" s="4" t="s">
        <v>14014</v>
      </c>
      <c r="I301" s="4" t="s">
        <v>14013</v>
      </c>
      <c r="J301" s="4" t="s">
        <v>915</v>
      </c>
    </row>
    <row r="302" spans="1:10" hidden="1">
      <c r="A302" s="4">
        <v>2.0210759120000499E+17</v>
      </c>
      <c r="B302" s="4">
        <v>3673000797</v>
      </c>
      <c r="C302" s="4" t="s">
        <v>14012</v>
      </c>
      <c r="D302" s="4">
        <v>59120</v>
      </c>
      <c r="E302" s="4">
        <v>20210702</v>
      </c>
      <c r="F302" s="4">
        <v>20210702</v>
      </c>
      <c r="G302" s="4">
        <v>20240702</v>
      </c>
      <c r="H302" s="4" t="s">
        <v>14011</v>
      </c>
      <c r="I302" s="4" t="s">
        <v>91</v>
      </c>
      <c r="J302" s="4" t="s">
        <v>2961</v>
      </c>
    </row>
    <row r="303" spans="1:10" hidden="1">
      <c r="A303" s="4">
        <v>2.0210771600000499E+17</v>
      </c>
      <c r="B303" s="4">
        <v>7988801477</v>
      </c>
      <c r="C303" s="4" t="s">
        <v>14010</v>
      </c>
      <c r="D303" s="4">
        <v>71600</v>
      </c>
      <c r="E303" s="4">
        <v>20210702</v>
      </c>
      <c r="F303" s="4">
        <v>20210702</v>
      </c>
      <c r="G303" s="4">
        <v>20240702</v>
      </c>
      <c r="H303" s="4" t="s">
        <v>13095</v>
      </c>
      <c r="I303" s="4" t="s">
        <v>14009</v>
      </c>
      <c r="J303" s="4" t="s">
        <v>1783</v>
      </c>
    </row>
    <row r="304" spans="1:10" hidden="1">
      <c r="A304" s="4">
        <v>2.0210773202000499E+17</v>
      </c>
      <c r="B304" s="4">
        <v>7414600360</v>
      </c>
      <c r="C304" s="4" t="s">
        <v>14008</v>
      </c>
      <c r="D304" s="4">
        <v>73202</v>
      </c>
      <c r="E304" s="4">
        <v>20210702</v>
      </c>
      <c r="F304" s="4">
        <v>20210702</v>
      </c>
      <c r="G304" s="4">
        <v>20240702</v>
      </c>
      <c r="H304" s="4" t="s">
        <v>531</v>
      </c>
      <c r="I304" s="4" t="s">
        <v>14007</v>
      </c>
      <c r="J304" s="4" t="s">
        <v>605</v>
      </c>
    </row>
    <row r="305" spans="1:10" hidden="1">
      <c r="A305" s="4">
        <v>2.0210772122000499E+17</v>
      </c>
      <c r="B305" s="4">
        <v>1440243114</v>
      </c>
      <c r="C305" s="4" t="s">
        <v>14006</v>
      </c>
      <c r="D305" s="4">
        <v>72122</v>
      </c>
      <c r="E305" s="4">
        <v>20210702</v>
      </c>
      <c r="F305" s="4">
        <v>20210702</v>
      </c>
      <c r="G305" s="4">
        <v>20210707</v>
      </c>
      <c r="H305" s="4" t="s">
        <v>14005</v>
      </c>
      <c r="J305" s="4" t="s">
        <v>2484</v>
      </c>
    </row>
    <row r="306" spans="1:10" hidden="1">
      <c r="A306" s="4">
        <v>2.0210773203000499E+17</v>
      </c>
      <c r="B306" s="4">
        <v>6316100542</v>
      </c>
      <c r="C306" s="4" t="s">
        <v>14004</v>
      </c>
      <c r="D306" s="4">
        <v>73203</v>
      </c>
      <c r="E306" s="4">
        <v>20210702</v>
      </c>
      <c r="F306" s="4">
        <v>20210702</v>
      </c>
      <c r="G306" s="4">
        <v>20240702</v>
      </c>
      <c r="H306" s="4" t="s">
        <v>14003</v>
      </c>
      <c r="J306" s="4" t="s">
        <v>260</v>
      </c>
    </row>
    <row r="307" spans="1:10" hidden="1">
      <c r="A307" s="4">
        <v>2.0210729171000499E+17</v>
      </c>
      <c r="B307" s="4">
        <v>3178701271</v>
      </c>
      <c r="C307" s="4" t="s">
        <v>14002</v>
      </c>
      <c r="D307" s="4">
        <v>29171</v>
      </c>
      <c r="E307" s="4">
        <v>20210702</v>
      </c>
      <c r="F307" s="4">
        <v>20210702</v>
      </c>
      <c r="G307" s="4">
        <v>20240702</v>
      </c>
      <c r="H307" s="4" t="s">
        <v>12462</v>
      </c>
      <c r="I307" s="4" t="s">
        <v>14001</v>
      </c>
      <c r="J307" s="4" t="s">
        <v>2082</v>
      </c>
    </row>
    <row r="308" spans="1:10" hidden="1">
      <c r="A308" s="4">
        <v>2.0210770121000499E+17</v>
      </c>
      <c r="B308" s="4">
        <v>5698701192</v>
      </c>
      <c r="C308" s="4" t="s">
        <v>14000</v>
      </c>
      <c r="D308" s="4">
        <v>70121</v>
      </c>
      <c r="E308" s="4">
        <v>20210702</v>
      </c>
      <c r="F308" s="4">
        <v>20210702</v>
      </c>
      <c r="G308" s="4">
        <v>20240702</v>
      </c>
      <c r="H308" s="4" t="s">
        <v>7500</v>
      </c>
      <c r="I308" s="4" t="s">
        <v>3530</v>
      </c>
      <c r="J308" s="4" t="s">
        <v>1267</v>
      </c>
    </row>
    <row r="309" spans="1:10" hidden="1">
      <c r="A309" s="4">
        <v>2.0210729280000499E+17</v>
      </c>
      <c r="B309" s="4">
        <v>1696200480</v>
      </c>
      <c r="C309" s="4" t="s">
        <v>13999</v>
      </c>
      <c r="D309" s="4">
        <v>29280</v>
      </c>
      <c r="E309" s="4">
        <v>20210702</v>
      </c>
      <c r="F309" s="4">
        <v>20210702</v>
      </c>
      <c r="G309" s="4">
        <v>20240702</v>
      </c>
      <c r="H309" s="4" t="s">
        <v>1923</v>
      </c>
      <c r="I309" s="4" t="s">
        <v>13998</v>
      </c>
      <c r="J309" s="4" t="s">
        <v>533</v>
      </c>
    </row>
    <row r="310" spans="1:10" hidden="1">
      <c r="A310" s="4">
        <v>2.0210720129000499E+17</v>
      </c>
      <c r="B310" s="4">
        <v>1928700028</v>
      </c>
      <c r="C310" s="4" t="s">
        <v>13997</v>
      </c>
      <c r="D310" s="4">
        <v>20129</v>
      </c>
      <c r="E310" s="4">
        <v>20210702</v>
      </c>
      <c r="F310" s="4">
        <v>20210702</v>
      </c>
      <c r="G310" s="4">
        <v>20220326</v>
      </c>
      <c r="H310" s="4" t="s">
        <v>560</v>
      </c>
      <c r="I310" s="4" t="s">
        <v>13996</v>
      </c>
      <c r="J310" s="4" t="s">
        <v>1770</v>
      </c>
    </row>
    <row r="311" spans="1:10" hidden="1">
      <c r="A311" s="4">
        <v>2.0210720423000499E+17</v>
      </c>
      <c r="B311" s="4">
        <v>5221500367</v>
      </c>
      <c r="C311" s="4" t="s">
        <v>13995</v>
      </c>
      <c r="D311" s="4">
        <v>20423</v>
      </c>
      <c r="E311" s="4">
        <v>20210702</v>
      </c>
      <c r="F311" s="4">
        <v>20210702</v>
      </c>
      <c r="G311" s="4">
        <v>20230816</v>
      </c>
      <c r="H311" s="4" t="s">
        <v>13994</v>
      </c>
      <c r="J311" s="4" t="s">
        <v>368</v>
      </c>
    </row>
    <row r="312" spans="1:10" hidden="1">
      <c r="A312" s="4">
        <v>2.0210729174000602E+17</v>
      </c>
      <c r="B312" s="4">
        <v>3118151539</v>
      </c>
      <c r="C312" s="4" t="s">
        <v>13993</v>
      </c>
      <c r="D312" s="4">
        <v>29174</v>
      </c>
      <c r="E312" s="4">
        <v>20210702</v>
      </c>
      <c r="F312" s="4">
        <v>20210702</v>
      </c>
      <c r="G312" s="4">
        <v>20220406</v>
      </c>
      <c r="H312" s="4" t="s">
        <v>13992</v>
      </c>
      <c r="J312" s="4" t="s">
        <v>877</v>
      </c>
    </row>
    <row r="313" spans="1:10" hidden="1">
      <c r="A313" s="4">
        <v>2.0210747912000499E+17</v>
      </c>
      <c r="B313" s="4">
        <v>7312301121</v>
      </c>
      <c r="C313" s="4" t="s">
        <v>13991</v>
      </c>
      <c r="D313" s="4">
        <v>47912</v>
      </c>
      <c r="E313" s="4">
        <v>20210702</v>
      </c>
      <c r="F313" s="4">
        <v>20210702</v>
      </c>
      <c r="G313" s="4">
        <v>20240702</v>
      </c>
      <c r="H313" s="4" t="s">
        <v>4638</v>
      </c>
      <c r="I313" s="4" t="s">
        <v>13990</v>
      </c>
      <c r="J313" s="4" t="s">
        <v>78</v>
      </c>
    </row>
    <row r="314" spans="1:10" hidden="1">
      <c r="A314" s="4">
        <v>2.0210728519000499E+17</v>
      </c>
      <c r="B314" s="4">
        <v>4108802085</v>
      </c>
      <c r="C314" s="4" t="s">
        <v>13989</v>
      </c>
      <c r="D314" s="4">
        <v>28519</v>
      </c>
      <c r="E314" s="4">
        <v>20210702</v>
      </c>
      <c r="F314" s="4">
        <v>20210702</v>
      </c>
      <c r="G314" s="4">
        <v>20240702</v>
      </c>
      <c r="H314" s="4" t="s">
        <v>13988</v>
      </c>
      <c r="I314" s="4" t="s">
        <v>13987</v>
      </c>
      <c r="J314" s="4" t="s">
        <v>1412</v>
      </c>
    </row>
    <row r="315" spans="1:10" hidden="1">
      <c r="A315" s="4">
        <v>2.0210742138000499E+17</v>
      </c>
      <c r="B315" s="4">
        <v>7168800947</v>
      </c>
      <c r="C315" s="4" t="s">
        <v>14184</v>
      </c>
      <c r="D315" s="4">
        <v>42138</v>
      </c>
      <c r="E315" s="4">
        <v>20210702</v>
      </c>
      <c r="F315" s="4">
        <v>20210702</v>
      </c>
      <c r="G315" s="4">
        <v>20240702</v>
      </c>
      <c r="H315" s="4" t="s">
        <v>14183</v>
      </c>
      <c r="I315" s="4" t="s">
        <v>146</v>
      </c>
      <c r="J315" s="4" t="s">
        <v>11632</v>
      </c>
    </row>
    <row r="316" spans="1:10" hidden="1">
      <c r="A316" s="4">
        <v>2.0210733302000499E+17</v>
      </c>
      <c r="B316" s="4">
        <v>2082850919</v>
      </c>
      <c r="C316" s="4" t="s">
        <v>14148</v>
      </c>
      <c r="D316" s="4">
        <v>33302</v>
      </c>
      <c r="E316" s="4">
        <v>20210702</v>
      </c>
      <c r="F316" s="4">
        <v>20210702</v>
      </c>
      <c r="G316" s="4">
        <v>20240702</v>
      </c>
      <c r="H316" s="4" t="s">
        <v>2283</v>
      </c>
      <c r="I316" s="4" t="s">
        <v>14147</v>
      </c>
      <c r="J316" s="4" t="s">
        <v>4679</v>
      </c>
    </row>
    <row r="317" spans="1:10" hidden="1">
      <c r="A317" s="4">
        <v>2.0210774211000499E+17</v>
      </c>
      <c r="B317" s="4">
        <v>8018101323</v>
      </c>
      <c r="C317" s="4" t="s">
        <v>13982</v>
      </c>
      <c r="D317" s="4">
        <v>74211</v>
      </c>
      <c r="E317" s="4">
        <v>20210702</v>
      </c>
      <c r="F317" s="4">
        <v>20210702</v>
      </c>
      <c r="G317" s="4">
        <v>20240702</v>
      </c>
      <c r="H317" s="4" t="s">
        <v>13981</v>
      </c>
      <c r="I317" s="4" t="s">
        <v>209</v>
      </c>
      <c r="J317" s="4" t="s">
        <v>5576</v>
      </c>
    </row>
    <row r="318" spans="1:10" hidden="1">
      <c r="A318" s="4">
        <v>2.0210726299000602E+17</v>
      </c>
      <c r="B318" s="4">
        <v>2213468349</v>
      </c>
      <c r="C318" s="4" t="s">
        <v>13980</v>
      </c>
      <c r="D318" s="4">
        <v>26299</v>
      </c>
      <c r="E318" s="4">
        <v>20210702</v>
      </c>
      <c r="F318" s="4">
        <v>20210702</v>
      </c>
      <c r="G318" s="4">
        <v>20240702</v>
      </c>
      <c r="H318" s="4" t="s">
        <v>13979</v>
      </c>
      <c r="I318" s="4" t="s">
        <v>13978</v>
      </c>
      <c r="J318" s="4" t="s">
        <v>339</v>
      </c>
    </row>
    <row r="319" spans="1:10" hidden="1">
      <c r="A319" s="4">
        <v>2.0210746593000499E+17</v>
      </c>
      <c r="B319" s="4">
        <v>6137400471</v>
      </c>
      <c r="C319" s="4" t="s">
        <v>13977</v>
      </c>
      <c r="D319" s="4">
        <v>46593</v>
      </c>
      <c r="E319" s="4">
        <v>20210702</v>
      </c>
      <c r="F319" s="4">
        <v>20210702</v>
      </c>
      <c r="G319" s="4">
        <v>20240702</v>
      </c>
      <c r="H319" s="4" t="s">
        <v>13976</v>
      </c>
      <c r="I319" s="4" t="s">
        <v>91</v>
      </c>
      <c r="J319" s="4" t="s">
        <v>1469</v>
      </c>
    </row>
    <row r="320" spans="1:10" hidden="1">
      <c r="A320" s="4">
        <v>2.0210722232000499E+17</v>
      </c>
      <c r="B320" s="4">
        <v>7753100980</v>
      </c>
      <c r="C320" s="4" t="s">
        <v>13975</v>
      </c>
      <c r="D320" s="4">
        <v>22232</v>
      </c>
      <c r="E320" s="4">
        <v>20210702</v>
      </c>
      <c r="F320" s="4">
        <v>20210702</v>
      </c>
      <c r="G320" s="4">
        <v>20240702</v>
      </c>
      <c r="H320" s="4" t="s">
        <v>13974</v>
      </c>
      <c r="J320" s="4" t="s">
        <v>3289</v>
      </c>
    </row>
    <row r="321" spans="1:10" hidden="1">
      <c r="A321" s="4">
        <v>2.0210746522000499E+17</v>
      </c>
      <c r="B321" s="4">
        <v>1513000358</v>
      </c>
      <c r="C321" s="4" t="s">
        <v>13973</v>
      </c>
      <c r="D321" s="4">
        <v>46522</v>
      </c>
      <c r="E321" s="4">
        <v>20210702</v>
      </c>
      <c r="F321" s="4">
        <v>20210702</v>
      </c>
      <c r="G321" s="4">
        <v>20231230</v>
      </c>
      <c r="H321" s="4" t="s">
        <v>8957</v>
      </c>
      <c r="I321" s="4" t="s">
        <v>13972</v>
      </c>
      <c r="J321" s="4" t="s">
        <v>3922</v>
      </c>
    </row>
    <row r="322" spans="1:10" hidden="1">
      <c r="A322" s="4">
        <v>2.0210702040000499E+17</v>
      </c>
      <c r="B322" s="4">
        <v>3175200396</v>
      </c>
      <c r="C322" s="4" t="s">
        <v>13971</v>
      </c>
      <c r="D322" s="4">
        <v>2040</v>
      </c>
      <c r="E322" s="4">
        <v>20210702</v>
      </c>
      <c r="F322" s="4">
        <v>20210702</v>
      </c>
      <c r="G322" s="4">
        <v>20240702</v>
      </c>
      <c r="H322" s="4" t="s">
        <v>13970</v>
      </c>
      <c r="I322" s="4" t="s">
        <v>13969</v>
      </c>
      <c r="J322" s="4" t="s">
        <v>13968</v>
      </c>
    </row>
    <row r="323" spans="1:10" hidden="1">
      <c r="A323" s="4">
        <v>2.0210729169000499E+17</v>
      </c>
      <c r="B323" s="4">
        <v>4631900969</v>
      </c>
      <c r="C323" s="4" t="s">
        <v>13967</v>
      </c>
      <c r="D323" s="4">
        <v>29169</v>
      </c>
      <c r="E323" s="4">
        <v>20210702</v>
      </c>
      <c r="F323" s="4">
        <v>20210702</v>
      </c>
      <c r="G323" s="4">
        <v>20240702</v>
      </c>
      <c r="H323" s="4" t="s">
        <v>9603</v>
      </c>
      <c r="I323" s="4" t="s">
        <v>13966</v>
      </c>
      <c r="J323" s="4" t="s">
        <v>1734</v>
      </c>
    </row>
    <row r="324" spans="1:10">
      <c r="A324" s="4">
        <v>2.0210446453000198E+17</v>
      </c>
      <c r="B324" s="4">
        <v>7021101168</v>
      </c>
      <c r="C324" s="4" t="s">
        <v>7271</v>
      </c>
      <c r="D324" s="4">
        <v>46453</v>
      </c>
      <c r="E324" s="4">
        <v>20210422</v>
      </c>
      <c r="F324" s="4">
        <v>20210422</v>
      </c>
      <c r="G324" s="4">
        <v>20240422</v>
      </c>
      <c r="H324" s="4" t="s">
        <v>7270</v>
      </c>
      <c r="I324" s="4" t="s">
        <v>7269</v>
      </c>
      <c r="J324" s="4" t="s">
        <v>816</v>
      </c>
    </row>
    <row r="325" spans="1:10" hidden="1">
      <c r="A325" s="4">
        <v>2.0210774220000499E+17</v>
      </c>
      <c r="B325" s="4">
        <v>1368801927</v>
      </c>
      <c r="C325" s="4" t="s">
        <v>13963</v>
      </c>
      <c r="D325" s="4">
        <v>74220</v>
      </c>
      <c r="E325" s="4">
        <v>20210702</v>
      </c>
      <c r="F325" s="4">
        <v>20210702</v>
      </c>
      <c r="G325" s="4">
        <v>20240702</v>
      </c>
      <c r="H325" s="4" t="s">
        <v>13962</v>
      </c>
      <c r="I325" s="4" t="s">
        <v>13961</v>
      </c>
      <c r="J325" s="4" t="s">
        <v>2988</v>
      </c>
    </row>
    <row r="326" spans="1:10" hidden="1">
      <c r="A326" s="4">
        <v>2.0210772121000499E+17</v>
      </c>
      <c r="B326" s="4">
        <v>6628801033</v>
      </c>
      <c r="C326" s="4" t="s">
        <v>13960</v>
      </c>
      <c r="D326" s="4">
        <v>72121</v>
      </c>
      <c r="E326" s="4">
        <v>20210702</v>
      </c>
      <c r="F326" s="4">
        <v>20210702</v>
      </c>
      <c r="G326" s="4">
        <v>20240702</v>
      </c>
      <c r="H326" s="4" t="s">
        <v>13959</v>
      </c>
      <c r="I326" s="4" t="s">
        <v>91</v>
      </c>
      <c r="J326" s="4" t="s">
        <v>2243</v>
      </c>
    </row>
    <row r="327" spans="1:10" hidden="1">
      <c r="A327" s="4">
        <v>2.0210741229000499E+17</v>
      </c>
      <c r="B327" s="4">
        <v>2478601956</v>
      </c>
      <c r="C327" s="4" t="s">
        <v>13958</v>
      </c>
      <c r="D327" s="4">
        <v>41229</v>
      </c>
      <c r="E327" s="4">
        <v>20210702</v>
      </c>
      <c r="F327" s="4">
        <v>20210702</v>
      </c>
      <c r="G327" s="4">
        <v>20240702</v>
      </c>
      <c r="H327" s="4" t="s">
        <v>13957</v>
      </c>
      <c r="J327" s="4" t="s">
        <v>5083</v>
      </c>
    </row>
    <row r="328" spans="1:10" hidden="1">
      <c r="A328" s="4">
        <v>2.0210725999000602E+17</v>
      </c>
      <c r="B328" s="4">
        <v>7561501668</v>
      </c>
      <c r="C328" s="4" t="s">
        <v>13956</v>
      </c>
      <c r="D328" s="4">
        <v>25999</v>
      </c>
      <c r="E328" s="4">
        <v>20210702</v>
      </c>
      <c r="F328" s="4">
        <v>20210702</v>
      </c>
      <c r="G328" s="4">
        <v>20240702</v>
      </c>
      <c r="H328" s="4" t="s">
        <v>13955</v>
      </c>
      <c r="I328" s="4" t="s">
        <v>13954</v>
      </c>
      <c r="J328" s="4" t="s">
        <v>301</v>
      </c>
    </row>
    <row r="329" spans="1:10" hidden="1">
      <c r="A329" s="4">
        <v>2.0210717211000499E+17</v>
      </c>
      <c r="B329" s="4">
        <v>2553200921</v>
      </c>
      <c r="C329" s="4" t="s">
        <v>13953</v>
      </c>
      <c r="D329" s="4">
        <v>17211</v>
      </c>
      <c r="E329" s="4">
        <v>20210702</v>
      </c>
      <c r="F329" s="4">
        <v>20210702</v>
      </c>
      <c r="G329" s="4">
        <v>20240702</v>
      </c>
      <c r="H329" s="4" t="s">
        <v>13952</v>
      </c>
      <c r="J329" s="4" t="s">
        <v>3792</v>
      </c>
    </row>
    <row r="330" spans="1:10" hidden="1">
      <c r="A330" s="4">
        <v>2.0210758221000499E+17</v>
      </c>
      <c r="B330" s="4">
        <v>7738701622</v>
      </c>
      <c r="C330" s="4" t="s">
        <v>13951</v>
      </c>
      <c r="D330" s="4">
        <v>58221</v>
      </c>
      <c r="E330" s="4">
        <v>20210702</v>
      </c>
      <c r="F330" s="4">
        <v>20210702</v>
      </c>
      <c r="G330" s="4">
        <v>20240702</v>
      </c>
      <c r="H330" s="4" t="s">
        <v>13950</v>
      </c>
      <c r="I330" s="4" t="s">
        <v>13949</v>
      </c>
      <c r="J330" s="4" t="s">
        <v>228</v>
      </c>
    </row>
    <row r="331" spans="1:10" hidden="1">
      <c r="A331" s="4">
        <v>2.0210725932000499E+17</v>
      </c>
      <c r="B331" s="4">
        <v>7293200437</v>
      </c>
      <c r="C331" s="4" t="s">
        <v>13948</v>
      </c>
      <c r="D331" s="4">
        <v>25932</v>
      </c>
      <c r="E331" s="4">
        <v>20210702</v>
      </c>
      <c r="F331" s="4">
        <v>20210702</v>
      </c>
      <c r="G331" s="4">
        <v>20240702</v>
      </c>
      <c r="H331" s="4" t="s">
        <v>13947</v>
      </c>
      <c r="I331" s="4" t="s">
        <v>13946</v>
      </c>
      <c r="J331" s="4" t="s">
        <v>246</v>
      </c>
    </row>
    <row r="332" spans="1:10" hidden="1">
      <c r="A332" s="4">
        <v>2.0210774100000499E+17</v>
      </c>
      <c r="B332" s="4">
        <v>1471101681</v>
      </c>
      <c r="C332" s="4" t="s">
        <v>13945</v>
      </c>
      <c r="D332" s="4">
        <v>74100</v>
      </c>
      <c r="E332" s="4">
        <v>20210702</v>
      </c>
      <c r="F332" s="4">
        <v>20210702</v>
      </c>
      <c r="G332" s="4">
        <v>20240702</v>
      </c>
      <c r="H332" s="4" t="s">
        <v>3862</v>
      </c>
      <c r="J332" s="4" t="s">
        <v>2207</v>
      </c>
    </row>
    <row r="333" spans="1:10" hidden="1">
      <c r="A333" s="4">
        <v>2.0210729193000499E+17</v>
      </c>
      <c r="B333" s="4">
        <v>5198602281</v>
      </c>
      <c r="C333" s="4" t="s">
        <v>13944</v>
      </c>
      <c r="D333" s="4">
        <v>29193</v>
      </c>
      <c r="E333" s="4">
        <v>20210702</v>
      </c>
      <c r="F333" s="4">
        <v>20210702</v>
      </c>
      <c r="G333" s="4">
        <v>20240702</v>
      </c>
      <c r="H333" s="4" t="s">
        <v>10206</v>
      </c>
      <c r="I333" s="4" t="s">
        <v>13943</v>
      </c>
      <c r="J333" s="4" t="s">
        <v>721</v>
      </c>
    </row>
    <row r="334" spans="1:10" hidden="1">
      <c r="A334" s="4">
        <v>2.0210771531000499E+17</v>
      </c>
      <c r="B334" s="4">
        <v>2238119455</v>
      </c>
      <c r="C334" s="4" t="s">
        <v>13942</v>
      </c>
      <c r="D334" s="4">
        <v>71531</v>
      </c>
      <c r="E334" s="4">
        <v>20210702</v>
      </c>
      <c r="F334" s="4">
        <v>20210702</v>
      </c>
      <c r="G334" s="4">
        <v>20240702</v>
      </c>
      <c r="H334" s="4" t="s">
        <v>2275</v>
      </c>
      <c r="I334" s="4" t="s">
        <v>2274</v>
      </c>
      <c r="J334" s="4" t="s">
        <v>87</v>
      </c>
    </row>
    <row r="335" spans="1:10" hidden="1">
      <c r="A335" s="4">
        <v>2.0210725119000499E+17</v>
      </c>
      <c r="B335" s="4">
        <v>7448100939</v>
      </c>
      <c r="C335" s="4" t="s">
        <v>13941</v>
      </c>
      <c r="D335" s="4">
        <v>25119</v>
      </c>
      <c r="E335" s="4">
        <v>20210702</v>
      </c>
      <c r="F335" s="4">
        <v>20210702</v>
      </c>
      <c r="G335" s="4">
        <v>20240702</v>
      </c>
      <c r="H335" s="4" t="s">
        <v>13940</v>
      </c>
      <c r="I335" s="4" t="s">
        <v>13939</v>
      </c>
      <c r="J335" s="4" t="s">
        <v>679</v>
      </c>
    </row>
    <row r="336" spans="1:10" hidden="1">
      <c r="A336" s="4">
        <v>2.0210711202000499E+17</v>
      </c>
      <c r="B336" s="4">
        <v>4908602001</v>
      </c>
      <c r="C336" s="4" t="s">
        <v>13938</v>
      </c>
      <c r="D336" s="4">
        <v>11202</v>
      </c>
      <c r="E336" s="4">
        <v>20210702</v>
      </c>
      <c r="F336" s="4">
        <v>20210702</v>
      </c>
      <c r="G336" s="4">
        <v>20240702</v>
      </c>
      <c r="H336" s="4" t="s">
        <v>13937</v>
      </c>
      <c r="J336" s="4" t="s">
        <v>13936</v>
      </c>
    </row>
    <row r="337" spans="1:10" hidden="1">
      <c r="A337" s="4">
        <v>2.0210722299000499E+17</v>
      </c>
      <c r="B337" s="4">
        <v>4998701331</v>
      </c>
      <c r="C337" s="4" t="s">
        <v>13935</v>
      </c>
      <c r="D337" s="4">
        <v>22299</v>
      </c>
      <c r="E337" s="4">
        <v>20210702</v>
      </c>
      <c r="F337" s="4">
        <v>20210702</v>
      </c>
      <c r="G337" s="4">
        <v>20240702</v>
      </c>
      <c r="H337" s="4" t="s">
        <v>13934</v>
      </c>
      <c r="I337" s="4" t="s">
        <v>13933</v>
      </c>
      <c r="J337" s="4" t="s">
        <v>384</v>
      </c>
    </row>
    <row r="338" spans="1:10" hidden="1">
      <c r="A338" s="4">
        <v>2.0210760221000499E+17</v>
      </c>
      <c r="B338" s="4">
        <v>1668800803</v>
      </c>
      <c r="C338" s="4" t="s">
        <v>13932</v>
      </c>
      <c r="D338" s="4">
        <v>60221</v>
      </c>
      <c r="E338" s="4">
        <v>20210702</v>
      </c>
      <c r="F338" s="4">
        <v>20210702</v>
      </c>
      <c r="G338" s="4">
        <v>20240702</v>
      </c>
      <c r="H338" s="4" t="s">
        <v>4799</v>
      </c>
      <c r="I338" s="4" t="s">
        <v>13931</v>
      </c>
      <c r="J338" s="4" t="s">
        <v>4178</v>
      </c>
    </row>
    <row r="339" spans="1:10" hidden="1">
      <c r="A339" s="4">
        <v>2.0210758222000499E+17</v>
      </c>
      <c r="B339" s="4">
        <v>8078601632</v>
      </c>
      <c r="C339" s="4" t="s">
        <v>13930</v>
      </c>
      <c r="D339" s="4">
        <v>58222</v>
      </c>
      <c r="E339" s="4">
        <v>20210702</v>
      </c>
      <c r="F339" s="4">
        <v>20210702</v>
      </c>
      <c r="G339" s="4">
        <v>20240702</v>
      </c>
      <c r="H339" s="4" t="s">
        <v>230</v>
      </c>
      <c r="I339" s="4" t="s">
        <v>13929</v>
      </c>
      <c r="J339" s="4" t="s">
        <v>94</v>
      </c>
    </row>
    <row r="340" spans="1:10" hidden="1">
      <c r="A340" s="4">
        <v>2.0210726129000602E+17</v>
      </c>
      <c r="B340" s="4">
        <v>8208600164</v>
      </c>
      <c r="C340" s="4" t="s">
        <v>13928</v>
      </c>
      <c r="D340" s="4">
        <v>26129</v>
      </c>
      <c r="E340" s="4">
        <v>20210702</v>
      </c>
      <c r="F340" s="4">
        <v>20210702</v>
      </c>
      <c r="G340" s="4">
        <v>20221216</v>
      </c>
      <c r="H340" s="4" t="s">
        <v>13927</v>
      </c>
      <c r="I340" s="4" t="s">
        <v>13926</v>
      </c>
      <c r="J340" s="4" t="s">
        <v>403</v>
      </c>
    </row>
    <row r="341" spans="1:10" hidden="1">
      <c r="A341" s="4">
        <v>2.0210720423000602E+17</v>
      </c>
      <c r="B341" s="4">
        <v>6388801141</v>
      </c>
      <c r="C341" s="4" t="s">
        <v>13925</v>
      </c>
      <c r="D341" s="4">
        <v>20423</v>
      </c>
      <c r="E341" s="4">
        <v>20210702</v>
      </c>
      <c r="F341" s="4">
        <v>20210702</v>
      </c>
      <c r="G341" s="4">
        <v>20240702</v>
      </c>
      <c r="H341" s="4" t="s">
        <v>825</v>
      </c>
      <c r="I341" s="4" t="s">
        <v>13924</v>
      </c>
      <c r="J341" s="4" t="s">
        <v>368</v>
      </c>
    </row>
    <row r="342" spans="1:10" hidden="1">
      <c r="A342" s="4">
        <v>2.0210775992000499E+17</v>
      </c>
      <c r="B342" s="4">
        <v>3838102334</v>
      </c>
      <c r="C342" s="4" t="s">
        <v>13923</v>
      </c>
      <c r="D342" s="4">
        <v>75992</v>
      </c>
      <c r="E342" s="4">
        <v>20210702</v>
      </c>
      <c r="F342" s="4">
        <v>20210702</v>
      </c>
      <c r="G342" s="4">
        <v>20240702</v>
      </c>
      <c r="H342" s="4" t="s">
        <v>3728</v>
      </c>
      <c r="I342" s="4" t="s">
        <v>13922</v>
      </c>
      <c r="J342" s="4" t="s">
        <v>111</v>
      </c>
    </row>
    <row r="343" spans="1:10" hidden="1">
      <c r="A343" s="4">
        <v>2.0210747912000499E+17</v>
      </c>
      <c r="B343" s="4">
        <v>2290801794</v>
      </c>
      <c r="C343" s="4" t="s">
        <v>14146</v>
      </c>
      <c r="D343" s="4">
        <v>47912</v>
      </c>
      <c r="E343" s="4">
        <v>20210702</v>
      </c>
      <c r="F343" s="4">
        <v>20210702</v>
      </c>
      <c r="G343" s="4">
        <v>20240702</v>
      </c>
      <c r="H343" s="4" t="s">
        <v>14145</v>
      </c>
      <c r="I343" s="4" t="s">
        <v>14144</v>
      </c>
      <c r="J343" s="4" t="s">
        <v>78</v>
      </c>
    </row>
    <row r="344" spans="1:10" hidden="1">
      <c r="A344" s="4">
        <v>2.0210731999000499E+17</v>
      </c>
      <c r="B344" s="4">
        <v>6151931802</v>
      </c>
      <c r="C344" s="4" t="s">
        <v>14100</v>
      </c>
      <c r="D344" s="4">
        <v>31999</v>
      </c>
      <c r="E344" s="4">
        <v>20210702</v>
      </c>
      <c r="F344" s="4">
        <v>20210702</v>
      </c>
      <c r="G344" s="4">
        <v>20210807</v>
      </c>
      <c r="H344" s="4" t="s">
        <v>14099</v>
      </c>
      <c r="J344" s="4" t="s">
        <v>14098</v>
      </c>
    </row>
    <row r="345" spans="1:10">
      <c r="A345" s="4">
        <v>2.0210446453000198E+17</v>
      </c>
      <c r="B345" s="4">
        <v>7911101042</v>
      </c>
      <c r="C345" s="4" t="s">
        <v>7461</v>
      </c>
      <c r="D345" s="4">
        <v>46453</v>
      </c>
      <c r="E345" s="4">
        <v>20210423</v>
      </c>
      <c r="F345" s="4">
        <v>20210423</v>
      </c>
      <c r="G345" s="4">
        <v>20240423</v>
      </c>
      <c r="H345" s="4" t="s">
        <v>7460</v>
      </c>
      <c r="I345" s="4" t="s">
        <v>7459</v>
      </c>
      <c r="J345" s="4" t="s">
        <v>816</v>
      </c>
    </row>
    <row r="346" spans="1:10" hidden="1">
      <c r="A346" s="4">
        <v>2.0210720411000499E+17</v>
      </c>
      <c r="B346" s="4">
        <v>6188127207</v>
      </c>
      <c r="C346" s="4" t="s">
        <v>13913</v>
      </c>
      <c r="D346" s="4">
        <v>20411</v>
      </c>
      <c r="E346" s="4">
        <v>20210702</v>
      </c>
      <c r="F346" s="4">
        <v>20210702</v>
      </c>
      <c r="G346" s="4">
        <v>20240702</v>
      </c>
      <c r="H346" s="4" t="s">
        <v>13914</v>
      </c>
      <c r="I346" s="4" t="s">
        <v>13913</v>
      </c>
      <c r="J346" s="4" t="s">
        <v>694</v>
      </c>
    </row>
    <row r="347" spans="1:10" hidden="1">
      <c r="A347" s="4">
        <v>2.0210773203000499E+17</v>
      </c>
      <c r="B347" s="4">
        <v>6128153347</v>
      </c>
      <c r="C347" s="4" t="s">
        <v>13912</v>
      </c>
      <c r="D347" s="4">
        <v>73203</v>
      </c>
      <c r="E347" s="4">
        <v>20210702</v>
      </c>
      <c r="F347" s="4">
        <v>20210702</v>
      </c>
      <c r="G347" s="4">
        <v>20240702</v>
      </c>
      <c r="H347" s="4" t="s">
        <v>13911</v>
      </c>
      <c r="I347" s="4" t="s">
        <v>13910</v>
      </c>
      <c r="J347" s="4" t="s">
        <v>260</v>
      </c>
    </row>
    <row r="348" spans="1:10" hidden="1">
      <c r="A348" s="4">
        <v>2.0210714199000499E+17</v>
      </c>
      <c r="B348" s="4">
        <v>3048700989</v>
      </c>
      <c r="C348" s="4" t="s">
        <v>13909</v>
      </c>
      <c r="D348" s="4">
        <v>14199</v>
      </c>
      <c r="E348" s="4">
        <v>20210702</v>
      </c>
      <c r="F348" s="4">
        <v>20210702</v>
      </c>
      <c r="G348" s="4">
        <v>20240702</v>
      </c>
      <c r="H348" s="4" t="s">
        <v>13908</v>
      </c>
      <c r="I348" s="4" t="s">
        <v>4507</v>
      </c>
      <c r="J348" s="4" t="s">
        <v>3215</v>
      </c>
    </row>
    <row r="349" spans="1:10" hidden="1">
      <c r="A349" s="4">
        <v>2.0210758222000499E+17</v>
      </c>
      <c r="B349" s="4">
        <v>6988801274</v>
      </c>
      <c r="C349" s="4" t="s">
        <v>13907</v>
      </c>
      <c r="D349" s="4">
        <v>58222</v>
      </c>
      <c r="E349" s="4">
        <v>20210702</v>
      </c>
      <c r="F349" s="4">
        <v>20210702</v>
      </c>
      <c r="G349" s="4">
        <v>20240702</v>
      </c>
      <c r="H349" s="4" t="s">
        <v>13906</v>
      </c>
      <c r="I349" s="4">
        <v>45</v>
      </c>
      <c r="J349" s="4" t="s">
        <v>94</v>
      </c>
    </row>
    <row r="350" spans="1:10" hidden="1">
      <c r="A350" s="4">
        <v>2.0210770130000499E+17</v>
      </c>
      <c r="B350" s="4">
        <v>2088601887</v>
      </c>
      <c r="C350" s="4" t="s">
        <v>13905</v>
      </c>
      <c r="D350" s="4">
        <v>70130</v>
      </c>
      <c r="E350" s="4">
        <v>20210702</v>
      </c>
      <c r="F350" s="4">
        <v>20210702</v>
      </c>
      <c r="G350" s="4">
        <v>20240702</v>
      </c>
      <c r="H350" s="4" t="s">
        <v>13904</v>
      </c>
      <c r="I350" s="4" t="s">
        <v>13903</v>
      </c>
      <c r="J350" s="4" t="s">
        <v>170</v>
      </c>
    </row>
    <row r="351" spans="1:10" hidden="1">
      <c r="A351" s="4">
        <v>2.0210746800000499E+17</v>
      </c>
      <c r="B351" s="4">
        <v>3068701330</v>
      </c>
      <c r="C351" s="4" t="s">
        <v>13902</v>
      </c>
      <c r="D351" s="4">
        <v>46800</v>
      </c>
      <c r="E351" s="4">
        <v>20210702</v>
      </c>
      <c r="F351" s="4">
        <v>20210702</v>
      </c>
      <c r="G351" s="4">
        <v>20240702</v>
      </c>
      <c r="H351" s="4" t="s">
        <v>13901</v>
      </c>
      <c r="I351" s="4" t="s">
        <v>13900</v>
      </c>
      <c r="J351" s="4" t="s">
        <v>979</v>
      </c>
    </row>
    <row r="352" spans="1:10" hidden="1">
      <c r="A352" s="4">
        <v>2.0210758221000499E+17</v>
      </c>
      <c r="B352" s="4">
        <v>5628800807</v>
      </c>
      <c r="C352" s="4" t="s">
        <v>13899</v>
      </c>
      <c r="D352" s="4">
        <v>58221</v>
      </c>
      <c r="E352" s="4">
        <v>20210702</v>
      </c>
      <c r="F352" s="4">
        <v>20210702</v>
      </c>
      <c r="G352" s="4">
        <v>20240702</v>
      </c>
      <c r="H352" s="4" t="s">
        <v>2507</v>
      </c>
      <c r="I352" s="4" t="s">
        <v>13898</v>
      </c>
      <c r="J352" s="4" t="s">
        <v>228</v>
      </c>
    </row>
    <row r="353" spans="1:10" hidden="1">
      <c r="A353" s="4">
        <v>2.0210758221000499E+17</v>
      </c>
      <c r="B353" s="4">
        <v>8048601104</v>
      </c>
      <c r="C353" s="4" t="s">
        <v>13897</v>
      </c>
      <c r="D353" s="4">
        <v>58221</v>
      </c>
      <c r="E353" s="4">
        <v>20210702</v>
      </c>
      <c r="F353" s="4">
        <v>20210702</v>
      </c>
      <c r="G353" s="4">
        <v>20240702</v>
      </c>
      <c r="H353" s="4" t="s">
        <v>13896</v>
      </c>
      <c r="I353" s="4" t="s">
        <v>6104</v>
      </c>
      <c r="J353" s="4" t="s">
        <v>228</v>
      </c>
    </row>
    <row r="354" spans="1:10" hidden="1">
      <c r="A354" s="4">
        <v>2.0210746329000499E+17</v>
      </c>
      <c r="B354" s="4">
        <v>8958600886</v>
      </c>
      <c r="C354" s="4" t="s">
        <v>13895</v>
      </c>
      <c r="D354" s="4">
        <v>46329</v>
      </c>
      <c r="E354" s="4">
        <v>20210702</v>
      </c>
      <c r="F354" s="4">
        <v>20210702</v>
      </c>
      <c r="G354" s="4">
        <v>20240702</v>
      </c>
      <c r="H354" s="4" t="s">
        <v>13894</v>
      </c>
      <c r="I354" s="4" t="s">
        <v>13893</v>
      </c>
      <c r="J354" s="4" t="s">
        <v>830</v>
      </c>
    </row>
    <row r="355" spans="1:10" hidden="1">
      <c r="A355" s="4">
        <v>2.0210742311000499E+17</v>
      </c>
      <c r="B355" s="4">
        <v>5988700487</v>
      </c>
      <c r="C355" s="4" t="s">
        <v>13892</v>
      </c>
      <c r="D355" s="4">
        <v>42311</v>
      </c>
      <c r="E355" s="4">
        <v>20210702</v>
      </c>
      <c r="F355" s="4">
        <v>20210702</v>
      </c>
      <c r="G355" s="4">
        <v>20240120</v>
      </c>
      <c r="H355" s="4" t="s">
        <v>13891</v>
      </c>
      <c r="I355" s="4" t="s">
        <v>149</v>
      </c>
      <c r="J355" s="4" t="s">
        <v>718</v>
      </c>
    </row>
    <row r="356" spans="1:10" hidden="1">
      <c r="A356" s="4">
        <v>2.0210776210000602E+17</v>
      </c>
      <c r="B356" s="4">
        <v>1488600247</v>
      </c>
      <c r="C356" s="4" t="s">
        <v>13890</v>
      </c>
      <c r="D356" s="4">
        <v>76210</v>
      </c>
      <c r="E356" s="4">
        <v>20210702</v>
      </c>
      <c r="F356" s="4">
        <v>20210702</v>
      </c>
      <c r="G356" s="4">
        <v>20220817</v>
      </c>
      <c r="H356" s="4" t="s">
        <v>13889</v>
      </c>
      <c r="I356" s="4" t="s">
        <v>970</v>
      </c>
      <c r="J356" s="4" t="s">
        <v>13888</v>
      </c>
    </row>
    <row r="357" spans="1:10" hidden="1">
      <c r="A357" s="4">
        <v>2.0210726421000499E+17</v>
      </c>
      <c r="B357" s="4">
        <v>8408701408</v>
      </c>
      <c r="C357" s="4" t="s">
        <v>13887</v>
      </c>
      <c r="D357" s="4">
        <v>26421</v>
      </c>
      <c r="E357" s="4">
        <v>20210702</v>
      </c>
      <c r="F357" s="4">
        <v>20210702</v>
      </c>
      <c r="G357" s="4">
        <v>20240702</v>
      </c>
      <c r="H357" s="4" t="s">
        <v>13886</v>
      </c>
      <c r="I357" s="4" t="s">
        <v>13885</v>
      </c>
      <c r="J357" s="4" t="s">
        <v>1767</v>
      </c>
    </row>
    <row r="358" spans="1:10" hidden="1">
      <c r="A358" s="4">
        <v>2.0210758222000499E+17</v>
      </c>
      <c r="B358" s="4">
        <v>4078801135</v>
      </c>
      <c r="C358" s="4" t="s">
        <v>13884</v>
      </c>
      <c r="D358" s="4">
        <v>58222</v>
      </c>
      <c r="E358" s="4">
        <v>20210702</v>
      </c>
      <c r="F358" s="4">
        <v>20210702</v>
      </c>
      <c r="G358" s="4">
        <v>20240702</v>
      </c>
      <c r="H358" s="4" t="s">
        <v>13883</v>
      </c>
      <c r="I358" s="4" t="s">
        <v>149</v>
      </c>
      <c r="J358" s="4" t="s">
        <v>94</v>
      </c>
    </row>
    <row r="359" spans="1:10" hidden="1">
      <c r="A359" s="4">
        <v>2.0210771310000499E+17</v>
      </c>
      <c r="B359" s="4">
        <v>2028600497</v>
      </c>
      <c r="C359" s="4" t="s">
        <v>13882</v>
      </c>
      <c r="D359" s="4">
        <v>71310</v>
      </c>
      <c r="E359" s="4">
        <v>20210702</v>
      </c>
      <c r="F359" s="4">
        <v>20210702</v>
      </c>
      <c r="G359" s="4">
        <v>20231025</v>
      </c>
      <c r="H359" s="4" t="s">
        <v>13881</v>
      </c>
      <c r="I359" s="4" t="s">
        <v>91</v>
      </c>
      <c r="J359" s="4" t="s">
        <v>426</v>
      </c>
    </row>
    <row r="360" spans="1:10" hidden="1">
      <c r="A360" s="4">
        <v>2.0210762090000499E+17</v>
      </c>
      <c r="B360" s="4">
        <v>8458701494</v>
      </c>
      <c r="C360" s="4" t="s">
        <v>13880</v>
      </c>
      <c r="D360" s="4">
        <v>62090</v>
      </c>
      <c r="E360" s="4">
        <v>20210702</v>
      </c>
      <c r="F360" s="4">
        <v>20210702</v>
      </c>
      <c r="G360" s="4">
        <v>20240702</v>
      </c>
      <c r="H360" s="4" t="s">
        <v>1977</v>
      </c>
      <c r="I360" s="4" t="s">
        <v>13879</v>
      </c>
      <c r="J360" s="4" t="s">
        <v>2030</v>
      </c>
    </row>
    <row r="361" spans="1:10" hidden="1">
      <c r="A361" s="4">
        <v>2.0210728119000499E+17</v>
      </c>
      <c r="B361" s="4">
        <v>1148719963</v>
      </c>
      <c r="C361" s="4" t="s">
        <v>13878</v>
      </c>
      <c r="D361" s="4">
        <v>28119</v>
      </c>
      <c r="E361" s="4">
        <v>20210702</v>
      </c>
      <c r="F361" s="4">
        <v>20210702</v>
      </c>
      <c r="G361" s="4">
        <v>20210804</v>
      </c>
      <c r="H361" s="4" t="s">
        <v>13877</v>
      </c>
      <c r="I361" s="4" t="s">
        <v>13876</v>
      </c>
      <c r="J361" s="4" t="s">
        <v>1816</v>
      </c>
    </row>
    <row r="362" spans="1:10" hidden="1">
      <c r="A362" s="4">
        <v>2.0210720202000499E+17</v>
      </c>
      <c r="B362" s="4">
        <v>7418701945</v>
      </c>
      <c r="C362" s="4" t="s">
        <v>13875</v>
      </c>
      <c r="D362" s="4">
        <v>20202</v>
      </c>
      <c r="E362" s="4">
        <v>20210702</v>
      </c>
      <c r="F362" s="4">
        <v>20210702</v>
      </c>
      <c r="G362" s="4">
        <v>20240702</v>
      </c>
      <c r="H362" s="4" t="s">
        <v>1525</v>
      </c>
      <c r="I362" s="4" t="s">
        <v>13874</v>
      </c>
      <c r="J362" s="4" t="s">
        <v>224</v>
      </c>
    </row>
    <row r="363" spans="1:10" hidden="1">
      <c r="A363" s="4">
        <v>2.0210742322000499E+17</v>
      </c>
      <c r="B363" s="4">
        <v>5728701937</v>
      </c>
      <c r="C363" s="4" t="s">
        <v>13873</v>
      </c>
      <c r="D363" s="4">
        <v>42322</v>
      </c>
      <c r="E363" s="4">
        <v>20210702</v>
      </c>
      <c r="F363" s="4">
        <v>20210702</v>
      </c>
      <c r="G363" s="4">
        <v>20240702</v>
      </c>
      <c r="H363" s="4" t="s">
        <v>13872</v>
      </c>
      <c r="I363" s="4" t="s">
        <v>175</v>
      </c>
      <c r="J363" s="4" t="s">
        <v>2524</v>
      </c>
    </row>
    <row r="364" spans="1:10" hidden="1">
      <c r="A364" s="4">
        <v>2.0210775992000499E+17</v>
      </c>
      <c r="B364" s="4">
        <v>8718701284</v>
      </c>
      <c r="C364" s="4" t="s">
        <v>13871</v>
      </c>
      <c r="D364" s="4">
        <v>75992</v>
      </c>
      <c r="E364" s="4">
        <v>20210702</v>
      </c>
      <c r="F364" s="4">
        <v>20210702</v>
      </c>
      <c r="G364" s="4">
        <v>20240702</v>
      </c>
      <c r="H364" s="4" t="s">
        <v>13870</v>
      </c>
      <c r="J364" s="4" t="s">
        <v>111</v>
      </c>
    </row>
    <row r="365" spans="1:10" hidden="1">
      <c r="A365" s="4">
        <v>2.0210758222000499E+17</v>
      </c>
      <c r="B365" s="4">
        <v>1798102297</v>
      </c>
      <c r="C365" s="4" t="s">
        <v>13869</v>
      </c>
      <c r="D365" s="4">
        <v>58222</v>
      </c>
      <c r="E365" s="4">
        <v>20210702</v>
      </c>
      <c r="F365" s="4">
        <v>20210702</v>
      </c>
      <c r="G365" s="4">
        <v>20240702</v>
      </c>
      <c r="H365" s="4" t="s">
        <v>13868</v>
      </c>
      <c r="I365" s="4" t="s">
        <v>239</v>
      </c>
      <c r="J365" s="4" t="s">
        <v>94</v>
      </c>
    </row>
    <row r="366" spans="1:10" hidden="1">
      <c r="A366" s="4">
        <v>2.0210771531000499E+17</v>
      </c>
      <c r="B366" s="4">
        <v>6968601987</v>
      </c>
      <c r="C366" s="4" t="s">
        <v>13867</v>
      </c>
      <c r="D366" s="4">
        <v>71531</v>
      </c>
      <c r="E366" s="4">
        <v>20210702</v>
      </c>
      <c r="F366" s="4">
        <v>20210702</v>
      </c>
      <c r="G366" s="4">
        <v>20240702</v>
      </c>
      <c r="H366" s="4" t="s">
        <v>13866</v>
      </c>
      <c r="I366" s="4" t="s">
        <v>13865</v>
      </c>
      <c r="J366" s="4" t="s">
        <v>87</v>
      </c>
    </row>
    <row r="367" spans="1:10" hidden="1">
      <c r="A367" s="4">
        <v>2.0210726293000499E+17</v>
      </c>
      <c r="B367" s="4">
        <v>4638601766</v>
      </c>
      <c r="C367" s="4" t="s">
        <v>13864</v>
      </c>
      <c r="D367" s="4">
        <v>26293</v>
      </c>
      <c r="E367" s="4">
        <v>20210702</v>
      </c>
      <c r="F367" s="4">
        <v>20210702</v>
      </c>
      <c r="G367" s="4">
        <v>20240702</v>
      </c>
      <c r="H367" s="4" t="s">
        <v>2507</v>
      </c>
      <c r="I367" s="4" t="s">
        <v>13863</v>
      </c>
      <c r="J367" s="4" t="s">
        <v>13862</v>
      </c>
    </row>
    <row r="368" spans="1:10" hidden="1">
      <c r="A368" s="4">
        <v>2.0210716101000499E+17</v>
      </c>
      <c r="B368" s="4">
        <v>3138132222</v>
      </c>
      <c r="C368" s="4" t="s">
        <v>13861</v>
      </c>
      <c r="D368" s="4">
        <v>16101</v>
      </c>
      <c r="E368" s="4">
        <v>20210702</v>
      </c>
      <c r="F368" s="4">
        <v>20210702</v>
      </c>
      <c r="G368" s="4">
        <v>20210709</v>
      </c>
      <c r="H368" s="4" t="s">
        <v>13860</v>
      </c>
      <c r="I368" s="4" t="s">
        <v>239</v>
      </c>
      <c r="J368" s="4" t="s">
        <v>468</v>
      </c>
    </row>
    <row r="369" spans="1:10" hidden="1">
      <c r="A369" s="4">
        <v>2.0210742311000499E+17</v>
      </c>
      <c r="B369" s="4">
        <v>4318800819</v>
      </c>
      <c r="C369" s="4" t="s">
        <v>13859</v>
      </c>
      <c r="D369" s="4">
        <v>42311</v>
      </c>
      <c r="E369" s="4">
        <v>20210702</v>
      </c>
      <c r="F369" s="4">
        <v>20210702</v>
      </c>
      <c r="G369" s="4">
        <v>20240702</v>
      </c>
      <c r="H369" s="4" t="s">
        <v>13858</v>
      </c>
      <c r="I369" s="4" t="s">
        <v>13857</v>
      </c>
      <c r="J369" s="4" t="s">
        <v>718</v>
      </c>
    </row>
    <row r="370" spans="1:10" hidden="1">
      <c r="A370" s="4">
        <v>2.0210729222000499E+17</v>
      </c>
      <c r="B370" s="4">
        <v>1898101276</v>
      </c>
      <c r="C370" s="4" t="s">
        <v>13856</v>
      </c>
      <c r="D370" s="4">
        <v>29222</v>
      </c>
      <c r="E370" s="4">
        <v>20210702</v>
      </c>
      <c r="F370" s="4">
        <v>20210702</v>
      </c>
      <c r="G370" s="4">
        <v>20240702</v>
      </c>
      <c r="H370" s="4" t="s">
        <v>10760</v>
      </c>
      <c r="I370" s="4" t="s">
        <v>13855</v>
      </c>
      <c r="J370" s="4" t="s">
        <v>4276</v>
      </c>
    </row>
    <row r="371" spans="1:10" hidden="1">
      <c r="A371" s="4">
        <v>2.0210770121000499E+17</v>
      </c>
      <c r="B371" s="4">
        <v>2358701789</v>
      </c>
      <c r="C371" s="4" t="s">
        <v>13854</v>
      </c>
      <c r="D371" s="4">
        <v>70121</v>
      </c>
      <c r="E371" s="4">
        <v>20210702</v>
      </c>
      <c r="F371" s="4">
        <v>20210702</v>
      </c>
      <c r="G371" s="4">
        <v>20240702</v>
      </c>
      <c r="H371" s="4" t="s">
        <v>13853</v>
      </c>
      <c r="I371" s="4" t="s">
        <v>3119</v>
      </c>
      <c r="J371" s="4" t="s">
        <v>1267</v>
      </c>
    </row>
    <row r="372" spans="1:10" hidden="1">
      <c r="A372" s="4">
        <v>2.0210758222000499E+17</v>
      </c>
      <c r="B372" s="4">
        <v>5788601826</v>
      </c>
      <c r="C372" s="4" t="s">
        <v>13852</v>
      </c>
      <c r="D372" s="4">
        <v>58222</v>
      </c>
      <c r="E372" s="4">
        <v>20210702</v>
      </c>
      <c r="F372" s="4">
        <v>20210702</v>
      </c>
      <c r="G372" s="4">
        <v>20240702</v>
      </c>
      <c r="H372" s="4" t="s">
        <v>13851</v>
      </c>
      <c r="I372" s="4" t="s">
        <v>13850</v>
      </c>
      <c r="J372" s="4" t="s">
        <v>94</v>
      </c>
    </row>
    <row r="373" spans="1:10" hidden="1">
      <c r="A373" s="4">
        <v>2.0210771531000499E+17</v>
      </c>
      <c r="B373" s="4">
        <v>5238701406</v>
      </c>
      <c r="C373" s="4" t="s">
        <v>13849</v>
      </c>
      <c r="D373" s="4">
        <v>71531</v>
      </c>
      <c r="E373" s="4">
        <v>20210702</v>
      </c>
      <c r="F373" s="4">
        <v>20210702</v>
      </c>
      <c r="G373" s="4">
        <v>20240702</v>
      </c>
      <c r="H373" s="4" t="s">
        <v>13848</v>
      </c>
      <c r="I373" s="4" t="s">
        <v>3000</v>
      </c>
      <c r="J373" s="4" t="s">
        <v>87</v>
      </c>
    </row>
    <row r="374" spans="1:10" hidden="1">
      <c r="A374" s="4">
        <v>2.0210747912000499E+17</v>
      </c>
      <c r="B374" s="4">
        <v>3608801331</v>
      </c>
      <c r="C374" s="4" t="s">
        <v>13847</v>
      </c>
      <c r="D374" s="4">
        <v>47912</v>
      </c>
      <c r="E374" s="4">
        <v>20210702</v>
      </c>
      <c r="F374" s="4">
        <v>20210702</v>
      </c>
      <c r="G374" s="4">
        <v>20240702</v>
      </c>
      <c r="H374" s="4" t="s">
        <v>13846</v>
      </c>
      <c r="J374" s="4" t="s">
        <v>78</v>
      </c>
    </row>
    <row r="375" spans="1:10" hidden="1">
      <c r="A375" s="4">
        <v>2.0210772111000499E+17</v>
      </c>
      <c r="B375" s="4">
        <v>4378102096</v>
      </c>
      <c r="C375" s="4" t="s">
        <v>13845</v>
      </c>
      <c r="D375" s="4">
        <v>72111</v>
      </c>
      <c r="E375" s="4">
        <v>20210702</v>
      </c>
      <c r="F375" s="4">
        <v>20210702</v>
      </c>
      <c r="G375" s="4">
        <v>20240702</v>
      </c>
      <c r="H375" s="4" t="s">
        <v>7914</v>
      </c>
      <c r="I375" s="4" t="s">
        <v>2790</v>
      </c>
      <c r="J375" s="4" t="s">
        <v>3461</v>
      </c>
    </row>
    <row r="376" spans="1:10" hidden="1">
      <c r="A376" s="4">
        <v>2.0210728123000499E+17</v>
      </c>
      <c r="B376" s="4">
        <v>3218700742</v>
      </c>
      <c r="C376" s="4" t="s">
        <v>13844</v>
      </c>
      <c r="D376" s="4">
        <v>28123</v>
      </c>
      <c r="E376" s="4">
        <v>20210702</v>
      </c>
      <c r="F376" s="4">
        <v>20210702</v>
      </c>
      <c r="G376" s="4">
        <v>20240519</v>
      </c>
      <c r="H376" s="4" t="s">
        <v>13843</v>
      </c>
      <c r="I376" s="4" t="s">
        <v>13842</v>
      </c>
      <c r="J376" s="4" t="s">
        <v>640</v>
      </c>
    </row>
    <row r="377" spans="1:10" hidden="1">
      <c r="A377" s="4">
        <v>2.0210742492000499E+17</v>
      </c>
      <c r="B377" s="4">
        <v>1728801020</v>
      </c>
      <c r="C377" s="4" t="s">
        <v>13841</v>
      </c>
      <c r="D377" s="4">
        <v>42492</v>
      </c>
      <c r="E377" s="4">
        <v>20210702</v>
      </c>
      <c r="F377" s="4">
        <v>20210702</v>
      </c>
      <c r="G377" s="4">
        <v>20240702</v>
      </c>
      <c r="H377" s="4" t="s">
        <v>13840</v>
      </c>
      <c r="J377" s="4" t="s">
        <v>3977</v>
      </c>
    </row>
    <row r="378" spans="1:10" hidden="1">
      <c r="A378" s="4">
        <v>2.0210733120000499E+17</v>
      </c>
      <c r="B378" s="4">
        <v>6178623367</v>
      </c>
      <c r="C378" s="4" t="s">
        <v>13839</v>
      </c>
      <c r="D378" s="4">
        <v>33120</v>
      </c>
      <c r="E378" s="4">
        <v>20210702</v>
      </c>
      <c r="F378" s="4">
        <v>20210702</v>
      </c>
      <c r="G378" s="4">
        <v>20211110</v>
      </c>
      <c r="H378" s="4" t="s">
        <v>13838</v>
      </c>
      <c r="J378" s="4" t="s">
        <v>145</v>
      </c>
    </row>
    <row r="379" spans="1:10" hidden="1">
      <c r="A379" s="4">
        <v>2.0210729210000499E+17</v>
      </c>
      <c r="B379" s="4">
        <v>3902401169</v>
      </c>
      <c r="C379" s="4" t="s">
        <v>13986</v>
      </c>
      <c r="D379" s="4">
        <v>29210</v>
      </c>
      <c r="E379" s="4">
        <v>20210702</v>
      </c>
      <c r="F379" s="4">
        <v>20210702</v>
      </c>
      <c r="G379" s="4">
        <v>20240702</v>
      </c>
      <c r="H379" s="4" t="s">
        <v>8018</v>
      </c>
      <c r="I379" s="4" t="s">
        <v>13985</v>
      </c>
      <c r="J379" s="4" t="s">
        <v>1274</v>
      </c>
    </row>
    <row r="380" spans="1:10" hidden="1">
      <c r="A380" s="4">
        <v>2.0210772129000499E+17</v>
      </c>
      <c r="B380" s="4">
        <v>3188109217</v>
      </c>
      <c r="C380" s="4" t="s">
        <v>5593</v>
      </c>
      <c r="D380" s="4">
        <v>72129</v>
      </c>
      <c r="E380" s="4">
        <v>20210702</v>
      </c>
      <c r="F380" s="4">
        <v>20210702</v>
      </c>
      <c r="G380" s="4">
        <v>20240702</v>
      </c>
      <c r="H380" s="4" t="s">
        <v>13834</v>
      </c>
      <c r="I380" s="4" t="s">
        <v>13833</v>
      </c>
      <c r="J380" s="4" t="s">
        <v>1679</v>
      </c>
    </row>
    <row r="381" spans="1:10" hidden="1">
      <c r="A381" s="4">
        <v>2.0210746521000499E+17</v>
      </c>
      <c r="B381" s="4">
        <v>1738602028</v>
      </c>
      <c r="C381" s="4" t="s">
        <v>13832</v>
      </c>
      <c r="D381" s="4">
        <v>46521</v>
      </c>
      <c r="E381" s="4">
        <v>20210702</v>
      </c>
      <c r="F381" s="4">
        <v>20210702</v>
      </c>
      <c r="G381" s="4">
        <v>20240702</v>
      </c>
      <c r="H381" s="4" t="s">
        <v>344</v>
      </c>
      <c r="I381" s="4" t="s">
        <v>13831</v>
      </c>
      <c r="J381" s="4" t="s">
        <v>6178</v>
      </c>
    </row>
    <row r="382" spans="1:10" hidden="1">
      <c r="A382" s="4">
        <v>2.0210746329000499E+17</v>
      </c>
      <c r="B382" s="4">
        <v>1148801572</v>
      </c>
      <c r="C382" s="4" t="s">
        <v>13830</v>
      </c>
      <c r="D382" s="4">
        <v>46329</v>
      </c>
      <c r="E382" s="4">
        <v>20210702</v>
      </c>
      <c r="F382" s="4">
        <v>20210702</v>
      </c>
      <c r="G382" s="4">
        <v>20240702</v>
      </c>
      <c r="H382" s="4" t="s">
        <v>13829</v>
      </c>
      <c r="I382" s="4" t="s">
        <v>13828</v>
      </c>
      <c r="J382" s="4" t="s">
        <v>830</v>
      </c>
    </row>
    <row r="383" spans="1:10" hidden="1">
      <c r="A383" s="4">
        <v>2.0210726421000499E+17</v>
      </c>
      <c r="B383" s="4">
        <v>1198693199</v>
      </c>
      <c r="C383" s="4" t="s">
        <v>13827</v>
      </c>
      <c r="D383" s="4">
        <v>26421</v>
      </c>
      <c r="E383" s="4">
        <v>20210702</v>
      </c>
      <c r="F383" s="4">
        <v>20210702</v>
      </c>
      <c r="G383" s="4">
        <v>20210820</v>
      </c>
      <c r="H383" s="4" t="s">
        <v>9258</v>
      </c>
      <c r="I383" s="4" t="s">
        <v>13826</v>
      </c>
      <c r="J383" s="4" t="s">
        <v>1767</v>
      </c>
    </row>
    <row r="384" spans="1:10" hidden="1">
      <c r="A384" s="4">
        <v>2.0210758221000499E+17</v>
      </c>
      <c r="B384" s="4">
        <v>3718700280</v>
      </c>
      <c r="C384" s="4" t="s">
        <v>13825</v>
      </c>
      <c r="D384" s="4">
        <v>58221</v>
      </c>
      <c r="E384" s="4">
        <v>20210702</v>
      </c>
      <c r="F384" s="4">
        <v>20210702</v>
      </c>
      <c r="G384" s="4">
        <v>20230114</v>
      </c>
      <c r="H384" s="4" t="s">
        <v>8429</v>
      </c>
      <c r="I384" s="4" t="s">
        <v>13824</v>
      </c>
      <c r="J384" s="4" t="s">
        <v>228</v>
      </c>
    </row>
    <row r="385" spans="1:10" hidden="1">
      <c r="A385" s="4">
        <v>2.0210733920000499E+17</v>
      </c>
      <c r="B385" s="4">
        <v>2278802052</v>
      </c>
      <c r="C385" s="4" t="s">
        <v>13823</v>
      </c>
      <c r="D385" s="4">
        <v>33920</v>
      </c>
      <c r="E385" s="4">
        <v>20210702</v>
      </c>
      <c r="F385" s="4">
        <v>20210702</v>
      </c>
      <c r="G385" s="4">
        <v>20240702</v>
      </c>
      <c r="H385" s="4" t="s">
        <v>13822</v>
      </c>
      <c r="I385" s="4" t="s">
        <v>13821</v>
      </c>
      <c r="J385" s="4" t="s">
        <v>5055</v>
      </c>
    </row>
    <row r="386" spans="1:10" hidden="1">
      <c r="A386" s="4">
        <v>2.0210726429000499E+17</v>
      </c>
      <c r="B386" s="4">
        <v>8758101891</v>
      </c>
      <c r="C386" s="4" t="s">
        <v>13820</v>
      </c>
      <c r="D386" s="4">
        <v>26429</v>
      </c>
      <c r="E386" s="4">
        <v>20210702</v>
      </c>
      <c r="F386" s="4">
        <v>20210702</v>
      </c>
      <c r="G386" s="4">
        <v>20240702</v>
      </c>
      <c r="H386" s="4" t="s">
        <v>13819</v>
      </c>
      <c r="I386" s="4" t="s">
        <v>1064</v>
      </c>
      <c r="J386" s="4" t="s">
        <v>422</v>
      </c>
    </row>
    <row r="387" spans="1:10" hidden="1">
      <c r="A387" s="4">
        <v>2.0210775992000499E+17</v>
      </c>
      <c r="B387" s="4">
        <v>2188173568</v>
      </c>
      <c r="C387" s="4" t="s">
        <v>13818</v>
      </c>
      <c r="D387" s="4">
        <v>75992</v>
      </c>
      <c r="E387" s="4">
        <v>20210702</v>
      </c>
      <c r="F387" s="4">
        <v>20210702</v>
      </c>
      <c r="G387" s="4">
        <v>20240702</v>
      </c>
      <c r="H387" s="4" t="s">
        <v>2884</v>
      </c>
      <c r="I387" s="4" t="s">
        <v>13817</v>
      </c>
      <c r="J387" s="4" t="s">
        <v>111</v>
      </c>
    </row>
    <row r="388" spans="1:10" hidden="1">
      <c r="A388" s="4">
        <v>2.0210742204000499E+17</v>
      </c>
      <c r="B388" s="4">
        <v>3348101935</v>
      </c>
      <c r="C388" s="4" t="s">
        <v>13816</v>
      </c>
      <c r="D388" s="4">
        <v>42204</v>
      </c>
      <c r="E388" s="4">
        <v>20210702</v>
      </c>
      <c r="F388" s="4">
        <v>20210702</v>
      </c>
      <c r="G388" s="4">
        <v>20240702</v>
      </c>
      <c r="H388" s="4" t="s">
        <v>13815</v>
      </c>
      <c r="I388" s="4" t="s">
        <v>938</v>
      </c>
      <c r="J388" s="4" t="s">
        <v>7487</v>
      </c>
    </row>
    <row r="389" spans="1:10" hidden="1">
      <c r="A389" s="4">
        <v>2.0210733932000499E+17</v>
      </c>
      <c r="B389" s="4">
        <v>4338801978</v>
      </c>
      <c r="C389" s="4" t="s">
        <v>13814</v>
      </c>
      <c r="D389" s="4">
        <v>33932</v>
      </c>
      <c r="E389" s="4">
        <v>20210702</v>
      </c>
      <c r="F389" s="4">
        <v>20210702</v>
      </c>
      <c r="G389" s="4">
        <v>20240702</v>
      </c>
      <c r="H389" s="4" t="s">
        <v>13813</v>
      </c>
      <c r="I389" s="4" t="s">
        <v>185</v>
      </c>
      <c r="J389" s="4" t="s">
        <v>178</v>
      </c>
    </row>
    <row r="390" spans="1:10" hidden="1">
      <c r="A390" s="4">
        <v>2.0210742201000499E+17</v>
      </c>
      <c r="B390" s="4">
        <v>1878601843</v>
      </c>
      <c r="C390" s="4" t="s">
        <v>13812</v>
      </c>
      <c r="D390" s="4">
        <v>42201</v>
      </c>
      <c r="E390" s="4">
        <v>20210702</v>
      </c>
      <c r="F390" s="4">
        <v>20210702</v>
      </c>
      <c r="G390" s="4">
        <v>20240702</v>
      </c>
      <c r="H390" s="4" t="s">
        <v>13811</v>
      </c>
      <c r="I390" s="4" t="s">
        <v>13810</v>
      </c>
      <c r="J390" s="4" t="s">
        <v>1710</v>
      </c>
    </row>
    <row r="391" spans="1:10" hidden="1">
      <c r="A391" s="4">
        <v>2.0210726410000499E+17</v>
      </c>
      <c r="B391" s="4">
        <v>5948101857</v>
      </c>
      <c r="C391" s="4" t="s">
        <v>13809</v>
      </c>
      <c r="D391" s="4">
        <v>26410</v>
      </c>
      <c r="E391" s="4">
        <v>20210702</v>
      </c>
      <c r="F391" s="4">
        <v>20210702</v>
      </c>
      <c r="G391" s="4">
        <v>20240702</v>
      </c>
      <c r="H391" s="4" t="s">
        <v>13808</v>
      </c>
      <c r="I391" s="4" t="s">
        <v>1156</v>
      </c>
      <c r="J391" s="4" t="s">
        <v>1102</v>
      </c>
    </row>
    <row r="392" spans="1:10" hidden="1">
      <c r="A392" s="4">
        <v>2.0210770129000499E+17</v>
      </c>
      <c r="B392" s="4">
        <v>8518100654</v>
      </c>
      <c r="C392" s="4" t="s">
        <v>13807</v>
      </c>
      <c r="D392" s="4">
        <v>70129</v>
      </c>
      <c r="E392" s="4">
        <v>20210702</v>
      </c>
      <c r="F392" s="4">
        <v>20210702</v>
      </c>
      <c r="G392" s="4">
        <v>20231223</v>
      </c>
      <c r="H392" s="4" t="s">
        <v>5139</v>
      </c>
      <c r="I392" s="4" t="s">
        <v>13806</v>
      </c>
      <c r="J392" s="4" t="s">
        <v>937</v>
      </c>
    </row>
    <row r="393" spans="1:10" hidden="1">
      <c r="A393" s="4">
        <v>2.0210758221000602E+17</v>
      </c>
      <c r="B393" s="4">
        <v>2718600528</v>
      </c>
      <c r="C393" s="4" t="s">
        <v>13805</v>
      </c>
      <c r="D393" s="4">
        <v>58221</v>
      </c>
      <c r="E393" s="4">
        <v>20210702</v>
      </c>
      <c r="F393" s="4">
        <v>20210702</v>
      </c>
      <c r="G393" s="4">
        <v>20231018</v>
      </c>
      <c r="H393" s="4" t="s">
        <v>1433</v>
      </c>
      <c r="I393" s="4" t="s">
        <v>13804</v>
      </c>
      <c r="J393" s="4" t="s">
        <v>228</v>
      </c>
    </row>
    <row r="394" spans="1:10" hidden="1">
      <c r="A394" s="4">
        <v>2.0210763999000499E+17</v>
      </c>
      <c r="B394" s="4">
        <v>7668801878</v>
      </c>
      <c r="C394" s="4" t="s">
        <v>13803</v>
      </c>
      <c r="D394" s="4">
        <v>63999</v>
      </c>
      <c r="E394" s="4">
        <v>20210702</v>
      </c>
      <c r="F394" s="4">
        <v>20210702</v>
      </c>
      <c r="G394" s="4">
        <v>20240702</v>
      </c>
      <c r="H394" s="4" t="s">
        <v>4322</v>
      </c>
      <c r="I394" s="4" t="s">
        <v>13802</v>
      </c>
      <c r="J394" s="4" t="s">
        <v>643</v>
      </c>
    </row>
    <row r="395" spans="1:10" hidden="1">
      <c r="A395" s="4">
        <v>2.0210747311000499E+17</v>
      </c>
      <c r="B395" s="4">
        <v>3148662520</v>
      </c>
      <c r="C395" s="4" t="s">
        <v>13801</v>
      </c>
      <c r="D395" s="4">
        <v>47311</v>
      </c>
      <c r="E395" s="4">
        <v>20210702</v>
      </c>
      <c r="F395" s="4">
        <v>20210702</v>
      </c>
      <c r="G395" s="4">
        <v>20211104</v>
      </c>
      <c r="H395" s="4" t="s">
        <v>13800</v>
      </c>
      <c r="I395" s="4" t="s">
        <v>855</v>
      </c>
      <c r="J395" s="4" t="s">
        <v>588</v>
      </c>
    </row>
    <row r="396" spans="1:10" hidden="1">
      <c r="A396" s="4">
        <v>2.0210763991000499E+17</v>
      </c>
      <c r="B396" s="4">
        <v>5948801953</v>
      </c>
      <c r="C396" s="4" t="s">
        <v>13799</v>
      </c>
      <c r="D396" s="4">
        <v>63991</v>
      </c>
      <c r="E396" s="4">
        <v>20210702</v>
      </c>
      <c r="F396" s="4">
        <v>20210702</v>
      </c>
      <c r="G396" s="4">
        <v>20240702</v>
      </c>
      <c r="H396" s="4" t="s">
        <v>8662</v>
      </c>
      <c r="I396" s="4" t="s">
        <v>13798</v>
      </c>
      <c r="J396" s="4" t="s">
        <v>395</v>
      </c>
    </row>
    <row r="397" spans="1:10" hidden="1">
      <c r="A397" s="4">
        <v>2.0210728421000499E+17</v>
      </c>
      <c r="B397" s="4">
        <v>7598801545</v>
      </c>
      <c r="C397" s="4" t="s">
        <v>13797</v>
      </c>
      <c r="D397" s="4">
        <v>28421</v>
      </c>
      <c r="E397" s="4">
        <v>20210702</v>
      </c>
      <c r="F397" s="4">
        <v>20210702</v>
      </c>
      <c r="G397" s="4">
        <v>20240702</v>
      </c>
      <c r="H397" s="4" t="s">
        <v>10688</v>
      </c>
      <c r="I397" s="4" t="s">
        <v>13796</v>
      </c>
      <c r="J397" s="4" t="s">
        <v>9450</v>
      </c>
    </row>
    <row r="398" spans="1:10" hidden="1">
      <c r="A398" s="4">
        <v>2.0210726410000602E+17</v>
      </c>
      <c r="B398" s="4">
        <v>8348100343</v>
      </c>
      <c r="C398" s="4" t="s">
        <v>13795</v>
      </c>
      <c r="D398" s="4">
        <v>26410</v>
      </c>
      <c r="E398" s="4">
        <v>20210702</v>
      </c>
      <c r="F398" s="4">
        <v>20210702</v>
      </c>
      <c r="G398" s="4">
        <v>20230525</v>
      </c>
      <c r="H398" s="4" t="s">
        <v>13794</v>
      </c>
      <c r="I398" s="4" t="s">
        <v>13793</v>
      </c>
      <c r="J398" s="4" t="s">
        <v>1102</v>
      </c>
    </row>
    <row r="399" spans="1:10" hidden="1">
      <c r="A399" s="4">
        <v>2.0210729199000499E+17</v>
      </c>
      <c r="B399" s="4">
        <v>2688801393</v>
      </c>
      <c r="C399" s="4" t="s">
        <v>13792</v>
      </c>
      <c r="D399" s="4">
        <v>29199</v>
      </c>
      <c r="E399" s="4">
        <v>20210702</v>
      </c>
      <c r="F399" s="4">
        <v>20210702</v>
      </c>
      <c r="G399" s="4">
        <v>20240702</v>
      </c>
      <c r="H399" s="4" t="s">
        <v>13791</v>
      </c>
      <c r="I399" s="4" t="s">
        <v>2761</v>
      </c>
      <c r="J399" s="4" t="s">
        <v>166</v>
      </c>
    </row>
    <row r="400" spans="1:10" hidden="1">
      <c r="A400" s="4">
        <v>2.0210729299000499E+17</v>
      </c>
      <c r="B400" s="4">
        <v>8322900693</v>
      </c>
      <c r="C400" s="4" t="s">
        <v>13984</v>
      </c>
      <c r="D400" s="4">
        <v>29299</v>
      </c>
      <c r="E400" s="4">
        <v>20210702</v>
      </c>
      <c r="F400" s="4">
        <v>20210702</v>
      </c>
      <c r="G400" s="4">
        <v>20240702</v>
      </c>
      <c r="H400" s="4" t="s">
        <v>13983</v>
      </c>
      <c r="I400" s="4" t="s">
        <v>6274</v>
      </c>
      <c r="J400" s="4" t="s">
        <v>137</v>
      </c>
    </row>
    <row r="401" spans="1:10" hidden="1">
      <c r="A401" s="4">
        <v>2.0210720411000499E+17</v>
      </c>
      <c r="B401" s="4">
        <v>4748101325</v>
      </c>
      <c r="C401" s="4" t="s">
        <v>13788</v>
      </c>
      <c r="D401" s="4">
        <v>20411</v>
      </c>
      <c r="E401" s="4">
        <v>20210702</v>
      </c>
      <c r="F401" s="4">
        <v>20210702</v>
      </c>
      <c r="G401" s="4">
        <v>20240702</v>
      </c>
      <c r="H401" s="4" t="s">
        <v>3578</v>
      </c>
      <c r="I401" s="4" t="s">
        <v>13787</v>
      </c>
      <c r="J401" s="4" t="s">
        <v>694</v>
      </c>
    </row>
    <row r="402" spans="1:10" hidden="1">
      <c r="A402" s="4">
        <v>2.0210772112000499E+17</v>
      </c>
      <c r="B402" s="4">
        <v>5148601045</v>
      </c>
      <c r="C402" s="4" t="s">
        <v>13786</v>
      </c>
      <c r="D402" s="4">
        <v>72112</v>
      </c>
      <c r="E402" s="4">
        <v>20210702</v>
      </c>
      <c r="F402" s="4">
        <v>20210702</v>
      </c>
      <c r="G402" s="4">
        <v>20240702</v>
      </c>
      <c r="H402" s="4" t="s">
        <v>13785</v>
      </c>
      <c r="I402" s="4" t="s">
        <v>13784</v>
      </c>
      <c r="J402" s="4" t="s">
        <v>5034</v>
      </c>
    </row>
    <row r="403" spans="1:10">
      <c r="A403" s="4">
        <v>2.0210446453000198E+17</v>
      </c>
      <c r="B403" s="4">
        <v>1423400857</v>
      </c>
      <c r="C403" s="4" t="s">
        <v>7660</v>
      </c>
      <c r="D403" s="4">
        <v>46453</v>
      </c>
      <c r="E403" s="4">
        <v>20210426</v>
      </c>
      <c r="F403" s="4">
        <v>20210426</v>
      </c>
      <c r="G403" s="4">
        <v>20240426</v>
      </c>
      <c r="H403" s="4" t="s">
        <v>7659</v>
      </c>
      <c r="I403" s="4" t="s">
        <v>7658</v>
      </c>
      <c r="J403" s="4" t="s">
        <v>816</v>
      </c>
    </row>
    <row r="404" spans="1:10" hidden="1">
      <c r="A404" s="4">
        <v>2.0210725113000499E+17</v>
      </c>
      <c r="B404" s="4">
        <v>4418101043</v>
      </c>
      <c r="C404" s="4" t="s">
        <v>13781</v>
      </c>
      <c r="D404" s="4">
        <v>25113</v>
      </c>
      <c r="E404" s="4">
        <v>20210702</v>
      </c>
      <c r="F404" s="4">
        <v>20210702</v>
      </c>
      <c r="G404" s="4">
        <v>20240702</v>
      </c>
      <c r="H404" s="4" t="s">
        <v>13780</v>
      </c>
      <c r="J404" s="4" t="s">
        <v>250</v>
      </c>
    </row>
    <row r="405" spans="1:10" hidden="1">
      <c r="A405" s="4">
        <v>2.0210741229000499E+17</v>
      </c>
      <c r="B405" s="4">
        <v>1458700212</v>
      </c>
      <c r="C405" s="4" t="s">
        <v>13779</v>
      </c>
      <c r="D405" s="4">
        <v>41229</v>
      </c>
      <c r="E405" s="4">
        <v>20210702</v>
      </c>
      <c r="F405" s="4">
        <v>20210702</v>
      </c>
      <c r="G405" s="4">
        <v>20220727</v>
      </c>
      <c r="H405" s="4" t="s">
        <v>13778</v>
      </c>
      <c r="J405" s="4" t="s">
        <v>5083</v>
      </c>
    </row>
    <row r="406" spans="1:10" hidden="1">
      <c r="A406" s="4">
        <v>2.0210742321000499E+17</v>
      </c>
      <c r="B406" s="4">
        <v>6368101258</v>
      </c>
      <c r="C406" s="4" t="s">
        <v>13777</v>
      </c>
      <c r="D406" s="4">
        <v>42321</v>
      </c>
      <c r="E406" s="4">
        <v>20210702</v>
      </c>
      <c r="F406" s="4">
        <v>20210702</v>
      </c>
      <c r="G406" s="4">
        <v>20240702</v>
      </c>
      <c r="H406" s="4" t="s">
        <v>13776</v>
      </c>
      <c r="I406" s="4" t="s">
        <v>13775</v>
      </c>
      <c r="J406" s="4" t="s">
        <v>698</v>
      </c>
    </row>
    <row r="407" spans="1:10" hidden="1">
      <c r="A407" s="4">
        <v>2.0210758222000499E+17</v>
      </c>
      <c r="B407" s="4">
        <v>7528601410</v>
      </c>
      <c r="C407" s="4" t="s">
        <v>13774</v>
      </c>
      <c r="D407" s="4">
        <v>58222</v>
      </c>
      <c r="E407" s="4">
        <v>20210702</v>
      </c>
      <c r="F407" s="4">
        <v>20210702</v>
      </c>
      <c r="G407" s="4">
        <v>20240702</v>
      </c>
      <c r="H407" s="4" t="s">
        <v>13773</v>
      </c>
      <c r="I407" s="4" t="s">
        <v>13772</v>
      </c>
      <c r="J407" s="4" t="s">
        <v>94</v>
      </c>
    </row>
    <row r="408" spans="1:10" hidden="1">
      <c r="A408" s="4">
        <v>2.0210731991000499E+17</v>
      </c>
      <c r="B408" s="4">
        <v>3068800963</v>
      </c>
      <c r="C408" s="4" t="s">
        <v>13771</v>
      </c>
      <c r="D408" s="4">
        <v>31991</v>
      </c>
      <c r="E408" s="4">
        <v>20210702</v>
      </c>
      <c r="F408" s="4">
        <v>20210702</v>
      </c>
      <c r="G408" s="4">
        <v>20240702</v>
      </c>
      <c r="H408" s="4" t="s">
        <v>13770</v>
      </c>
      <c r="I408" s="4" t="s">
        <v>13769</v>
      </c>
      <c r="J408" s="4" t="s">
        <v>625</v>
      </c>
    </row>
    <row r="409" spans="1:10" hidden="1">
      <c r="A409" s="4">
        <v>2.0210727302000499E+17</v>
      </c>
      <c r="B409" s="4">
        <v>8308600083</v>
      </c>
      <c r="C409" s="4" t="s">
        <v>13768</v>
      </c>
      <c r="D409" s="4">
        <v>27302</v>
      </c>
      <c r="E409" s="4">
        <v>20210702</v>
      </c>
      <c r="F409" s="4">
        <v>20210702</v>
      </c>
      <c r="G409" s="4">
        <v>20220508</v>
      </c>
      <c r="H409" s="4" t="s">
        <v>13767</v>
      </c>
      <c r="I409" s="4" t="s">
        <v>13766</v>
      </c>
      <c r="J409" s="4" t="s">
        <v>2148</v>
      </c>
    </row>
    <row r="410" spans="1:10" hidden="1">
      <c r="A410" s="4">
        <v>2.0210772129000499E+17</v>
      </c>
      <c r="B410" s="4">
        <v>3958800658</v>
      </c>
      <c r="C410" s="4" t="s">
        <v>13765</v>
      </c>
      <c r="D410" s="4">
        <v>72129</v>
      </c>
      <c r="E410" s="4">
        <v>20210702</v>
      </c>
      <c r="F410" s="4">
        <v>20210702</v>
      </c>
      <c r="G410" s="4">
        <v>20231007</v>
      </c>
      <c r="H410" s="4" t="s">
        <v>13764</v>
      </c>
      <c r="I410" s="4" t="s">
        <v>149</v>
      </c>
      <c r="J410" s="4" t="s">
        <v>1679</v>
      </c>
    </row>
    <row r="411" spans="1:10" hidden="1">
      <c r="A411" s="4">
        <v>2.0210758222000499E+17</v>
      </c>
      <c r="B411" s="4">
        <v>2618123534</v>
      </c>
      <c r="C411" s="4" t="s">
        <v>13763</v>
      </c>
      <c r="D411" s="4">
        <v>58222</v>
      </c>
      <c r="E411" s="4">
        <v>20210702</v>
      </c>
      <c r="F411" s="4">
        <v>20210702</v>
      </c>
      <c r="G411" s="4">
        <v>20220102</v>
      </c>
      <c r="H411" s="4" t="s">
        <v>7314</v>
      </c>
      <c r="I411" s="4" t="s">
        <v>13762</v>
      </c>
      <c r="J411" s="4" t="s">
        <v>94</v>
      </c>
    </row>
    <row r="412" spans="1:10" hidden="1">
      <c r="A412" s="4">
        <v>2.0210729199000602E+17</v>
      </c>
      <c r="B412" s="4">
        <v>3388800960</v>
      </c>
      <c r="C412" s="4" t="s">
        <v>13761</v>
      </c>
      <c r="D412" s="4">
        <v>29199</v>
      </c>
      <c r="E412" s="4">
        <v>20210702</v>
      </c>
      <c r="F412" s="4">
        <v>20210702</v>
      </c>
      <c r="G412" s="4">
        <v>20240702</v>
      </c>
      <c r="H412" s="4" t="s">
        <v>13760</v>
      </c>
      <c r="J412" s="4" t="s">
        <v>166</v>
      </c>
    </row>
    <row r="413" spans="1:10" hidden="1">
      <c r="A413" s="4">
        <v>2.0210747912000499E+17</v>
      </c>
      <c r="B413" s="4">
        <v>5668602195</v>
      </c>
      <c r="C413" s="4" t="s">
        <v>13759</v>
      </c>
      <c r="D413" s="4">
        <v>47912</v>
      </c>
      <c r="E413" s="4">
        <v>20210702</v>
      </c>
      <c r="F413" s="4">
        <v>20210702</v>
      </c>
      <c r="G413" s="4">
        <v>20240702</v>
      </c>
      <c r="H413" s="4" t="s">
        <v>13758</v>
      </c>
      <c r="I413" s="4" t="s">
        <v>13757</v>
      </c>
      <c r="J413" s="4" t="s">
        <v>78</v>
      </c>
    </row>
    <row r="414" spans="1:10" hidden="1">
      <c r="A414" s="4">
        <v>2.0210713992000499E+17</v>
      </c>
      <c r="B414" s="4">
        <v>5358101993</v>
      </c>
      <c r="C414" s="4" t="s">
        <v>13756</v>
      </c>
      <c r="D414" s="4">
        <v>13992</v>
      </c>
      <c r="E414" s="4">
        <v>20210702</v>
      </c>
      <c r="F414" s="4">
        <v>20210702</v>
      </c>
      <c r="G414" s="4">
        <v>20240702</v>
      </c>
      <c r="H414" s="4" t="s">
        <v>13755</v>
      </c>
      <c r="J414" s="4" t="s">
        <v>2982</v>
      </c>
    </row>
    <row r="415" spans="1:10" hidden="1">
      <c r="A415" s="4">
        <v>2.0210770130000499E+17</v>
      </c>
      <c r="B415" s="4">
        <v>4041601196</v>
      </c>
      <c r="C415" s="4" t="s">
        <v>13754</v>
      </c>
      <c r="D415" s="4">
        <v>70130</v>
      </c>
      <c r="E415" s="4">
        <v>20210702</v>
      </c>
      <c r="F415" s="4">
        <v>20210702</v>
      </c>
      <c r="G415" s="4">
        <v>20240702</v>
      </c>
      <c r="H415" s="4" t="s">
        <v>1948</v>
      </c>
      <c r="I415" s="4" t="s">
        <v>13753</v>
      </c>
      <c r="J415" s="4" t="s">
        <v>170</v>
      </c>
    </row>
    <row r="416" spans="1:10" hidden="1">
      <c r="A416" s="4">
        <v>2.0210747520000602E+17</v>
      </c>
      <c r="B416" s="4">
        <v>6840300610</v>
      </c>
      <c r="C416" s="4" t="s">
        <v>13752</v>
      </c>
      <c r="D416" s="4">
        <v>47520</v>
      </c>
      <c r="E416" s="4">
        <v>20210702</v>
      </c>
      <c r="F416" s="4">
        <v>20210702</v>
      </c>
      <c r="G416" s="4">
        <v>20231229</v>
      </c>
      <c r="H416" s="4" t="s">
        <v>13751</v>
      </c>
      <c r="J416" s="4" t="s">
        <v>3387</v>
      </c>
    </row>
    <row r="417" spans="1:10" hidden="1">
      <c r="A417" s="4">
        <v>2.0210741226000602E+17</v>
      </c>
      <c r="B417" s="4">
        <v>1228702202</v>
      </c>
      <c r="C417" s="4" t="s">
        <v>13750</v>
      </c>
      <c r="D417" s="4">
        <v>41226</v>
      </c>
      <c r="E417" s="4">
        <v>20210702</v>
      </c>
      <c r="F417" s="4">
        <v>20210702</v>
      </c>
      <c r="G417" s="4">
        <v>20240702</v>
      </c>
      <c r="H417" s="4" t="s">
        <v>13749</v>
      </c>
      <c r="J417" s="4" t="s">
        <v>1063</v>
      </c>
    </row>
    <row r="418" spans="1:10" hidden="1">
      <c r="A418" s="4">
        <v>2.0210772111000602E+17</v>
      </c>
      <c r="B418" s="4">
        <v>4697700104</v>
      </c>
      <c r="C418" s="4" t="s">
        <v>13748</v>
      </c>
      <c r="D418" s="4">
        <v>72111</v>
      </c>
      <c r="E418" s="4">
        <v>20210702</v>
      </c>
      <c r="F418" s="4">
        <v>20210702</v>
      </c>
      <c r="G418" s="4">
        <v>20240324</v>
      </c>
      <c r="H418" s="4" t="s">
        <v>3627</v>
      </c>
      <c r="I418" s="4" t="s">
        <v>13747</v>
      </c>
      <c r="J418" s="4" t="s">
        <v>3461</v>
      </c>
    </row>
    <row r="419" spans="1:10" hidden="1">
      <c r="A419" s="4">
        <v>2.0210732029000499E+17</v>
      </c>
      <c r="B419" s="4">
        <v>7704000648</v>
      </c>
      <c r="C419" s="4" t="s">
        <v>13746</v>
      </c>
      <c r="D419" s="4">
        <v>32029</v>
      </c>
      <c r="E419" s="4">
        <v>20210702</v>
      </c>
      <c r="F419" s="4">
        <v>20210702</v>
      </c>
      <c r="G419" s="4">
        <v>20240702</v>
      </c>
      <c r="H419" s="4" t="s">
        <v>13745</v>
      </c>
      <c r="I419" s="4" t="s">
        <v>149</v>
      </c>
      <c r="J419" s="4" t="s">
        <v>637</v>
      </c>
    </row>
    <row r="420" spans="1:10" hidden="1">
      <c r="A420" s="4">
        <v>2.0210756191000499E+17</v>
      </c>
      <c r="B420" s="4">
        <v>3830701621</v>
      </c>
      <c r="C420" s="4" t="s">
        <v>13744</v>
      </c>
      <c r="D420" s="4">
        <v>56191</v>
      </c>
      <c r="E420" s="4">
        <v>20210702</v>
      </c>
      <c r="F420" s="4">
        <v>20210702</v>
      </c>
      <c r="G420" s="4">
        <v>20240702</v>
      </c>
      <c r="H420" s="4" t="s">
        <v>13743</v>
      </c>
      <c r="I420" s="4" t="s">
        <v>724</v>
      </c>
      <c r="J420" s="4" t="s">
        <v>13742</v>
      </c>
    </row>
    <row r="421" spans="1:10" hidden="1">
      <c r="A421" s="4">
        <v>2.0210763999000499E+17</v>
      </c>
      <c r="B421" s="4">
        <v>1988801134</v>
      </c>
      <c r="C421" s="4" t="s">
        <v>13741</v>
      </c>
      <c r="D421" s="4">
        <v>63999</v>
      </c>
      <c r="E421" s="4">
        <v>20210702</v>
      </c>
      <c r="F421" s="4">
        <v>20210702</v>
      </c>
      <c r="G421" s="4">
        <v>20240702</v>
      </c>
      <c r="H421" s="4" t="s">
        <v>6434</v>
      </c>
      <c r="I421" s="4" t="s">
        <v>13740</v>
      </c>
      <c r="J421" s="4" t="s">
        <v>643</v>
      </c>
    </row>
    <row r="422" spans="1:10" hidden="1">
      <c r="A422" s="4">
        <v>2.0210747912000499E+17</v>
      </c>
      <c r="B422" s="4">
        <v>3360102049</v>
      </c>
      <c r="C422" s="4" t="s">
        <v>13739</v>
      </c>
      <c r="D422" s="4">
        <v>47912</v>
      </c>
      <c r="E422" s="4">
        <v>20210702</v>
      </c>
      <c r="F422" s="4">
        <v>20210702</v>
      </c>
      <c r="G422" s="4">
        <v>20240702</v>
      </c>
      <c r="H422" s="4" t="s">
        <v>13738</v>
      </c>
      <c r="I422" s="4" t="s">
        <v>13737</v>
      </c>
      <c r="J422" s="4" t="s">
        <v>78</v>
      </c>
    </row>
    <row r="423" spans="1:10" hidden="1">
      <c r="A423" s="4">
        <v>2.0210727199000499E+17</v>
      </c>
      <c r="B423" s="4">
        <v>6428601976</v>
      </c>
      <c r="C423" s="4" t="s">
        <v>13736</v>
      </c>
      <c r="D423" s="4">
        <v>27199</v>
      </c>
      <c r="E423" s="4">
        <v>20210702</v>
      </c>
      <c r="F423" s="4">
        <v>20210702</v>
      </c>
      <c r="G423" s="4">
        <v>20240702</v>
      </c>
      <c r="H423" s="4" t="s">
        <v>13735</v>
      </c>
      <c r="I423" s="4" t="s">
        <v>9253</v>
      </c>
      <c r="J423" s="4" t="s">
        <v>418</v>
      </c>
    </row>
    <row r="424" spans="1:10" hidden="1">
      <c r="A424" s="4">
        <v>2.0210746522000499E+17</v>
      </c>
      <c r="B424" s="4">
        <v>1020751269</v>
      </c>
      <c r="C424" s="4" t="s">
        <v>13734</v>
      </c>
      <c r="D424" s="4">
        <v>46522</v>
      </c>
      <c r="E424" s="4">
        <v>20210702</v>
      </c>
      <c r="F424" s="4">
        <v>20210702</v>
      </c>
      <c r="G424" s="4">
        <v>20240702</v>
      </c>
      <c r="H424" s="4" t="s">
        <v>13733</v>
      </c>
      <c r="J424" s="4" t="s">
        <v>3922</v>
      </c>
    </row>
    <row r="425" spans="1:10" hidden="1">
      <c r="A425" s="4">
        <v>2.0210720202000499E+17</v>
      </c>
      <c r="B425" s="4">
        <v>3028130302</v>
      </c>
      <c r="C425" s="4" t="s">
        <v>13921</v>
      </c>
      <c r="D425" s="4">
        <v>20202</v>
      </c>
      <c r="E425" s="4">
        <v>20210702</v>
      </c>
      <c r="F425" s="4">
        <v>20210702</v>
      </c>
      <c r="G425" s="4">
        <v>20240702</v>
      </c>
      <c r="H425" s="4" t="s">
        <v>13920</v>
      </c>
      <c r="J425" s="4" t="s">
        <v>224</v>
      </c>
    </row>
    <row r="426" spans="1:10" hidden="1">
      <c r="A426" s="4">
        <v>2.0210762010000499E+17</v>
      </c>
      <c r="B426" s="4">
        <v>1868700737</v>
      </c>
      <c r="C426" s="4" t="s">
        <v>13919</v>
      </c>
      <c r="D426" s="4">
        <v>62010</v>
      </c>
      <c r="E426" s="4">
        <v>20210702</v>
      </c>
      <c r="F426" s="4">
        <v>20210702</v>
      </c>
      <c r="G426" s="4">
        <v>20240702</v>
      </c>
      <c r="H426" s="4" t="s">
        <v>1624</v>
      </c>
      <c r="I426" s="4" t="s">
        <v>13918</v>
      </c>
      <c r="J426" s="4" t="s">
        <v>118</v>
      </c>
    </row>
    <row r="427" spans="1:10" hidden="1">
      <c r="A427" s="4">
        <v>2.0210725119000499E+17</v>
      </c>
      <c r="B427" s="4">
        <v>7020401398</v>
      </c>
      <c r="C427" s="4" t="s">
        <v>13730</v>
      </c>
      <c r="D427" s="4">
        <v>25119</v>
      </c>
      <c r="E427" s="4">
        <v>20210702</v>
      </c>
      <c r="F427" s="4">
        <v>20210702</v>
      </c>
      <c r="G427" s="4">
        <v>20240702</v>
      </c>
      <c r="H427" s="4" t="s">
        <v>13729</v>
      </c>
      <c r="I427" s="4" t="s">
        <v>591</v>
      </c>
      <c r="J427" s="4" t="s">
        <v>679</v>
      </c>
    </row>
    <row r="428" spans="1:10" hidden="1">
      <c r="A428" s="4">
        <v>2.0210785691000499E+17</v>
      </c>
      <c r="B428" s="4">
        <v>1699200702</v>
      </c>
      <c r="C428" s="4" t="s">
        <v>13728</v>
      </c>
      <c r="D428" s="4">
        <v>85691</v>
      </c>
      <c r="E428" s="4">
        <v>20210702</v>
      </c>
      <c r="F428" s="4">
        <v>20210702</v>
      </c>
      <c r="G428" s="4">
        <v>20240702</v>
      </c>
      <c r="H428" s="4" t="s">
        <v>13727</v>
      </c>
      <c r="I428" s="4" t="s">
        <v>134</v>
      </c>
      <c r="J428" s="4" t="s">
        <v>13726</v>
      </c>
    </row>
    <row r="429" spans="1:10" hidden="1">
      <c r="A429" s="4">
        <v>2.0210746592000602E+17</v>
      </c>
      <c r="B429" s="4">
        <v>6521801033</v>
      </c>
      <c r="C429" s="4" t="s">
        <v>13725</v>
      </c>
      <c r="D429" s="4">
        <v>46592</v>
      </c>
      <c r="E429" s="4">
        <v>20210702</v>
      </c>
      <c r="F429" s="4">
        <v>20210702</v>
      </c>
      <c r="G429" s="4">
        <v>20240702</v>
      </c>
      <c r="H429" s="4" t="s">
        <v>13724</v>
      </c>
      <c r="I429" s="4" t="s">
        <v>657</v>
      </c>
      <c r="J429" s="4" t="s">
        <v>148</v>
      </c>
    </row>
    <row r="430" spans="1:10" hidden="1">
      <c r="A430" s="4">
        <v>2.0210770201000499E+17</v>
      </c>
      <c r="B430" s="4">
        <v>3038701215</v>
      </c>
      <c r="C430" s="4" t="s">
        <v>13723</v>
      </c>
      <c r="D430" s="4">
        <v>70201</v>
      </c>
      <c r="E430" s="4">
        <v>20210702</v>
      </c>
      <c r="F430" s="4">
        <v>20210702</v>
      </c>
      <c r="G430" s="4">
        <v>20240702</v>
      </c>
      <c r="H430" s="4" t="s">
        <v>4229</v>
      </c>
      <c r="I430" s="4" t="s">
        <v>3923</v>
      </c>
      <c r="J430" s="4" t="s">
        <v>1904</v>
      </c>
    </row>
    <row r="431" spans="1:10" hidden="1">
      <c r="A431" s="4">
        <v>2.0210746593000499E+17</v>
      </c>
      <c r="B431" s="4">
        <v>7238701461</v>
      </c>
      <c r="C431" s="4" t="s">
        <v>13722</v>
      </c>
      <c r="D431" s="4">
        <v>46593</v>
      </c>
      <c r="E431" s="4">
        <v>20210702</v>
      </c>
      <c r="F431" s="4">
        <v>20210702</v>
      </c>
      <c r="G431" s="4">
        <v>20240702</v>
      </c>
      <c r="H431" s="4" t="s">
        <v>8046</v>
      </c>
      <c r="I431" s="4" t="s">
        <v>13721</v>
      </c>
      <c r="J431" s="4" t="s">
        <v>1469</v>
      </c>
    </row>
    <row r="432" spans="1:10">
      <c r="A432" s="4">
        <v>2.0210718119000499E+17</v>
      </c>
      <c r="B432" s="4">
        <v>4820800168</v>
      </c>
      <c r="C432" s="4" t="s">
        <v>14043</v>
      </c>
      <c r="D432" s="4">
        <v>18119</v>
      </c>
      <c r="E432" s="4">
        <v>20210702</v>
      </c>
      <c r="F432" s="4">
        <v>20210702</v>
      </c>
      <c r="G432" s="4">
        <v>20220818</v>
      </c>
      <c r="H432" s="4" t="s">
        <v>14042</v>
      </c>
      <c r="I432" s="4" t="s">
        <v>14041</v>
      </c>
      <c r="J432" s="4" t="s">
        <v>707</v>
      </c>
    </row>
    <row r="433" spans="1:10" hidden="1">
      <c r="A433" s="4">
        <v>2.0210747912000499E+17</v>
      </c>
      <c r="B433" s="4">
        <v>2915200702</v>
      </c>
      <c r="C433" s="4" t="s">
        <v>13717</v>
      </c>
      <c r="D433" s="4">
        <v>47912</v>
      </c>
      <c r="E433" s="4">
        <v>20210702</v>
      </c>
      <c r="F433" s="4">
        <v>20210702</v>
      </c>
      <c r="G433" s="4">
        <v>20240702</v>
      </c>
      <c r="H433" s="4" t="s">
        <v>13716</v>
      </c>
      <c r="I433" s="4" t="s">
        <v>13715</v>
      </c>
      <c r="J433" s="4" t="s">
        <v>78</v>
      </c>
    </row>
    <row r="434" spans="1:10" hidden="1">
      <c r="A434" s="4">
        <v>2.0210742202000499E+17</v>
      </c>
      <c r="B434" s="4">
        <v>6958101640</v>
      </c>
      <c r="C434" s="4" t="s">
        <v>13714</v>
      </c>
      <c r="D434" s="4">
        <v>42202</v>
      </c>
      <c r="E434" s="4">
        <v>20210702</v>
      </c>
      <c r="F434" s="4">
        <v>20210702</v>
      </c>
      <c r="G434" s="4">
        <v>20240702</v>
      </c>
      <c r="H434" s="4" t="s">
        <v>13713</v>
      </c>
      <c r="I434" s="4" t="s">
        <v>13712</v>
      </c>
      <c r="J434" s="4" t="s">
        <v>447</v>
      </c>
    </row>
    <row r="435" spans="1:10" hidden="1">
      <c r="A435" s="4">
        <v>2.0210746209000499E+17</v>
      </c>
      <c r="B435" s="4">
        <v>2463100667</v>
      </c>
      <c r="C435" s="4" t="s">
        <v>13711</v>
      </c>
      <c r="D435" s="4">
        <v>46209</v>
      </c>
      <c r="E435" s="4">
        <v>20210702</v>
      </c>
      <c r="F435" s="4">
        <v>20210702</v>
      </c>
      <c r="G435" s="4">
        <v>20240702</v>
      </c>
      <c r="H435" s="4" t="s">
        <v>13710</v>
      </c>
      <c r="I435" s="4" t="s">
        <v>13709</v>
      </c>
      <c r="J435" s="4" t="s">
        <v>3851</v>
      </c>
    </row>
    <row r="436" spans="1:10" hidden="1">
      <c r="A436" s="4">
        <v>2.0210747911000499E+17</v>
      </c>
      <c r="B436" s="4">
        <v>6583700896</v>
      </c>
      <c r="C436" s="4" t="s">
        <v>13708</v>
      </c>
      <c r="D436" s="4">
        <v>47911</v>
      </c>
      <c r="E436" s="4">
        <v>20210702</v>
      </c>
      <c r="F436" s="4">
        <v>20210702</v>
      </c>
      <c r="G436" s="4">
        <v>20240702</v>
      </c>
      <c r="H436" s="4" t="s">
        <v>431</v>
      </c>
      <c r="J436" s="4" t="s">
        <v>440</v>
      </c>
    </row>
    <row r="437" spans="1:10" hidden="1">
      <c r="A437" s="4">
        <v>2.0210775992000499E+17</v>
      </c>
      <c r="B437" s="4">
        <v>3993600743</v>
      </c>
      <c r="C437" s="4" t="s">
        <v>13706</v>
      </c>
      <c r="D437" s="4">
        <v>75992</v>
      </c>
      <c r="E437" s="4">
        <v>20210702</v>
      </c>
      <c r="F437" s="4">
        <v>20210702</v>
      </c>
      <c r="G437" s="4">
        <v>20240702</v>
      </c>
      <c r="H437" s="4" t="s">
        <v>13707</v>
      </c>
      <c r="I437" s="4" t="s">
        <v>13706</v>
      </c>
      <c r="J437" s="4" t="s">
        <v>111</v>
      </c>
    </row>
    <row r="438" spans="1:10" hidden="1">
      <c r="A438" s="4">
        <v>2.0210771532000499E+17</v>
      </c>
      <c r="B438" s="4">
        <v>4490701668</v>
      </c>
      <c r="C438" s="4" t="s">
        <v>13705</v>
      </c>
      <c r="D438" s="4">
        <v>71532</v>
      </c>
      <c r="E438" s="4">
        <v>20210702</v>
      </c>
      <c r="F438" s="4">
        <v>20210702</v>
      </c>
      <c r="G438" s="4">
        <v>20240702</v>
      </c>
      <c r="H438" s="4" t="s">
        <v>12548</v>
      </c>
      <c r="I438" s="4" t="s">
        <v>13704</v>
      </c>
      <c r="J438" s="4" t="s">
        <v>9856</v>
      </c>
    </row>
    <row r="439" spans="1:10" hidden="1">
      <c r="A439" s="4">
        <v>2.0210713999000499E+17</v>
      </c>
      <c r="B439" s="4">
        <v>5308801279</v>
      </c>
      <c r="C439" s="4" t="s">
        <v>13703</v>
      </c>
      <c r="D439" s="4">
        <v>13999</v>
      </c>
      <c r="E439" s="4">
        <v>20210702</v>
      </c>
      <c r="F439" s="4">
        <v>20210702</v>
      </c>
      <c r="G439" s="4">
        <v>20240702</v>
      </c>
      <c r="H439" s="4" t="s">
        <v>1906</v>
      </c>
      <c r="I439" s="4" t="s">
        <v>1866</v>
      </c>
      <c r="J439" s="4" t="s">
        <v>130</v>
      </c>
    </row>
    <row r="440" spans="1:10" hidden="1">
      <c r="A440" s="4">
        <v>2.0210773202000499E+17</v>
      </c>
      <c r="B440" s="4">
        <v>1053068205</v>
      </c>
      <c r="C440" s="4" t="s">
        <v>13702</v>
      </c>
      <c r="D440" s="4">
        <v>73202</v>
      </c>
      <c r="E440" s="4">
        <v>20210702</v>
      </c>
      <c r="F440" s="4">
        <v>20210702</v>
      </c>
      <c r="G440" s="4">
        <v>20240702</v>
      </c>
      <c r="H440" s="4" t="s">
        <v>13701</v>
      </c>
      <c r="I440" s="4" t="s">
        <v>8911</v>
      </c>
      <c r="J440" s="4" t="s">
        <v>605</v>
      </c>
    </row>
    <row r="441" spans="1:10" hidden="1">
      <c r="A441" s="4">
        <v>2.0210758222000499E+17</v>
      </c>
      <c r="B441" s="4">
        <v>8090801998</v>
      </c>
      <c r="C441" s="4" t="s">
        <v>13700</v>
      </c>
      <c r="D441" s="4">
        <v>58222</v>
      </c>
      <c r="E441" s="4">
        <v>20210702</v>
      </c>
      <c r="F441" s="4">
        <v>20210702</v>
      </c>
      <c r="G441" s="4">
        <v>20240702</v>
      </c>
      <c r="H441" s="4" t="s">
        <v>13699</v>
      </c>
      <c r="I441" s="4" t="s">
        <v>13698</v>
      </c>
      <c r="J441" s="4" t="s">
        <v>94</v>
      </c>
    </row>
    <row r="442" spans="1:10" hidden="1">
      <c r="A442" s="4">
        <v>2.0210726295000499E+17</v>
      </c>
      <c r="B442" s="4">
        <v>4898801909</v>
      </c>
      <c r="C442" s="4" t="s">
        <v>13697</v>
      </c>
      <c r="D442" s="4">
        <v>26295</v>
      </c>
      <c r="E442" s="4">
        <v>20210702</v>
      </c>
      <c r="F442" s="4">
        <v>20210702</v>
      </c>
      <c r="G442" s="4">
        <v>20240702</v>
      </c>
      <c r="H442" s="4" t="s">
        <v>3041</v>
      </c>
      <c r="I442" s="4" t="s">
        <v>13696</v>
      </c>
      <c r="J442" s="4" t="s">
        <v>174</v>
      </c>
    </row>
    <row r="443" spans="1:10" hidden="1">
      <c r="A443" s="4">
        <v>2.0210732029000499E+17</v>
      </c>
      <c r="B443" s="4">
        <v>4011866082</v>
      </c>
      <c r="C443" s="4" t="s">
        <v>13695</v>
      </c>
      <c r="D443" s="4">
        <v>32029</v>
      </c>
      <c r="E443" s="4">
        <v>20210702</v>
      </c>
      <c r="F443" s="4">
        <v>20210702</v>
      </c>
      <c r="G443" s="4">
        <v>20240702</v>
      </c>
      <c r="H443" s="4" t="s">
        <v>8986</v>
      </c>
      <c r="I443" s="4" t="s">
        <v>8985</v>
      </c>
      <c r="J443" s="4" t="s">
        <v>637</v>
      </c>
    </row>
    <row r="444" spans="1:10" hidden="1">
      <c r="A444" s="4">
        <v>2.0210756192000499E+17</v>
      </c>
      <c r="B444" s="4">
        <v>1798101449</v>
      </c>
      <c r="C444" s="4" t="s">
        <v>13837</v>
      </c>
      <c r="D444" s="4">
        <v>56192</v>
      </c>
      <c r="E444" s="4">
        <v>20210702</v>
      </c>
      <c r="F444" s="4">
        <v>20210702</v>
      </c>
      <c r="G444" s="4">
        <v>20240702</v>
      </c>
      <c r="H444" s="4" t="s">
        <v>13836</v>
      </c>
      <c r="I444" s="4" t="s">
        <v>149</v>
      </c>
      <c r="J444" s="4" t="s">
        <v>13835</v>
      </c>
    </row>
    <row r="445" spans="1:10" hidden="1">
      <c r="A445" s="4">
        <v>2.0210746595000499E+17</v>
      </c>
      <c r="B445" s="4">
        <v>7578701576</v>
      </c>
      <c r="C445" s="4" t="s">
        <v>13691</v>
      </c>
      <c r="D445" s="4">
        <v>46595</v>
      </c>
      <c r="E445" s="4">
        <v>20210702</v>
      </c>
      <c r="F445" s="4">
        <v>20210702</v>
      </c>
      <c r="G445" s="4">
        <v>20240702</v>
      </c>
      <c r="H445" s="4" t="s">
        <v>11286</v>
      </c>
      <c r="I445" s="4" t="s">
        <v>13690</v>
      </c>
      <c r="J445" s="4" t="s">
        <v>960</v>
      </c>
    </row>
    <row r="446" spans="1:10" hidden="1">
      <c r="A446" s="4">
        <v>2.0210771531000499E+17</v>
      </c>
      <c r="B446" s="4">
        <v>7382900770</v>
      </c>
      <c r="C446" s="4" t="s">
        <v>13689</v>
      </c>
      <c r="D446" s="4">
        <v>71531</v>
      </c>
      <c r="E446" s="4">
        <v>20210702</v>
      </c>
      <c r="F446" s="4">
        <v>20210702</v>
      </c>
      <c r="G446" s="4">
        <v>20240702</v>
      </c>
      <c r="H446" s="4" t="s">
        <v>13688</v>
      </c>
      <c r="I446" s="4" t="s">
        <v>13687</v>
      </c>
      <c r="J446" s="4" t="s">
        <v>87</v>
      </c>
    </row>
    <row r="447" spans="1:10" hidden="1">
      <c r="A447" s="4">
        <v>2.0210768129000499E+17</v>
      </c>
      <c r="B447" s="4">
        <v>1592301071</v>
      </c>
      <c r="C447" s="4" t="s">
        <v>13686</v>
      </c>
      <c r="D447" s="4">
        <v>68129</v>
      </c>
      <c r="E447" s="4">
        <v>20210702</v>
      </c>
      <c r="F447" s="4">
        <v>20210702</v>
      </c>
      <c r="G447" s="4">
        <v>20240702</v>
      </c>
      <c r="H447" s="4" t="s">
        <v>13685</v>
      </c>
      <c r="I447" s="4" t="s">
        <v>13684</v>
      </c>
      <c r="J447" s="4" t="s">
        <v>13683</v>
      </c>
    </row>
    <row r="448" spans="1:10" hidden="1">
      <c r="A448" s="4">
        <v>2.0210713409000602E+17</v>
      </c>
      <c r="B448" s="4">
        <v>4038700670</v>
      </c>
      <c r="C448" s="4" t="s">
        <v>13682</v>
      </c>
      <c r="D448" s="4">
        <v>13409</v>
      </c>
      <c r="E448" s="4">
        <v>20210702</v>
      </c>
      <c r="F448" s="4">
        <v>20210702</v>
      </c>
      <c r="G448" s="4">
        <v>20240511</v>
      </c>
      <c r="H448" s="4" t="s">
        <v>13681</v>
      </c>
      <c r="J448" s="4" t="s">
        <v>3591</v>
      </c>
    </row>
    <row r="449" spans="1:10" hidden="1">
      <c r="A449" s="4">
        <v>2.0210785669000499E+17</v>
      </c>
      <c r="B449" s="4">
        <v>3168127408</v>
      </c>
      <c r="C449" s="4" t="s">
        <v>13680</v>
      </c>
      <c r="D449" s="4">
        <v>85669</v>
      </c>
      <c r="E449" s="4">
        <v>20210702</v>
      </c>
      <c r="F449" s="4">
        <v>20210702</v>
      </c>
      <c r="G449" s="4">
        <v>20231116</v>
      </c>
      <c r="H449" s="4" t="s">
        <v>13679</v>
      </c>
      <c r="I449" s="4" t="s">
        <v>149</v>
      </c>
      <c r="J449" s="4" t="s">
        <v>3833</v>
      </c>
    </row>
    <row r="450" spans="1:10" hidden="1">
      <c r="A450" s="4">
        <v>2.0210742311000499E+17</v>
      </c>
      <c r="B450" s="4">
        <v>1868801617</v>
      </c>
      <c r="C450" s="4" t="s">
        <v>13678</v>
      </c>
      <c r="D450" s="4">
        <v>42311</v>
      </c>
      <c r="E450" s="4">
        <v>20210702</v>
      </c>
      <c r="F450" s="4">
        <v>20210702</v>
      </c>
      <c r="G450" s="4">
        <v>20240702</v>
      </c>
      <c r="H450" s="4" t="s">
        <v>13677</v>
      </c>
      <c r="I450" s="4" t="s">
        <v>13676</v>
      </c>
      <c r="J450" s="4" t="s">
        <v>718</v>
      </c>
    </row>
    <row r="451" spans="1:10" hidden="1">
      <c r="A451" s="4">
        <v>2.0210774211000499E+17</v>
      </c>
      <c r="B451" s="4">
        <v>7738100806</v>
      </c>
      <c r="C451" s="4" t="s">
        <v>13675</v>
      </c>
      <c r="D451" s="4">
        <v>74211</v>
      </c>
      <c r="E451" s="4">
        <v>20210702</v>
      </c>
      <c r="F451" s="4">
        <v>20210702</v>
      </c>
      <c r="G451" s="4">
        <v>20231219</v>
      </c>
      <c r="H451" s="4" t="s">
        <v>13674</v>
      </c>
      <c r="I451" s="4" t="s">
        <v>185</v>
      </c>
      <c r="J451" s="4" t="s">
        <v>5576</v>
      </c>
    </row>
    <row r="452" spans="1:10" hidden="1">
      <c r="A452" s="4">
        <v>2.0210770209000499E+17</v>
      </c>
      <c r="B452" s="4">
        <v>3078151020</v>
      </c>
      <c r="C452" s="4" t="s">
        <v>13673</v>
      </c>
      <c r="D452" s="4">
        <v>70209</v>
      </c>
      <c r="E452" s="4">
        <v>20210702</v>
      </c>
      <c r="F452" s="4">
        <v>20210702</v>
      </c>
      <c r="G452" s="4">
        <v>20240702</v>
      </c>
      <c r="H452" s="4" t="s">
        <v>13672</v>
      </c>
      <c r="I452" s="4" t="s">
        <v>13419</v>
      </c>
      <c r="J452" s="4" t="s">
        <v>242</v>
      </c>
    </row>
    <row r="453" spans="1:10" hidden="1">
      <c r="A453" s="4">
        <v>2.0210733401000499E+17</v>
      </c>
      <c r="B453" s="4">
        <v>3648800386</v>
      </c>
      <c r="C453" s="4" t="s">
        <v>13671</v>
      </c>
      <c r="D453" s="4">
        <v>33401</v>
      </c>
      <c r="E453" s="4">
        <v>20210701</v>
      </c>
      <c r="F453" s="4">
        <v>20210701</v>
      </c>
      <c r="G453" s="4">
        <v>20230412</v>
      </c>
      <c r="H453" s="4" t="s">
        <v>6773</v>
      </c>
      <c r="I453" s="4" t="s">
        <v>13670</v>
      </c>
      <c r="J453" s="4" t="s">
        <v>364</v>
      </c>
    </row>
    <row r="454" spans="1:10" hidden="1">
      <c r="A454" s="4">
        <v>2.0210730122000499E+17</v>
      </c>
      <c r="B454" s="4">
        <v>1128601121</v>
      </c>
      <c r="C454" s="4" t="s">
        <v>13669</v>
      </c>
      <c r="D454" s="4">
        <v>30122</v>
      </c>
      <c r="E454" s="4">
        <v>20210701</v>
      </c>
      <c r="F454" s="4">
        <v>20210701</v>
      </c>
      <c r="G454" s="4">
        <v>20240701</v>
      </c>
      <c r="H454" s="4" t="s">
        <v>13668</v>
      </c>
      <c r="J454" s="4" t="s">
        <v>2503</v>
      </c>
    </row>
    <row r="455" spans="1:10" hidden="1">
      <c r="A455" s="4">
        <v>2.0210758222000499E+17</v>
      </c>
      <c r="B455" s="4">
        <v>1388600274</v>
      </c>
      <c r="C455" s="4" t="s">
        <v>13667</v>
      </c>
      <c r="D455" s="4">
        <v>58222</v>
      </c>
      <c r="E455" s="4">
        <v>20210701</v>
      </c>
      <c r="F455" s="4">
        <v>20210701</v>
      </c>
      <c r="G455" s="4">
        <v>20211224</v>
      </c>
      <c r="H455" s="4" t="s">
        <v>13666</v>
      </c>
      <c r="I455" s="4" t="s">
        <v>13665</v>
      </c>
      <c r="J455" s="4" t="s">
        <v>94</v>
      </c>
    </row>
    <row r="456" spans="1:10" hidden="1">
      <c r="A456" s="4">
        <v>2.0210722299000499E+17</v>
      </c>
      <c r="B456" s="4">
        <v>4618600043</v>
      </c>
      <c r="C456" s="4" t="s">
        <v>13664</v>
      </c>
      <c r="D456" s="4">
        <v>22299</v>
      </c>
      <c r="E456" s="4">
        <v>20210701</v>
      </c>
      <c r="F456" s="4">
        <v>20210701</v>
      </c>
      <c r="G456" s="4">
        <v>20220409</v>
      </c>
      <c r="H456" s="4" t="s">
        <v>13663</v>
      </c>
      <c r="I456" s="4" t="s">
        <v>149</v>
      </c>
      <c r="J456" s="4" t="s">
        <v>384</v>
      </c>
    </row>
    <row r="457" spans="1:10" hidden="1">
      <c r="A457" s="4">
        <v>2.0210758221000499E+17</v>
      </c>
      <c r="B457" s="4">
        <v>7778800961</v>
      </c>
      <c r="C457" s="4" t="s">
        <v>13662</v>
      </c>
      <c r="D457" s="4">
        <v>58221</v>
      </c>
      <c r="E457" s="4">
        <v>20210701</v>
      </c>
      <c r="F457" s="4">
        <v>20210701</v>
      </c>
      <c r="G457" s="4">
        <v>20240701</v>
      </c>
      <c r="H457" s="4" t="s">
        <v>13661</v>
      </c>
      <c r="I457" s="4" t="s">
        <v>13660</v>
      </c>
      <c r="J457" s="4" t="s">
        <v>228</v>
      </c>
    </row>
    <row r="458" spans="1:10" hidden="1">
      <c r="A458" s="4">
        <v>2.0210725111000499E+17</v>
      </c>
      <c r="B458" s="4">
        <v>7348701632</v>
      </c>
      <c r="C458" s="4" t="s">
        <v>13659</v>
      </c>
      <c r="D458" s="4">
        <v>25111</v>
      </c>
      <c r="E458" s="4">
        <v>20210701</v>
      </c>
      <c r="F458" s="4">
        <v>20210701</v>
      </c>
      <c r="G458" s="4">
        <v>20240701</v>
      </c>
      <c r="H458" s="4" t="s">
        <v>13658</v>
      </c>
      <c r="J458" s="4" t="s">
        <v>82</v>
      </c>
    </row>
    <row r="459" spans="1:10" hidden="1">
      <c r="A459" s="4">
        <v>2.0210771310000499E+17</v>
      </c>
      <c r="B459" s="4">
        <v>7128100816</v>
      </c>
      <c r="C459" s="4" t="s">
        <v>13657</v>
      </c>
      <c r="D459" s="4">
        <v>71310</v>
      </c>
      <c r="E459" s="4">
        <v>20210701</v>
      </c>
      <c r="F459" s="4">
        <v>20210701</v>
      </c>
      <c r="G459" s="4">
        <v>20240701</v>
      </c>
      <c r="H459" s="4" t="s">
        <v>5249</v>
      </c>
      <c r="I459" s="4" t="s">
        <v>13656</v>
      </c>
      <c r="J459" s="4" t="s">
        <v>426</v>
      </c>
    </row>
    <row r="460" spans="1:10" hidden="1">
      <c r="A460" s="4">
        <v>2.0210728121000499E+17</v>
      </c>
      <c r="B460" s="4">
        <v>2438800959</v>
      </c>
      <c r="C460" s="4" t="s">
        <v>13790</v>
      </c>
      <c r="D460" s="4">
        <v>28121</v>
      </c>
      <c r="E460" s="4">
        <v>20210702</v>
      </c>
      <c r="F460" s="4">
        <v>20210702</v>
      </c>
      <c r="G460" s="4">
        <v>20240702</v>
      </c>
      <c r="H460" s="4" t="s">
        <v>4170</v>
      </c>
      <c r="I460" s="4" t="s">
        <v>13789</v>
      </c>
      <c r="J460" s="4" t="s">
        <v>682</v>
      </c>
    </row>
    <row r="461" spans="1:10" hidden="1">
      <c r="A461" s="4">
        <v>2.0210758221000499E+17</v>
      </c>
      <c r="B461" s="4">
        <v>5398800748</v>
      </c>
      <c r="C461" s="4" t="s">
        <v>13653</v>
      </c>
      <c r="D461" s="4">
        <v>58221</v>
      </c>
      <c r="E461" s="4">
        <v>20210701</v>
      </c>
      <c r="F461" s="4">
        <v>20210701</v>
      </c>
      <c r="G461" s="4">
        <v>20240701</v>
      </c>
      <c r="H461" s="4" t="s">
        <v>13652</v>
      </c>
      <c r="I461" s="4" t="s">
        <v>1156</v>
      </c>
      <c r="J461" s="4" t="s">
        <v>228</v>
      </c>
    </row>
    <row r="462" spans="1:10" hidden="1">
      <c r="A462" s="4">
        <v>2.0210729210000499E+17</v>
      </c>
      <c r="B462" s="4">
        <v>4988701153</v>
      </c>
      <c r="C462" s="4" t="s">
        <v>13651</v>
      </c>
      <c r="D462" s="4">
        <v>29210</v>
      </c>
      <c r="E462" s="4">
        <v>20210701</v>
      </c>
      <c r="F462" s="4">
        <v>20210701</v>
      </c>
      <c r="G462" s="4">
        <v>20240701</v>
      </c>
      <c r="H462" s="4" t="s">
        <v>1423</v>
      </c>
      <c r="I462" s="4" t="s">
        <v>13650</v>
      </c>
      <c r="J462" s="4" t="s">
        <v>1274</v>
      </c>
    </row>
    <row r="463" spans="1:10" hidden="1">
      <c r="A463" s="4">
        <v>2.0210729294000499E+17</v>
      </c>
      <c r="B463" s="4">
        <v>1013251399</v>
      </c>
      <c r="C463" s="4" t="s">
        <v>10202</v>
      </c>
      <c r="D463" s="4">
        <v>29294</v>
      </c>
      <c r="E463" s="4">
        <v>20210702</v>
      </c>
      <c r="F463" s="4">
        <v>20210702</v>
      </c>
      <c r="G463" s="4">
        <v>20240702</v>
      </c>
      <c r="H463" s="4" t="s">
        <v>2283</v>
      </c>
      <c r="I463" s="4" t="s">
        <v>1322</v>
      </c>
      <c r="J463" s="4" t="s">
        <v>1848</v>
      </c>
    </row>
    <row r="464" spans="1:10" hidden="1">
      <c r="A464" s="4">
        <v>2.0210772111000499E+17</v>
      </c>
      <c r="B464" s="4">
        <v>5827000034</v>
      </c>
      <c r="C464" s="4" t="s">
        <v>13647</v>
      </c>
      <c r="D464" s="4">
        <v>72111</v>
      </c>
      <c r="E464" s="4">
        <v>20210701</v>
      </c>
      <c r="F464" s="4">
        <v>20210701</v>
      </c>
      <c r="G464" s="4">
        <v>20221001</v>
      </c>
      <c r="H464" s="4" t="s">
        <v>13646</v>
      </c>
      <c r="I464" s="4" t="s">
        <v>159</v>
      </c>
      <c r="J464" s="4" t="s">
        <v>3461</v>
      </c>
    </row>
    <row r="465" spans="1:10" hidden="1">
      <c r="A465" s="4">
        <v>2.0210746452000499E+17</v>
      </c>
      <c r="B465" s="4">
        <v>8530301383</v>
      </c>
      <c r="C465" s="4" t="s">
        <v>12925</v>
      </c>
      <c r="D465" s="4">
        <v>46452</v>
      </c>
      <c r="E465" s="4">
        <v>20210701</v>
      </c>
      <c r="F465" s="4">
        <v>20210701</v>
      </c>
      <c r="G465" s="4">
        <v>20240701</v>
      </c>
      <c r="H465" s="4" t="s">
        <v>12924</v>
      </c>
      <c r="I465" s="4" t="s">
        <v>12923</v>
      </c>
      <c r="J465" s="4" t="s">
        <v>516</v>
      </c>
    </row>
    <row r="466" spans="1:10" hidden="1">
      <c r="A466" s="4">
        <v>2.0210724290000499E+17</v>
      </c>
      <c r="B466" s="4">
        <v>6022076298</v>
      </c>
      <c r="C466" s="4" t="s">
        <v>13645</v>
      </c>
      <c r="D466" s="4">
        <v>24290</v>
      </c>
      <c r="E466" s="4">
        <v>20210701</v>
      </c>
      <c r="F466" s="4">
        <v>20210701</v>
      </c>
      <c r="G466" s="4">
        <v>20240701</v>
      </c>
      <c r="H466" s="4" t="s">
        <v>13644</v>
      </c>
      <c r="J466" s="4" t="s">
        <v>325</v>
      </c>
    </row>
    <row r="467" spans="1:10" hidden="1">
      <c r="A467" s="4">
        <v>2.0210710712000499E+17</v>
      </c>
      <c r="B467" s="4">
        <v>5716500312</v>
      </c>
      <c r="C467" s="4" t="s">
        <v>13643</v>
      </c>
      <c r="D467" s="4">
        <v>10712</v>
      </c>
      <c r="E467" s="4">
        <v>20210701</v>
      </c>
      <c r="F467" s="4">
        <v>20210701</v>
      </c>
      <c r="G467" s="4">
        <v>20240701</v>
      </c>
      <c r="H467" s="4" t="s">
        <v>11683</v>
      </c>
      <c r="I467" s="4" t="s">
        <v>13642</v>
      </c>
      <c r="J467" s="4" t="s">
        <v>3047</v>
      </c>
    </row>
    <row r="468" spans="1:10" hidden="1">
      <c r="A468" s="4">
        <v>2.0210758221000499E+17</v>
      </c>
      <c r="B468" s="4">
        <v>8338101261</v>
      </c>
      <c r="C468" s="4" t="s">
        <v>13641</v>
      </c>
      <c r="D468" s="4">
        <v>58221</v>
      </c>
      <c r="E468" s="4">
        <v>20210701</v>
      </c>
      <c r="F468" s="4">
        <v>20210701</v>
      </c>
      <c r="G468" s="4">
        <v>20240701</v>
      </c>
      <c r="H468" s="4" t="s">
        <v>13640</v>
      </c>
      <c r="I468" s="4" t="s">
        <v>13639</v>
      </c>
      <c r="J468" s="4" t="s">
        <v>228</v>
      </c>
    </row>
    <row r="469" spans="1:10" hidden="1">
      <c r="A469" s="4">
        <v>2.0210729172000499E+17</v>
      </c>
      <c r="B469" s="4">
        <v>2181703076</v>
      </c>
      <c r="C469" s="4" t="s">
        <v>13638</v>
      </c>
      <c r="D469" s="4">
        <v>29172</v>
      </c>
      <c r="E469" s="4">
        <v>20210701</v>
      </c>
      <c r="F469" s="4">
        <v>20210701</v>
      </c>
      <c r="G469" s="4">
        <v>20240701</v>
      </c>
      <c r="H469" s="4" t="s">
        <v>8325</v>
      </c>
      <c r="I469" s="4" t="s">
        <v>13637</v>
      </c>
      <c r="J469" s="4" t="s">
        <v>1204</v>
      </c>
    </row>
    <row r="470" spans="1:10" hidden="1">
      <c r="A470" s="4">
        <v>2.0210714199000499E+17</v>
      </c>
      <c r="B470" s="4">
        <v>8455700085</v>
      </c>
      <c r="C470" s="4" t="s">
        <v>13636</v>
      </c>
      <c r="D470" s="4">
        <v>14199</v>
      </c>
      <c r="E470" s="4">
        <v>20210701</v>
      </c>
      <c r="F470" s="4">
        <v>20210701</v>
      </c>
      <c r="G470" s="4">
        <v>20231013</v>
      </c>
      <c r="H470" s="4" t="s">
        <v>1061</v>
      </c>
      <c r="I470" s="4" t="s">
        <v>1813</v>
      </c>
      <c r="J470" s="4" t="s">
        <v>3215</v>
      </c>
    </row>
    <row r="471" spans="1:10" hidden="1">
      <c r="A471" s="4">
        <v>2.0210758222000499E+17</v>
      </c>
      <c r="B471" s="4">
        <v>1198701041</v>
      </c>
      <c r="C471" s="4" t="s">
        <v>13635</v>
      </c>
      <c r="D471" s="4">
        <v>58222</v>
      </c>
      <c r="E471" s="4">
        <v>20210701</v>
      </c>
      <c r="F471" s="4">
        <v>20210701</v>
      </c>
      <c r="G471" s="4">
        <v>20211017</v>
      </c>
      <c r="H471" s="4" t="s">
        <v>1486</v>
      </c>
      <c r="I471" s="4" t="s">
        <v>13634</v>
      </c>
      <c r="J471" s="4" t="s">
        <v>94</v>
      </c>
    </row>
    <row r="472" spans="1:10" hidden="1">
      <c r="A472" s="4">
        <v>2.0210742321000499E+17</v>
      </c>
      <c r="B472" s="4">
        <v>7052100487</v>
      </c>
      <c r="C472" s="4" t="s">
        <v>13633</v>
      </c>
      <c r="D472" s="4">
        <v>42321</v>
      </c>
      <c r="E472" s="4">
        <v>20210701</v>
      </c>
      <c r="F472" s="4">
        <v>20210701</v>
      </c>
      <c r="G472" s="4">
        <v>20231107</v>
      </c>
      <c r="H472" s="4" t="s">
        <v>11034</v>
      </c>
      <c r="I472" s="4" t="s">
        <v>1922</v>
      </c>
      <c r="J472" s="4" t="s">
        <v>698</v>
      </c>
    </row>
    <row r="473" spans="1:10" hidden="1">
      <c r="A473" s="4">
        <v>2.0210725111000499E+17</v>
      </c>
      <c r="B473" s="4">
        <v>7648102168</v>
      </c>
      <c r="C473" s="4" t="s">
        <v>13632</v>
      </c>
      <c r="D473" s="4">
        <v>25111</v>
      </c>
      <c r="E473" s="4">
        <v>20210701</v>
      </c>
      <c r="F473" s="4">
        <v>20210701</v>
      </c>
      <c r="G473" s="4">
        <v>20240701</v>
      </c>
      <c r="H473" s="4" t="s">
        <v>13631</v>
      </c>
      <c r="I473" s="4" t="s">
        <v>1695</v>
      </c>
      <c r="J473" s="4" t="s">
        <v>82</v>
      </c>
    </row>
    <row r="474" spans="1:10" hidden="1">
      <c r="A474" s="4">
        <v>2.0210716211000499E+17</v>
      </c>
      <c r="B474" s="4">
        <v>6308601857</v>
      </c>
      <c r="C474" s="4" t="s">
        <v>13630</v>
      </c>
      <c r="D474" s="4">
        <v>16211</v>
      </c>
      <c r="E474" s="4">
        <v>20210701</v>
      </c>
      <c r="F474" s="4">
        <v>20210701</v>
      </c>
      <c r="G474" s="4">
        <v>20240701</v>
      </c>
      <c r="H474" s="4" t="s">
        <v>13629</v>
      </c>
      <c r="J474" s="4" t="s">
        <v>1402</v>
      </c>
    </row>
    <row r="475" spans="1:10" hidden="1">
      <c r="A475" s="4">
        <v>2.0210758221000499E+17</v>
      </c>
      <c r="B475" s="4">
        <v>4088800046</v>
      </c>
      <c r="C475" s="4" t="s">
        <v>13628</v>
      </c>
      <c r="D475" s="4">
        <v>58221</v>
      </c>
      <c r="E475" s="4">
        <v>20210701</v>
      </c>
      <c r="F475" s="4">
        <v>20210701</v>
      </c>
      <c r="G475" s="4">
        <v>20220304</v>
      </c>
      <c r="H475" s="4" t="s">
        <v>13627</v>
      </c>
      <c r="I475" s="4" t="s">
        <v>149</v>
      </c>
      <c r="J475" s="4" t="s">
        <v>228</v>
      </c>
    </row>
    <row r="476" spans="1:10" hidden="1">
      <c r="A476" s="4">
        <v>2.0210758211000499E+17</v>
      </c>
      <c r="B476" s="4">
        <v>4498700808</v>
      </c>
      <c r="C476" s="4" t="s">
        <v>13626</v>
      </c>
      <c r="D476" s="4">
        <v>58211</v>
      </c>
      <c r="E476" s="4">
        <v>20210701</v>
      </c>
      <c r="F476" s="4">
        <v>20210701</v>
      </c>
      <c r="G476" s="4">
        <v>20240701</v>
      </c>
      <c r="H476" s="4" t="s">
        <v>2433</v>
      </c>
      <c r="I476" s="4" t="s">
        <v>3442</v>
      </c>
      <c r="J476" s="4" t="s">
        <v>887</v>
      </c>
    </row>
    <row r="477" spans="1:10" hidden="1">
      <c r="A477" s="4">
        <v>2.0210771531000499E+17</v>
      </c>
      <c r="B477" s="4">
        <v>3598701071</v>
      </c>
      <c r="C477" s="4" t="s">
        <v>13625</v>
      </c>
      <c r="D477" s="4">
        <v>71531</v>
      </c>
      <c r="E477" s="4">
        <v>20210701</v>
      </c>
      <c r="F477" s="4">
        <v>20210701</v>
      </c>
      <c r="G477" s="4">
        <v>20240701</v>
      </c>
      <c r="H477" s="4" t="s">
        <v>5278</v>
      </c>
      <c r="I477" s="4" t="s">
        <v>13624</v>
      </c>
      <c r="J477" s="4" t="s">
        <v>87</v>
      </c>
    </row>
    <row r="478" spans="1:10" hidden="1">
      <c r="A478" s="4">
        <v>2.0210762021000499E+17</v>
      </c>
      <c r="B478" s="4">
        <v>4198801517</v>
      </c>
      <c r="C478" s="4" t="s">
        <v>13623</v>
      </c>
      <c r="D478" s="4">
        <v>62021</v>
      </c>
      <c r="E478" s="4">
        <v>20210701</v>
      </c>
      <c r="F478" s="4">
        <v>20210701</v>
      </c>
      <c r="G478" s="4">
        <v>20240701</v>
      </c>
      <c r="H478" s="4" t="s">
        <v>13622</v>
      </c>
      <c r="I478" s="4" t="s">
        <v>13621</v>
      </c>
      <c r="J478" s="4" t="s">
        <v>1505</v>
      </c>
    </row>
    <row r="479" spans="1:10" hidden="1">
      <c r="A479" s="4">
        <v>2.0210762010000499E+17</v>
      </c>
      <c r="B479" s="4">
        <v>3078801117</v>
      </c>
      <c r="C479" s="4" t="s">
        <v>13620</v>
      </c>
      <c r="D479" s="4">
        <v>62010</v>
      </c>
      <c r="E479" s="4">
        <v>20210701</v>
      </c>
      <c r="F479" s="4">
        <v>20210701</v>
      </c>
      <c r="G479" s="4">
        <v>20240701</v>
      </c>
      <c r="H479" s="4" t="s">
        <v>13619</v>
      </c>
      <c r="I479" s="4" t="s">
        <v>91</v>
      </c>
      <c r="J479" s="4" t="s">
        <v>118</v>
      </c>
    </row>
    <row r="480" spans="1:10" hidden="1">
      <c r="A480" s="4">
        <v>2.0210729175000499E+17</v>
      </c>
      <c r="B480" s="4">
        <v>4598101291</v>
      </c>
      <c r="C480" s="4" t="s">
        <v>13618</v>
      </c>
      <c r="D480" s="4">
        <v>29175</v>
      </c>
      <c r="E480" s="4">
        <v>20210701</v>
      </c>
      <c r="F480" s="4">
        <v>20210701</v>
      </c>
      <c r="G480" s="4">
        <v>20240701</v>
      </c>
      <c r="H480" s="4" t="s">
        <v>13617</v>
      </c>
      <c r="J480" s="4" t="s">
        <v>232</v>
      </c>
    </row>
    <row r="481" spans="1:10" hidden="1">
      <c r="A481" s="4">
        <v>2.0210738311000499E+17</v>
      </c>
      <c r="B481" s="4">
        <v>3888801907</v>
      </c>
      <c r="C481" s="4" t="s">
        <v>13616</v>
      </c>
      <c r="D481" s="4">
        <v>38311</v>
      </c>
      <c r="E481" s="4">
        <v>20210701</v>
      </c>
      <c r="F481" s="4">
        <v>20210701</v>
      </c>
      <c r="G481" s="4">
        <v>20240701</v>
      </c>
      <c r="H481" s="4" t="s">
        <v>13615</v>
      </c>
      <c r="J481" s="4" t="s">
        <v>13614</v>
      </c>
    </row>
    <row r="482" spans="1:10" hidden="1">
      <c r="A482" s="4">
        <v>2.0210728422000499E+17</v>
      </c>
      <c r="B482" s="4">
        <v>4758701558</v>
      </c>
      <c r="C482" s="4" t="s">
        <v>13613</v>
      </c>
      <c r="D482" s="4">
        <v>28422</v>
      </c>
      <c r="E482" s="4">
        <v>20210701</v>
      </c>
      <c r="F482" s="4">
        <v>20210701</v>
      </c>
      <c r="G482" s="4">
        <v>20240701</v>
      </c>
      <c r="H482" s="4" t="s">
        <v>13612</v>
      </c>
      <c r="I482" s="4" t="s">
        <v>149</v>
      </c>
      <c r="J482" s="4" t="s">
        <v>188</v>
      </c>
    </row>
    <row r="483" spans="1:10" hidden="1">
      <c r="A483" s="4">
        <v>2.0210758221000499E+17</v>
      </c>
      <c r="B483" s="4">
        <v>5058186201</v>
      </c>
      <c r="C483" s="4" t="s">
        <v>13611</v>
      </c>
      <c r="D483" s="4">
        <v>58221</v>
      </c>
      <c r="E483" s="4">
        <v>20210701</v>
      </c>
      <c r="F483" s="4">
        <v>20210701</v>
      </c>
      <c r="G483" s="4">
        <v>20240701</v>
      </c>
      <c r="H483" s="4" t="s">
        <v>1964</v>
      </c>
      <c r="I483" s="4" t="s">
        <v>13610</v>
      </c>
      <c r="J483" s="4" t="s">
        <v>228</v>
      </c>
    </row>
    <row r="484" spans="1:10" hidden="1">
      <c r="A484" s="4">
        <v>2.0210725911000499E+17</v>
      </c>
      <c r="B484" s="4">
        <v>8238101167</v>
      </c>
      <c r="C484" s="4" t="s">
        <v>13609</v>
      </c>
      <c r="D484" s="4">
        <v>25911</v>
      </c>
      <c r="E484" s="4">
        <v>20210701</v>
      </c>
      <c r="F484" s="4">
        <v>20210701</v>
      </c>
      <c r="G484" s="4">
        <v>20240701</v>
      </c>
      <c r="H484" s="4" t="s">
        <v>13608</v>
      </c>
      <c r="J484" s="4" t="s">
        <v>11687</v>
      </c>
    </row>
    <row r="485" spans="1:10" hidden="1">
      <c r="A485" s="4">
        <v>2.0210763991000499E+17</v>
      </c>
      <c r="B485" s="4">
        <v>8672301167</v>
      </c>
      <c r="C485" s="4" t="s">
        <v>13607</v>
      </c>
      <c r="D485" s="4">
        <v>63991</v>
      </c>
      <c r="E485" s="4">
        <v>20210701</v>
      </c>
      <c r="F485" s="4">
        <v>20210701</v>
      </c>
      <c r="G485" s="4">
        <v>20240701</v>
      </c>
      <c r="H485" s="4" t="s">
        <v>230</v>
      </c>
      <c r="I485" s="4" t="s">
        <v>13606</v>
      </c>
      <c r="J485" s="4" t="s">
        <v>395</v>
      </c>
    </row>
    <row r="486" spans="1:10" hidden="1">
      <c r="A486" s="4">
        <v>2.0210746613000499E+17</v>
      </c>
      <c r="B486" s="4">
        <v>6032572193</v>
      </c>
      <c r="C486" s="4" t="s">
        <v>13605</v>
      </c>
      <c r="D486" s="4">
        <v>46613</v>
      </c>
      <c r="E486" s="4">
        <v>20210701</v>
      </c>
      <c r="F486" s="4">
        <v>20210701</v>
      </c>
      <c r="G486" s="4">
        <v>20240701</v>
      </c>
      <c r="H486" s="4" t="s">
        <v>6829</v>
      </c>
      <c r="J486" s="4" t="s">
        <v>13604</v>
      </c>
    </row>
    <row r="487" spans="1:10" hidden="1">
      <c r="A487" s="4">
        <v>2.0210730331000499E+17</v>
      </c>
      <c r="B487" s="4">
        <v>4891600811</v>
      </c>
      <c r="C487" s="4" t="s">
        <v>13603</v>
      </c>
      <c r="D487" s="4">
        <v>30331</v>
      </c>
      <c r="E487" s="4">
        <v>20210701</v>
      </c>
      <c r="F487" s="4">
        <v>20210701</v>
      </c>
      <c r="G487" s="4">
        <v>20240701</v>
      </c>
      <c r="H487" s="4" t="s">
        <v>13602</v>
      </c>
      <c r="J487" s="4" t="s">
        <v>11030</v>
      </c>
    </row>
    <row r="488" spans="1:10" hidden="1">
      <c r="A488" s="4">
        <v>2.0210727216000499E+17</v>
      </c>
      <c r="B488" s="4">
        <v>3350100790</v>
      </c>
      <c r="C488" s="4" t="s">
        <v>13732</v>
      </c>
      <c r="D488" s="4">
        <v>27216</v>
      </c>
      <c r="E488" s="4">
        <v>20210702</v>
      </c>
      <c r="F488" s="4">
        <v>20210702</v>
      </c>
      <c r="G488" s="4">
        <v>20240428</v>
      </c>
      <c r="H488" s="4" t="s">
        <v>9719</v>
      </c>
      <c r="I488" s="4" t="s">
        <v>13731</v>
      </c>
      <c r="J488" s="4" t="s">
        <v>527</v>
      </c>
    </row>
    <row r="489" spans="1:10" hidden="1">
      <c r="A489" s="4">
        <v>2.0210762021000499E+17</v>
      </c>
      <c r="B489" s="4">
        <v>5011046814</v>
      </c>
      <c r="C489" s="4" t="s">
        <v>13599</v>
      </c>
      <c r="D489" s="4">
        <v>62021</v>
      </c>
      <c r="E489" s="4">
        <v>20210701</v>
      </c>
      <c r="F489" s="4">
        <v>20210701</v>
      </c>
      <c r="G489" s="4">
        <v>20231101</v>
      </c>
      <c r="H489" s="4" t="s">
        <v>8551</v>
      </c>
      <c r="I489" s="4" t="s">
        <v>13598</v>
      </c>
      <c r="J489" s="4" t="s">
        <v>1505</v>
      </c>
    </row>
    <row r="490" spans="1:10" hidden="1">
      <c r="A490" s="4">
        <v>2.0210727213000499E+17</v>
      </c>
      <c r="B490" s="4">
        <v>7132900543</v>
      </c>
      <c r="C490" s="4" t="s">
        <v>13597</v>
      </c>
      <c r="D490" s="4">
        <v>27213</v>
      </c>
      <c r="E490" s="4">
        <v>20210701</v>
      </c>
      <c r="F490" s="4">
        <v>20210701</v>
      </c>
      <c r="G490" s="4">
        <v>20240701</v>
      </c>
      <c r="H490" s="4" t="s">
        <v>3483</v>
      </c>
      <c r="I490" s="4" t="s">
        <v>13596</v>
      </c>
      <c r="J490" s="4" t="s">
        <v>264</v>
      </c>
    </row>
    <row r="491" spans="1:10" hidden="1">
      <c r="A491" s="4">
        <v>2.0210773201000499E+17</v>
      </c>
      <c r="B491" s="4">
        <v>5240101797</v>
      </c>
      <c r="C491" s="4" t="s">
        <v>13595</v>
      </c>
      <c r="D491" s="4">
        <v>73201</v>
      </c>
      <c r="E491" s="4">
        <v>20210701</v>
      </c>
      <c r="F491" s="4">
        <v>20210701</v>
      </c>
      <c r="G491" s="4">
        <v>20240701</v>
      </c>
      <c r="H491" s="4" t="s">
        <v>13594</v>
      </c>
      <c r="J491" s="4" t="s">
        <v>569</v>
      </c>
    </row>
    <row r="492" spans="1:10" hidden="1">
      <c r="A492" s="4">
        <v>2.0210625934000499E+17</v>
      </c>
      <c r="B492" s="4">
        <v>3348601847</v>
      </c>
      <c r="C492" s="4" t="s">
        <v>13593</v>
      </c>
      <c r="D492" s="4">
        <v>25934</v>
      </c>
      <c r="E492" s="4">
        <v>20210630</v>
      </c>
      <c r="F492" s="4">
        <v>20210630</v>
      </c>
      <c r="G492" s="4">
        <v>20240630</v>
      </c>
      <c r="H492" s="4" t="s">
        <v>13592</v>
      </c>
      <c r="I492" s="4" t="s">
        <v>13591</v>
      </c>
      <c r="J492" s="4" t="s">
        <v>13590</v>
      </c>
    </row>
    <row r="493" spans="1:10" hidden="1">
      <c r="A493" s="4">
        <v>2.0210626112000499E+17</v>
      </c>
      <c r="B493" s="4">
        <v>1338600401</v>
      </c>
      <c r="C493" s="4" t="s">
        <v>13589</v>
      </c>
      <c r="D493" s="4">
        <v>26112</v>
      </c>
      <c r="E493" s="4">
        <v>20210630</v>
      </c>
      <c r="F493" s="4">
        <v>20210630</v>
      </c>
      <c r="G493" s="4">
        <v>20211212</v>
      </c>
      <c r="H493" s="4" t="s">
        <v>420</v>
      </c>
      <c r="I493" s="4" t="s">
        <v>13588</v>
      </c>
      <c r="J493" s="4" t="s">
        <v>2743</v>
      </c>
    </row>
    <row r="494" spans="1:10" hidden="1">
      <c r="A494" s="4">
        <v>2.0210628111000499E+17</v>
      </c>
      <c r="B494" s="4">
        <v>8388801120</v>
      </c>
      <c r="C494" s="4" t="s">
        <v>13586</v>
      </c>
      <c r="D494" s="4">
        <v>28111</v>
      </c>
      <c r="E494" s="4">
        <v>20210630</v>
      </c>
      <c r="F494" s="4">
        <v>20210630</v>
      </c>
      <c r="G494" s="4">
        <v>20240630</v>
      </c>
      <c r="H494" s="4" t="s">
        <v>13587</v>
      </c>
      <c r="I494" s="4" t="s">
        <v>13586</v>
      </c>
      <c r="J494" s="4" t="s">
        <v>1614</v>
      </c>
    </row>
    <row r="495" spans="1:10" hidden="1">
      <c r="A495" s="4">
        <v>2.0210662021000499E+17</v>
      </c>
      <c r="B495" s="4">
        <v>6748800677</v>
      </c>
      <c r="C495" s="4" t="s">
        <v>13585</v>
      </c>
      <c r="D495" s="4">
        <v>62021</v>
      </c>
      <c r="E495" s="4">
        <v>20210630</v>
      </c>
      <c r="F495" s="4">
        <v>20210630</v>
      </c>
      <c r="G495" s="4">
        <v>20240317</v>
      </c>
      <c r="H495" s="4" t="s">
        <v>2006</v>
      </c>
      <c r="I495" s="4" t="s">
        <v>13584</v>
      </c>
      <c r="J495" s="4" t="s">
        <v>1505</v>
      </c>
    </row>
    <row r="496" spans="1:10" hidden="1">
      <c r="A496" s="4">
        <v>2.0210670129000499E+17</v>
      </c>
      <c r="B496" s="4">
        <v>3988701872</v>
      </c>
      <c r="C496" s="4" t="s">
        <v>13583</v>
      </c>
      <c r="D496" s="4">
        <v>70129</v>
      </c>
      <c r="E496" s="4">
        <v>20210630</v>
      </c>
      <c r="F496" s="4">
        <v>20210630</v>
      </c>
      <c r="G496" s="4">
        <v>20240630</v>
      </c>
      <c r="H496" s="4" t="s">
        <v>370</v>
      </c>
      <c r="I496" s="4" t="s">
        <v>13582</v>
      </c>
      <c r="J496" s="4" t="s">
        <v>937</v>
      </c>
    </row>
    <row r="497" spans="1:10" hidden="1">
      <c r="A497" s="4">
        <v>2.0210628519000499E+17</v>
      </c>
      <c r="B497" s="4">
        <v>5508601906</v>
      </c>
      <c r="C497" s="4" t="s">
        <v>13581</v>
      </c>
      <c r="D497" s="4">
        <v>28519</v>
      </c>
      <c r="E497" s="4">
        <v>20210630</v>
      </c>
      <c r="F497" s="4">
        <v>20210630</v>
      </c>
      <c r="G497" s="4">
        <v>20240630</v>
      </c>
      <c r="H497" s="4" t="s">
        <v>1423</v>
      </c>
      <c r="I497" s="4" t="s">
        <v>13580</v>
      </c>
      <c r="J497" s="4" t="s">
        <v>1412</v>
      </c>
    </row>
    <row r="498" spans="1:10" hidden="1">
      <c r="A498" s="4">
        <v>2.0210633932000499E+17</v>
      </c>
      <c r="B498" s="4">
        <v>7278101568</v>
      </c>
      <c r="C498" s="4" t="s">
        <v>13579</v>
      </c>
      <c r="D498" s="4">
        <v>33932</v>
      </c>
      <c r="E498" s="4">
        <v>20210630</v>
      </c>
      <c r="F498" s="4">
        <v>20210630</v>
      </c>
      <c r="G498" s="4">
        <v>20240630</v>
      </c>
      <c r="H498" s="4" t="s">
        <v>13578</v>
      </c>
      <c r="I498" s="4" t="s">
        <v>947</v>
      </c>
      <c r="J498" s="4" t="s">
        <v>178</v>
      </c>
    </row>
    <row r="499" spans="1:10" hidden="1">
      <c r="A499" s="4">
        <v>2.0210625119000499E+17</v>
      </c>
      <c r="B499" s="4">
        <v>7358602049</v>
      </c>
      <c r="C499" s="4" t="s">
        <v>13577</v>
      </c>
      <c r="D499" s="4">
        <v>25119</v>
      </c>
      <c r="E499" s="4">
        <v>20210630</v>
      </c>
      <c r="F499" s="4">
        <v>20210630</v>
      </c>
      <c r="G499" s="4">
        <v>20240630</v>
      </c>
      <c r="H499" s="4" t="s">
        <v>13576</v>
      </c>
      <c r="J499" s="4" t="s">
        <v>679</v>
      </c>
    </row>
    <row r="500" spans="1:10" hidden="1">
      <c r="A500" s="4">
        <v>2.0210675290000499E+17</v>
      </c>
      <c r="B500" s="4">
        <v>3918700213</v>
      </c>
      <c r="C500" s="4" t="s">
        <v>13575</v>
      </c>
      <c r="D500" s="4">
        <v>75290</v>
      </c>
      <c r="E500" s="4">
        <v>20210630</v>
      </c>
      <c r="F500" s="4">
        <v>20210630</v>
      </c>
      <c r="G500" s="4">
        <v>20221016</v>
      </c>
      <c r="H500" s="4" t="s">
        <v>4685</v>
      </c>
      <c r="I500" s="4" t="s">
        <v>13574</v>
      </c>
      <c r="J500" s="4" t="s">
        <v>13573</v>
      </c>
    </row>
    <row r="501" spans="1:10" hidden="1">
      <c r="A501" s="4">
        <v>2.0210631113000499E+17</v>
      </c>
      <c r="B501" s="4">
        <v>3388600781</v>
      </c>
      <c r="C501" s="4" t="s">
        <v>13572</v>
      </c>
      <c r="D501" s="4">
        <v>31113</v>
      </c>
      <c r="E501" s="4">
        <v>20210630</v>
      </c>
      <c r="F501" s="4">
        <v>20210630</v>
      </c>
      <c r="G501" s="4">
        <v>20240630</v>
      </c>
      <c r="H501" s="4" t="s">
        <v>3512</v>
      </c>
      <c r="I501" s="4" t="s">
        <v>13571</v>
      </c>
      <c r="J501" s="4" t="s">
        <v>2707</v>
      </c>
    </row>
    <row r="502" spans="1:10" hidden="1">
      <c r="A502" s="4">
        <v>2.0210629229000499E+17</v>
      </c>
      <c r="B502" s="4">
        <v>3338702398</v>
      </c>
      <c r="C502" s="4" t="s">
        <v>13570</v>
      </c>
      <c r="D502" s="4">
        <v>29229</v>
      </c>
      <c r="E502" s="4">
        <v>20210630</v>
      </c>
      <c r="F502" s="4">
        <v>20210630</v>
      </c>
      <c r="G502" s="4">
        <v>20240630</v>
      </c>
      <c r="H502" s="4" t="s">
        <v>13569</v>
      </c>
      <c r="J502" s="4" t="s">
        <v>1137</v>
      </c>
    </row>
    <row r="503" spans="1:10" hidden="1">
      <c r="A503" s="4">
        <v>2.0210642322000499E+17</v>
      </c>
      <c r="B503" s="4">
        <v>4278800047</v>
      </c>
      <c r="C503" s="4" t="s">
        <v>13568</v>
      </c>
      <c r="D503" s="4">
        <v>42322</v>
      </c>
      <c r="E503" s="4">
        <v>20210630</v>
      </c>
      <c r="F503" s="4">
        <v>20210630</v>
      </c>
      <c r="G503" s="4">
        <v>20220304</v>
      </c>
      <c r="H503" s="4" t="s">
        <v>13567</v>
      </c>
      <c r="J503" s="4" t="s">
        <v>2524</v>
      </c>
    </row>
    <row r="504" spans="1:10" hidden="1">
      <c r="A504" s="4">
        <v>2.0210695110000499E+17</v>
      </c>
      <c r="B504" s="4">
        <v>7968601410</v>
      </c>
      <c r="C504" s="4" t="s">
        <v>13566</v>
      </c>
      <c r="D504" s="4">
        <v>95110</v>
      </c>
      <c r="E504" s="4">
        <v>20210630</v>
      </c>
      <c r="F504" s="4">
        <v>20210630</v>
      </c>
      <c r="G504" s="4">
        <v>20240630</v>
      </c>
      <c r="H504" s="4" t="s">
        <v>13565</v>
      </c>
      <c r="J504" s="4" t="s">
        <v>2385</v>
      </c>
    </row>
    <row r="505" spans="1:10" hidden="1">
      <c r="A505" s="4">
        <v>2.0210658222000499E+17</v>
      </c>
      <c r="B505" s="4">
        <v>3778801154</v>
      </c>
      <c r="C505" s="4" t="s">
        <v>13564</v>
      </c>
      <c r="D505" s="4">
        <v>58222</v>
      </c>
      <c r="E505" s="4">
        <v>20210630</v>
      </c>
      <c r="F505" s="4">
        <v>20210630</v>
      </c>
      <c r="G505" s="4">
        <v>20240630</v>
      </c>
      <c r="H505" s="4" t="s">
        <v>1896</v>
      </c>
      <c r="J505" s="4" t="s">
        <v>94</v>
      </c>
    </row>
    <row r="506" spans="1:10" hidden="1">
      <c r="A506" s="4">
        <v>2.0210663991000499E+17</v>
      </c>
      <c r="B506" s="4">
        <v>5038800278</v>
      </c>
      <c r="C506" s="4" t="s">
        <v>13563</v>
      </c>
      <c r="D506" s="4">
        <v>63991</v>
      </c>
      <c r="E506" s="4">
        <v>20210630</v>
      </c>
      <c r="F506" s="4">
        <v>20210630</v>
      </c>
      <c r="G506" s="4">
        <v>20221104</v>
      </c>
      <c r="H506" s="4" t="s">
        <v>6499</v>
      </c>
      <c r="J506" s="4" t="s">
        <v>395</v>
      </c>
    </row>
    <row r="507" spans="1:10" hidden="1">
      <c r="A507" s="4">
        <v>2.0210671531000499E+17</v>
      </c>
      <c r="B507" s="4">
        <v>2638700349</v>
      </c>
      <c r="C507" s="4" t="s">
        <v>13562</v>
      </c>
      <c r="D507" s="4">
        <v>71531</v>
      </c>
      <c r="E507" s="4">
        <v>20210630</v>
      </c>
      <c r="F507" s="4">
        <v>20210630</v>
      </c>
      <c r="G507" s="4">
        <v>20230421</v>
      </c>
      <c r="H507" s="4" t="s">
        <v>13561</v>
      </c>
      <c r="I507" s="4" t="s">
        <v>159</v>
      </c>
      <c r="J507" s="4" t="s">
        <v>87</v>
      </c>
    </row>
    <row r="508" spans="1:10" hidden="1">
      <c r="A508" s="4">
        <v>2.0210671310000499E+17</v>
      </c>
      <c r="B508" s="4">
        <v>6788600957</v>
      </c>
      <c r="C508" s="4" t="s">
        <v>13560</v>
      </c>
      <c r="D508" s="4">
        <v>71310</v>
      </c>
      <c r="E508" s="4">
        <v>20210630</v>
      </c>
      <c r="F508" s="4">
        <v>20210630</v>
      </c>
      <c r="G508" s="4">
        <v>20240630</v>
      </c>
      <c r="H508" s="4" t="s">
        <v>13559</v>
      </c>
      <c r="I508" s="4" t="s">
        <v>185</v>
      </c>
      <c r="J508" s="4" t="s">
        <v>426</v>
      </c>
    </row>
    <row r="509" spans="1:10" hidden="1">
      <c r="A509" s="4">
        <v>2.0210663991000499E+17</v>
      </c>
      <c r="B509" s="4">
        <v>4178700209</v>
      </c>
      <c r="C509" s="4" t="s">
        <v>13558</v>
      </c>
      <c r="D509" s="4">
        <v>63991</v>
      </c>
      <c r="E509" s="4">
        <v>20210630</v>
      </c>
      <c r="F509" s="4">
        <v>20210630</v>
      </c>
      <c r="G509" s="4">
        <v>20220619</v>
      </c>
      <c r="H509" s="4" t="s">
        <v>5139</v>
      </c>
      <c r="I509" s="4" t="s">
        <v>13557</v>
      </c>
      <c r="J509" s="4" t="s">
        <v>395</v>
      </c>
    </row>
    <row r="510" spans="1:10" hidden="1">
      <c r="A510" s="4">
        <v>2.0210642321000499E+17</v>
      </c>
      <c r="B510" s="4">
        <v>3858601049</v>
      </c>
      <c r="C510" s="4" t="s">
        <v>13556</v>
      </c>
      <c r="D510" s="4">
        <v>42321</v>
      </c>
      <c r="E510" s="4">
        <v>20210630</v>
      </c>
      <c r="F510" s="4">
        <v>20210630</v>
      </c>
      <c r="G510" s="4">
        <v>20240630</v>
      </c>
      <c r="H510" s="4" t="s">
        <v>13555</v>
      </c>
      <c r="I510" s="4" t="s">
        <v>13554</v>
      </c>
      <c r="J510" s="4" t="s">
        <v>698</v>
      </c>
    </row>
    <row r="511" spans="1:10" hidden="1">
      <c r="A511" s="4">
        <v>2.0210671400000499E+17</v>
      </c>
      <c r="B511" s="4">
        <v>3808101054</v>
      </c>
      <c r="C511" s="4" t="s">
        <v>13553</v>
      </c>
      <c r="D511" s="4">
        <v>71400</v>
      </c>
      <c r="E511" s="4">
        <v>20210630</v>
      </c>
      <c r="F511" s="4">
        <v>20210630</v>
      </c>
      <c r="G511" s="4">
        <v>20240630</v>
      </c>
      <c r="H511" s="4" t="s">
        <v>13552</v>
      </c>
      <c r="I511" s="4" t="s">
        <v>13551</v>
      </c>
      <c r="J511" s="4" t="s">
        <v>1629</v>
      </c>
    </row>
    <row r="512" spans="1:10" hidden="1">
      <c r="A512" s="4">
        <v>2.0210646510000499E+17</v>
      </c>
      <c r="B512" s="4">
        <v>8138801927</v>
      </c>
      <c r="C512" s="4" t="s">
        <v>13550</v>
      </c>
      <c r="D512" s="4">
        <v>46510</v>
      </c>
      <c r="E512" s="4">
        <v>20210630</v>
      </c>
      <c r="F512" s="4">
        <v>20210630</v>
      </c>
      <c r="G512" s="4">
        <v>20240630</v>
      </c>
      <c r="H512" s="4" t="s">
        <v>13549</v>
      </c>
      <c r="I512" s="4" t="s">
        <v>13548</v>
      </c>
      <c r="J512" s="4" t="s">
        <v>126</v>
      </c>
    </row>
    <row r="513" spans="1:10" hidden="1">
      <c r="A513" s="4">
        <v>2.0210624290000499E+17</v>
      </c>
      <c r="B513" s="4">
        <v>3308801136</v>
      </c>
      <c r="C513" s="4" t="s">
        <v>13547</v>
      </c>
      <c r="D513" s="4">
        <v>24290</v>
      </c>
      <c r="E513" s="4">
        <v>20210630</v>
      </c>
      <c r="F513" s="4">
        <v>20210630</v>
      </c>
      <c r="G513" s="4">
        <v>20240630</v>
      </c>
      <c r="H513" s="4" t="s">
        <v>11277</v>
      </c>
      <c r="I513" s="4" t="s">
        <v>13547</v>
      </c>
      <c r="J513" s="4" t="s">
        <v>325</v>
      </c>
    </row>
    <row r="514" spans="1:10" hidden="1">
      <c r="A514" s="4">
        <v>2.0210642311000499E+17</v>
      </c>
      <c r="B514" s="4">
        <v>5608101344</v>
      </c>
      <c r="C514" s="4" t="s">
        <v>13546</v>
      </c>
      <c r="D514" s="4">
        <v>42311</v>
      </c>
      <c r="E514" s="4">
        <v>20210630</v>
      </c>
      <c r="F514" s="4">
        <v>20210630</v>
      </c>
      <c r="G514" s="4">
        <v>20240630</v>
      </c>
      <c r="H514" s="4" t="s">
        <v>13545</v>
      </c>
      <c r="J514" s="4" t="s">
        <v>718</v>
      </c>
    </row>
    <row r="515" spans="1:10" hidden="1">
      <c r="A515" s="4">
        <v>2.0210629271000499E+17</v>
      </c>
      <c r="B515" s="4">
        <v>2508601914</v>
      </c>
      <c r="C515" s="4" t="s">
        <v>13544</v>
      </c>
      <c r="D515" s="4">
        <v>29271</v>
      </c>
      <c r="E515" s="4">
        <v>20210630</v>
      </c>
      <c r="F515" s="4">
        <v>20210630</v>
      </c>
      <c r="G515" s="4">
        <v>20240630</v>
      </c>
      <c r="H515" s="4" t="s">
        <v>13543</v>
      </c>
      <c r="J515" s="4" t="s">
        <v>285</v>
      </c>
    </row>
    <row r="516" spans="1:10" hidden="1">
      <c r="A516" s="4">
        <v>2.0210672111000499E+17</v>
      </c>
      <c r="B516" s="4">
        <v>2355300539</v>
      </c>
      <c r="C516" s="4" t="s">
        <v>13542</v>
      </c>
      <c r="D516" s="4">
        <v>72111</v>
      </c>
      <c r="E516" s="4">
        <v>20210630</v>
      </c>
      <c r="F516" s="4">
        <v>20210630</v>
      </c>
      <c r="G516" s="4">
        <v>20240630</v>
      </c>
      <c r="H516" s="4" t="s">
        <v>13541</v>
      </c>
      <c r="J516" s="4" t="s">
        <v>3461</v>
      </c>
    </row>
    <row r="517" spans="1:10" hidden="1">
      <c r="A517" s="4">
        <v>2.0210626521000499E+17</v>
      </c>
      <c r="B517" s="4">
        <v>1338600833</v>
      </c>
      <c r="C517" s="4" t="s">
        <v>13540</v>
      </c>
      <c r="D517" s="4">
        <v>26521</v>
      </c>
      <c r="E517" s="4">
        <v>20210630</v>
      </c>
      <c r="F517" s="4">
        <v>20210630</v>
      </c>
      <c r="G517" s="4">
        <v>20240630</v>
      </c>
      <c r="H517" s="4" t="s">
        <v>13539</v>
      </c>
      <c r="I517" s="4" t="s">
        <v>13538</v>
      </c>
      <c r="J517" s="4" t="s">
        <v>9340</v>
      </c>
    </row>
    <row r="518" spans="1:10" hidden="1">
      <c r="A518" s="4">
        <v>2.0210613999000499E+17</v>
      </c>
      <c r="B518" s="4">
        <v>1838101303</v>
      </c>
      <c r="C518" s="4" t="s">
        <v>13537</v>
      </c>
      <c r="D518" s="4">
        <v>13999</v>
      </c>
      <c r="E518" s="4">
        <v>20210630</v>
      </c>
      <c r="F518" s="4">
        <v>20210630</v>
      </c>
      <c r="G518" s="4">
        <v>20240630</v>
      </c>
      <c r="H518" s="4" t="s">
        <v>13536</v>
      </c>
      <c r="J518" s="4" t="s">
        <v>130</v>
      </c>
    </row>
    <row r="519" spans="1:10" hidden="1">
      <c r="A519" s="4">
        <v>2.0210625942000499E+17</v>
      </c>
      <c r="B519" s="4">
        <v>2661000763</v>
      </c>
      <c r="C519" s="4" t="s">
        <v>13535</v>
      </c>
      <c r="D519" s="4">
        <v>25942</v>
      </c>
      <c r="E519" s="4">
        <v>20210630</v>
      </c>
      <c r="F519" s="4">
        <v>20210630</v>
      </c>
      <c r="G519" s="4">
        <v>20240630</v>
      </c>
      <c r="H519" s="4" t="s">
        <v>11683</v>
      </c>
      <c r="I519" s="4" t="s">
        <v>13534</v>
      </c>
      <c r="J519" s="4" t="s">
        <v>13533</v>
      </c>
    </row>
    <row r="520" spans="1:10" hidden="1">
      <c r="A520" s="4">
        <v>2.0210616300000499E+17</v>
      </c>
      <c r="B520" s="4">
        <v>4654300484</v>
      </c>
      <c r="C520" s="4" t="s">
        <v>13532</v>
      </c>
      <c r="D520" s="4">
        <v>16300</v>
      </c>
      <c r="E520" s="4">
        <v>20210630</v>
      </c>
      <c r="F520" s="4">
        <v>20210630</v>
      </c>
      <c r="G520" s="4">
        <v>20240630</v>
      </c>
      <c r="H520" s="4" t="s">
        <v>13531</v>
      </c>
      <c r="I520" s="4" t="s">
        <v>185</v>
      </c>
      <c r="J520" s="4" t="s">
        <v>4865</v>
      </c>
    </row>
    <row r="521" spans="1:10" hidden="1">
      <c r="A521" s="4">
        <v>2.0210646510000499E+17</v>
      </c>
      <c r="B521" s="4">
        <v>2720900063</v>
      </c>
      <c r="C521" s="4" t="s">
        <v>13530</v>
      </c>
      <c r="D521" s="4">
        <v>46510</v>
      </c>
      <c r="E521" s="4">
        <v>20210630</v>
      </c>
      <c r="F521" s="4">
        <v>20210630</v>
      </c>
      <c r="G521" s="4">
        <v>20220416</v>
      </c>
      <c r="H521" s="4" t="s">
        <v>13529</v>
      </c>
      <c r="J521" s="4" t="s">
        <v>126</v>
      </c>
    </row>
    <row r="522" spans="1:10" hidden="1">
      <c r="A522" s="4">
        <v>2.0210672112000499E+17</v>
      </c>
      <c r="B522" s="4">
        <v>7328800992</v>
      </c>
      <c r="C522" s="4" t="s">
        <v>13528</v>
      </c>
      <c r="D522" s="4">
        <v>72112</v>
      </c>
      <c r="E522" s="4">
        <v>20210630</v>
      </c>
      <c r="F522" s="4">
        <v>20210630</v>
      </c>
      <c r="G522" s="4">
        <v>20240630</v>
      </c>
      <c r="H522" s="4" t="s">
        <v>13527</v>
      </c>
      <c r="J522" s="4" t="s">
        <v>5034</v>
      </c>
    </row>
    <row r="523" spans="1:10" hidden="1">
      <c r="A523" s="4">
        <v>2.0210625119000499E+17</v>
      </c>
      <c r="B523" s="4">
        <v>2308602108</v>
      </c>
      <c r="C523" s="4" t="s">
        <v>13526</v>
      </c>
      <c r="D523" s="4">
        <v>25119</v>
      </c>
      <c r="E523" s="4">
        <v>20210630</v>
      </c>
      <c r="F523" s="4">
        <v>20210630</v>
      </c>
      <c r="G523" s="4">
        <v>20240630</v>
      </c>
      <c r="H523" s="4" t="s">
        <v>13525</v>
      </c>
      <c r="I523" s="4" t="s">
        <v>13524</v>
      </c>
      <c r="J523" s="4" t="s">
        <v>679</v>
      </c>
    </row>
    <row r="524" spans="1:10" hidden="1">
      <c r="A524" s="4">
        <v>2.0210658221000499E+17</v>
      </c>
      <c r="B524" s="4">
        <v>1898700172</v>
      </c>
      <c r="C524" s="4" t="s">
        <v>13523</v>
      </c>
      <c r="D524" s="4">
        <v>58221</v>
      </c>
      <c r="E524" s="4">
        <v>20210630</v>
      </c>
      <c r="F524" s="4">
        <v>20210630</v>
      </c>
      <c r="G524" s="4">
        <v>20221102</v>
      </c>
      <c r="H524" s="4" t="s">
        <v>8317</v>
      </c>
      <c r="I524" s="4" t="s">
        <v>13522</v>
      </c>
      <c r="J524" s="4" t="s">
        <v>228</v>
      </c>
    </row>
    <row r="525" spans="1:10" hidden="1">
      <c r="A525" s="4">
        <v>2.0210642201000499E+17</v>
      </c>
      <c r="B525" s="4">
        <v>5308602027</v>
      </c>
      <c r="C525" s="4" t="s">
        <v>13521</v>
      </c>
      <c r="D525" s="4">
        <v>42201</v>
      </c>
      <c r="E525" s="4">
        <v>20210630</v>
      </c>
      <c r="F525" s="4">
        <v>20210630</v>
      </c>
      <c r="G525" s="4">
        <v>20240630</v>
      </c>
      <c r="H525" s="4" t="s">
        <v>13520</v>
      </c>
      <c r="I525" s="4" t="s">
        <v>13519</v>
      </c>
      <c r="J525" s="4" t="s">
        <v>1710</v>
      </c>
    </row>
    <row r="526" spans="1:10" hidden="1">
      <c r="A526" s="4">
        <v>2.0210673301000499E+17</v>
      </c>
      <c r="B526" s="4">
        <v>8418701041</v>
      </c>
      <c r="C526" s="4" t="s">
        <v>13518</v>
      </c>
      <c r="D526" s="4">
        <v>73301</v>
      </c>
      <c r="E526" s="4">
        <v>20210630</v>
      </c>
      <c r="F526" s="4">
        <v>20210630</v>
      </c>
      <c r="G526" s="4">
        <v>20240630</v>
      </c>
      <c r="H526" s="4" t="s">
        <v>13517</v>
      </c>
      <c r="I526" s="4" t="s">
        <v>13516</v>
      </c>
      <c r="J526" s="4" t="s">
        <v>2203</v>
      </c>
    </row>
    <row r="527" spans="1:10" hidden="1">
      <c r="A527" s="4">
        <v>2.0210652992000499E+17</v>
      </c>
      <c r="B527" s="4">
        <v>6028166336</v>
      </c>
      <c r="C527" s="4" t="s">
        <v>13515</v>
      </c>
      <c r="D527" s="4">
        <v>52992</v>
      </c>
      <c r="E527" s="4">
        <v>20210630</v>
      </c>
      <c r="F527" s="4">
        <v>20210630</v>
      </c>
      <c r="G527" s="4">
        <v>20211013</v>
      </c>
      <c r="H527" s="4" t="s">
        <v>13514</v>
      </c>
      <c r="I527" s="4" t="s">
        <v>13513</v>
      </c>
      <c r="J527" s="4" t="s">
        <v>10278</v>
      </c>
    </row>
    <row r="528" spans="1:10" hidden="1">
      <c r="A528" s="4">
        <v>2.0210642204000499E+17</v>
      </c>
      <c r="B528" s="4">
        <v>4358600457</v>
      </c>
      <c r="C528" s="4" t="s">
        <v>13512</v>
      </c>
      <c r="D528" s="4">
        <v>42204</v>
      </c>
      <c r="E528" s="4">
        <v>20210630</v>
      </c>
      <c r="F528" s="4">
        <v>20210630</v>
      </c>
      <c r="G528" s="4">
        <v>20231027</v>
      </c>
      <c r="H528" s="4" t="s">
        <v>13511</v>
      </c>
      <c r="I528" s="4" t="s">
        <v>149</v>
      </c>
      <c r="J528" s="4" t="s">
        <v>7487</v>
      </c>
    </row>
    <row r="529" spans="1:10" hidden="1">
      <c r="A529" s="4">
        <v>2.0210614112000499E+17</v>
      </c>
      <c r="B529" s="4">
        <v>1704100452</v>
      </c>
      <c r="C529" s="4" t="s">
        <v>13510</v>
      </c>
      <c r="D529" s="4">
        <v>14112</v>
      </c>
      <c r="E529" s="4">
        <v>20210630</v>
      </c>
      <c r="F529" s="4">
        <v>20210630</v>
      </c>
      <c r="G529" s="4">
        <v>20240630</v>
      </c>
      <c r="H529" s="4" t="s">
        <v>13509</v>
      </c>
      <c r="J529" s="4" t="s">
        <v>8973</v>
      </c>
    </row>
    <row r="530" spans="1:10" hidden="1">
      <c r="A530" s="4">
        <v>2.0210646510000499E+17</v>
      </c>
      <c r="B530" s="4">
        <v>1858800269</v>
      </c>
      <c r="C530" s="4" t="s">
        <v>13508</v>
      </c>
      <c r="D530" s="4">
        <v>46510</v>
      </c>
      <c r="E530" s="4">
        <v>20210630</v>
      </c>
      <c r="F530" s="4">
        <v>20210630</v>
      </c>
      <c r="G530" s="4">
        <v>20230217</v>
      </c>
      <c r="H530" s="4" t="s">
        <v>13507</v>
      </c>
      <c r="I530" s="4" t="s">
        <v>149</v>
      </c>
      <c r="J530" s="4" t="s">
        <v>126</v>
      </c>
    </row>
    <row r="531" spans="1:10" hidden="1">
      <c r="A531" s="4">
        <v>2.0210633910000499E+17</v>
      </c>
      <c r="B531" s="4">
        <v>3071152569</v>
      </c>
      <c r="C531" s="4" t="s">
        <v>13506</v>
      </c>
      <c r="D531" s="4">
        <v>33910</v>
      </c>
      <c r="E531" s="4">
        <v>20210630</v>
      </c>
      <c r="F531" s="4">
        <v>20210630</v>
      </c>
      <c r="G531" s="4">
        <v>20240630</v>
      </c>
      <c r="H531" s="4" t="s">
        <v>13505</v>
      </c>
      <c r="J531" s="4" t="s">
        <v>310</v>
      </c>
    </row>
    <row r="532" spans="1:10" hidden="1">
      <c r="A532" s="4">
        <v>2.0210620423000499E+17</v>
      </c>
      <c r="B532" s="4">
        <v>1400738007</v>
      </c>
      <c r="C532" s="4" t="s">
        <v>13504</v>
      </c>
      <c r="D532" s="4">
        <v>20423</v>
      </c>
      <c r="E532" s="4">
        <v>20210630</v>
      </c>
      <c r="F532" s="4">
        <v>20210630</v>
      </c>
      <c r="G532" s="4">
        <v>20220209</v>
      </c>
      <c r="H532" s="4" t="s">
        <v>3114</v>
      </c>
      <c r="I532" s="4" t="s">
        <v>13503</v>
      </c>
      <c r="J532" s="4" t="s">
        <v>368</v>
      </c>
    </row>
    <row r="533" spans="1:10" hidden="1">
      <c r="A533" s="4">
        <v>2.0210723999000602E+17</v>
      </c>
      <c r="B533" s="4">
        <v>7188801108</v>
      </c>
      <c r="C533" s="4" t="s">
        <v>13694</v>
      </c>
      <c r="D533" s="4">
        <v>23999</v>
      </c>
      <c r="E533" s="4">
        <v>20210702</v>
      </c>
      <c r="F533" s="4">
        <v>20210702</v>
      </c>
      <c r="G533" s="4">
        <v>20240702</v>
      </c>
      <c r="H533" s="4" t="s">
        <v>13693</v>
      </c>
      <c r="I533" s="4" t="s">
        <v>13692</v>
      </c>
      <c r="J533" s="4" t="s">
        <v>1719</v>
      </c>
    </row>
    <row r="534" spans="1:10" hidden="1">
      <c r="A534" s="4">
        <v>2.0210671532000499E+17</v>
      </c>
      <c r="B534" s="4">
        <v>3378200140</v>
      </c>
      <c r="C534" s="4" t="s">
        <v>13500</v>
      </c>
      <c r="D534" s="4">
        <v>71532</v>
      </c>
      <c r="E534" s="4">
        <v>20210630</v>
      </c>
      <c r="F534" s="4">
        <v>20210630</v>
      </c>
      <c r="G534" s="4">
        <v>20231117</v>
      </c>
      <c r="H534" s="4" t="s">
        <v>13499</v>
      </c>
      <c r="I534" s="4" t="s">
        <v>185</v>
      </c>
      <c r="J534" s="4" t="s">
        <v>9856</v>
      </c>
    </row>
    <row r="535" spans="1:10" hidden="1">
      <c r="A535" s="4">
        <v>2.0210620499000499E+17</v>
      </c>
      <c r="B535" s="4">
        <v>2560102006</v>
      </c>
      <c r="C535" s="4" t="s">
        <v>13498</v>
      </c>
      <c r="D535" s="4">
        <v>20499</v>
      </c>
      <c r="E535" s="4">
        <v>20210630</v>
      </c>
      <c r="F535" s="4">
        <v>20210630</v>
      </c>
      <c r="G535" s="4">
        <v>20240630</v>
      </c>
      <c r="H535" s="4" t="s">
        <v>13497</v>
      </c>
      <c r="I535" s="4" t="s">
        <v>2340</v>
      </c>
      <c r="J535" s="4" t="s">
        <v>406</v>
      </c>
    </row>
    <row r="536" spans="1:10" hidden="1">
      <c r="A536" s="4">
        <v>2.0210610802000499E+17</v>
      </c>
      <c r="B536" s="4">
        <v>6780501578</v>
      </c>
      <c r="C536" s="4" t="s">
        <v>13496</v>
      </c>
      <c r="D536" s="4">
        <v>10802</v>
      </c>
      <c r="E536" s="4">
        <v>20210630</v>
      </c>
      <c r="F536" s="4">
        <v>20210630</v>
      </c>
      <c r="G536" s="4">
        <v>20240630</v>
      </c>
      <c r="H536" s="4" t="s">
        <v>4807</v>
      </c>
      <c r="I536" s="4" t="s">
        <v>13495</v>
      </c>
      <c r="J536" s="4" t="s">
        <v>973</v>
      </c>
    </row>
    <row r="537" spans="1:10" s="5" customFormat="1" hidden="1">
      <c r="A537" s="4">
        <v>2.0210731114000499E+17</v>
      </c>
      <c r="B537" s="4">
        <v>3058639480</v>
      </c>
      <c r="C537" s="4" t="s">
        <v>13655</v>
      </c>
      <c r="D537" s="4">
        <v>31114</v>
      </c>
      <c r="E537" s="4">
        <v>20210701</v>
      </c>
      <c r="F537" s="4">
        <v>20210701</v>
      </c>
      <c r="G537" s="4">
        <v>20240410</v>
      </c>
      <c r="H537" s="4" t="s">
        <v>13654</v>
      </c>
      <c r="I537" s="4"/>
      <c r="J537" s="4" t="s">
        <v>1070</v>
      </c>
    </row>
    <row r="538" spans="1:10" hidden="1">
      <c r="A538" s="4">
        <v>2.0210622299000499E+17</v>
      </c>
      <c r="B538" s="4">
        <v>5352500095</v>
      </c>
      <c r="C538" s="4" t="s">
        <v>13492</v>
      </c>
      <c r="D538" s="4">
        <v>22299</v>
      </c>
      <c r="E538" s="4">
        <v>20210630</v>
      </c>
      <c r="F538" s="4">
        <v>20210630</v>
      </c>
      <c r="G538" s="4">
        <v>20220708</v>
      </c>
      <c r="H538" s="4" t="s">
        <v>13491</v>
      </c>
      <c r="J538" s="4" t="s">
        <v>384</v>
      </c>
    </row>
    <row r="539" spans="1:10" hidden="1">
      <c r="A539" s="4">
        <v>2.0210622299000499E+17</v>
      </c>
      <c r="B539" s="4">
        <v>5352500095</v>
      </c>
      <c r="C539" s="4" t="s">
        <v>13492</v>
      </c>
      <c r="D539" s="4">
        <v>22299</v>
      </c>
      <c r="E539" s="4">
        <v>20210630</v>
      </c>
      <c r="F539" s="4">
        <v>20210630</v>
      </c>
      <c r="G539" s="4">
        <v>20220708</v>
      </c>
      <c r="H539" s="4" t="s">
        <v>13491</v>
      </c>
      <c r="J539" s="4" t="s">
        <v>384</v>
      </c>
    </row>
    <row r="540" spans="1:10" hidden="1">
      <c r="A540" s="4">
        <v>2.0210647912000499E+17</v>
      </c>
      <c r="B540" s="4">
        <v>6425000532</v>
      </c>
      <c r="C540" s="4" t="s">
        <v>13490</v>
      </c>
      <c r="D540" s="4">
        <v>47912</v>
      </c>
      <c r="E540" s="4">
        <v>20210630</v>
      </c>
      <c r="F540" s="4">
        <v>20210630</v>
      </c>
      <c r="G540" s="4">
        <v>20240630</v>
      </c>
      <c r="H540" s="4" t="s">
        <v>13489</v>
      </c>
      <c r="I540" s="4" t="s">
        <v>13488</v>
      </c>
      <c r="J540" s="4" t="s">
        <v>78</v>
      </c>
    </row>
    <row r="541" spans="1:10" hidden="1">
      <c r="A541" s="4">
        <v>2.0210626121000499E+17</v>
      </c>
      <c r="B541" s="4">
        <v>2258601539</v>
      </c>
      <c r="C541" s="4" t="s">
        <v>13487</v>
      </c>
      <c r="D541" s="4">
        <v>26121</v>
      </c>
      <c r="E541" s="4">
        <v>20210630</v>
      </c>
      <c r="F541" s="4">
        <v>20210630</v>
      </c>
      <c r="G541" s="4">
        <v>20240630</v>
      </c>
      <c r="H541" s="4" t="s">
        <v>6173</v>
      </c>
      <c r="I541" s="4" t="s">
        <v>13486</v>
      </c>
      <c r="J541" s="4" t="s">
        <v>1271</v>
      </c>
    </row>
    <row r="542" spans="1:10" hidden="1">
      <c r="A542" s="4">
        <v>2.0210629132000499E+17</v>
      </c>
      <c r="B542" s="4">
        <v>7346500117</v>
      </c>
      <c r="C542" s="4" t="s">
        <v>13485</v>
      </c>
      <c r="D542" s="4">
        <v>29132</v>
      </c>
      <c r="E542" s="4">
        <v>20210630</v>
      </c>
      <c r="F542" s="4">
        <v>20210630</v>
      </c>
      <c r="G542" s="4">
        <v>20230905</v>
      </c>
      <c r="H542" s="4" t="s">
        <v>13484</v>
      </c>
      <c r="J542" s="4" t="s">
        <v>1083</v>
      </c>
    </row>
    <row r="543" spans="1:10" hidden="1">
      <c r="A543" s="4">
        <v>2.0210646510000499E+17</v>
      </c>
      <c r="B543" s="4">
        <v>6468701602</v>
      </c>
      <c r="C543" s="4" t="s">
        <v>13483</v>
      </c>
      <c r="D543" s="4">
        <v>46510</v>
      </c>
      <c r="E543" s="4">
        <v>20210630</v>
      </c>
      <c r="F543" s="4">
        <v>20210630</v>
      </c>
      <c r="G543" s="4">
        <v>20240630</v>
      </c>
      <c r="H543" s="4" t="s">
        <v>13482</v>
      </c>
      <c r="J543" s="4" t="s">
        <v>126</v>
      </c>
    </row>
    <row r="544" spans="1:10" hidden="1">
      <c r="A544" s="4">
        <v>2.0210658222000499E+17</v>
      </c>
      <c r="B544" s="4">
        <v>2508601011</v>
      </c>
      <c r="C544" s="4" t="s">
        <v>13481</v>
      </c>
      <c r="D544" s="4">
        <v>58222</v>
      </c>
      <c r="E544" s="4">
        <v>20210630</v>
      </c>
      <c r="F544" s="4">
        <v>20210630</v>
      </c>
      <c r="G544" s="4">
        <v>20240630</v>
      </c>
      <c r="H544" s="4" t="s">
        <v>3003</v>
      </c>
      <c r="I544" s="4" t="s">
        <v>13480</v>
      </c>
      <c r="J544" s="4" t="s">
        <v>94</v>
      </c>
    </row>
    <row r="545" spans="1:10" hidden="1">
      <c r="A545" s="4">
        <v>2.0210622292000499E+17</v>
      </c>
      <c r="B545" s="4">
        <v>2628601372</v>
      </c>
      <c r="C545" s="4" t="s">
        <v>13479</v>
      </c>
      <c r="D545" s="4">
        <v>22292</v>
      </c>
      <c r="E545" s="4">
        <v>20210630</v>
      </c>
      <c r="F545" s="4">
        <v>20210630</v>
      </c>
      <c r="G545" s="4">
        <v>20240630</v>
      </c>
      <c r="H545" s="4" t="s">
        <v>491</v>
      </c>
      <c r="J545" s="4" t="s">
        <v>13093</v>
      </c>
    </row>
    <row r="546" spans="1:10" hidden="1">
      <c r="A546" s="4">
        <v>2.0210614499000499E+17</v>
      </c>
      <c r="B546" s="4">
        <v>6531200035</v>
      </c>
      <c r="C546" s="4" t="s">
        <v>13478</v>
      </c>
      <c r="D546" s="4">
        <v>14499</v>
      </c>
      <c r="E546" s="4">
        <v>20210630</v>
      </c>
      <c r="F546" s="4">
        <v>20210630</v>
      </c>
      <c r="G546" s="4">
        <v>20220129</v>
      </c>
      <c r="H546" s="4" t="s">
        <v>7558</v>
      </c>
      <c r="I546" s="4" t="s">
        <v>13477</v>
      </c>
      <c r="J546" s="4" t="s">
        <v>502</v>
      </c>
    </row>
    <row r="547" spans="1:10" hidden="1">
      <c r="A547" s="4">
        <v>2.0210658222000499E+17</v>
      </c>
      <c r="B547" s="4">
        <v>7728802076</v>
      </c>
      <c r="C547" s="4" t="s">
        <v>13476</v>
      </c>
      <c r="D547" s="4">
        <v>58222</v>
      </c>
      <c r="E547" s="4">
        <v>20210630</v>
      </c>
      <c r="F547" s="4">
        <v>20210630</v>
      </c>
      <c r="G547" s="4">
        <v>20240630</v>
      </c>
      <c r="H547" s="4" t="s">
        <v>13475</v>
      </c>
      <c r="I547" s="4" t="s">
        <v>11432</v>
      </c>
      <c r="J547" s="4" t="s">
        <v>94</v>
      </c>
    </row>
    <row r="548" spans="1:10" hidden="1">
      <c r="A548" s="4">
        <v>2.0210646510000499E+17</v>
      </c>
      <c r="B548" s="4">
        <v>8541600126</v>
      </c>
      <c r="C548" s="4" t="s">
        <v>13474</v>
      </c>
      <c r="D548" s="4">
        <v>46510</v>
      </c>
      <c r="E548" s="4">
        <v>20210630</v>
      </c>
      <c r="F548" s="4">
        <v>20210630</v>
      </c>
      <c r="G548" s="4">
        <v>20221104</v>
      </c>
      <c r="H548" s="4" t="s">
        <v>7868</v>
      </c>
      <c r="I548" s="4" t="s">
        <v>3000</v>
      </c>
      <c r="J548" s="4" t="s">
        <v>126</v>
      </c>
    </row>
    <row r="549" spans="1:10" hidden="1">
      <c r="A549" s="4">
        <v>2.0210629199000499E+17</v>
      </c>
      <c r="B549" s="4">
        <v>2780900867</v>
      </c>
      <c r="C549" s="4" t="s">
        <v>13473</v>
      </c>
      <c r="D549" s="4">
        <v>29199</v>
      </c>
      <c r="E549" s="4">
        <v>20210630</v>
      </c>
      <c r="F549" s="4">
        <v>20210630</v>
      </c>
      <c r="G549" s="4">
        <v>20240630</v>
      </c>
      <c r="H549" s="4" t="s">
        <v>9603</v>
      </c>
      <c r="J549" s="4" t="s">
        <v>166</v>
      </c>
    </row>
    <row r="550" spans="1:10" hidden="1">
      <c r="A550" s="4">
        <v>2.0210647912000499E+17</v>
      </c>
      <c r="B550" s="4">
        <v>4792901021</v>
      </c>
      <c r="C550" s="4" t="s">
        <v>13472</v>
      </c>
      <c r="D550" s="4">
        <v>47912</v>
      </c>
      <c r="E550" s="4">
        <v>20210630</v>
      </c>
      <c r="F550" s="4">
        <v>20210630</v>
      </c>
      <c r="G550" s="4">
        <v>20240630</v>
      </c>
      <c r="H550" s="4" t="s">
        <v>9922</v>
      </c>
      <c r="I550" s="4" t="s">
        <v>13471</v>
      </c>
      <c r="J550" s="4" t="s">
        <v>78</v>
      </c>
    </row>
    <row r="551" spans="1:10" hidden="1">
      <c r="A551" s="4">
        <v>2.0210675992000499E+17</v>
      </c>
      <c r="B551" s="4">
        <v>7040401109</v>
      </c>
      <c r="C551" s="4" t="s">
        <v>13470</v>
      </c>
      <c r="D551" s="4">
        <v>75992</v>
      </c>
      <c r="E551" s="4">
        <v>20210630</v>
      </c>
      <c r="F551" s="4">
        <v>20210630</v>
      </c>
      <c r="G551" s="4">
        <v>20240630</v>
      </c>
      <c r="H551" s="4" t="s">
        <v>13469</v>
      </c>
      <c r="I551" s="4" t="s">
        <v>13468</v>
      </c>
      <c r="J551" s="4" t="s">
        <v>111</v>
      </c>
    </row>
    <row r="552" spans="1:10" hidden="1">
      <c r="A552" s="4">
        <v>2.0210646315000499E+17</v>
      </c>
      <c r="B552" s="4">
        <v>3718701391</v>
      </c>
      <c r="C552" s="4" t="s">
        <v>13467</v>
      </c>
      <c r="D552" s="4">
        <v>46315</v>
      </c>
      <c r="E552" s="4">
        <v>20210630</v>
      </c>
      <c r="F552" s="4">
        <v>20210630</v>
      </c>
      <c r="G552" s="4">
        <v>20240630</v>
      </c>
      <c r="H552" s="4" t="s">
        <v>13466</v>
      </c>
      <c r="J552" s="4" t="s">
        <v>9968</v>
      </c>
    </row>
    <row r="553" spans="1:10" hidden="1">
      <c r="A553" s="4">
        <v>2.0210620411000499E+17</v>
      </c>
      <c r="B553" s="4">
        <v>8848101463</v>
      </c>
      <c r="C553" s="4" t="s">
        <v>13465</v>
      </c>
      <c r="D553" s="4">
        <v>20411</v>
      </c>
      <c r="E553" s="4">
        <v>20210630</v>
      </c>
      <c r="F553" s="4">
        <v>20210630</v>
      </c>
      <c r="G553" s="4">
        <v>20240630</v>
      </c>
      <c r="H553" s="4" t="s">
        <v>13464</v>
      </c>
      <c r="J553" s="4" t="s">
        <v>694</v>
      </c>
    </row>
    <row r="554" spans="1:10" hidden="1">
      <c r="A554" s="4">
        <v>2.0210623324000499E+17</v>
      </c>
      <c r="B554" s="4">
        <v>8168102310</v>
      </c>
      <c r="C554" s="4" t="s">
        <v>13463</v>
      </c>
      <c r="D554" s="4">
        <v>23324</v>
      </c>
      <c r="E554" s="4">
        <v>20210630</v>
      </c>
      <c r="F554" s="4">
        <v>20210630</v>
      </c>
      <c r="G554" s="4">
        <v>20240630</v>
      </c>
      <c r="H554" s="4" t="s">
        <v>13462</v>
      </c>
      <c r="J554" s="4" t="s">
        <v>3323</v>
      </c>
    </row>
    <row r="555" spans="1:10" hidden="1">
      <c r="A555" s="4">
        <v>2.0210670121000499E+17</v>
      </c>
      <c r="B555" s="4">
        <v>7908602065</v>
      </c>
      <c r="C555" s="4" t="s">
        <v>13461</v>
      </c>
      <c r="D555" s="4">
        <v>70121</v>
      </c>
      <c r="E555" s="4">
        <v>20210630</v>
      </c>
      <c r="F555" s="4">
        <v>20210630</v>
      </c>
      <c r="G555" s="4">
        <v>20240630</v>
      </c>
      <c r="H555" s="4" t="s">
        <v>13460</v>
      </c>
      <c r="I555" s="4" t="s">
        <v>3923</v>
      </c>
      <c r="J555" s="4" t="s">
        <v>1267</v>
      </c>
    </row>
    <row r="556" spans="1:10" hidden="1">
      <c r="A556" s="4">
        <v>2.0210647912000499E+17</v>
      </c>
      <c r="B556" s="4">
        <v>2848801721</v>
      </c>
      <c r="C556" s="4" t="s">
        <v>13459</v>
      </c>
      <c r="D556" s="4">
        <v>47912</v>
      </c>
      <c r="E556" s="4">
        <v>20210630</v>
      </c>
      <c r="F556" s="4">
        <v>20210630</v>
      </c>
      <c r="G556" s="4">
        <v>20240630</v>
      </c>
      <c r="H556" s="4" t="s">
        <v>13458</v>
      </c>
      <c r="I556" s="4" t="s">
        <v>13457</v>
      </c>
      <c r="J556" s="4" t="s">
        <v>78</v>
      </c>
    </row>
    <row r="557" spans="1:10" hidden="1">
      <c r="A557" s="4">
        <v>2.0210670129000499E+17</v>
      </c>
      <c r="B557" s="4">
        <v>1618101531</v>
      </c>
      <c r="C557" s="4" t="s">
        <v>13456</v>
      </c>
      <c r="D557" s="4">
        <v>70129</v>
      </c>
      <c r="E557" s="4">
        <v>20210630</v>
      </c>
      <c r="F557" s="4">
        <v>20210630</v>
      </c>
      <c r="G557" s="4">
        <v>20240630</v>
      </c>
      <c r="H557" s="4" t="s">
        <v>2721</v>
      </c>
      <c r="J557" s="4" t="s">
        <v>937</v>
      </c>
    </row>
    <row r="558" spans="1:10" hidden="1">
      <c r="A558" s="4">
        <v>2.0210646799000499E+17</v>
      </c>
      <c r="B558" s="4">
        <v>8868600261</v>
      </c>
      <c r="C558" s="4" t="s">
        <v>13455</v>
      </c>
      <c r="D558" s="4">
        <v>46799</v>
      </c>
      <c r="E558" s="4">
        <v>20210630</v>
      </c>
      <c r="F558" s="4">
        <v>20210630</v>
      </c>
      <c r="G558" s="4">
        <v>20221217</v>
      </c>
      <c r="H558" s="4" t="s">
        <v>13454</v>
      </c>
      <c r="I558" s="4" t="s">
        <v>13453</v>
      </c>
      <c r="J558" s="4" t="s">
        <v>2181</v>
      </c>
    </row>
    <row r="559" spans="1:10" hidden="1">
      <c r="A559" s="4">
        <v>2.0210685650000499E+17</v>
      </c>
      <c r="B559" s="4">
        <v>7978800169</v>
      </c>
      <c r="C559" s="4" t="s">
        <v>13452</v>
      </c>
      <c r="D559" s="4">
        <v>85650</v>
      </c>
      <c r="E559" s="4">
        <v>20210630</v>
      </c>
      <c r="F559" s="4">
        <v>20210630</v>
      </c>
      <c r="G559" s="4">
        <v>20220907</v>
      </c>
      <c r="H559" s="4" t="s">
        <v>13451</v>
      </c>
      <c r="I559" s="4" t="s">
        <v>938</v>
      </c>
      <c r="J559" s="4" t="s">
        <v>3107</v>
      </c>
    </row>
    <row r="560" spans="1:10" hidden="1">
      <c r="A560" s="4">
        <v>2.0210614192000499E+17</v>
      </c>
      <c r="B560" s="4">
        <v>6658701199</v>
      </c>
      <c r="C560" s="4" t="s">
        <v>13450</v>
      </c>
      <c r="D560" s="4">
        <v>14192</v>
      </c>
      <c r="E560" s="4">
        <v>20210630</v>
      </c>
      <c r="F560" s="4">
        <v>20210630</v>
      </c>
      <c r="G560" s="4">
        <v>20240630</v>
      </c>
      <c r="H560" s="4" t="s">
        <v>2857</v>
      </c>
      <c r="I560" s="4" t="s">
        <v>5236</v>
      </c>
      <c r="J560" s="4" t="s">
        <v>4910</v>
      </c>
    </row>
    <row r="561" spans="1:10" hidden="1">
      <c r="A561" s="4">
        <v>2.0210671310000499E+17</v>
      </c>
      <c r="B561" s="4">
        <v>1608601886</v>
      </c>
      <c r="C561" s="4" t="s">
        <v>13449</v>
      </c>
      <c r="D561" s="4">
        <v>71310</v>
      </c>
      <c r="E561" s="4">
        <v>20210630</v>
      </c>
      <c r="F561" s="4">
        <v>20210630</v>
      </c>
      <c r="G561" s="4">
        <v>20240630</v>
      </c>
      <c r="H561" s="4" t="s">
        <v>2433</v>
      </c>
      <c r="I561" s="4" t="s">
        <v>8184</v>
      </c>
      <c r="J561" s="4" t="s">
        <v>426</v>
      </c>
    </row>
    <row r="562" spans="1:10" hidden="1">
      <c r="A562" s="4">
        <v>2.0210671310000499E+17</v>
      </c>
      <c r="B562" s="4">
        <v>4648801521</v>
      </c>
      <c r="C562" s="4" t="s">
        <v>13448</v>
      </c>
      <c r="D562" s="4">
        <v>71310</v>
      </c>
      <c r="E562" s="4">
        <v>20210630</v>
      </c>
      <c r="F562" s="4">
        <v>20210630</v>
      </c>
      <c r="G562" s="4">
        <v>20240630</v>
      </c>
      <c r="H562" s="4" t="s">
        <v>13447</v>
      </c>
      <c r="I562" s="4" t="s">
        <v>13446</v>
      </c>
      <c r="J562" s="4" t="s">
        <v>426</v>
      </c>
    </row>
    <row r="563" spans="1:10" hidden="1">
      <c r="A563" s="4">
        <v>2.0210627199000499E+17</v>
      </c>
      <c r="B563" s="4">
        <v>2508800302</v>
      </c>
      <c r="C563" s="4" t="s">
        <v>13445</v>
      </c>
      <c r="D563" s="4">
        <v>27199</v>
      </c>
      <c r="E563" s="4">
        <v>20210630</v>
      </c>
      <c r="F563" s="4">
        <v>20210630</v>
      </c>
      <c r="G563" s="4">
        <v>20230304</v>
      </c>
      <c r="H563" s="4" t="s">
        <v>10973</v>
      </c>
      <c r="I563" s="4" t="s">
        <v>11910</v>
      </c>
      <c r="J563" s="4" t="s">
        <v>418</v>
      </c>
    </row>
    <row r="564" spans="1:10" hidden="1">
      <c r="A564" s="4">
        <v>2.0210613992000499E+17</v>
      </c>
      <c r="B564" s="4">
        <v>8998701512</v>
      </c>
      <c r="C564" s="4" t="s">
        <v>10789</v>
      </c>
      <c r="D564" s="4">
        <v>13992</v>
      </c>
      <c r="E564" s="4">
        <v>20210630</v>
      </c>
      <c r="F564" s="4">
        <v>20210630</v>
      </c>
      <c r="G564" s="4">
        <v>20240630</v>
      </c>
      <c r="H564" s="4" t="s">
        <v>13444</v>
      </c>
      <c r="I564" s="4" t="s">
        <v>149</v>
      </c>
      <c r="J564" s="4" t="s">
        <v>2982</v>
      </c>
    </row>
    <row r="565" spans="1:10" hidden="1">
      <c r="A565" s="4">
        <v>2.0210622299000499E+17</v>
      </c>
      <c r="B565" s="4">
        <v>8248601700</v>
      </c>
      <c r="C565" s="4" t="s">
        <v>13443</v>
      </c>
      <c r="D565" s="4">
        <v>22299</v>
      </c>
      <c r="E565" s="4">
        <v>20210630</v>
      </c>
      <c r="F565" s="4">
        <v>20210630</v>
      </c>
      <c r="G565" s="4">
        <v>20240630</v>
      </c>
      <c r="H565" s="4" t="s">
        <v>13442</v>
      </c>
      <c r="J565" s="4" t="s">
        <v>384</v>
      </c>
    </row>
    <row r="566" spans="1:10" hidden="1">
      <c r="A566" s="4">
        <v>2.0210629299000499E+17</v>
      </c>
      <c r="B566" s="4">
        <v>5458801854</v>
      </c>
      <c r="C566" s="4" t="s">
        <v>13441</v>
      </c>
      <c r="D566" s="4">
        <v>29299</v>
      </c>
      <c r="E566" s="4">
        <v>20210630</v>
      </c>
      <c r="F566" s="4">
        <v>20210630</v>
      </c>
      <c r="G566" s="4">
        <v>20240630</v>
      </c>
      <c r="H566" s="4" t="s">
        <v>2782</v>
      </c>
      <c r="I566" s="4" t="s">
        <v>13440</v>
      </c>
      <c r="J566" s="4" t="s">
        <v>137</v>
      </c>
    </row>
    <row r="567" spans="1:10" hidden="1">
      <c r="A567" s="4">
        <v>2.0210616300000499E+17</v>
      </c>
      <c r="B567" s="4">
        <v>3218702094</v>
      </c>
      <c r="C567" s="4" t="s">
        <v>13439</v>
      </c>
      <c r="D567" s="4">
        <v>16300</v>
      </c>
      <c r="E567" s="4">
        <v>20210630</v>
      </c>
      <c r="F567" s="4">
        <v>20210630</v>
      </c>
      <c r="G567" s="4">
        <v>20240630</v>
      </c>
      <c r="H567" s="4" t="s">
        <v>13438</v>
      </c>
      <c r="J567" s="4" t="s">
        <v>4865</v>
      </c>
    </row>
    <row r="568" spans="1:10" hidden="1">
      <c r="A568" s="4">
        <v>2.0210670209000499E+17</v>
      </c>
      <c r="B568" s="4">
        <v>2478602052</v>
      </c>
      <c r="C568" s="4" t="s">
        <v>13437</v>
      </c>
      <c r="D568" s="4">
        <v>70209</v>
      </c>
      <c r="E568" s="4">
        <v>20210630</v>
      </c>
      <c r="F568" s="4">
        <v>20210630</v>
      </c>
      <c r="G568" s="4">
        <v>20240630</v>
      </c>
      <c r="H568" s="4" t="s">
        <v>13436</v>
      </c>
      <c r="J568" s="4" t="s">
        <v>242</v>
      </c>
    </row>
    <row r="569" spans="1:10" hidden="1">
      <c r="A569" s="4">
        <v>2.0210627215000499E+17</v>
      </c>
      <c r="B569" s="4">
        <v>7618602131</v>
      </c>
      <c r="C569" s="4" t="s">
        <v>13435</v>
      </c>
      <c r="D569" s="4">
        <v>27215</v>
      </c>
      <c r="E569" s="4">
        <v>20210630</v>
      </c>
      <c r="F569" s="4">
        <v>20210630</v>
      </c>
      <c r="G569" s="4">
        <v>20240630</v>
      </c>
      <c r="H569" s="4" t="s">
        <v>13434</v>
      </c>
      <c r="I569" s="4" t="s">
        <v>13433</v>
      </c>
      <c r="J569" s="4" t="s">
        <v>734</v>
      </c>
    </row>
    <row r="570" spans="1:10" hidden="1">
      <c r="A570" s="4">
        <v>2.0210629172000499E+17</v>
      </c>
      <c r="B570" s="4">
        <v>5548702108</v>
      </c>
      <c r="C570" s="4" t="s">
        <v>13432</v>
      </c>
      <c r="D570" s="4">
        <v>29172</v>
      </c>
      <c r="E570" s="4">
        <v>20210630</v>
      </c>
      <c r="F570" s="4">
        <v>20210630</v>
      </c>
      <c r="G570" s="4">
        <v>20240630</v>
      </c>
      <c r="H570" s="4" t="s">
        <v>13431</v>
      </c>
      <c r="I570" s="4" t="s">
        <v>13430</v>
      </c>
      <c r="J570" s="4" t="s">
        <v>1204</v>
      </c>
    </row>
    <row r="571" spans="1:10" hidden="1">
      <c r="A571" s="4">
        <v>2.0210626310000499E+17</v>
      </c>
      <c r="B571" s="4">
        <v>1578801924</v>
      </c>
      <c r="C571" s="4" t="s">
        <v>13429</v>
      </c>
      <c r="D571" s="4">
        <v>26310</v>
      </c>
      <c r="E571" s="4">
        <v>20210630</v>
      </c>
      <c r="F571" s="4">
        <v>20210630</v>
      </c>
      <c r="G571" s="4">
        <v>20240630</v>
      </c>
      <c r="H571" s="4" t="s">
        <v>13428</v>
      </c>
      <c r="I571" s="4" t="s">
        <v>13427</v>
      </c>
      <c r="J571" s="4" t="s">
        <v>372</v>
      </c>
    </row>
    <row r="572" spans="1:10" hidden="1">
      <c r="A572" s="4">
        <v>2.0210675210000499E+17</v>
      </c>
      <c r="B572" s="4">
        <v>4198102123</v>
      </c>
      <c r="C572" s="4" t="s">
        <v>13426</v>
      </c>
      <c r="D572" s="4">
        <v>75210</v>
      </c>
      <c r="E572" s="4">
        <v>20210630</v>
      </c>
      <c r="F572" s="4">
        <v>20210630</v>
      </c>
      <c r="G572" s="4">
        <v>20240630</v>
      </c>
      <c r="H572" s="4" t="s">
        <v>11524</v>
      </c>
      <c r="I572" s="4" t="s">
        <v>4706</v>
      </c>
      <c r="J572" s="4" t="s">
        <v>155</v>
      </c>
    </row>
    <row r="573" spans="1:10" hidden="1">
      <c r="A573" s="4">
        <v>2.0210662021000499E+17</v>
      </c>
      <c r="B573" s="4">
        <v>1078841902</v>
      </c>
      <c r="C573" s="4" t="s">
        <v>13425</v>
      </c>
      <c r="D573" s="4">
        <v>62021</v>
      </c>
      <c r="E573" s="4">
        <v>20210630</v>
      </c>
      <c r="F573" s="4">
        <v>20210630</v>
      </c>
      <c r="G573" s="4">
        <v>20230510</v>
      </c>
      <c r="H573" s="4" t="s">
        <v>13424</v>
      </c>
      <c r="I573" s="4" t="s">
        <v>6385</v>
      </c>
      <c r="J573" s="4" t="s">
        <v>1505</v>
      </c>
    </row>
    <row r="574" spans="1:10" hidden="1">
      <c r="A574" s="4">
        <v>2.0210622229000499E+17</v>
      </c>
      <c r="B574" s="4">
        <v>2578701509</v>
      </c>
      <c r="C574" s="4" t="s">
        <v>13423</v>
      </c>
      <c r="D574" s="4">
        <v>22229</v>
      </c>
      <c r="E574" s="4">
        <v>20210630</v>
      </c>
      <c r="F574" s="4">
        <v>20210630</v>
      </c>
      <c r="G574" s="4">
        <v>20240630</v>
      </c>
      <c r="H574" s="4" t="s">
        <v>13422</v>
      </c>
      <c r="J574" s="4" t="s">
        <v>554</v>
      </c>
    </row>
    <row r="575" spans="1:10" hidden="1">
      <c r="A575" s="4">
        <v>2.0210658221000499E+17</v>
      </c>
      <c r="B575" s="4">
        <v>8708801366</v>
      </c>
      <c r="C575" s="4" t="s">
        <v>13421</v>
      </c>
      <c r="D575" s="4">
        <v>58221</v>
      </c>
      <c r="E575" s="4">
        <v>20210630</v>
      </c>
      <c r="F575" s="4">
        <v>20210630</v>
      </c>
      <c r="G575" s="4">
        <v>20240630</v>
      </c>
      <c r="H575" s="4" t="s">
        <v>13420</v>
      </c>
      <c r="I575" s="4" t="s">
        <v>13419</v>
      </c>
      <c r="J575" s="4" t="s">
        <v>228</v>
      </c>
    </row>
    <row r="576" spans="1:10" hidden="1">
      <c r="A576" s="4">
        <v>2.0210685650000499E+17</v>
      </c>
      <c r="B576" s="4">
        <v>8228101956</v>
      </c>
      <c r="C576" s="4" t="s">
        <v>13418</v>
      </c>
      <c r="D576" s="4">
        <v>85650</v>
      </c>
      <c r="E576" s="4">
        <v>20210630</v>
      </c>
      <c r="F576" s="4">
        <v>20210630</v>
      </c>
      <c r="G576" s="4">
        <v>20240630</v>
      </c>
      <c r="H576" s="4" t="s">
        <v>13417</v>
      </c>
      <c r="I576" s="4" t="s">
        <v>1490</v>
      </c>
      <c r="J576" s="4" t="s">
        <v>3107</v>
      </c>
    </row>
    <row r="577" spans="1:10" hidden="1">
      <c r="A577" s="4">
        <v>2.0210658222000499E+17</v>
      </c>
      <c r="B577" s="4">
        <v>5328100414</v>
      </c>
      <c r="C577" s="4" t="s">
        <v>13416</v>
      </c>
      <c r="D577" s="4">
        <v>58222</v>
      </c>
      <c r="E577" s="4">
        <v>20210630</v>
      </c>
      <c r="F577" s="4">
        <v>20210630</v>
      </c>
      <c r="G577" s="4">
        <v>20230414</v>
      </c>
      <c r="H577" s="4" t="s">
        <v>13415</v>
      </c>
      <c r="I577" s="4" t="s">
        <v>134</v>
      </c>
      <c r="J577" s="4" t="s">
        <v>94</v>
      </c>
    </row>
    <row r="578" spans="1:10" hidden="1">
      <c r="A578" s="4">
        <v>2.0210663120000499E+17</v>
      </c>
      <c r="B578" s="4">
        <v>8128601556</v>
      </c>
      <c r="C578" s="4" t="s">
        <v>13414</v>
      </c>
      <c r="D578" s="4">
        <v>63120</v>
      </c>
      <c r="E578" s="4">
        <v>20210630</v>
      </c>
      <c r="F578" s="4">
        <v>20210630</v>
      </c>
      <c r="G578" s="4">
        <v>20240630</v>
      </c>
      <c r="H578" s="4" t="s">
        <v>4933</v>
      </c>
      <c r="I578" s="4" t="s">
        <v>13413</v>
      </c>
      <c r="J578" s="4" t="s">
        <v>632</v>
      </c>
    </row>
    <row r="579" spans="1:10" hidden="1">
      <c r="A579" s="4">
        <v>2.0210629174000499E+17</v>
      </c>
      <c r="B579" s="4">
        <v>4098700547</v>
      </c>
      <c r="C579" s="4" t="s">
        <v>13412</v>
      </c>
      <c r="D579" s="4">
        <v>29174</v>
      </c>
      <c r="E579" s="4">
        <v>20210630</v>
      </c>
      <c r="F579" s="4">
        <v>20210630</v>
      </c>
      <c r="G579" s="4">
        <v>20230826</v>
      </c>
      <c r="H579" s="4" t="s">
        <v>13411</v>
      </c>
      <c r="I579" s="4" t="s">
        <v>13410</v>
      </c>
      <c r="J579" s="4" t="s">
        <v>877</v>
      </c>
    </row>
    <row r="580" spans="1:10" hidden="1">
      <c r="A580" s="4">
        <v>2.0210629174000499E+17</v>
      </c>
      <c r="B580" s="4">
        <v>8948601766</v>
      </c>
      <c r="C580" s="4" t="s">
        <v>13409</v>
      </c>
      <c r="D580" s="4">
        <v>29174</v>
      </c>
      <c r="E580" s="4">
        <v>20210630</v>
      </c>
      <c r="F580" s="4">
        <v>20210630</v>
      </c>
      <c r="G580" s="4">
        <v>20240630</v>
      </c>
      <c r="H580" s="4" t="s">
        <v>13408</v>
      </c>
      <c r="I580" s="4" t="s">
        <v>13407</v>
      </c>
      <c r="J580" s="4" t="s">
        <v>877</v>
      </c>
    </row>
    <row r="581" spans="1:10" hidden="1">
      <c r="A581" s="4">
        <v>2.0210671531000499E+17</v>
      </c>
      <c r="B581" s="4">
        <v>5728700715</v>
      </c>
      <c r="C581" s="4" t="s">
        <v>13406</v>
      </c>
      <c r="D581" s="4">
        <v>71531</v>
      </c>
      <c r="E581" s="4">
        <v>20210630</v>
      </c>
      <c r="F581" s="4">
        <v>20210630</v>
      </c>
      <c r="G581" s="4">
        <v>20240414</v>
      </c>
      <c r="H581" s="4" t="s">
        <v>13405</v>
      </c>
      <c r="I581" s="4" t="s">
        <v>657</v>
      </c>
      <c r="J581" s="4" t="s">
        <v>87</v>
      </c>
    </row>
    <row r="582" spans="1:10" hidden="1">
      <c r="A582" s="4">
        <v>2.0210631312000499E+17</v>
      </c>
      <c r="B582" s="4">
        <v>2588602106</v>
      </c>
      <c r="C582" s="4" t="s">
        <v>13404</v>
      </c>
      <c r="D582" s="4">
        <v>31312</v>
      </c>
      <c r="E582" s="4">
        <v>20210630</v>
      </c>
      <c r="F582" s="4">
        <v>20210630</v>
      </c>
      <c r="G582" s="4">
        <v>20240630</v>
      </c>
      <c r="H582" s="4" t="s">
        <v>13403</v>
      </c>
      <c r="J582" s="4" t="s">
        <v>748</v>
      </c>
    </row>
    <row r="583" spans="1:10" hidden="1">
      <c r="A583" s="4">
        <v>2.0210629176000499E+17</v>
      </c>
      <c r="B583" s="4">
        <v>8778701735</v>
      </c>
      <c r="C583" s="4" t="s">
        <v>13402</v>
      </c>
      <c r="D583" s="4">
        <v>29176</v>
      </c>
      <c r="E583" s="4">
        <v>20210630</v>
      </c>
      <c r="F583" s="4">
        <v>20210630</v>
      </c>
      <c r="G583" s="4">
        <v>20240630</v>
      </c>
      <c r="H583" s="4" t="s">
        <v>13401</v>
      </c>
      <c r="I583" s="4" t="s">
        <v>13400</v>
      </c>
      <c r="J583" s="4" t="s">
        <v>9770</v>
      </c>
    </row>
    <row r="584" spans="1:10" hidden="1">
      <c r="A584" s="4">
        <v>2.0210641112000499E+17</v>
      </c>
      <c r="B584" s="4">
        <v>1048801949</v>
      </c>
      <c r="C584" s="4" t="s">
        <v>13399</v>
      </c>
      <c r="D584" s="4">
        <v>41112</v>
      </c>
      <c r="E584" s="4">
        <v>20210630</v>
      </c>
      <c r="F584" s="4">
        <v>20210630</v>
      </c>
      <c r="G584" s="4">
        <v>20240630</v>
      </c>
      <c r="H584" s="4" t="s">
        <v>13398</v>
      </c>
      <c r="I584" s="4" t="s">
        <v>91</v>
      </c>
      <c r="J584" s="4" t="s">
        <v>11825</v>
      </c>
    </row>
    <row r="585" spans="1:10" hidden="1">
      <c r="A585" s="4">
        <v>2.0210652101000499E+17</v>
      </c>
      <c r="B585" s="4">
        <v>8598100658</v>
      </c>
      <c r="C585" s="4" t="s">
        <v>13397</v>
      </c>
      <c r="D585" s="4">
        <v>52101</v>
      </c>
      <c r="E585" s="4">
        <v>20210630</v>
      </c>
      <c r="F585" s="4">
        <v>20210630</v>
      </c>
      <c r="G585" s="4">
        <v>20240426</v>
      </c>
      <c r="H585" s="4" t="s">
        <v>13396</v>
      </c>
      <c r="I585" s="4" t="s">
        <v>13395</v>
      </c>
      <c r="J585" s="4" t="s">
        <v>9112</v>
      </c>
    </row>
    <row r="586" spans="1:10" hidden="1">
      <c r="A586" s="4">
        <v>2.0210633401000499E+17</v>
      </c>
      <c r="B586" s="4">
        <v>3908801671</v>
      </c>
      <c r="C586" s="4" t="s">
        <v>13394</v>
      </c>
      <c r="D586" s="4">
        <v>33401</v>
      </c>
      <c r="E586" s="4">
        <v>20210630</v>
      </c>
      <c r="F586" s="4">
        <v>20210630</v>
      </c>
      <c r="G586" s="4">
        <v>20240630</v>
      </c>
      <c r="H586" s="4" t="s">
        <v>13393</v>
      </c>
      <c r="I586" s="4" t="s">
        <v>13392</v>
      </c>
      <c r="J586" s="4" t="s">
        <v>364</v>
      </c>
    </row>
    <row r="587" spans="1:10" hidden="1">
      <c r="A587" s="4">
        <v>2.0210626429000499E+17</v>
      </c>
      <c r="B587" s="4">
        <v>7488600843</v>
      </c>
      <c r="C587" s="4" t="s">
        <v>13391</v>
      </c>
      <c r="D587" s="4">
        <v>26429</v>
      </c>
      <c r="E587" s="4">
        <v>20210630</v>
      </c>
      <c r="F587" s="4">
        <v>20210630</v>
      </c>
      <c r="G587" s="4">
        <v>20240630</v>
      </c>
      <c r="H587" s="4" t="s">
        <v>787</v>
      </c>
      <c r="I587" s="4" t="s">
        <v>13390</v>
      </c>
      <c r="J587" s="4" t="s">
        <v>422</v>
      </c>
    </row>
    <row r="588" spans="1:10" hidden="1">
      <c r="A588" s="4">
        <v>2.0210729175000499E+17</v>
      </c>
      <c r="B588" s="4">
        <v>4608601812</v>
      </c>
      <c r="C588" s="4" t="s">
        <v>13649</v>
      </c>
      <c r="D588" s="4">
        <v>29175</v>
      </c>
      <c r="E588" s="4">
        <v>20210701</v>
      </c>
      <c r="F588" s="4">
        <v>20210701</v>
      </c>
      <c r="G588" s="4">
        <v>20240701</v>
      </c>
      <c r="H588" s="4" t="s">
        <v>13648</v>
      </c>
      <c r="J588" s="4" t="s">
        <v>232</v>
      </c>
    </row>
    <row r="589" spans="1:10" hidden="1">
      <c r="A589" s="4">
        <v>2.0210670209000499E+17</v>
      </c>
      <c r="B589" s="4">
        <v>6908102076</v>
      </c>
      <c r="C589" s="4" t="s">
        <v>13387</v>
      </c>
      <c r="D589" s="4">
        <v>70209</v>
      </c>
      <c r="E589" s="4">
        <v>20210630</v>
      </c>
      <c r="F589" s="4">
        <v>20210630</v>
      </c>
      <c r="G589" s="4">
        <v>20240630</v>
      </c>
      <c r="H589" s="4" t="s">
        <v>11524</v>
      </c>
      <c r="I589" s="4" t="s">
        <v>13386</v>
      </c>
      <c r="J589" s="4" t="s">
        <v>242</v>
      </c>
    </row>
    <row r="590" spans="1:10" hidden="1">
      <c r="A590" s="4">
        <v>2.0210629180000499E+17</v>
      </c>
      <c r="B590" s="4">
        <v>3148666211</v>
      </c>
      <c r="C590" s="4" t="s">
        <v>13385</v>
      </c>
      <c r="D590" s="4">
        <v>29180</v>
      </c>
      <c r="E590" s="4">
        <v>20210630</v>
      </c>
      <c r="F590" s="4">
        <v>20210630</v>
      </c>
      <c r="G590" s="4">
        <v>20240630</v>
      </c>
      <c r="H590" s="4" t="s">
        <v>13384</v>
      </c>
      <c r="I590" s="4" t="s">
        <v>13383</v>
      </c>
      <c r="J590" s="4" t="s">
        <v>609</v>
      </c>
    </row>
    <row r="591" spans="1:10" hidden="1">
      <c r="A591" s="4">
        <v>2.0210659114000499E+17</v>
      </c>
      <c r="B591" s="4">
        <v>3878100997</v>
      </c>
      <c r="C591" s="4" t="s">
        <v>13382</v>
      </c>
      <c r="D591" s="4">
        <v>59114</v>
      </c>
      <c r="E591" s="4">
        <v>20210630</v>
      </c>
      <c r="F591" s="4">
        <v>20210630</v>
      </c>
      <c r="G591" s="4">
        <v>20240630</v>
      </c>
      <c r="H591" s="4" t="s">
        <v>13381</v>
      </c>
      <c r="I591" s="4" t="s">
        <v>3534</v>
      </c>
      <c r="J591" s="4" t="s">
        <v>9971</v>
      </c>
    </row>
    <row r="592" spans="1:10" hidden="1">
      <c r="A592" s="4">
        <v>2.0210647912000499E+17</v>
      </c>
      <c r="B592" s="4">
        <v>4084364049</v>
      </c>
      <c r="C592" s="4" t="s">
        <v>13380</v>
      </c>
      <c r="D592" s="4">
        <v>47912</v>
      </c>
      <c r="E592" s="4">
        <v>20210630</v>
      </c>
      <c r="F592" s="4">
        <v>20210630</v>
      </c>
      <c r="G592" s="4">
        <v>20240630</v>
      </c>
      <c r="H592" s="4" t="s">
        <v>13379</v>
      </c>
      <c r="I592" s="4" t="s">
        <v>13378</v>
      </c>
      <c r="J592" s="4" t="s">
        <v>78</v>
      </c>
    </row>
    <row r="593" spans="1:10" hidden="1">
      <c r="A593" s="4">
        <v>2.0210658222000499E+17</v>
      </c>
      <c r="B593" s="4">
        <v>4878801373</v>
      </c>
      <c r="C593" s="4" t="s">
        <v>13377</v>
      </c>
      <c r="D593" s="4">
        <v>58222</v>
      </c>
      <c r="E593" s="4">
        <v>20210630</v>
      </c>
      <c r="F593" s="4">
        <v>20210630</v>
      </c>
      <c r="G593" s="4">
        <v>20240630</v>
      </c>
      <c r="H593" s="4" t="s">
        <v>5996</v>
      </c>
      <c r="I593" s="4" t="s">
        <v>13376</v>
      </c>
      <c r="J593" s="4" t="s">
        <v>94</v>
      </c>
    </row>
    <row r="594" spans="1:10" hidden="1">
      <c r="A594" s="4">
        <v>2.0210658222000499E+17</v>
      </c>
      <c r="B594" s="4">
        <v>7673100709</v>
      </c>
      <c r="C594" s="4" t="s">
        <v>13375</v>
      </c>
      <c r="D594" s="4">
        <v>58222</v>
      </c>
      <c r="E594" s="4">
        <v>20210630</v>
      </c>
      <c r="F594" s="4">
        <v>20210630</v>
      </c>
      <c r="G594" s="4">
        <v>20240630</v>
      </c>
      <c r="H594" s="4" t="s">
        <v>13374</v>
      </c>
      <c r="I594" s="4" t="s">
        <v>13373</v>
      </c>
      <c r="J594" s="4" t="s">
        <v>94</v>
      </c>
    </row>
    <row r="595" spans="1:10" hidden="1">
      <c r="A595" s="4">
        <v>2.0210670130000499E+17</v>
      </c>
      <c r="B595" s="4">
        <v>3448701744</v>
      </c>
      <c r="C595" s="4" t="s">
        <v>13372</v>
      </c>
      <c r="D595" s="4">
        <v>70130</v>
      </c>
      <c r="E595" s="4">
        <v>20210630</v>
      </c>
      <c r="F595" s="4">
        <v>20210630</v>
      </c>
      <c r="G595" s="4">
        <v>20240630</v>
      </c>
      <c r="H595" s="4" t="s">
        <v>6376</v>
      </c>
      <c r="I595" s="4" t="s">
        <v>13371</v>
      </c>
      <c r="J595" s="4" t="s">
        <v>170</v>
      </c>
    </row>
    <row r="596" spans="1:10" hidden="1">
      <c r="A596" s="4">
        <v>2.0210663120000499E+17</v>
      </c>
      <c r="B596" s="4">
        <v>8568700200</v>
      </c>
      <c r="C596" s="4" t="s">
        <v>13370</v>
      </c>
      <c r="D596" s="4">
        <v>63120</v>
      </c>
      <c r="E596" s="4">
        <v>20210630</v>
      </c>
      <c r="F596" s="4">
        <v>20210630</v>
      </c>
      <c r="G596" s="4">
        <v>20221202</v>
      </c>
      <c r="H596" s="4" t="s">
        <v>13369</v>
      </c>
      <c r="I596" s="4" t="s">
        <v>13368</v>
      </c>
      <c r="J596" s="4" t="s">
        <v>632</v>
      </c>
    </row>
    <row r="597" spans="1:10" hidden="1">
      <c r="A597" s="4">
        <v>2.0210675992000499E+17</v>
      </c>
      <c r="B597" s="4">
        <v>2131154831</v>
      </c>
      <c r="C597" s="4" t="s">
        <v>13367</v>
      </c>
      <c r="D597" s="4">
        <v>75992</v>
      </c>
      <c r="E597" s="4">
        <v>20210630</v>
      </c>
      <c r="F597" s="4">
        <v>20210630</v>
      </c>
      <c r="G597" s="4">
        <v>20240630</v>
      </c>
      <c r="H597" s="4" t="s">
        <v>13366</v>
      </c>
      <c r="I597" s="4" t="s">
        <v>13365</v>
      </c>
      <c r="J597" s="4" t="s">
        <v>111</v>
      </c>
    </row>
    <row r="598" spans="1:10" hidden="1">
      <c r="A598" s="4">
        <v>2.0210685699000499E+17</v>
      </c>
      <c r="B598" s="4">
        <v>4011692816</v>
      </c>
      <c r="C598" s="4" t="s">
        <v>13364</v>
      </c>
      <c r="D598" s="4">
        <v>85699</v>
      </c>
      <c r="E598" s="4">
        <v>20210630</v>
      </c>
      <c r="F598" s="4">
        <v>20210630</v>
      </c>
      <c r="G598" s="4">
        <v>20240630</v>
      </c>
      <c r="H598" s="4" t="s">
        <v>10948</v>
      </c>
      <c r="I598" s="4" t="s">
        <v>13364</v>
      </c>
      <c r="J598" s="4" t="s">
        <v>2192</v>
      </c>
    </row>
    <row r="599" spans="1:10" hidden="1">
      <c r="A599" s="4">
        <v>2.0210670130000499E+17</v>
      </c>
      <c r="B599" s="4">
        <v>7210201492</v>
      </c>
      <c r="C599" s="4" t="s">
        <v>13363</v>
      </c>
      <c r="D599" s="4">
        <v>70130</v>
      </c>
      <c r="E599" s="4">
        <v>20210630</v>
      </c>
      <c r="F599" s="4">
        <v>20210630</v>
      </c>
      <c r="G599" s="4">
        <v>20240630</v>
      </c>
      <c r="H599" s="4" t="s">
        <v>13362</v>
      </c>
      <c r="I599" s="4" t="s">
        <v>185</v>
      </c>
      <c r="J599" s="4" t="s">
        <v>170</v>
      </c>
    </row>
    <row r="600" spans="1:10" hidden="1">
      <c r="A600" s="4">
        <v>2.0210647912000499E+17</v>
      </c>
      <c r="B600" s="4">
        <v>5746900395</v>
      </c>
      <c r="C600" s="4" t="s">
        <v>13361</v>
      </c>
      <c r="D600" s="4">
        <v>47912</v>
      </c>
      <c r="E600" s="4">
        <v>20210630</v>
      </c>
      <c r="F600" s="4">
        <v>20210630</v>
      </c>
      <c r="G600" s="4">
        <v>20240630</v>
      </c>
      <c r="H600" s="4" t="s">
        <v>1269</v>
      </c>
      <c r="I600" s="4" t="s">
        <v>13360</v>
      </c>
      <c r="J600" s="4" t="s">
        <v>78</v>
      </c>
    </row>
    <row r="601" spans="1:10" hidden="1">
      <c r="A601" s="4">
        <v>2.0210630399000499E+17</v>
      </c>
      <c r="B601" s="4">
        <v>8520401048</v>
      </c>
      <c r="C601" s="4" t="s">
        <v>13359</v>
      </c>
      <c r="D601" s="4">
        <v>30399</v>
      </c>
      <c r="E601" s="4">
        <v>20210630</v>
      </c>
      <c r="F601" s="4">
        <v>20210630</v>
      </c>
      <c r="G601" s="4">
        <v>20240630</v>
      </c>
      <c r="H601" s="4" t="s">
        <v>13358</v>
      </c>
      <c r="J601" s="4" t="s">
        <v>1763</v>
      </c>
    </row>
    <row r="602" spans="1:10" hidden="1">
      <c r="A602" s="4">
        <v>2.0210690191000499E+17</v>
      </c>
      <c r="B602" s="4">
        <v>4022796941</v>
      </c>
      <c r="C602" s="4" t="s">
        <v>13357</v>
      </c>
      <c r="D602" s="4">
        <v>90191</v>
      </c>
      <c r="E602" s="4">
        <v>20210630</v>
      </c>
      <c r="F602" s="4">
        <v>20210630</v>
      </c>
      <c r="G602" s="4">
        <v>20240630</v>
      </c>
      <c r="H602" s="4" t="s">
        <v>13356</v>
      </c>
      <c r="I602" s="4" t="s">
        <v>91</v>
      </c>
      <c r="J602" s="4" t="s">
        <v>3866</v>
      </c>
    </row>
    <row r="603" spans="1:10" hidden="1">
      <c r="A603" s="4">
        <v>2.0210633999000499E+17</v>
      </c>
      <c r="B603" s="4">
        <v>7638101768</v>
      </c>
      <c r="C603" s="4" t="s">
        <v>13355</v>
      </c>
      <c r="D603" s="4">
        <v>33999</v>
      </c>
      <c r="E603" s="4">
        <v>20210629</v>
      </c>
      <c r="F603" s="4">
        <v>20210629</v>
      </c>
      <c r="G603" s="4">
        <v>20240629</v>
      </c>
      <c r="H603" s="4" t="s">
        <v>198</v>
      </c>
      <c r="I603" s="4" t="s">
        <v>13354</v>
      </c>
      <c r="J603" s="4" t="s">
        <v>780</v>
      </c>
    </row>
    <row r="604" spans="1:10" hidden="1">
      <c r="A604" s="4">
        <v>2.0210675992000499E+17</v>
      </c>
      <c r="B604" s="4">
        <v>5968101232</v>
      </c>
      <c r="C604" s="4" t="s">
        <v>13353</v>
      </c>
      <c r="D604" s="4">
        <v>75992</v>
      </c>
      <c r="E604" s="4">
        <v>20210629</v>
      </c>
      <c r="F604" s="4">
        <v>20210629</v>
      </c>
      <c r="G604" s="4">
        <v>20240629</v>
      </c>
      <c r="H604" s="4" t="s">
        <v>12626</v>
      </c>
      <c r="I604" s="4" t="s">
        <v>13352</v>
      </c>
      <c r="J604" s="4" t="s">
        <v>111</v>
      </c>
    </row>
    <row r="605" spans="1:10" hidden="1">
      <c r="A605" s="4">
        <v>2.0210672121000499E+17</v>
      </c>
      <c r="B605" s="4">
        <v>4188153293</v>
      </c>
      <c r="C605" s="4" t="s">
        <v>13351</v>
      </c>
      <c r="D605" s="4">
        <v>72121</v>
      </c>
      <c r="E605" s="4">
        <v>20210629</v>
      </c>
      <c r="F605" s="4">
        <v>20210629</v>
      </c>
      <c r="G605" s="4">
        <v>20220205</v>
      </c>
      <c r="H605" s="4" t="s">
        <v>13164</v>
      </c>
      <c r="I605" s="4">
        <v>101</v>
      </c>
      <c r="J605" s="4" t="s">
        <v>2243</v>
      </c>
    </row>
    <row r="606" spans="1:10" hidden="1">
      <c r="A606" s="4">
        <v>2.0210671310000499E+17</v>
      </c>
      <c r="B606" s="4">
        <v>4288801073</v>
      </c>
      <c r="C606" s="4" t="s">
        <v>13350</v>
      </c>
      <c r="D606" s="4">
        <v>71310</v>
      </c>
      <c r="E606" s="4">
        <v>20210629</v>
      </c>
      <c r="F606" s="4">
        <v>20210629</v>
      </c>
      <c r="G606" s="4">
        <v>20240629</v>
      </c>
      <c r="H606" s="4" t="s">
        <v>13349</v>
      </c>
      <c r="I606" s="4" t="s">
        <v>185</v>
      </c>
      <c r="J606" s="4" t="s">
        <v>426</v>
      </c>
    </row>
    <row r="607" spans="1:10" hidden="1">
      <c r="A607" s="4">
        <v>2.0210628111000499E+17</v>
      </c>
      <c r="B607" s="4">
        <v>7098601056</v>
      </c>
      <c r="C607" s="4" t="s">
        <v>13348</v>
      </c>
      <c r="D607" s="4">
        <v>28111</v>
      </c>
      <c r="E607" s="4">
        <v>20210629</v>
      </c>
      <c r="F607" s="4">
        <v>20210629</v>
      </c>
      <c r="G607" s="4">
        <v>20240629</v>
      </c>
      <c r="H607" s="4" t="s">
        <v>3483</v>
      </c>
      <c r="J607" s="4" t="s">
        <v>1614</v>
      </c>
    </row>
    <row r="608" spans="1:10" hidden="1">
      <c r="A608" s="4">
        <v>2.0210628111000499E+17</v>
      </c>
      <c r="B608" s="4">
        <v>7638600518</v>
      </c>
      <c r="C608" s="4" t="s">
        <v>13347</v>
      </c>
      <c r="D608" s="4">
        <v>28111</v>
      </c>
      <c r="E608" s="4">
        <v>20210629</v>
      </c>
      <c r="F608" s="4">
        <v>20210629</v>
      </c>
      <c r="G608" s="4">
        <v>20231005</v>
      </c>
      <c r="H608" s="4" t="s">
        <v>13346</v>
      </c>
      <c r="J608" s="4" t="s">
        <v>1614</v>
      </c>
    </row>
    <row r="609" spans="1:10" hidden="1">
      <c r="A609" s="4">
        <v>2.0210663991000499E+17</v>
      </c>
      <c r="B609" s="4">
        <v>3778601596</v>
      </c>
      <c r="C609" s="4" t="s">
        <v>13345</v>
      </c>
      <c r="D609" s="4">
        <v>63991</v>
      </c>
      <c r="E609" s="4">
        <v>20210629</v>
      </c>
      <c r="F609" s="4">
        <v>20210629</v>
      </c>
      <c r="G609" s="4">
        <v>20240629</v>
      </c>
      <c r="H609" s="4" t="s">
        <v>1142</v>
      </c>
      <c r="I609" s="4" t="s">
        <v>13344</v>
      </c>
      <c r="J609" s="4" t="s">
        <v>395</v>
      </c>
    </row>
    <row r="610" spans="1:10" hidden="1">
      <c r="A610" s="4">
        <v>2.0210671531000499E+17</v>
      </c>
      <c r="B610" s="4">
        <v>1078841066</v>
      </c>
      <c r="C610" s="4" t="s">
        <v>13343</v>
      </c>
      <c r="D610" s="4">
        <v>71531</v>
      </c>
      <c r="E610" s="4">
        <v>20210629</v>
      </c>
      <c r="F610" s="4">
        <v>20210629</v>
      </c>
      <c r="G610" s="4">
        <v>20220206</v>
      </c>
      <c r="H610" s="4" t="s">
        <v>4096</v>
      </c>
      <c r="I610" s="4" t="s">
        <v>13342</v>
      </c>
      <c r="J610" s="4" t="s">
        <v>87</v>
      </c>
    </row>
    <row r="611" spans="1:10" hidden="1">
      <c r="A611" s="4">
        <v>2.0210628909000499E+17</v>
      </c>
      <c r="B611" s="4">
        <v>5898702249</v>
      </c>
      <c r="C611" s="4" t="s">
        <v>13341</v>
      </c>
      <c r="D611" s="4">
        <v>28909</v>
      </c>
      <c r="E611" s="4">
        <v>20210629</v>
      </c>
      <c r="F611" s="4">
        <v>20210629</v>
      </c>
      <c r="G611" s="4">
        <v>20240629</v>
      </c>
      <c r="H611" s="4" t="s">
        <v>13340</v>
      </c>
      <c r="I611" s="4" t="s">
        <v>185</v>
      </c>
      <c r="J611" s="4" t="s">
        <v>253</v>
      </c>
    </row>
    <row r="612" spans="1:10" hidden="1">
      <c r="A612" s="4">
        <v>2.0210646522000499E+17</v>
      </c>
      <c r="B612" s="4">
        <v>1098655451</v>
      </c>
      <c r="C612" s="4" t="s">
        <v>13339</v>
      </c>
      <c r="D612" s="4">
        <v>46522</v>
      </c>
      <c r="E612" s="4">
        <v>20210629</v>
      </c>
      <c r="F612" s="4">
        <v>20210629</v>
      </c>
      <c r="G612" s="4">
        <v>20240629</v>
      </c>
      <c r="H612" s="4" t="s">
        <v>563</v>
      </c>
      <c r="I612" s="4" t="s">
        <v>13338</v>
      </c>
      <c r="J612" s="4" t="s">
        <v>3922</v>
      </c>
    </row>
    <row r="613" spans="1:10" hidden="1">
      <c r="A613" s="4">
        <v>2.0210646443000499E+17</v>
      </c>
      <c r="B613" s="4">
        <v>7508600716</v>
      </c>
      <c r="C613" s="4" t="s">
        <v>13337</v>
      </c>
      <c r="D613" s="4">
        <v>46443</v>
      </c>
      <c r="E613" s="4">
        <v>20210629</v>
      </c>
      <c r="F613" s="4">
        <v>20210629</v>
      </c>
      <c r="G613" s="4">
        <v>20240321</v>
      </c>
      <c r="H613" s="4" t="s">
        <v>8279</v>
      </c>
      <c r="I613" s="4" t="s">
        <v>13336</v>
      </c>
      <c r="J613" s="4" t="s">
        <v>1379</v>
      </c>
    </row>
    <row r="614" spans="1:10" hidden="1">
      <c r="A614" s="4">
        <v>2.0210658222000499E+17</v>
      </c>
      <c r="B614" s="4">
        <v>1928601660</v>
      </c>
      <c r="C614" s="4" t="s">
        <v>13335</v>
      </c>
      <c r="D614" s="4">
        <v>58222</v>
      </c>
      <c r="E614" s="4">
        <v>20210629</v>
      </c>
      <c r="F614" s="4">
        <v>20210629</v>
      </c>
      <c r="G614" s="4">
        <v>20240629</v>
      </c>
      <c r="H614" s="4" t="s">
        <v>13334</v>
      </c>
      <c r="I614" s="4" t="s">
        <v>13333</v>
      </c>
      <c r="J614" s="4" t="s">
        <v>94</v>
      </c>
    </row>
    <row r="615" spans="1:10" hidden="1">
      <c r="A615" s="4">
        <v>2.0210642311000499E+17</v>
      </c>
      <c r="B615" s="4">
        <v>7248800818</v>
      </c>
      <c r="C615" s="4" t="s">
        <v>13332</v>
      </c>
      <c r="D615" s="4">
        <v>42311</v>
      </c>
      <c r="E615" s="4">
        <v>20210629</v>
      </c>
      <c r="F615" s="4">
        <v>20210629</v>
      </c>
      <c r="G615" s="4">
        <v>20240629</v>
      </c>
      <c r="H615" s="4" t="s">
        <v>13331</v>
      </c>
      <c r="I615" s="4" t="s">
        <v>146</v>
      </c>
      <c r="J615" s="4" t="s">
        <v>718</v>
      </c>
    </row>
    <row r="616" spans="1:10" hidden="1">
      <c r="A616" s="4">
        <v>2.0210616103000499E+17</v>
      </c>
      <c r="B616" s="4">
        <v>8578801683</v>
      </c>
      <c r="C616" s="4" t="s">
        <v>13330</v>
      </c>
      <c r="D616" s="4">
        <v>16103</v>
      </c>
      <c r="E616" s="4">
        <v>20210629</v>
      </c>
      <c r="F616" s="4">
        <v>20210629</v>
      </c>
      <c r="G616" s="4">
        <v>20230308</v>
      </c>
      <c r="H616" s="4" t="s">
        <v>10274</v>
      </c>
      <c r="I616" s="4" t="s">
        <v>13329</v>
      </c>
      <c r="J616" s="4" t="s">
        <v>912</v>
      </c>
    </row>
    <row r="617" spans="1:10" hidden="1">
      <c r="A617" s="4">
        <v>2.0210629133000499E+17</v>
      </c>
      <c r="B617" s="4">
        <v>2973600336</v>
      </c>
      <c r="C617" s="4" t="s">
        <v>13328</v>
      </c>
      <c r="D617" s="4">
        <v>29133</v>
      </c>
      <c r="E617" s="4">
        <v>20210629</v>
      </c>
      <c r="F617" s="4">
        <v>20210629</v>
      </c>
      <c r="G617" s="4">
        <v>20240629</v>
      </c>
      <c r="H617" s="4" t="s">
        <v>13327</v>
      </c>
      <c r="J617" s="4" t="s">
        <v>990</v>
      </c>
    </row>
    <row r="618" spans="1:10" hidden="1">
      <c r="A618" s="4">
        <v>2.0210714199000499E+17</v>
      </c>
      <c r="B618" s="4">
        <v>2228701575</v>
      </c>
      <c r="C618" s="4" t="s">
        <v>13601</v>
      </c>
      <c r="D618" s="4">
        <v>14199</v>
      </c>
      <c r="E618" s="4">
        <v>20210701</v>
      </c>
      <c r="F618" s="4">
        <v>20210701</v>
      </c>
      <c r="G618" s="4">
        <v>20240701</v>
      </c>
      <c r="H618" s="4" t="s">
        <v>13600</v>
      </c>
      <c r="I618" s="4" t="s">
        <v>149</v>
      </c>
      <c r="J618" s="4" t="s">
        <v>3215</v>
      </c>
    </row>
    <row r="619" spans="1:10" hidden="1">
      <c r="A619" s="4">
        <v>2.0210685699000499E+17</v>
      </c>
      <c r="B619" s="4">
        <v>3028701298</v>
      </c>
      <c r="C619" s="4" t="s">
        <v>13502</v>
      </c>
      <c r="D619" s="4">
        <v>85699</v>
      </c>
      <c r="E619" s="4">
        <v>20210630</v>
      </c>
      <c r="F619" s="4">
        <v>20210630</v>
      </c>
      <c r="G619" s="4">
        <v>20240630</v>
      </c>
      <c r="H619" s="4" t="s">
        <v>13501</v>
      </c>
      <c r="I619" s="4" t="s">
        <v>91</v>
      </c>
      <c r="J619" s="4" t="s">
        <v>2192</v>
      </c>
    </row>
    <row r="620" spans="1:10" hidden="1">
      <c r="A620" s="4">
        <v>2.0210672111000499E+17</v>
      </c>
      <c r="B620" s="4">
        <v>6742301250</v>
      </c>
      <c r="C620" s="4" t="s">
        <v>13321</v>
      </c>
      <c r="D620" s="4">
        <v>72111</v>
      </c>
      <c r="E620" s="4">
        <v>20210629</v>
      </c>
      <c r="F620" s="4">
        <v>20210629</v>
      </c>
      <c r="G620" s="4">
        <v>20240629</v>
      </c>
      <c r="H620" s="4" t="s">
        <v>13320</v>
      </c>
      <c r="I620" s="4" t="s">
        <v>9253</v>
      </c>
      <c r="J620" s="4" t="s">
        <v>3461</v>
      </c>
    </row>
    <row r="621" spans="1:10" hidden="1">
      <c r="A621" s="4">
        <v>2.0210625929000499E+17</v>
      </c>
      <c r="B621" s="4">
        <v>7038701680</v>
      </c>
      <c r="C621" s="4" t="s">
        <v>13389</v>
      </c>
      <c r="D621" s="4">
        <v>25929</v>
      </c>
      <c r="E621" s="4">
        <v>20210630</v>
      </c>
      <c r="F621" s="4">
        <v>20210630</v>
      </c>
      <c r="G621" s="4">
        <v>20240630</v>
      </c>
      <c r="H621" s="4" t="s">
        <v>13388</v>
      </c>
      <c r="J621" s="4" t="s">
        <v>701</v>
      </c>
    </row>
    <row r="622" spans="1:10" hidden="1">
      <c r="A622" s="4">
        <v>2.0210674212000499E+17</v>
      </c>
      <c r="B622" s="4">
        <v>7923400730</v>
      </c>
      <c r="C622" s="4" t="s">
        <v>13316</v>
      </c>
      <c r="D622" s="4">
        <v>74212</v>
      </c>
      <c r="E622" s="4">
        <v>20210629</v>
      </c>
      <c r="F622" s="4">
        <v>20210629</v>
      </c>
      <c r="G622" s="4">
        <v>20240629</v>
      </c>
      <c r="H622" s="4" t="s">
        <v>4616</v>
      </c>
      <c r="I622" s="4" t="s">
        <v>13315</v>
      </c>
      <c r="J622" s="4" t="s">
        <v>7362</v>
      </c>
    </row>
    <row r="623" spans="1:10" hidden="1">
      <c r="A623" s="4">
        <v>2.0210663120000499E+17</v>
      </c>
      <c r="B623" s="4">
        <v>3654000669</v>
      </c>
      <c r="C623" s="4" t="s">
        <v>13314</v>
      </c>
      <c r="D623" s="4">
        <v>63120</v>
      </c>
      <c r="E623" s="4">
        <v>20210629</v>
      </c>
      <c r="F623" s="4">
        <v>20210629</v>
      </c>
      <c r="G623" s="4">
        <v>20240629</v>
      </c>
      <c r="H623" s="4" t="s">
        <v>13313</v>
      </c>
      <c r="I623" s="4" t="s">
        <v>159</v>
      </c>
      <c r="J623" s="4" t="s">
        <v>632</v>
      </c>
    </row>
    <row r="624" spans="1:10" hidden="1">
      <c r="A624" s="4">
        <v>2.0210647612000499E+17</v>
      </c>
      <c r="B624" s="4">
        <v>1563500800</v>
      </c>
      <c r="C624" s="4" t="s">
        <v>13312</v>
      </c>
      <c r="D624" s="4">
        <v>47612</v>
      </c>
      <c r="E624" s="4">
        <v>20210629</v>
      </c>
      <c r="F624" s="4">
        <v>20210629</v>
      </c>
      <c r="G624" s="4">
        <v>20240629</v>
      </c>
      <c r="H624" s="4" t="s">
        <v>11215</v>
      </c>
      <c r="I624" s="4" t="s">
        <v>1331</v>
      </c>
      <c r="J624" s="4" t="s">
        <v>8751</v>
      </c>
    </row>
    <row r="625" spans="1:10" hidden="1">
      <c r="A625" s="4">
        <v>2.0210659111000499E+17</v>
      </c>
      <c r="B625" s="4">
        <v>6846500165</v>
      </c>
      <c r="C625" s="4" t="s">
        <v>13311</v>
      </c>
      <c r="D625" s="4">
        <v>59111</v>
      </c>
      <c r="E625" s="4">
        <v>20210629</v>
      </c>
      <c r="F625" s="4">
        <v>20210629</v>
      </c>
      <c r="G625" s="4">
        <v>20240629</v>
      </c>
      <c r="H625" s="4" t="s">
        <v>13310</v>
      </c>
      <c r="I625" s="4" t="s">
        <v>13309</v>
      </c>
      <c r="J625" s="4" t="s">
        <v>1857</v>
      </c>
    </row>
    <row r="626" spans="1:10" hidden="1">
      <c r="A626" s="4">
        <v>2.0210620423000499E+17</v>
      </c>
      <c r="B626" s="4">
        <v>4732900612</v>
      </c>
      <c r="C626" s="4" t="s">
        <v>13308</v>
      </c>
      <c r="D626" s="4">
        <v>20423</v>
      </c>
      <c r="E626" s="4">
        <v>20210629</v>
      </c>
      <c r="F626" s="4">
        <v>20210629</v>
      </c>
      <c r="G626" s="4">
        <v>20240629</v>
      </c>
      <c r="H626" s="4" t="s">
        <v>1923</v>
      </c>
      <c r="I626" s="4" t="s">
        <v>13307</v>
      </c>
      <c r="J626" s="4" t="s">
        <v>368</v>
      </c>
    </row>
    <row r="627" spans="1:10" hidden="1">
      <c r="A627" s="4">
        <v>2.0210642499000499E+17</v>
      </c>
      <c r="B627" s="4">
        <v>5978800934</v>
      </c>
      <c r="C627" s="4" t="s">
        <v>13306</v>
      </c>
      <c r="D627" s="4">
        <v>42499</v>
      </c>
      <c r="E627" s="4">
        <v>20210629</v>
      </c>
      <c r="F627" s="4">
        <v>20210629</v>
      </c>
      <c r="G627" s="4">
        <v>20240629</v>
      </c>
      <c r="H627" s="4" t="s">
        <v>13305</v>
      </c>
      <c r="J627" s="4" t="s">
        <v>505</v>
      </c>
    </row>
    <row r="628" spans="1:10" hidden="1">
      <c r="A628" s="4">
        <v>2.0210610713000499E+17</v>
      </c>
      <c r="B628" s="4">
        <v>2076189062</v>
      </c>
      <c r="C628" s="4" t="s">
        <v>13304</v>
      </c>
      <c r="D628" s="4">
        <v>10713</v>
      </c>
      <c r="E628" s="4">
        <v>20210629</v>
      </c>
      <c r="F628" s="4">
        <v>20210629</v>
      </c>
      <c r="G628" s="4">
        <v>20240629</v>
      </c>
      <c r="H628" s="4" t="s">
        <v>13303</v>
      </c>
      <c r="J628" s="4" t="s">
        <v>715</v>
      </c>
    </row>
    <row r="629" spans="1:10" hidden="1">
      <c r="A629" s="4">
        <v>2.0210641224000499E+17</v>
      </c>
      <c r="B629" s="4">
        <v>3537600345</v>
      </c>
      <c r="C629" s="4" t="s">
        <v>13302</v>
      </c>
      <c r="D629" s="4">
        <v>41224</v>
      </c>
      <c r="E629" s="4">
        <v>20210629</v>
      </c>
      <c r="F629" s="4">
        <v>20210629</v>
      </c>
      <c r="G629" s="4">
        <v>20240629</v>
      </c>
      <c r="H629" s="4" t="s">
        <v>8551</v>
      </c>
      <c r="I629" s="4" t="s">
        <v>13301</v>
      </c>
      <c r="J629" s="4" t="s">
        <v>4121</v>
      </c>
    </row>
    <row r="630" spans="1:10" hidden="1">
      <c r="A630" s="4">
        <v>2.0210645213000499E+17</v>
      </c>
      <c r="B630" s="4">
        <v>7092201224</v>
      </c>
      <c r="C630" s="4" t="s">
        <v>13300</v>
      </c>
      <c r="D630" s="4">
        <v>45213</v>
      </c>
      <c r="E630" s="4">
        <v>20210629</v>
      </c>
      <c r="F630" s="4">
        <v>20210629</v>
      </c>
      <c r="G630" s="4">
        <v>20240629</v>
      </c>
      <c r="H630" s="4" t="s">
        <v>13299</v>
      </c>
      <c r="I630" s="4" t="s">
        <v>149</v>
      </c>
      <c r="J630" s="4" t="s">
        <v>13298</v>
      </c>
    </row>
    <row r="631" spans="1:10" hidden="1">
      <c r="A631" s="4">
        <v>2.0210632029000499E+17</v>
      </c>
      <c r="B631" s="4">
        <v>5482101049</v>
      </c>
      <c r="C631" s="4" t="s">
        <v>13297</v>
      </c>
      <c r="D631" s="4">
        <v>32029</v>
      </c>
      <c r="E631" s="4">
        <v>20210629</v>
      </c>
      <c r="F631" s="4">
        <v>20210629</v>
      </c>
      <c r="G631" s="4">
        <v>20240629</v>
      </c>
      <c r="H631" s="4" t="s">
        <v>4286</v>
      </c>
      <c r="I631" s="4" t="s">
        <v>13296</v>
      </c>
      <c r="J631" s="4" t="s">
        <v>637</v>
      </c>
    </row>
    <row r="632" spans="1:10" hidden="1">
      <c r="A632" s="4">
        <v>2.0210671310000499E+17</v>
      </c>
      <c r="B632" s="4">
        <v>3588800514</v>
      </c>
      <c r="C632" s="4" t="s">
        <v>13295</v>
      </c>
      <c r="D632" s="4">
        <v>71310</v>
      </c>
      <c r="E632" s="4">
        <v>20210629</v>
      </c>
      <c r="F632" s="4">
        <v>20210629</v>
      </c>
      <c r="G632" s="4">
        <v>20231020</v>
      </c>
      <c r="H632" s="4" t="s">
        <v>13294</v>
      </c>
      <c r="I632" s="4" t="s">
        <v>2919</v>
      </c>
      <c r="J632" s="4" t="s">
        <v>426</v>
      </c>
    </row>
    <row r="633" spans="1:10" hidden="1">
      <c r="A633" s="4">
        <v>2.0210672111000499E+17</v>
      </c>
      <c r="B633" s="4">
        <v>6565500405</v>
      </c>
      <c r="C633" s="4" t="s">
        <v>13293</v>
      </c>
      <c r="D633" s="4">
        <v>72111</v>
      </c>
      <c r="E633" s="4">
        <v>20210629</v>
      </c>
      <c r="F633" s="4">
        <v>20210629</v>
      </c>
      <c r="G633" s="4">
        <v>20240629</v>
      </c>
      <c r="H633" s="4" t="s">
        <v>7240</v>
      </c>
      <c r="I633" s="4" t="s">
        <v>13292</v>
      </c>
      <c r="J633" s="4" t="s">
        <v>3461</v>
      </c>
    </row>
    <row r="634" spans="1:10" hidden="1">
      <c r="A634" s="4">
        <v>2.0210625121000499E+17</v>
      </c>
      <c r="B634" s="4">
        <v>7268700141</v>
      </c>
      <c r="C634" s="4" t="s">
        <v>13291</v>
      </c>
      <c r="D634" s="4">
        <v>25121</v>
      </c>
      <c r="E634" s="4">
        <v>20210629</v>
      </c>
      <c r="F634" s="4">
        <v>20210629</v>
      </c>
      <c r="G634" s="4">
        <v>20220716</v>
      </c>
      <c r="H634" s="4" t="s">
        <v>8180</v>
      </c>
      <c r="I634" s="4" t="s">
        <v>13290</v>
      </c>
      <c r="J634" s="4" t="s">
        <v>8462</v>
      </c>
    </row>
    <row r="635" spans="1:10" hidden="1">
      <c r="A635" s="4">
        <v>2.0210663991000499E+17</v>
      </c>
      <c r="B635" s="4">
        <v>1718602100</v>
      </c>
      <c r="C635" s="4" t="s">
        <v>13289</v>
      </c>
      <c r="D635" s="4">
        <v>63991</v>
      </c>
      <c r="E635" s="4">
        <v>20210629</v>
      </c>
      <c r="F635" s="4">
        <v>20210629</v>
      </c>
      <c r="G635" s="4">
        <v>20240629</v>
      </c>
      <c r="H635" s="4" t="s">
        <v>13288</v>
      </c>
      <c r="I635" s="4" t="s">
        <v>13287</v>
      </c>
      <c r="J635" s="4" t="s">
        <v>395</v>
      </c>
    </row>
    <row r="636" spans="1:10" hidden="1">
      <c r="A636" s="4">
        <v>2.0210617229000499E+17</v>
      </c>
      <c r="B636" s="4">
        <v>5630801656</v>
      </c>
      <c r="C636" s="4" t="s">
        <v>13286</v>
      </c>
      <c r="D636" s="4">
        <v>17229</v>
      </c>
      <c r="E636" s="4">
        <v>20210629</v>
      </c>
      <c r="F636" s="4">
        <v>20210629</v>
      </c>
      <c r="G636" s="4">
        <v>20240629</v>
      </c>
      <c r="H636" s="4" t="s">
        <v>13285</v>
      </c>
      <c r="I636" s="4" t="s">
        <v>3490</v>
      </c>
      <c r="J636" s="4" t="s">
        <v>9498</v>
      </c>
    </row>
    <row r="637" spans="1:10" hidden="1">
      <c r="A637" s="4">
        <v>2.0210670112000499E+17</v>
      </c>
      <c r="B637" s="4">
        <v>5228101298</v>
      </c>
      <c r="C637" s="4" t="s">
        <v>13284</v>
      </c>
      <c r="D637" s="4">
        <v>70112</v>
      </c>
      <c r="E637" s="4">
        <v>20210629</v>
      </c>
      <c r="F637" s="4">
        <v>20210629</v>
      </c>
      <c r="G637" s="4">
        <v>20240629</v>
      </c>
      <c r="H637" s="4" t="s">
        <v>13283</v>
      </c>
      <c r="J637" s="4" t="s">
        <v>1975</v>
      </c>
    </row>
    <row r="638" spans="1:10" hidden="1">
      <c r="A638" s="4">
        <v>2.0210658212000499E+17</v>
      </c>
      <c r="B638" s="4">
        <v>6430401046</v>
      </c>
      <c r="C638" s="4" t="s">
        <v>13282</v>
      </c>
      <c r="D638" s="4">
        <v>58212</v>
      </c>
      <c r="E638" s="4">
        <v>20210629</v>
      </c>
      <c r="F638" s="4">
        <v>20210629</v>
      </c>
      <c r="G638" s="4">
        <v>20240629</v>
      </c>
      <c r="H638" s="4" t="s">
        <v>379</v>
      </c>
      <c r="I638" s="4" t="s">
        <v>13281</v>
      </c>
      <c r="J638" s="4" t="s">
        <v>1076</v>
      </c>
    </row>
    <row r="639" spans="1:10" hidden="1">
      <c r="A639" s="4">
        <v>2.0210620499000499E+17</v>
      </c>
      <c r="B639" s="4">
        <v>1648600609</v>
      </c>
      <c r="C639" s="4" t="s">
        <v>13280</v>
      </c>
      <c r="D639" s="4">
        <v>20499</v>
      </c>
      <c r="E639" s="4">
        <v>20210629</v>
      </c>
      <c r="F639" s="4">
        <v>20210629</v>
      </c>
      <c r="G639" s="4">
        <v>20240214</v>
      </c>
      <c r="H639" s="4" t="s">
        <v>13279</v>
      </c>
      <c r="J639" s="4" t="s">
        <v>406</v>
      </c>
    </row>
    <row r="640" spans="1:10" hidden="1">
      <c r="A640" s="4">
        <v>2.0210637022000499E+17</v>
      </c>
      <c r="B640" s="4">
        <v>7039101412</v>
      </c>
      <c r="C640" s="4" t="s">
        <v>13278</v>
      </c>
      <c r="D640" s="4">
        <v>37022</v>
      </c>
      <c r="E640" s="4">
        <v>20210629</v>
      </c>
      <c r="F640" s="4">
        <v>20210629</v>
      </c>
      <c r="G640" s="4">
        <v>20240629</v>
      </c>
      <c r="H640" s="4" t="s">
        <v>13277</v>
      </c>
      <c r="J640" s="4" t="s">
        <v>13276</v>
      </c>
    </row>
    <row r="641" spans="1:10" hidden="1">
      <c r="A641" s="4">
        <v>2.0210671531000499E+17</v>
      </c>
      <c r="B641" s="4">
        <v>2558801330</v>
      </c>
      <c r="C641" s="4" t="s">
        <v>13275</v>
      </c>
      <c r="D641" s="4">
        <v>71531</v>
      </c>
      <c r="E641" s="4">
        <v>20210629</v>
      </c>
      <c r="F641" s="4">
        <v>20210629</v>
      </c>
      <c r="G641" s="4">
        <v>20240629</v>
      </c>
      <c r="H641" s="4" t="s">
        <v>13274</v>
      </c>
      <c r="I641" s="4" t="s">
        <v>13273</v>
      </c>
      <c r="J641" s="4" t="s">
        <v>87</v>
      </c>
    </row>
    <row r="642" spans="1:10" hidden="1">
      <c r="A642" s="4">
        <v>2.0210646452000499E+17</v>
      </c>
      <c r="B642" s="4">
        <v>4700501839</v>
      </c>
      <c r="C642" s="4" t="s">
        <v>13272</v>
      </c>
      <c r="D642" s="4">
        <v>46452</v>
      </c>
      <c r="E642" s="4">
        <v>20210629</v>
      </c>
      <c r="F642" s="4">
        <v>20210629</v>
      </c>
      <c r="G642" s="4">
        <v>20240629</v>
      </c>
      <c r="H642" s="4" t="s">
        <v>11215</v>
      </c>
      <c r="I642" s="4" t="s">
        <v>13271</v>
      </c>
      <c r="J642" s="4" t="s">
        <v>516</v>
      </c>
    </row>
    <row r="643" spans="1:10" hidden="1">
      <c r="A643" s="4">
        <v>2.0210625113000499E+17</v>
      </c>
      <c r="B643" s="4">
        <v>1092176855</v>
      </c>
      <c r="C643" s="4" t="s">
        <v>13269</v>
      </c>
      <c r="D643" s="4">
        <v>25113</v>
      </c>
      <c r="E643" s="4">
        <v>20210629</v>
      </c>
      <c r="F643" s="4">
        <v>20210629</v>
      </c>
      <c r="G643" s="4">
        <v>20240629</v>
      </c>
      <c r="H643" s="4" t="s">
        <v>13270</v>
      </c>
      <c r="I643" s="4" t="s">
        <v>13269</v>
      </c>
      <c r="J643" s="4" t="s">
        <v>250</v>
      </c>
    </row>
    <row r="644" spans="1:10" hidden="1">
      <c r="A644" s="4">
        <v>2.0210620499000499E+17</v>
      </c>
      <c r="B644" s="4">
        <v>4780300956</v>
      </c>
      <c r="C644" s="4" t="s">
        <v>13268</v>
      </c>
      <c r="D644" s="4">
        <v>20499</v>
      </c>
      <c r="E644" s="4">
        <v>20210629</v>
      </c>
      <c r="F644" s="4">
        <v>20210629</v>
      </c>
      <c r="G644" s="4">
        <v>20240629</v>
      </c>
      <c r="H644" s="4" t="s">
        <v>13267</v>
      </c>
      <c r="I644" s="4" t="s">
        <v>13266</v>
      </c>
      <c r="J644" s="4" t="s">
        <v>406</v>
      </c>
    </row>
    <row r="645" spans="1:10" hidden="1">
      <c r="A645" s="4">
        <v>2.0210663991000499E+17</v>
      </c>
      <c r="B645" s="4">
        <v>6358100692</v>
      </c>
      <c r="C645" s="4" t="s">
        <v>13265</v>
      </c>
      <c r="D645" s="4">
        <v>63991</v>
      </c>
      <c r="E645" s="4">
        <v>20210629</v>
      </c>
      <c r="F645" s="4">
        <v>20210629</v>
      </c>
      <c r="G645" s="4">
        <v>20240629</v>
      </c>
      <c r="H645" s="4" t="s">
        <v>356</v>
      </c>
      <c r="I645" s="4" t="s">
        <v>13264</v>
      </c>
      <c r="J645" s="4" t="s">
        <v>395</v>
      </c>
    </row>
    <row r="646" spans="1:10" hidden="1">
      <c r="A646" s="4">
        <v>2.0210642201000499E+17</v>
      </c>
      <c r="B646" s="4">
        <v>6138600299</v>
      </c>
      <c r="C646" s="4" t="s">
        <v>13263</v>
      </c>
      <c r="D646" s="4">
        <v>42201</v>
      </c>
      <c r="E646" s="4">
        <v>20210629</v>
      </c>
      <c r="F646" s="4">
        <v>20210629</v>
      </c>
      <c r="G646" s="4">
        <v>20230118</v>
      </c>
      <c r="H646" s="4" t="s">
        <v>13262</v>
      </c>
      <c r="I646" s="4" t="s">
        <v>13261</v>
      </c>
      <c r="J646" s="4" t="s">
        <v>1710</v>
      </c>
    </row>
    <row r="647" spans="1:10" hidden="1">
      <c r="A647" s="4">
        <v>2.0210620499000499E+17</v>
      </c>
      <c r="B647" s="4">
        <v>7898601300</v>
      </c>
      <c r="C647" s="4" t="s">
        <v>13260</v>
      </c>
      <c r="D647" s="4">
        <v>20499</v>
      </c>
      <c r="E647" s="4">
        <v>20210629</v>
      </c>
      <c r="F647" s="4">
        <v>20210629</v>
      </c>
      <c r="G647" s="4">
        <v>20240629</v>
      </c>
      <c r="H647" s="4" t="s">
        <v>6462</v>
      </c>
      <c r="I647" s="4" t="s">
        <v>13259</v>
      </c>
      <c r="J647" s="4" t="s">
        <v>406</v>
      </c>
    </row>
    <row r="648" spans="1:10" hidden="1">
      <c r="A648" s="4">
        <v>2.0210633999000499E+17</v>
      </c>
      <c r="B648" s="4">
        <v>6166700190</v>
      </c>
      <c r="C648" s="4" t="s">
        <v>13326</v>
      </c>
      <c r="D648" s="4">
        <v>33999</v>
      </c>
      <c r="E648" s="4">
        <v>20210629</v>
      </c>
      <c r="F648" s="4">
        <v>20210629</v>
      </c>
      <c r="G648" s="4">
        <v>20240629</v>
      </c>
      <c r="H648" s="4" t="s">
        <v>603</v>
      </c>
      <c r="I648" s="4" t="s">
        <v>13325</v>
      </c>
      <c r="J648" s="4" t="s">
        <v>780</v>
      </c>
    </row>
    <row r="649" spans="1:10" hidden="1">
      <c r="A649" s="4">
        <v>2.0210626112000499E+17</v>
      </c>
      <c r="B649" s="4">
        <v>3728701899</v>
      </c>
      <c r="C649" s="4" t="s">
        <v>13256</v>
      </c>
      <c r="D649" s="4">
        <v>26112</v>
      </c>
      <c r="E649" s="4">
        <v>20210629</v>
      </c>
      <c r="F649" s="4">
        <v>20210629</v>
      </c>
      <c r="G649" s="4">
        <v>20240629</v>
      </c>
      <c r="H649" s="4" t="s">
        <v>13255</v>
      </c>
      <c r="I649" s="4" t="s">
        <v>13254</v>
      </c>
      <c r="J649" s="4" t="s">
        <v>2743</v>
      </c>
    </row>
    <row r="650" spans="1:10" hidden="1">
      <c r="A650" s="4">
        <v>2.0210633910000499E+17</v>
      </c>
      <c r="B650" s="4">
        <v>8138801500</v>
      </c>
      <c r="C650" s="4" t="s">
        <v>13253</v>
      </c>
      <c r="D650" s="4">
        <v>33910</v>
      </c>
      <c r="E650" s="4">
        <v>20210629</v>
      </c>
      <c r="F650" s="4">
        <v>20210629</v>
      </c>
      <c r="G650" s="4">
        <v>20240629</v>
      </c>
      <c r="H650" s="4" t="s">
        <v>910</v>
      </c>
      <c r="I650" s="4" t="s">
        <v>13252</v>
      </c>
      <c r="J650" s="4" t="s">
        <v>310</v>
      </c>
    </row>
    <row r="651" spans="1:10" hidden="1">
      <c r="A651" s="4">
        <v>2.0210659114000499E+17</v>
      </c>
      <c r="B651" s="4">
        <v>1938701812</v>
      </c>
      <c r="C651" s="4" t="s">
        <v>13251</v>
      </c>
      <c r="D651" s="4">
        <v>59114</v>
      </c>
      <c r="E651" s="4">
        <v>20210629</v>
      </c>
      <c r="F651" s="4">
        <v>20210629</v>
      </c>
      <c r="G651" s="4">
        <v>20240629</v>
      </c>
      <c r="H651" s="4" t="s">
        <v>13250</v>
      </c>
      <c r="I651" s="4" t="s">
        <v>13249</v>
      </c>
      <c r="J651" s="4" t="s">
        <v>9971</v>
      </c>
    </row>
    <row r="652" spans="1:10" hidden="1">
      <c r="A652" s="4">
        <v>2.0210670121000499E+17</v>
      </c>
      <c r="B652" s="4">
        <v>2728601874</v>
      </c>
      <c r="C652" s="4" t="s">
        <v>13248</v>
      </c>
      <c r="D652" s="4">
        <v>70121</v>
      </c>
      <c r="E652" s="4">
        <v>20210629</v>
      </c>
      <c r="F652" s="4">
        <v>20210629</v>
      </c>
      <c r="G652" s="4">
        <v>20240629</v>
      </c>
      <c r="H652" s="4" t="s">
        <v>2779</v>
      </c>
      <c r="I652" s="4" t="s">
        <v>13247</v>
      </c>
      <c r="J652" s="4" t="s">
        <v>1267</v>
      </c>
    </row>
    <row r="653" spans="1:10" hidden="1">
      <c r="A653" s="4">
        <v>2.0210628909000499E+17</v>
      </c>
      <c r="B653" s="4">
        <v>6362600774</v>
      </c>
      <c r="C653" s="4" t="s">
        <v>13324</v>
      </c>
      <c r="D653" s="4">
        <v>28909</v>
      </c>
      <c r="E653" s="4">
        <v>20210629</v>
      </c>
      <c r="F653" s="4">
        <v>20210629</v>
      </c>
      <c r="G653" s="4">
        <v>20240629</v>
      </c>
      <c r="H653" s="4" t="s">
        <v>13323</v>
      </c>
      <c r="I653" s="4" t="s">
        <v>13322</v>
      </c>
      <c r="J653" s="4" t="s">
        <v>253</v>
      </c>
    </row>
    <row r="654" spans="1:10" hidden="1">
      <c r="A654" s="4">
        <v>2.0210690199000499E+17</v>
      </c>
      <c r="B654" s="4">
        <v>3048700562</v>
      </c>
      <c r="C654" s="4" t="s">
        <v>13244</v>
      </c>
      <c r="D654" s="4">
        <v>90199</v>
      </c>
      <c r="E654" s="4">
        <v>20210629</v>
      </c>
      <c r="F654" s="4">
        <v>20210629</v>
      </c>
      <c r="G654" s="4">
        <v>20240210</v>
      </c>
      <c r="H654" s="4" t="s">
        <v>13243</v>
      </c>
      <c r="I654" s="4" t="s">
        <v>134</v>
      </c>
      <c r="J654" s="4" t="s">
        <v>7732</v>
      </c>
    </row>
    <row r="655" spans="1:10" hidden="1">
      <c r="A655" s="4">
        <v>2.0210673909000499E+17</v>
      </c>
      <c r="B655" s="4">
        <v>5118600843</v>
      </c>
      <c r="C655" s="4" t="s">
        <v>13242</v>
      </c>
      <c r="D655" s="4">
        <v>73909</v>
      </c>
      <c r="E655" s="4">
        <v>20210629</v>
      </c>
      <c r="F655" s="4">
        <v>20210629</v>
      </c>
      <c r="G655" s="4">
        <v>20240629</v>
      </c>
      <c r="H655" s="4" t="s">
        <v>1799</v>
      </c>
      <c r="I655" s="4" t="s">
        <v>13241</v>
      </c>
      <c r="J655" s="4" t="s">
        <v>293</v>
      </c>
    </row>
    <row r="656" spans="1:10" hidden="1">
      <c r="A656" s="4">
        <v>2.0210647859000499E+17</v>
      </c>
      <c r="B656" s="4">
        <v>2288801089</v>
      </c>
      <c r="C656" s="4" t="s">
        <v>13240</v>
      </c>
      <c r="D656" s="4">
        <v>47859</v>
      </c>
      <c r="E656" s="4">
        <v>20210629</v>
      </c>
      <c r="F656" s="4">
        <v>20210629</v>
      </c>
      <c r="G656" s="4">
        <v>20240629</v>
      </c>
      <c r="H656" s="4" t="s">
        <v>1853</v>
      </c>
      <c r="I656" s="4" t="s">
        <v>13239</v>
      </c>
      <c r="J656" s="4" t="s">
        <v>5820</v>
      </c>
    </row>
    <row r="657" spans="1:10" hidden="1">
      <c r="A657" s="4">
        <v>2.0210632029000499E+17</v>
      </c>
      <c r="B657" s="4">
        <v>6868701518</v>
      </c>
      <c r="C657" s="4" t="s">
        <v>13238</v>
      </c>
      <c r="D657" s="4">
        <v>32029</v>
      </c>
      <c r="E657" s="4">
        <v>20210629</v>
      </c>
      <c r="F657" s="4">
        <v>20210629</v>
      </c>
      <c r="G657" s="4">
        <v>20240629</v>
      </c>
      <c r="H657" s="4" t="s">
        <v>13237</v>
      </c>
      <c r="J657" s="4" t="s">
        <v>637</v>
      </c>
    </row>
    <row r="658" spans="1:10" hidden="1">
      <c r="A658" s="4">
        <v>2.0210647311000499E+17</v>
      </c>
      <c r="B658" s="4">
        <v>1878100306</v>
      </c>
      <c r="C658" s="4" t="s">
        <v>13236</v>
      </c>
      <c r="D658" s="4">
        <v>47311</v>
      </c>
      <c r="E658" s="4">
        <v>20210629</v>
      </c>
      <c r="F658" s="4">
        <v>20210629</v>
      </c>
      <c r="G658" s="4">
        <v>20221228</v>
      </c>
      <c r="H658" s="4" t="s">
        <v>713</v>
      </c>
      <c r="I658" s="4" t="s">
        <v>13235</v>
      </c>
      <c r="J658" s="4" t="s">
        <v>588</v>
      </c>
    </row>
    <row r="659" spans="1:10" hidden="1">
      <c r="A659" s="4">
        <v>2.0210628119000499E+17</v>
      </c>
      <c r="B659" s="4">
        <v>2738100475</v>
      </c>
      <c r="C659" s="4" t="s">
        <v>13234</v>
      </c>
      <c r="D659" s="4">
        <v>28119</v>
      </c>
      <c r="E659" s="4">
        <v>20210629</v>
      </c>
      <c r="F659" s="4">
        <v>20210629</v>
      </c>
      <c r="G659" s="4">
        <v>20240120</v>
      </c>
      <c r="H659" s="4" t="s">
        <v>13233</v>
      </c>
      <c r="I659" s="4" t="s">
        <v>13232</v>
      </c>
      <c r="J659" s="4" t="s">
        <v>1816</v>
      </c>
    </row>
    <row r="660" spans="1:10" hidden="1">
      <c r="A660" s="4">
        <v>2.0210662010000499E+17</v>
      </c>
      <c r="B660" s="4">
        <v>2798802112</v>
      </c>
      <c r="C660" s="4" t="s">
        <v>13231</v>
      </c>
      <c r="D660" s="4">
        <v>62010</v>
      </c>
      <c r="E660" s="4">
        <v>20210629</v>
      </c>
      <c r="F660" s="4">
        <v>20210629</v>
      </c>
      <c r="G660" s="4">
        <v>20240629</v>
      </c>
      <c r="H660" s="4" t="s">
        <v>3195</v>
      </c>
      <c r="I660" s="4" t="s">
        <v>13230</v>
      </c>
      <c r="J660" s="4" t="s">
        <v>118</v>
      </c>
    </row>
    <row r="661" spans="1:10" hidden="1">
      <c r="A661" s="4">
        <v>2.0210685709000499E+17</v>
      </c>
      <c r="B661" s="4">
        <v>7708801498</v>
      </c>
      <c r="C661" s="4" t="s">
        <v>13229</v>
      </c>
      <c r="D661" s="4">
        <v>85709</v>
      </c>
      <c r="E661" s="4">
        <v>20210629</v>
      </c>
      <c r="F661" s="4">
        <v>20210629</v>
      </c>
      <c r="G661" s="4">
        <v>20240629</v>
      </c>
      <c r="H661" s="4" t="s">
        <v>13228</v>
      </c>
      <c r="J661" s="4" t="s">
        <v>141</v>
      </c>
    </row>
    <row r="662" spans="1:10" hidden="1">
      <c r="A662" s="4">
        <v>2.0210658222000499E+17</v>
      </c>
      <c r="B662" s="4">
        <v>4758101051</v>
      </c>
      <c r="C662" s="4" t="s">
        <v>13227</v>
      </c>
      <c r="D662" s="4">
        <v>58222</v>
      </c>
      <c r="E662" s="4">
        <v>20210629</v>
      </c>
      <c r="F662" s="4">
        <v>20210629</v>
      </c>
      <c r="G662" s="4">
        <v>20240629</v>
      </c>
      <c r="H662" s="4" t="s">
        <v>1486</v>
      </c>
      <c r="I662" s="4" t="s">
        <v>13226</v>
      </c>
      <c r="J662" s="4" t="s">
        <v>94</v>
      </c>
    </row>
    <row r="663" spans="1:10" hidden="1">
      <c r="A663" s="4">
        <v>2.0210675992000499E+17</v>
      </c>
      <c r="B663" s="4">
        <v>5318100783</v>
      </c>
      <c r="C663" s="4" t="s">
        <v>13225</v>
      </c>
      <c r="D663" s="4">
        <v>75992</v>
      </c>
      <c r="E663" s="4">
        <v>20210629</v>
      </c>
      <c r="F663" s="4">
        <v>20210629</v>
      </c>
      <c r="G663" s="4">
        <v>20240208</v>
      </c>
      <c r="H663" s="4" t="s">
        <v>809</v>
      </c>
      <c r="I663" s="4" t="s">
        <v>13224</v>
      </c>
      <c r="J663" s="4" t="s">
        <v>111</v>
      </c>
    </row>
    <row r="664" spans="1:10" hidden="1">
      <c r="A664" s="4">
        <v>2.0210659111000499E+17</v>
      </c>
      <c r="B664" s="4">
        <v>4398702100</v>
      </c>
      <c r="C664" s="4" t="s">
        <v>13223</v>
      </c>
      <c r="D664" s="4">
        <v>59111</v>
      </c>
      <c r="E664" s="4">
        <v>20210629</v>
      </c>
      <c r="F664" s="4">
        <v>20210629</v>
      </c>
      <c r="G664" s="4">
        <v>20240629</v>
      </c>
      <c r="H664" s="4" t="s">
        <v>13222</v>
      </c>
      <c r="I664" s="4" t="s">
        <v>134</v>
      </c>
      <c r="J664" s="4" t="s">
        <v>1857</v>
      </c>
    </row>
    <row r="665" spans="1:10" hidden="1">
      <c r="A665" s="4">
        <v>2.0210627199000499E+17</v>
      </c>
      <c r="B665" s="4">
        <v>8828100978</v>
      </c>
      <c r="C665" s="4" t="s">
        <v>13221</v>
      </c>
      <c r="D665" s="4">
        <v>27199</v>
      </c>
      <c r="E665" s="4">
        <v>20210629</v>
      </c>
      <c r="F665" s="4">
        <v>20210629</v>
      </c>
      <c r="G665" s="4">
        <v>20240629</v>
      </c>
      <c r="H665" s="4" t="s">
        <v>13220</v>
      </c>
      <c r="I665" s="4" t="s">
        <v>1922</v>
      </c>
      <c r="J665" s="4" t="s">
        <v>418</v>
      </c>
    </row>
    <row r="666" spans="1:10" hidden="1">
      <c r="A666" s="4">
        <v>2.0210620423000499E+17</v>
      </c>
      <c r="B666" s="4">
        <v>8408601546</v>
      </c>
      <c r="C666" s="4" t="s">
        <v>13219</v>
      </c>
      <c r="D666" s="4">
        <v>20423</v>
      </c>
      <c r="E666" s="4">
        <v>20210629</v>
      </c>
      <c r="F666" s="4">
        <v>20210629</v>
      </c>
      <c r="G666" s="4">
        <v>20240629</v>
      </c>
      <c r="H666" s="4" t="s">
        <v>13218</v>
      </c>
      <c r="I666" s="4" t="s">
        <v>1633</v>
      </c>
      <c r="J666" s="4" t="s">
        <v>368</v>
      </c>
    </row>
    <row r="667" spans="1:10" hidden="1">
      <c r="A667" s="4">
        <v>2.0210651200000499E+17</v>
      </c>
      <c r="B667" s="4">
        <v>7808701824</v>
      </c>
      <c r="C667" s="4" t="s">
        <v>13217</v>
      </c>
      <c r="D667" s="4">
        <v>51200</v>
      </c>
      <c r="E667" s="4">
        <v>20210629</v>
      </c>
      <c r="F667" s="4">
        <v>20210629</v>
      </c>
      <c r="G667" s="4">
        <v>20240629</v>
      </c>
      <c r="H667" s="4" t="s">
        <v>13216</v>
      </c>
      <c r="I667" s="4" t="s">
        <v>91</v>
      </c>
      <c r="J667" s="4" t="s">
        <v>13215</v>
      </c>
    </row>
    <row r="668" spans="1:10" hidden="1">
      <c r="A668" s="4">
        <v>2.0210670209000499E+17</v>
      </c>
      <c r="B668" s="4">
        <v>5908101379</v>
      </c>
      <c r="C668" s="4" t="s">
        <v>13214</v>
      </c>
      <c r="D668" s="4">
        <v>70209</v>
      </c>
      <c r="E668" s="4">
        <v>20210629</v>
      </c>
      <c r="F668" s="4">
        <v>20210629</v>
      </c>
      <c r="G668" s="4">
        <v>20240629</v>
      </c>
      <c r="H668" s="4" t="s">
        <v>13213</v>
      </c>
      <c r="I668" s="4" t="s">
        <v>1156</v>
      </c>
      <c r="J668" s="4" t="s">
        <v>242</v>
      </c>
    </row>
    <row r="669" spans="1:10" hidden="1">
      <c r="A669" s="4">
        <v>2.0210671531000499E+17</v>
      </c>
      <c r="B669" s="4">
        <v>4218701191</v>
      </c>
      <c r="C669" s="4" t="s">
        <v>13212</v>
      </c>
      <c r="D669" s="4">
        <v>71531</v>
      </c>
      <c r="E669" s="4">
        <v>20210629</v>
      </c>
      <c r="F669" s="4">
        <v>20210629</v>
      </c>
      <c r="G669" s="4">
        <v>20240629</v>
      </c>
      <c r="H669" s="4" t="s">
        <v>13211</v>
      </c>
      <c r="J669" s="4" t="s">
        <v>87</v>
      </c>
    </row>
    <row r="670" spans="1:10" hidden="1">
      <c r="A670" s="4">
        <v>2.0210658221000499E+17</v>
      </c>
      <c r="B670" s="4">
        <v>3808100114</v>
      </c>
      <c r="C670" s="4" t="s">
        <v>13210</v>
      </c>
      <c r="D670" s="4">
        <v>58221</v>
      </c>
      <c r="E670" s="4">
        <v>20210629</v>
      </c>
      <c r="F670" s="4">
        <v>20210629</v>
      </c>
      <c r="G670" s="4">
        <v>20220708</v>
      </c>
      <c r="H670" s="4" t="s">
        <v>13209</v>
      </c>
      <c r="I670" s="4" t="s">
        <v>6226</v>
      </c>
      <c r="J670" s="4" t="s">
        <v>228</v>
      </c>
    </row>
    <row r="671" spans="1:10" hidden="1">
      <c r="A671" s="4">
        <v>2.0210659130000499E+17</v>
      </c>
      <c r="B671" s="4">
        <v>6188601352</v>
      </c>
      <c r="C671" s="4" t="s">
        <v>13208</v>
      </c>
      <c r="D671" s="4">
        <v>59130</v>
      </c>
      <c r="E671" s="4">
        <v>20210629</v>
      </c>
      <c r="F671" s="4">
        <v>20210629</v>
      </c>
      <c r="G671" s="4">
        <v>20240629</v>
      </c>
      <c r="H671" s="4" t="s">
        <v>6023</v>
      </c>
      <c r="I671" s="4" t="s">
        <v>5369</v>
      </c>
      <c r="J671" s="4" t="s">
        <v>8391</v>
      </c>
    </row>
    <row r="672" spans="1:10" hidden="1">
      <c r="A672" s="4">
        <v>2.0210633401000499E+17</v>
      </c>
      <c r="B672" s="4">
        <v>4188701711</v>
      </c>
      <c r="C672" s="4" t="s">
        <v>13207</v>
      </c>
      <c r="D672" s="4">
        <v>33401</v>
      </c>
      <c r="E672" s="4">
        <v>20210629</v>
      </c>
      <c r="F672" s="4">
        <v>20210629</v>
      </c>
      <c r="G672" s="4">
        <v>20240629</v>
      </c>
      <c r="H672" s="4" t="s">
        <v>120</v>
      </c>
      <c r="I672" s="4" t="s">
        <v>13206</v>
      </c>
      <c r="J672" s="4" t="s">
        <v>364</v>
      </c>
    </row>
    <row r="673" spans="1:10" hidden="1">
      <c r="A673" s="4">
        <v>2.0210658222000499E+17</v>
      </c>
      <c r="B673" s="4">
        <v>7428101548</v>
      </c>
      <c r="C673" s="4" t="s">
        <v>13205</v>
      </c>
      <c r="D673" s="4">
        <v>58222</v>
      </c>
      <c r="E673" s="4">
        <v>20210629</v>
      </c>
      <c r="F673" s="4">
        <v>20210629</v>
      </c>
      <c r="G673" s="4">
        <v>20240629</v>
      </c>
      <c r="H673" s="4" t="s">
        <v>13204</v>
      </c>
      <c r="I673" s="4" t="s">
        <v>13203</v>
      </c>
      <c r="J673" s="4" t="s">
        <v>94</v>
      </c>
    </row>
    <row r="674" spans="1:10" hidden="1">
      <c r="A674" s="4">
        <v>2.0210690191000499E+17</v>
      </c>
      <c r="B674" s="4">
        <v>3748801081</v>
      </c>
      <c r="C674" s="4" t="s">
        <v>13202</v>
      </c>
      <c r="D674" s="4">
        <v>90191</v>
      </c>
      <c r="E674" s="4">
        <v>20210629</v>
      </c>
      <c r="F674" s="4">
        <v>20210629</v>
      </c>
      <c r="G674" s="4">
        <v>20240629</v>
      </c>
      <c r="H674" s="4" t="s">
        <v>13201</v>
      </c>
      <c r="I674" s="4" t="s">
        <v>13200</v>
      </c>
      <c r="J674" s="4" t="s">
        <v>3866</v>
      </c>
    </row>
    <row r="675" spans="1:10" hidden="1">
      <c r="A675" s="4">
        <v>2.0210658222000499E+17</v>
      </c>
      <c r="B675" s="4">
        <v>3178147616</v>
      </c>
      <c r="C675" s="4" t="s">
        <v>13199</v>
      </c>
      <c r="D675" s="4">
        <v>58222</v>
      </c>
      <c r="E675" s="4">
        <v>20210629</v>
      </c>
      <c r="F675" s="4">
        <v>20210629</v>
      </c>
      <c r="G675" s="4">
        <v>20240104</v>
      </c>
      <c r="H675" s="4" t="s">
        <v>2318</v>
      </c>
      <c r="I675" s="4" t="s">
        <v>13198</v>
      </c>
      <c r="J675" s="4" t="s">
        <v>94</v>
      </c>
    </row>
    <row r="676" spans="1:10" hidden="1">
      <c r="A676" s="4">
        <v>2.0210625932000499E+17</v>
      </c>
      <c r="B676" s="4">
        <v>4360100297</v>
      </c>
      <c r="C676" s="4" t="s">
        <v>13197</v>
      </c>
      <c r="D676" s="4">
        <v>25932</v>
      </c>
      <c r="E676" s="4">
        <v>20210629</v>
      </c>
      <c r="F676" s="4">
        <v>20210629</v>
      </c>
      <c r="G676" s="4">
        <v>20230401</v>
      </c>
      <c r="H676" s="4" t="s">
        <v>13196</v>
      </c>
      <c r="J676" s="4" t="s">
        <v>246</v>
      </c>
    </row>
    <row r="677" spans="1:10" hidden="1">
      <c r="A677" s="4">
        <v>2.0210658221000499E+17</v>
      </c>
      <c r="B677" s="4">
        <v>3178601411</v>
      </c>
      <c r="C677" s="4" t="s">
        <v>13195</v>
      </c>
      <c r="D677" s="4">
        <v>58221</v>
      </c>
      <c r="E677" s="4">
        <v>20210629</v>
      </c>
      <c r="F677" s="4">
        <v>20210629</v>
      </c>
      <c r="G677" s="4">
        <v>20240629</v>
      </c>
      <c r="H677" s="4" t="s">
        <v>13194</v>
      </c>
      <c r="J677" s="4" t="s">
        <v>228</v>
      </c>
    </row>
    <row r="678" spans="1:10" hidden="1">
      <c r="A678" s="4">
        <v>2.0210685709000499E+17</v>
      </c>
      <c r="B678" s="4">
        <v>3888700371</v>
      </c>
      <c r="C678" s="4" t="s">
        <v>13193</v>
      </c>
      <c r="D678" s="4">
        <v>85709</v>
      </c>
      <c r="E678" s="4">
        <v>20210629</v>
      </c>
      <c r="F678" s="4">
        <v>20210629</v>
      </c>
      <c r="G678" s="4">
        <v>20230308</v>
      </c>
      <c r="H678" s="4" t="s">
        <v>13192</v>
      </c>
      <c r="I678" s="4" t="s">
        <v>938</v>
      </c>
      <c r="J678" s="4" t="s">
        <v>141</v>
      </c>
    </row>
    <row r="679" spans="1:10" hidden="1">
      <c r="A679" s="4">
        <v>2.0210625999000499E+17</v>
      </c>
      <c r="B679" s="4">
        <v>2728600249</v>
      </c>
      <c r="C679" s="4" t="s">
        <v>13191</v>
      </c>
      <c r="D679" s="4">
        <v>25999</v>
      </c>
      <c r="E679" s="4">
        <v>20210628</v>
      </c>
      <c r="F679" s="4">
        <v>20210628</v>
      </c>
      <c r="G679" s="4">
        <v>20221022</v>
      </c>
      <c r="H679" s="4" t="s">
        <v>13190</v>
      </c>
      <c r="J679" s="4" t="s">
        <v>301</v>
      </c>
    </row>
    <row r="680" spans="1:10" hidden="1">
      <c r="A680" s="4">
        <v>2.0210646739000499E+17</v>
      </c>
      <c r="B680" s="4">
        <v>6338101491</v>
      </c>
      <c r="C680" s="4" t="s">
        <v>13189</v>
      </c>
      <c r="D680" s="4">
        <v>46739</v>
      </c>
      <c r="E680" s="4">
        <v>20210628</v>
      </c>
      <c r="F680" s="4">
        <v>20210628</v>
      </c>
      <c r="G680" s="4">
        <v>20240628</v>
      </c>
      <c r="H680" s="4" t="s">
        <v>13188</v>
      </c>
      <c r="J680" s="4" t="s">
        <v>2551</v>
      </c>
    </row>
    <row r="681" spans="1:10" hidden="1">
      <c r="A681" s="4">
        <v>2.0210662010000499E+17</v>
      </c>
      <c r="B681" s="4">
        <v>3588100607</v>
      </c>
      <c r="C681" s="4" t="s">
        <v>13187</v>
      </c>
      <c r="D681" s="4">
        <v>62010</v>
      </c>
      <c r="E681" s="4">
        <v>20210628</v>
      </c>
      <c r="F681" s="4">
        <v>20210628</v>
      </c>
      <c r="G681" s="4">
        <v>20240103</v>
      </c>
      <c r="H681" s="4" t="s">
        <v>13186</v>
      </c>
      <c r="I681" s="4" t="s">
        <v>185</v>
      </c>
      <c r="J681" s="4" t="s">
        <v>118</v>
      </c>
    </row>
    <row r="682" spans="1:10" hidden="1">
      <c r="A682" s="4">
        <v>2.0210663999000499E+17</v>
      </c>
      <c r="B682" s="4">
        <v>7598102147</v>
      </c>
      <c r="C682" s="4" t="s">
        <v>13185</v>
      </c>
      <c r="D682" s="4">
        <v>63999</v>
      </c>
      <c r="E682" s="4">
        <v>20210628</v>
      </c>
      <c r="F682" s="4">
        <v>20210628</v>
      </c>
      <c r="G682" s="4">
        <v>20240628</v>
      </c>
      <c r="H682" s="4" t="s">
        <v>13184</v>
      </c>
      <c r="I682" s="4" t="s">
        <v>13183</v>
      </c>
      <c r="J682" s="4" t="s">
        <v>643</v>
      </c>
    </row>
    <row r="683" spans="1:10" hidden="1">
      <c r="A683" s="4">
        <v>2.0210658222000499E+17</v>
      </c>
      <c r="B683" s="4">
        <v>3688600929</v>
      </c>
      <c r="C683" s="4" t="s">
        <v>13182</v>
      </c>
      <c r="D683" s="4">
        <v>58222</v>
      </c>
      <c r="E683" s="4">
        <v>20210628</v>
      </c>
      <c r="F683" s="4">
        <v>20210628</v>
      </c>
      <c r="G683" s="4">
        <v>20240628</v>
      </c>
      <c r="H683" s="4" t="s">
        <v>12522</v>
      </c>
      <c r="I683" s="4" t="s">
        <v>1963</v>
      </c>
      <c r="J683" s="4" t="s">
        <v>94</v>
      </c>
    </row>
    <row r="684" spans="1:10" hidden="1">
      <c r="A684" s="4">
        <v>2.0210670111000499E+17</v>
      </c>
      <c r="B684" s="4">
        <v>3018701198</v>
      </c>
      <c r="C684" s="4" t="s">
        <v>13181</v>
      </c>
      <c r="D684" s="4">
        <v>70111</v>
      </c>
      <c r="E684" s="4">
        <v>20210628</v>
      </c>
      <c r="F684" s="4">
        <v>20210628</v>
      </c>
      <c r="G684" s="4">
        <v>20240628</v>
      </c>
      <c r="H684" s="4" t="s">
        <v>13180</v>
      </c>
      <c r="I684" s="4" t="s">
        <v>13179</v>
      </c>
      <c r="J684" s="4" t="s">
        <v>399</v>
      </c>
    </row>
    <row r="685" spans="1:10" hidden="1">
      <c r="A685" s="4">
        <v>2.0210622249000499E+17</v>
      </c>
      <c r="B685" s="4">
        <v>8728602052</v>
      </c>
      <c r="C685" s="4" t="s">
        <v>13178</v>
      </c>
      <c r="D685" s="4">
        <v>22249</v>
      </c>
      <c r="E685" s="4">
        <v>20210628</v>
      </c>
      <c r="F685" s="4">
        <v>20210628</v>
      </c>
      <c r="G685" s="4">
        <v>20240628</v>
      </c>
      <c r="H685" s="4" t="s">
        <v>13177</v>
      </c>
      <c r="I685" s="4" t="s">
        <v>175</v>
      </c>
      <c r="J685" s="4" t="s">
        <v>3931</v>
      </c>
    </row>
    <row r="686" spans="1:10" hidden="1">
      <c r="A686" s="4">
        <v>2.0210672121000499E+17</v>
      </c>
      <c r="B686" s="4">
        <v>2078701519</v>
      </c>
      <c r="C686" s="4" t="s">
        <v>13176</v>
      </c>
      <c r="D686" s="4">
        <v>72121</v>
      </c>
      <c r="E686" s="4">
        <v>20210628</v>
      </c>
      <c r="F686" s="4">
        <v>20210628</v>
      </c>
      <c r="G686" s="4">
        <v>20240628</v>
      </c>
      <c r="H686" s="4" t="s">
        <v>13175</v>
      </c>
      <c r="J686" s="4" t="s">
        <v>2243</v>
      </c>
    </row>
    <row r="687" spans="1:10" hidden="1">
      <c r="A687" s="4">
        <v>2.0210658222000499E+17</v>
      </c>
      <c r="B687" s="4">
        <v>6798101880</v>
      </c>
      <c r="C687" s="4" t="s">
        <v>13174</v>
      </c>
      <c r="D687" s="4">
        <v>58222</v>
      </c>
      <c r="E687" s="4">
        <v>20210628</v>
      </c>
      <c r="F687" s="4">
        <v>20210628</v>
      </c>
      <c r="G687" s="4">
        <v>20240628</v>
      </c>
      <c r="H687" s="4" t="s">
        <v>666</v>
      </c>
      <c r="I687" s="4" t="s">
        <v>13173</v>
      </c>
      <c r="J687" s="4" t="s">
        <v>94</v>
      </c>
    </row>
    <row r="688" spans="1:10" hidden="1">
      <c r="A688" s="4">
        <v>2.0210675992000499E+17</v>
      </c>
      <c r="B688" s="4">
        <v>3668801678</v>
      </c>
      <c r="C688" s="4" t="s">
        <v>13172</v>
      </c>
      <c r="D688" s="4">
        <v>75992</v>
      </c>
      <c r="E688" s="4">
        <v>20210628</v>
      </c>
      <c r="F688" s="4">
        <v>20210628</v>
      </c>
      <c r="G688" s="4">
        <v>20240628</v>
      </c>
      <c r="H688" s="4" t="s">
        <v>13171</v>
      </c>
      <c r="I688" s="4" t="s">
        <v>13170</v>
      </c>
      <c r="J688" s="4" t="s">
        <v>111</v>
      </c>
    </row>
    <row r="689" spans="1:10" hidden="1">
      <c r="A689" s="4">
        <v>2.0210658222000499E+17</v>
      </c>
      <c r="B689" s="4">
        <v>8518801929</v>
      </c>
      <c r="C689" s="4" t="s">
        <v>13169</v>
      </c>
      <c r="D689" s="4">
        <v>58222</v>
      </c>
      <c r="E689" s="4">
        <v>20210628</v>
      </c>
      <c r="F689" s="4">
        <v>20210628</v>
      </c>
      <c r="G689" s="4">
        <v>20240628</v>
      </c>
      <c r="H689" s="4" t="s">
        <v>13168</v>
      </c>
      <c r="I689" s="4" t="s">
        <v>591</v>
      </c>
      <c r="J689" s="4" t="s">
        <v>94</v>
      </c>
    </row>
    <row r="690" spans="1:10" hidden="1">
      <c r="A690" s="4">
        <v>2.0210658222000499E+17</v>
      </c>
      <c r="B690" s="4">
        <v>4568701902</v>
      </c>
      <c r="C690" s="4" t="s">
        <v>13167</v>
      </c>
      <c r="D690" s="4">
        <v>58222</v>
      </c>
      <c r="E690" s="4">
        <v>20210628</v>
      </c>
      <c r="F690" s="4">
        <v>20210628</v>
      </c>
      <c r="G690" s="4">
        <v>20240628</v>
      </c>
      <c r="H690" s="4" t="s">
        <v>1319</v>
      </c>
      <c r="I690" s="4" t="s">
        <v>13166</v>
      </c>
      <c r="J690" s="4" t="s">
        <v>94</v>
      </c>
    </row>
    <row r="691" spans="1:10" hidden="1">
      <c r="A691" s="4">
        <v>2.0210641229000499E+17</v>
      </c>
      <c r="B691" s="4">
        <v>4408600314</v>
      </c>
      <c r="C691" s="4" t="s">
        <v>13165</v>
      </c>
      <c r="D691" s="4">
        <v>41229</v>
      </c>
      <c r="E691" s="4">
        <v>20210628</v>
      </c>
      <c r="F691" s="4">
        <v>20210628</v>
      </c>
      <c r="G691" s="4">
        <v>20230308</v>
      </c>
      <c r="H691" s="4" t="s">
        <v>13164</v>
      </c>
      <c r="I691" s="4" t="s">
        <v>239</v>
      </c>
      <c r="J691" s="4" t="s">
        <v>5083</v>
      </c>
    </row>
    <row r="692" spans="1:10" hidden="1">
      <c r="A692" s="4">
        <v>2.0210658222000499E+17</v>
      </c>
      <c r="B692" s="4">
        <v>1168177652</v>
      </c>
      <c r="C692" s="4" t="s">
        <v>13163</v>
      </c>
      <c r="D692" s="4">
        <v>58222</v>
      </c>
      <c r="E692" s="4">
        <v>20210628</v>
      </c>
      <c r="F692" s="4">
        <v>20210628</v>
      </c>
      <c r="G692" s="4">
        <v>20240628</v>
      </c>
      <c r="H692" s="4" t="s">
        <v>13162</v>
      </c>
      <c r="I692" s="4" t="s">
        <v>13161</v>
      </c>
      <c r="J692" s="4" t="s">
        <v>94</v>
      </c>
    </row>
    <row r="693" spans="1:10" hidden="1">
      <c r="A693" s="4">
        <v>2.0210628123000499E+17</v>
      </c>
      <c r="B693" s="4">
        <v>7668800409</v>
      </c>
      <c r="C693" s="4" t="s">
        <v>13160</v>
      </c>
      <c r="D693" s="4">
        <v>28123</v>
      </c>
      <c r="E693" s="4">
        <v>20210628</v>
      </c>
      <c r="F693" s="4">
        <v>20210628</v>
      </c>
      <c r="G693" s="4">
        <v>20231107</v>
      </c>
      <c r="H693" s="4" t="s">
        <v>3578</v>
      </c>
      <c r="I693" s="4" t="s">
        <v>13159</v>
      </c>
      <c r="J693" s="4" t="s">
        <v>640</v>
      </c>
    </row>
    <row r="694" spans="1:10" hidden="1">
      <c r="A694" s="4">
        <v>2.0210629172000499E+17</v>
      </c>
      <c r="B694" s="4">
        <v>8688701347</v>
      </c>
      <c r="C694" s="4" t="s">
        <v>13158</v>
      </c>
      <c r="D694" s="4">
        <v>29172</v>
      </c>
      <c r="E694" s="4">
        <v>20210628</v>
      </c>
      <c r="F694" s="4">
        <v>20210628</v>
      </c>
      <c r="G694" s="4">
        <v>20240628</v>
      </c>
      <c r="H694" s="4" t="s">
        <v>13157</v>
      </c>
      <c r="J694" s="4" t="s">
        <v>1204</v>
      </c>
    </row>
    <row r="695" spans="1:10" hidden="1">
      <c r="A695" s="4">
        <v>2.0210658222000499E+17</v>
      </c>
      <c r="B695" s="4">
        <v>6378701840</v>
      </c>
      <c r="C695" s="4" t="s">
        <v>13156</v>
      </c>
      <c r="D695" s="4">
        <v>58222</v>
      </c>
      <c r="E695" s="4">
        <v>20210628</v>
      </c>
      <c r="F695" s="4">
        <v>20210628</v>
      </c>
      <c r="G695" s="4">
        <v>20240628</v>
      </c>
      <c r="H695" s="4" t="s">
        <v>1658</v>
      </c>
      <c r="I695" s="4" t="s">
        <v>591</v>
      </c>
      <c r="J695" s="4" t="s">
        <v>94</v>
      </c>
    </row>
    <row r="696" spans="1:10" hidden="1">
      <c r="A696" s="4">
        <v>2.0210623991000499E+17</v>
      </c>
      <c r="B696" s="4">
        <v>4568601695</v>
      </c>
      <c r="C696" s="4" t="s">
        <v>13155</v>
      </c>
      <c r="D696" s="4">
        <v>23991</v>
      </c>
      <c r="E696" s="4">
        <v>20210628</v>
      </c>
      <c r="F696" s="4">
        <v>20210628</v>
      </c>
      <c r="G696" s="4">
        <v>20240628</v>
      </c>
      <c r="H696" s="4" t="s">
        <v>202</v>
      </c>
      <c r="I696" s="4" t="s">
        <v>13154</v>
      </c>
      <c r="J696" s="4" t="s">
        <v>10186</v>
      </c>
    </row>
    <row r="697" spans="1:10" hidden="1">
      <c r="A697" s="4">
        <v>2.0210642311000499E+17</v>
      </c>
      <c r="B697" s="4">
        <v>8698101921</v>
      </c>
      <c r="C697" s="4" t="s">
        <v>13153</v>
      </c>
      <c r="D697" s="4">
        <v>42311</v>
      </c>
      <c r="E697" s="4">
        <v>20210628</v>
      </c>
      <c r="F697" s="4">
        <v>20210628</v>
      </c>
      <c r="G697" s="4">
        <v>20240628</v>
      </c>
      <c r="H697" s="4" t="s">
        <v>13152</v>
      </c>
      <c r="I697" s="4" t="s">
        <v>91</v>
      </c>
      <c r="J697" s="4" t="s">
        <v>718</v>
      </c>
    </row>
    <row r="698" spans="1:10" hidden="1">
      <c r="A698" s="4">
        <v>2.0210662021000499E+17</v>
      </c>
      <c r="B698" s="4">
        <v>1678600501</v>
      </c>
      <c r="C698" s="4" t="s">
        <v>13151</v>
      </c>
      <c r="D698" s="4">
        <v>62021</v>
      </c>
      <c r="E698" s="4">
        <v>20210628</v>
      </c>
      <c r="F698" s="4">
        <v>20210628</v>
      </c>
      <c r="G698" s="4">
        <v>20230714</v>
      </c>
      <c r="H698" s="4" t="s">
        <v>128</v>
      </c>
      <c r="I698" s="4" t="s">
        <v>8825</v>
      </c>
      <c r="J698" s="4" t="s">
        <v>1505</v>
      </c>
    </row>
    <row r="699" spans="1:10" hidden="1">
      <c r="A699" s="4">
        <v>2.0210658222000499E+17</v>
      </c>
      <c r="B699" s="4">
        <v>8978601557</v>
      </c>
      <c r="C699" s="4" t="s">
        <v>13150</v>
      </c>
      <c r="D699" s="4">
        <v>58222</v>
      </c>
      <c r="E699" s="4">
        <v>20210628</v>
      </c>
      <c r="F699" s="4">
        <v>20210628</v>
      </c>
      <c r="G699" s="4">
        <v>20220713</v>
      </c>
      <c r="H699" s="4" t="s">
        <v>13149</v>
      </c>
      <c r="J699" s="4" t="s">
        <v>94</v>
      </c>
    </row>
    <row r="700" spans="1:10" hidden="1">
      <c r="A700" s="4">
        <v>2.0210629131000499E+17</v>
      </c>
      <c r="B700" s="4">
        <v>6668801199</v>
      </c>
      <c r="C700" s="4" t="s">
        <v>13147</v>
      </c>
      <c r="D700" s="4">
        <v>29131</v>
      </c>
      <c r="E700" s="4">
        <v>20210628</v>
      </c>
      <c r="F700" s="4">
        <v>20210628</v>
      </c>
      <c r="G700" s="4">
        <v>20240628</v>
      </c>
      <c r="H700" s="4" t="s">
        <v>13148</v>
      </c>
      <c r="I700" s="4" t="s">
        <v>13147</v>
      </c>
      <c r="J700" s="4" t="s">
        <v>4077</v>
      </c>
    </row>
    <row r="701" spans="1:10" hidden="1">
      <c r="A701" s="4">
        <v>2.0210663991000499E+17</v>
      </c>
      <c r="B701" s="4">
        <v>4458801059</v>
      </c>
      <c r="C701" s="4" t="s">
        <v>13146</v>
      </c>
      <c r="D701" s="4">
        <v>63991</v>
      </c>
      <c r="E701" s="4">
        <v>20210628</v>
      </c>
      <c r="F701" s="4">
        <v>20210628</v>
      </c>
      <c r="G701" s="4">
        <v>20240628</v>
      </c>
      <c r="H701" s="4" t="s">
        <v>442</v>
      </c>
      <c r="I701" s="4" t="s">
        <v>13145</v>
      </c>
      <c r="J701" s="4" t="s">
        <v>395</v>
      </c>
    </row>
    <row r="702" spans="1:10" hidden="1">
      <c r="A702" s="4">
        <v>2.0210623992000499E+17</v>
      </c>
      <c r="B702" s="4">
        <v>2708602028</v>
      </c>
      <c r="C702" s="4" t="s">
        <v>13144</v>
      </c>
      <c r="D702" s="4">
        <v>23992</v>
      </c>
      <c r="E702" s="4">
        <v>20210628</v>
      </c>
      <c r="F702" s="4">
        <v>20210628</v>
      </c>
      <c r="G702" s="4">
        <v>20240628</v>
      </c>
      <c r="H702" s="4" t="s">
        <v>4012</v>
      </c>
      <c r="I702" s="4" t="s">
        <v>13143</v>
      </c>
      <c r="J702" s="4" t="s">
        <v>13142</v>
      </c>
    </row>
    <row r="703" spans="1:10" hidden="1">
      <c r="A703" s="4">
        <v>2.0210646799000499E+17</v>
      </c>
      <c r="B703" s="4">
        <v>6592700376</v>
      </c>
      <c r="C703" s="4" t="s">
        <v>13319</v>
      </c>
      <c r="D703" s="4">
        <v>46799</v>
      </c>
      <c r="E703" s="4">
        <v>20210629</v>
      </c>
      <c r="F703" s="4">
        <v>20210629</v>
      </c>
      <c r="G703" s="4">
        <v>20240629</v>
      </c>
      <c r="H703" s="4" t="s">
        <v>13318</v>
      </c>
      <c r="I703" s="4" t="s">
        <v>13317</v>
      </c>
      <c r="J703" s="4" t="s">
        <v>2181</v>
      </c>
    </row>
    <row r="704" spans="1:10" hidden="1">
      <c r="A704" s="4">
        <v>2.0210622251000499E+17</v>
      </c>
      <c r="B704" s="4">
        <v>5422200961</v>
      </c>
      <c r="C704" s="4" t="s">
        <v>13138</v>
      </c>
      <c r="D704" s="4">
        <v>22251</v>
      </c>
      <c r="E704" s="4">
        <v>20210628</v>
      </c>
      <c r="F704" s="4">
        <v>20210628</v>
      </c>
      <c r="G704" s="4">
        <v>20240628</v>
      </c>
      <c r="H704" s="4" t="s">
        <v>4579</v>
      </c>
      <c r="I704" s="4" t="s">
        <v>13137</v>
      </c>
      <c r="J704" s="4" t="s">
        <v>13136</v>
      </c>
    </row>
    <row r="705" spans="1:10" hidden="1">
      <c r="A705" s="4">
        <v>2.0210620499000499E+17</v>
      </c>
      <c r="B705" s="4">
        <v>3378700714</v>
      </c>
      <c r="C705" s="4" t="s">
        <v>13135</v>
      </c>
      <c r="D705" s="4">
        <v>20499</v>
      </c>
      <c r="E705" s="4">
        <v>20210628</v>
      </c>
      <c r="F705" s="4">
        <v>20210628</v>
      </c>
      <c r="G705" s="4">
        <v>20231222</v>
      </c>
      <c r="H705" s="4" t="s">
        <v>299</v>
      </c>
      <c r="I705" s="4" t="s">
        <v>13134</v>
      </c>
      <c r="J705" s="4" t="s">
        <v>406</v>
      </c>
    </row>
    <row r="706" spans="1:10" hidden="1">
      <c r="A706" s="4">
        <v>2.0210625999000499E+17</v>
      </c>
      <c r="B706" s="4">
        <v>3753000968</v>
      </c>
      <c r="C706" s="4" t="s">
        <v>13133</v>
      </c>
      <c r="D706" s="4">
        <v>25999</v>
      </c>
      <c r="E706" s="4">
        <v>20210628</v>
      </c>
      <c r="F706" s="4">
        <v>20210628</v>
      </c>
      <c r="G706" s="4">
        <v>20240628</v>
      </c>
      <c r="H706" s="4" t="s">
        <v>13132</v>
      </c>
      <c r="I706" s="4" t="s">
        <v>1403</v>
      </c>
      <c r="J706" s="4" t="s">
        <v>301</v>
      </c>
    </row>
    <row r="707" spans="1:10" hidden="1">
      <c r="A707" s="4">
        <v>2.0210671531000499E+17</v>
      </c>
      <c r="B707" s="4">
        <v>4823100910</v>
      </c>
      <c r="C707" s="4" t="s">
        <v>13131</v>
      </c>
      <c r="D707" s="4">
        <v>71531</v>
      </c>
      <c r="E707" s="4">
        <v>20210628</v>
      </c>
      <c r="F707" s="4">
        <v>20210628</v>
      </c>
      <c r="G707" s="4">
        <v>20240628</v>
      </c>
      <c r="H707" s="4" t="s">
        <v>13130</v>
      </c>
      <c r="J707" s="4" t="s">
        <v>87</v>
      </c>
    </row>
    <row r="708" spans="1:10">
      <c r="A708" s="4">
        <v>2.0210446453000198E+17</v>
      </c>
      <c r="B708" s="4">
        <v>3985400161</v>
      </c>
      <c r="C708" s="4" t="s">
        <v>7332</v>
      </c>
      <c r="D708" s="4">
        <v>46453</v>
      </c>
      <c r="E708" s="4">
        <v>20210423</v>
      </c>
      <c r="F708" s="4">
        <v>20210423</v>
      </c>
      <c r="G708" s="4">
        <v>20240109</v>
      </c>
      <c r="H708" s="4" t="s">
        <v>7331</v>
      </c>
      <c r="I708" s="4" t="s">
        <v>239</v>
      </c>
      <c r="J708" s="4" t="s">
        <v>816</v>
      </c>
    </row>
    <row r="709" spans="1:10" hidden="1">
      <c r="A709" s="4">
        <v>2.0210663120000499E+17</v>
      </c>
      <c r="B709" s="4">
        <v>4628801490</v>
      </c>
      <c r="C709" s="4" t="s">
        <v>13127</v>
      </c>
      <c r="D709" s="4">
        <v>63120</v>
      </c>
      <c r="E709" s="4">
        <v>20210628</v>
      </c>
      <c r="F709" s="4">
        <v>20210628</v>
      </c>
      <c r="G709" s="4">
        <v>20240628</v>
      </c>
      <c r="H709" s="4" t="s">
        <v>13126</v>
      </c>
      <c r="I709" s="4" t="s">
        <v>13125</v>
      </c>
      <c r="J709" s="4" t="s">
        <v>632</v>
      </c>
    </row>
    <row r="710" spans="1:10" hidden="1">
      <c r="A710" s="4">
        <v>2.0210646799000499E+17</v>
      </c>
      <c r="B710" s="4">
        <v>7631601004</v>
      </c>
      <c r="C710" s="4" t="s">
        <v>13124</v>
      </c>
      <c r="D710" s="4">
        <v>46799</v>
      </c>
      <c r="E710" s="4">
        <v>20210628</v>
      </c>
      <c r="F710" s="4">
        <v>20210628</v>
      </c>
      <c r="G710" s="4">
        <v>20240628</v>
      </c>
      <c r="H710" s="4" t="s">
        <v>13123</v>
      </c>
      <c r="I710" s="4" t="s">
        <v>13122</v>
      </c>
      <c r="J710" s="4" t="s">
        <v>2181</v>
      </c>
    </row>
    <row r="711" spans="1:10" hidden="1">
      <c r="A711" s="4">
        <v>2.0210646592000499E+17</v>
      </c>
      <c r="B711" s="4">
        <v>3861300559</v>
      </c>
      <c r="C711" s="4" t="s">
        <v>13121</v>
      </c>
      <c r="D711" s="4">
        <v>46592</v>
      </c>
      <c r="E711" s="4">
        <v>20210628</v>
      </c>
      <c r="F711" s="4">
        <v>20210628</v>
      </c>
      <c r="G711" s="4">
        <v>20240612</v>
      </c>
      <c r="H711" s="4" t="s">
        <v>1183</v>
      </c>
      <c r="I711" s="4" t="s">
        <v>13120</v>
      </c>
      <c r="J711" s="4" t="s">
        <v>148</v>
      </c>
    </row>
    <row r="712" spans="1:10" hidden="1">
      <c r="A712" s="4">
        <v>2.0210658221000499E+17</v>
      </c>
      <c r="B712" s="4">
        <v>2818601655</v>
      </c>
      <c r="C712" s="4" t="s">
        <v>13119</v>
      </c>
      <c r="D712" s="4">
        <v>58221</v>
      </c>
      <c r="E712" s="4">
        <v>20210628</v>
      </c>
      <c r="F712" s="4">
        <v>20210628</v>
      </c>
      <c r="G712" s="4">
        <v>20240628</v>
      </c>
      <c r="H712" s="4" t="s">
        <v>12870</v>
      </c>
      <c r="J712" s="4" t="s">
        <v>228</v>
      </c>
    </row>
    <row r="713" spans="1:10" hidden="1">
      <c r="A713" s="4">
        <v>2.0210646433000499E+17</v>
      </c>
      <c r="B713" s="4">
        <v>2815100033</v>
      </c>
      <c r="C713" s="4" t="s">
        <v>13118</v>
      </c>
      <c r="D713" s="4">
        <v>46433</v>
      </c>
      <c r="E713" s="4">
        <v>20210628</v>
      </c>
      <c r="F713" s="4">
        <v>20210628</v>
      </c>
      <c r="G713" s="4">
        <v>20220506</v>
      </c>
      <c r="H713" s="4" t="s">
        <v>13117</v>
      </c>
      <c r="J713" s="4" t="s">
        <v>4201</v>
      </c>
    </row>
    <row r="714" spans="1:10" hidden="1">
      <c r="A714" s="4">
        <v>2.0210627199000499E+17</v>
      </c>
      <c r="B714" s="4">
        <v>5887600219</v>
      </c>
      <c r="C714" s="4" t="s">
        <v>13116</v>
      </c>
      <c r="D714" s="4">
        <v>27199</v>
      </c>
      <c r="E714" s="4">
        <v>20210628</v>
      </c>
      <c r="F714" s="4">
        <v>20210628</v>
      </c>
      <c r="G714" s="4">
        <v>20240628</v>
      </c>
      <c r="H714" s="4" t="s">
        <v>1481</v>
      </c>
      <c r="I714" s="4" t="s">
        <v>13115</v>
      </c>
      <c r="J714" s="4" t="s">
        <v>418</v>
      </c>
    </row>
    <row r="715" spans="1:10" hidden="1">
      <c r="A715" s="4">
        <v>2.0210674100000499E+17</v>
      </c>
      <c r="B715" s="4">
        <v>7898801401</v>
      </c>
      <c r="C715" s="4" t="s">
        <v>13114</v>
      </c>
      <c r="D715" s="4">
        <v>74100</v>
      </c>
      <c r="E715" s="4">
        <v>20210628</v>
      </c>
      <c r="F715" s="4">
        <v>20210628</v>
      </c>
      <c r="G715" s="4">
        <v>20240628</v>
      </c>
      <c r="H715" s="4" t="s">
        <v>750</v>
      </c>
      <c r="I715" s="4" t="s">
        <v>13113</v>
      </c>
      <c r="J715" s="4" t="s">
        <v>2207</v>
      </c>
    </row>
    <row r="716" spans="1:10" hidden="1">
      <c r="A716" s="4">
        <v>2.0210623994000499E+17</v>
      </c>
      <c r="B716" s="4">
        <v>1162900868</v>
      </c>
      <c r="C716" s="4" t="s">
        <v>13112</v>
      </c>
      <c r="D716" s="4">
        <v>23994</v>
      </c>
      <c r="E716" s="4">
        <v>20210628</v>
      </c>
      <c r="F716" s="4">
        <v>20210628</v>
      </c>
      <c r="G716" s="4">
        <v>20240628</v>
      </c>
      <c r="H716" s="4" t="s">
        <v>11335</v>
      </c>
      <c r="I716" s="4" t="s">
        <v>13111</v>
      </c>
      <c r="J716" s="4" t="s">
        <v>10070</v>
      </c>
    </row>
    <row r="717" spans="1:10" hidden="1">
      <c r="A717" s="4">
        <v>2.0210622299000499E+17</v>
      </c>
      <c r="B717" s="4">
        <v>6221700507</v>
      </c>
      <c r="C717" s="4" t="s">
        <v>13110</v>
      </c>
      <c r="D717" s="4">
        <v>22299</v>
      </c>
      <c r="E717" s="4">
        <v>20210628</v>
      </c>
      <c r="F717" s="4">
        <v>20210628</v>
      </c>
      <c r="G717" s="4">
        <v>20240502</v>
      </c>
      <c r="H717" s="4" t="s">
        <v>1886</v>
      </c>
      <c r="I717" s="4" t="s">
        <v>13109</v>
      </c>
      <c r="J717" s="4" t="s">
        <v>384</v>
      </c>
    </row>
    <row r="718" spans="1:10" hidden="1">
      <c r="A718" s="4">
        <v>2.0210614194000499E+17</v>
      </c>
      <c r="B718" s="4">
        <v>5902800657</v>
      </c>
      <c r="C718" s="4" t="s">
        <v>13108</v>
      </c>
      <c r="D718" s="4">
        <v>14194</v>
      </c>
      <c r="E718" s="4">
        <v>20210628</v>
      </c>
      <c r="F718" s="4">
        <v>20210628</v>
      </c>
      <c r="G718" s="4">
        <v>20240628</v>
      </c>
      <c r="H718" s="4" t="s">
        <v>8592</v>
      </c>
      <c r="I718" s="4" t="s">
        <v>13107</v>
      </c>
      <c r="J718" s="4" t="s">
        <v>8343</v>
      </c>
    </row>
    <row r="719" spans="1:10" hidden="1">
      <c r="A719" s="4">
        <v>2.0210647520000499E+17</v>
      </c>
      <c r="B719" s="4">
        <v>2484400417</v>
      </c>
      <c r="C719" s="4" t="s">
        <v>13106</v>
      </c>
      <c r="D719" s="4">
        <v>47520</v>
      </c>
      <c r="E719" s="4">
        <v>20210628</v>
      </c>
      <c r="F719" s="4">
        <v>20210628</v>
      </c>
      <c r="G719" s="4">
        <v>20240628</v>
      </c>
      <c r="H719" s="4" t="s">
        <v>13105</v>
      </c>
      <c r="I719" s="4" t="s">
        <v>13104</v>
      </c>
      <c r="J719" s="4" t="s">
        <v>3387</v>
      </c>
    </row>
    <row r="720" spans="1:10" hidden="1">
      <c r="A720" s="4">
        <v>2.0210642412000499E+17</v>
      </c>
      <c r="B720" s="4">
        <v>4398700965</v>
      </c>
      <c r="C720" s="4" t="s">
        <v>13258</v>
      </c>
      <c r="D720" s="4">
        <v>42412</v>
      </c>
      <c r="E720" s="4">
        <v>20210629</v>
      </c>
      <c r="F720" s="4">
        <v>20210629</v>
      </c>
      <c r="G720" s="4">
        <v>20240629</v>
      </c>
      <c r="H720" s="4" t="s">
        <v>13257</v>
      </c>
      <c r="I720" s="4" t="s">
        <v>3119</v>
      </c>
      <c r="J720" s="4" t="s">
        <v>281</v>
      </c>
    </row>
    <row r="721" spans="1:10" hidden="1">
      <c r="A721" s="4">
        <v>2.0210673203000499E+17</v>
      </c>
      <c r="B721" s="4">
        <v>4348701877</v>
      </c>
      <c r="C721" s="4" t="s">
        <v>13101</v>
      </c>
      <c r="D721" s="4">
        <v>73203</v>
      </c>
      <c r="E721" s="4">
        <v>20210628</v>
      </c>
      <c r="F721" s="4">
        <v>20210628</v>
      </c>
      <c r="G721" s="4">
        <v>20240628</v>
      </c>
      <c r="H721" s="4" t="s">
        <v>13100</v>
      </c>
      <c r="I721" s="4" t="s">
        <v>13099</v>
      </c>
      <c r="J721" s="4" t="s">
        <v>260</v>
      </c>
    </row>
    <row r="722" spans="1:10" hidden="1">
      <c r="A722" s="4">
        <v>2.0210646800000499E+17</v>
      </c>
      <c r="B722" s="4">
        <v>6068661925</v>
      </c>
      <c r="C722" s="4" t="s">
        <v>13098</v>
      </c>
      <c r="D722" s="4">
        <v>46800</v>
      </c>
      <c r="E722" s="4">
        <v>20210628</v>
      </c>
      <c r="F722" s="4">
        <v>20210628</v>
      </c>
      <c r="G722" s="4">
        <v>20220115</v>
      </c>
      <c r="H722" s="4" t="s">
        <v>13097</v>
      </c>
      <c r="J722" s="4" t="s">
        <v>979</v>
      </c>
    </row>
    <row r="723" spans="1:10" hidden="1">
      <c r="A723" s="4">
        <v>2.0210622292000499E+17</v>
      </c>
      <c r="B723" s="4">
        <v>3578101087</v>
      </c>
      <c r="C723" s="4" t="s">
        <v>13096</v>
      </c>
      <c r="D723" s="4">
        <v>22292</v>
      </c>
      <c r="E723" s="4">
        <v>20210628</v>
      </c>
      <c r="F723" s="4">
        <v>20210628</v>
      </c>
      <c r="G723" s="4">
        <v>20240628</v>
      </c>
      <c r="H723" s="4" t="s">
        <v>13095</v>
      </c>
      <c r="I723" s="4" t="s">
        <v>13094</v>
      </c>
      <c r="J723" s="4" t="s">
        <v>13093</v>
      </c>
    </row>
    <row r="724" spans="1:10" hidden="1">
      <c r="A724" s="4">
        <v>2.0210646739000499E+17</v>
      </c>
      <c r="B724" s="4">
        <v>5488701370</v>
      </c>
      <c r="C724" s="4" t="s">
        <v>13092</v>
      </c>
      <c r="D724" s="4">
        <v>46739</v>
      </c>
      <c r="E724" s="4">
        <v>20210628</v>
      </c>
      <c r="F724" s="4">
        <v>20210628</v>
      </c>
      <c r="G724" s="4">
        <v>20240628</v>
      </c>
      <c r="H724" s="4" t="s">
        <v>13091</v>
      </c>
      <c r="I724" s="4" t="s">
        <v>13090</v>
      </c>
      <c r="J724" s="4" t="s">
        <v>2551</v>
      </c>
    </row>
    <row r="725" spans="1:10" hidden="1">
      <c r="A725" s="4">
        <v>2.0210658222000499E+17</v>
      </c>
      <c r="B725" s="4">
        <v>8551901357</v>
      </c>
      <c r="C725" s="4" t="s">
        <v>13089</v>
      </c>
      <c r="D725" s="4">
        <v>58222</v>
      </c>
      <c r="E725" s="4">
        <v>20210628</v>
      </c>
      <c r="F725" s="4">
        <v>20210628</v>
      </c>
      <c r="G725" s="4">
        <v>20240628</v>
      </c>
      <c r="H725" s="4" t="s">
        <v>13088</v>
      </c>
      <c r="I725" s="4" t="s">
        <v>13087</v>
      </c>
      <c r="J725" s="4" t="s">
        <v>94</v>
      </c>
    </row>
    <row r="726" spans="1:10" hidden="1">
      <c r="A726" s="4">
        <v>2.0210659111000499E+17</v>
      </c>
      <c r="B726" s="4">
        <v>3610100668</v>
      </c>
      <c r="C726" s="4" t="s">
        <v>13086</v>
      </c>
      <c r="D726" s="4">
        <v>59111</v>
      </c>
      <c r="E726" s="4">
        <v>20210628</v>
      </c>
      <c r="F726" s="4">
        <v>20210628</v>
      </c>
      <c r="G726" s="4">
        <v>20240105</v>
      </c>
      <c r="H726" s="4" t="s">
        <v>13085</v>
      </c>
      <c r="I726" s="4" t="s">
        <v>13084</v>
      </c>
      <c r="J726" s="4" t="s">
        <v>1857</v>
      </c>
    </row>
    <row r="727" spans="1:10" hidden="1">
      <c r="A727" s="4">
        <v>2.0210646510000499E+17</v>
      </c>
      <c r="B727" s="4">
        <v>7878801351</v>
      </c>
      <c r="C727" s="4" t="s">
        <v>13083</v>
      </c>
      <c r="D727" s="4">
        <v>46510</v>
      </c>
      <c r="E727" s="4">
        <v>20210628</v>
      </c>
      <c r="F727" s="4">
        <v>20210628</v>
      </c>
      <c r="G727" s="4">
        <v>20240628</v>
      </c>
      <c r="H727" s="4" t="s">
        <v>1142</v>
      </c>
      <c r="I727" s="4" t="s">
        <v>1141</v>
      </c>
      <c r="J727" s="4" t="s">
        <v>126</v>
      </c>
    </row>
    <row r="728" spans="1:10">
      <c r="A728" s="4">
        <v>2.0210446453000301E+17</v>
      </c>
      <c r="B728" s="4">
        <v>3763500248</v>
      </c>
      <c r="C728" s="4" t="s">
        <v>7759</v>
      </c>
      <c r="D728" s="4">
        <v>46453</v>
      </c>
      <c r="E728" s="4">
        <v>20210427</v>
      </c>
      <c r="F728" s="4">
        <v>20210427</v>
      </c>
      <c r="G728" s="4">
        <v>20230824</v>
      </c>
      <c r="H728" s="4" t="s">
        <v>7758</v>
      </c>
      <c r="I728" s="4" t="s">
        <v>7757</v>
      </c>
      <c r="J728" s="4" t="s">
        <v>816</v>
      </c>
    </row>
    <row r="729" spans="1:10" hidden="1">
      <c r="A729" s="4">
        <v>2.0210628512000499E+17</v>
      </c>
      <c r="B729" s="4">
        <v>2900601604</v>
      </c>
      <c r="C729" s="4" t="s">
        <v>13079</v>
      </c>
      <c r="D729" s="4">
        <v>28512</v>
      </c>
      <c r="E729" s="4">
        <v>20210628</v>
      </c>
      <c r="F729" s="4">
        <v>20210628</v>
      </c>
      <c r="G729" s="4">
        <v>20240628</v>
      </c>
      <c r="H729" s="4" t="s">
        <v>13078</v>
      </c>
      <c r="J729" s="4" t="s">
        <v>955</v>
      </c>
    </row>
    <row r="730" spans="1:10" hidden="1">
      <c r="A730" s="4">
        <v>2.0210633401000499E+17</v>
      </c>
      <c r="B730" s="4">
        <v>6260202196</v>
      </c>
      <c r="C730" s="4" t="s">
        <v>13077</v>
      </c>
      <c r="D730" s="4">
        <v>33401</v>
      </c>
      <c r="E730" s="4">
        <v>20210628</v>
      </c>
      <c r="F730" s="4">
        <v>20210628</v>
      </c>
      <c r="G730" s="4">
        <v>20240628</v>
      </c>
      <c r="H730" s="4" t="s">
        <v>13076</v>
      </c>
      <c r="I730" s="4" t="s">
        <v>91</v>
      </c>
      <c r="J730" s="4" t="s">
        <v>364</v>
      </c>
    </row>
    <row r="731" spans="1:10" hidden="1">
      <c r="A731" s="4">
        <v>2.0210672129000499E+17</v>
      </c>
      <c r="B731" s="4">
        <v>6328101329</v>
      </c>
      <c r="C731" s="4" t="s">
        <v>13075</v>
      </c>
      <c r="D731" s="4">
        <v>72129</v>
      </c>
      <c r="E731" s="4">
        <v>20210628</v>
      </c>
      <c r="F731" s="4">
        <v>20210628</v>
      </c>
      <c r="G731" s="4">
        <v>20240628</v>
      </c>
      <c r="H731" s="4" t="s">
        <v>13074</v>
      </c>
      <c r="J731" s="4" t="s">
        <v>1679</v>
      </c>
    </row>
    <row r="732" spans="1:10" hidden="1">
      <c r="A732" s="4">
        <v>2.0210627213000499E+17</v>
      </c>
      <c r="B732" s="4">
        <v>4778701364</v>
      </c>
      <c r="C732" s="4" t="s">
        <v>13073</v>
      </c>
      <c r="D732" s="4">
        <v>27213</v>
      </c>
      <c r="E732" s="4">
        <v>20210628</v>
      </c>
      <c r="F732" s="4">
        <v>20210628</v>
      </c>
      <c r="G732" s="4">
        <v>20240628</v>
      </c>
      <c r="H732" s="4" t="s">
        <v>1287</v>
      </c>
      <c r="I732" s="4" t="s">
        <v>13072</v>
      </c>
      <c r="J732" s="4" t="s">
        <v>264</v>
      </c>
    </row>
    <row r="733" spans="1:10" hidden="1">
      <c r="A733" s="4">
        <v>2.0210672111000499E+17</v>
      </c>
      <c r="B733" s="4">
        <v>5082464784</v>
      </c>
      <c r="C733" s="4" t="s">
        <v>13071</v>
      </c>
      <c r="D733" s="4">
        <v>72111</v>
      </c>
      <c r="E733" s="4">
        <v>20210628</v>
      </c>
      <c r="F733" s="4">
        <v>20210628</v>
      </c>
      <c r="G733" s="4">
        <v>20240628</v>
      </c>
      <c r="H733" s="4" t="s">
        <v>13070</v>
      </c>
      <c r="I733" s="4" t="s">
        <v>13069</v>
      </c>
      <c r="J733" s="4" t="s">
        <v>3461</v>
      </c>
    </row>
    <row r="734" spans="1:10" hidden="1">
      <c r="A734" s="4">
        <v>2.0210610799000499E+17</v>
      </c>
      <c r="B734" s="4">
        <v>6768100693</v>
      </c>
      <c r="C734" s="4" t="s">
        <v>13068</v>
      </c>
      <c r="D734" s="4">
        <v>10799</v>
      </c>
      <c r="E734" s="4">
        <v>20210628</v>
      </c>
      <c r="F734" s="4">
        <v>20210628</v>
      </c>
      <c r="G734" s="4">
        <v>20240208</v>
      </c>
      <c r="H734" s="4" t="s">
        <v>13067</v>
      </c>
      <c r="I734" s="4" t="s">
        <v>11319</v>
      </c>
      <c r="J734" s="4" t="s">
        <v>2973</v>
      </c>
    </row>
    <row r="735" spans="1:10" hidden="1">
      <c r="A735" s="4">
        <v>2.0210658222000499E+17</v>
      </c>
      <c r="B735" s="4">
        <v>4438801806</v>
      </c>
      <c r="C735" s="4" t="s">
        <v>13066</v>
      </c>
      <c r="D735" s="4">
        <v>58222</v>
      </c>
      <c r="E735" s="4">
        <v>20210628</v>
      </c>
      <c r="F735" s="4">
        <v>20210628</v>
      </c>
      <c r="G735" s="4">
        <v>20240628</v>
      </c>
      <c r="H735" s="4" t="s">
        <v>5249</v>
      </c>
      <c r="I735" s="4" t="s">
        <v>13065</v>
      </c>
      <c r="J735" s="4" t="s">
        <v>94</v>
      </c>
    </row>
    <row r="736" spans="1:10" hidden="1">
      <c r="A736" s="4">
        <v>2.0210662021000499E+17</v>
      </c>
      <c r="B736" s="4">
        <v>1718800329</v>
      </c>
      <c r="C736" s="4" t="s">
        <v>13064</v>
      </c>
      <c r="D736" s="4">
        <v>62021</v>
      </c>
      <c r="E736" s="4">
        <v>20210628</v>
      </c>
      <c r="F736" s="4">
        <v>20210628</v>
      </c>
      <c r="G736" s="4">
        <v>20230204</v>
      </c>
      <c r="H736" s="4" t="s">
        <v>10361</v>
      </c>
      <c r="I736" s="4">
        <v>501</v>
      </c>
      <c r="J736" s="4" t="s">
        <v>1505</v>
      </c>
    </row>
    <row r="737" spans="1:10" hidden="1">
      <c r="A737" s="4">
        <v>2.0210642321000499E+17</v>
      </c>
      <c r="B737" s="4">
        <v>6458701308</v>
      </c>
      <c r="C737" s="4" t="s">
        <v>13063</v>
      </c>
      <c r="D737" s="4">
        <v>42321</v>
      </c>
      <c r="E737" s="4">
        <v>20210628</v>
      </c>
      <c r="F737" s="4">
        <v>20210628</v>
      </c>
      <c r="G737" s="4">
        <v>20240628</v>
      </c>
      <c r="H737" s="4" t="s">
        <v>13062</v>
      </c>
      <c r="I737" s="4" t="s">
        <v>1963</v>
      </c>
      <c r="J737" s="4" t="s">
        <v>698</v>
      </c>
    </row>
    <row r="738" spans="1:10" hidden="1">
      <c r="A738" s="4">
        <v>2.0210658222000499E+17</v>
      </c>
      <c r="B738" s="4">
        <v>6758801062</v>
      </c>
      <c r="C738" s="4" t="s">
        <v>13061</v>
      </c>
      <c r="D738" s="4">
        <v>58222</v>
      </c>
      <c r="E738" s="4">
        <v>20210628</v>
      </c>
      <c r="F738" s="4">
        <v>20210628</v>
      </c>
      <c r="G738" s="4">
        <v>20240628</v>
      </c>
      <c r="H738" s="4" t="s">
        <v>13060</v>
      </c>
      <c r="I738" s="4" t="s">
        <v>13059</v>
      </c>
      <c r="J738" s="4" t="s">
        <v>94</v>
      </c>
    </row>
    <row r="739" spans="1:10" hidden="1">
      <c r="A739" s="4">
        <v>2.0210672122000499E+17</v>
      </c>
      <c r="B739" s="4">
        <v>4128800308</v>
      </c>
      <c r="C739" s="4" t="s">
        <v>13058</v>
      </c>
      <c r="D739" s="4">
        <v>72122</v>
      </c>
      <c r="E739" s="4">
        <v>20210628</v>
      </c>
      <c r="F739" s="4">
        <v>20210628</v>
      </c>
      <c r="G739" s="4">
        <v>20230119</v>
      </c>
      <c r="H739" s="4" t="s">
        <v>1825</v>
      </c>
      <c r="I739" s="4" t="s">
        <v>13057</v>
      </c>
      <c r="J739" s="4" t="s">
        <v>2484</v>
      </c>
    </row>
    <row r="740" spans="1:10" hidden="1">
      <c r="A740" s="4">
        <v>2.0210646329000499E+17</v>
      </c>
      <c r="B740" s="4">
        <v>7538701822</v>
      </c>
      <c r="C740" s="4" t="s">
        <v>13056</v>
      </c>
      <c r="D740" s="4">
        <v>46329</v>
      </c>
      <c r="E740" s="4">
        <v>20210628</v>
      </c>
      <c r="F740" s="4">
        <v>20210628</v>
      </c>
      <c r="G740" s="4">
        <v>20240628</v>
      </c>
      <c r="H740" s="4" t="s">
        <v>13055</v>
      </c>
      <c r="I740" s="4" t="s">
        <v>3363</v>
      </c>
      <c r="J740" s="4" t="s">
        <v>830</v>
      </c>
    </row>
    <row r="741" spans="1:10" hidden="1">
      <c r="A741" s="4">
        <v>2.0210672121000499E+17</v>
      </c>
      <c r="B741" s="4">
        <v>1108702010</v>
      </c>
      <c r="C741" s="4" t="s">
        <v>13054</v>
      </c>
      <c r="D741" s="4">
        <v>72121</v>
      </c>
      <c r="E741" s="4">
        <v>20210628</v>
      </c>
      <c r="F741" s="4">
        <v>20210628</v>
      </c>
      <c r="G741" s="4">
        <v>20240628</v>
      </c>
      <c r="H741" s="4" t="s">
        <v>1441</v>
      </c>
      <c r="I741" s="4" t="s">
        <v>13053</v>
      </c>
      <c r="J741" s="4" t="s">
        <v>2243</v>
      </c>
    </row>
    <row r="742" spans="1:10" hidden="1">
      <c r="A742" s="4">
        <v>2.0210675992000499E+17</v>
      </c>
      <c r="B742" s="4">
        <v>4828100195</v>
      </c>
      <c r="C742" s="4" t="s">
        <v>13052</v>
      </c>
      <c r="D742" s="4">
        <v>75992</v>
      </c>
      <c r="E742" s="4">
        <v>20210628</v>
      </c>
      <c r="F742" s="4">
        <v>20210628</v>
      </c>
      <c r="G742" s="4">
        <v>20230121</v>
      </c>
      <c r="H742" s="4" t="s">
        <v>2791</v>
      </c>
      <c r="I742" s="4" t="s">
        <v>2800</v>
      </c>
      <c r="J742" s="4" t="s">
        <v>111</v>
      </c>
    </row>
    <row r="743" spans="1:10" hidden="1">
      <c r="A743" s="4">
        <v>2.0210629193000499E+17</v>
      </c>
      <c r="B743" s="4">
        <v>2318600118</v>
      </c>
      <c r="C743" s="4" t="s">
        <v>13051</v>
      </c>
      <c r="D743" s="4">
        <v>29193</v>
      </c>
      <c r="E743" s="4">
        <v>20210628</v>
      </c>
      <c r="F743" s="4">
        <v>20210628</v>
      </c>
      <c r="G743" s="4">
        <v>20220828</v>
      </c>
      <c r="H743" s="4" t="s">
        <v>13050</v>
      </c>
      <c r="I743" s="4" t="s">
        <v>13049</v>
      </c>
      <c r="J743" s="4" t="s">
        <v>721</v>
      </c>
    </row>
    <row r="744" spans="1:10" hidden="1">
      <c r="A744" s="4">
        <v>2.0210663120000499E+17</v>
      </c>
      <c r="B744" s="4">
        <v>1708801970</v>
      </c>
      <c r="C744" s="4" t="s">
        <v>13048</v>
      </c>
      <c r="D744" s="4">
        <v>63120</v>
      </c>
      <c r="E744" s="4">
        <v>20210628</v>
      </c>
      <c r="F744" s="4">
        <v>20210628</v>
      </c>
      <c r="G744" s="4">
        <v>20240628</v>
      </c>
      <c r="H744" s="4" t="s">
        <v>13047</v>
      </c>
      <c r="J744" s="4" t="s">
        <v>632</v>
      </c>
    </row>
    <row r="745" spans="1:10" hidden="1">
      <c r="A745" s="4">
        <v>2.0210642204000499E+17</v>
      </c>
      <c r="B745" s="4">
        <v>7838801553</v>
      </c>
      <c r="C745" s="4" t="s">
        <v>13046</v>
      </c>
      <c r="D745" s="4">
        <v>42204</v>
      </c>
      <c r="E745" s="4">
        <v>20210628</v>
      </c>
      <c r="F745" s="4">
        <v>20210628</v>
      </c>
      <c r="G745" s="4">
        <v>20240628</v>
      </c>
      <c r="H745" s="4" t="s">
        <v>13045</v>
      </c>
      <c r="I745" s="4" t="s">
        <v>1064</v>
      </c>
      <c r="J745" s="4" t="s">
        <v>7487</v>
      </c>
    </row>
    <row r="746" spans="1:10" hidden="1">
      <c r="A746" s="4">
        <v>2.0210625923000499E+17</v>
      </c>
      <c r="B746" s="4">
        <v>8368801779</v>
      </c>
      <c r="C746" s="4" t="s">
        <v>13044</v>
      </c>
      <c r="D746" s="4">
        <v>25923</v>
      </c>
      <c r="E746" s="4">
        <v>20210628</v>
      </c>
      <c r="F746" s="4">
        <v>20210628</v>
      </c>
      <c r="G746" s="4">
        <v>20240628</v>
      </c>
      <c r="H746" s="4" t="s">
        <v>13043</v>
      </c>
      <c r="J746" s="4" t="s">
        <v>204</v>
      </c>
    </row>
    <row r="747" spans="1:10" hidden="1">
      <c r="A747" s="4">
        <v>2.0210646510000499E+17</v>
      </c>
      <c r="B747" s="4">
        <v>5248101125</v>
      </c>
      <c r="C747" s="4" t="s">
        <v>13042</v>
      </c>
      <c r="D747" s="4">
        <v>46510</v>
      </c>
      <c r="E747" s="4">
        <v>20210628</v>
      </c>
      <c r="F747" s="4">
        <v>20210628</v>
      </c>
      <c r="G747" s="4">
        <v>20240628</v>
      </c>
      <c r="H747" s="4" t="s">
        <v>13041</v>
      </c>
      <c r="I747" s="4" t="s">
        <v>13040</v>
      </c>
      <c r="J747" s="4" t="s">
        <v>126</v>
      </c>
    </row>
    <row r="748" spans="1:10" hidden="1">
      <c r="A748" s="4">
        <v>2.0210617124000499E+17</v>
      </c>
      <c r="B748" s="4">
        <v>3728100879</v>
      </c>
      <c r="C748" s="4" t="s">
        <v>13039</v>
      </c>
      <c r="D748" s="4">
        <v>17124</v>
      </c>
      <c r="E748" s="4">
        <v>20210628</v>
      </c>
      <c r="F748" s="4">
        <v>20210628</v>
      </c>
      <c r="G748" s="4">
        <v>20240628</v>
      </c>
      <c r="H748" s="4" t="s">
        <v>2146</v>
      </c>
      <c r="I748" s="4" t="s">
        <v>13038</v>
      </c>
      <c r="J748" s="4" t="s">
        <v>13037</v>
      </c>
    </row>
    <row r="749" spans="1:10" hidden="1">
      <c r="A749" s="4">
        <v>2.0210633999000499E+17</v>
      </c>
      <c r="B749" s="4">
        <v>2268154029</v>
      </c>
      <c r="C749" s="4" t="s">
        <v>13036</v>
      </c>
      <c r="D749" s="4">
        <v>33999</v>
      </c>
      <c r="E749" s="4">
        <v>20210628</v>
      </c>
      <c r="F749" s="4">
        <v>20210628</v>
      </c>
      <c r="G749" s="4">
        <v>20240628</v>
      </c>
      <c r="H749" s="4" t="s">
        <v>420</v>
      </c>
      <c r="I749" s="4" t="s">
        <v>13035</v>
      </c>
      <c r="J749" s="4" t="s">
        <v>780</v>
      </c>
    </row>
    <row r="750" spans="1:10" hidden="1">
      <c r="A750" s="4">
        <v>2.0210662021000499E+17</v>
      </c>
      <c r="B750" s="4">
        <v>3888101631</v>
      </c>
      <c r="C750" s="4" t="s">
        <v>13034</v>
      </c>
      <c r="D750" s="4">
        <v>62021</v>
      </c>
      <c r="E750" s="4">
        <v>20210628</v>
      </c>
      <c r="F750" s="4">
        <v>20210628</v>
      </c>
      <c r="G750" s="4">
        <v>20240628</v>
      </c>
      <c r="H750" s="4" t="s">
        <v>13033</v>
      </c>
      <c r="I750" s="4" t="s">
        <v>13032</v>
      </c>
      <c r="J750" s="4" t="s">
        <v>1505</v>
      </c>
    </row>
    <row r="751" spans="1:10" hidden="1">
      <c r="A751" s="4">
        <v>2.0210658222000499E+17</v>
      </c>
      <c r="B751" s="4">
        <v>5078701423</v>
      </c>
      <c r="C751" s="4" t="s">
        <v>13031</v>
      </c>
      <c r="D751" s="4">
        <v>58222</v>
      </c>
      <c r="E751" s="4">
        <v>20210628</v>
      </c>
      <c r="F751" s="4">
        <v>20210628</v>
      </c>
      <c r="G751" s="4">
        <v>20240628</v>
      </c>
      <c r="H751" s="4" t="s">
        <v>370</v>
      </c>
      <c r="I751" s="4" t="s">
        <v>13030</v>
      </c>
      <c r="J751" s="4" t="s">
        <v>94</v>
      </c>
    </row>
    <row r="752" spans="1:10" hidden="1">
      <c r="A752" s="4">
        <v>2.0210658222000499E+17</v>
      </c>
      <c r="B752" s="4">
        <v>5608100175</v>
      </c>
      <c r="C752" s="4" t="s">
        <v>13029</v>
      </c>
      <c r="D752" s="4">
        <v>58222</v>
      </c>
      <c r="E752" s="4">
        <v>20210628</v>
      </c>
      <c r="F752" s="4">
        <v>20210628</v>
      </c>
      <c r="G752" s="4">
        <v>20220831</v>
      </c>
      <c r="H752" s="4" t="s">
        <v>13028</v>
      </c>
      <c r="I752" s="4" t="s">
        <v>7934</v>
      </c>
      <c r="J752" s="4" t="s">
        <v>94</v>
      </c>
    </row>
    <row r="753" spans="1:10" hidden="1">
      <c r="A753" s="4">
        <v>2.0210658222000499E+17</v>
      </c>
      <c r="B753" s="4">
        <v>7598701010</v>
      </c>
      <c r="C753" s="4" t="s">
        <v>13027</v>
      </c>
      <c r="D753" s="4">
        <v>58222</v>
      </c>
      <c r="E753" s="4">
        <v>20210628</v>
      </c>
      <c r="F753" s="4">
        <v>20210628</v>
      </c>
      <c r="G753" s="4">
        <v>20240628</v>
      </c>
      <c r="H753" s="4" t="s">
        <v>13026</v>
      </c>
      <c r="I753" s="4" t="s">
        <v>13025</v>
      </c>
      <c r="J753" s="4" t="s">
        <v>94</v>
      </c>
    </row>
    <row r="754" spans="1:10" hidden="1">
      <c r="A754" s="4">
        <v>2.0210662090000499E+17</v>
      </c>
      <c r="B754" s="4">
        <v>7538802022</v>
      </c>
      <c r="C754" s="4" t="s">
        <v>13024</v>
      </c>
      <c r="D754" s="4">
        <v>62090</v>
      </c>
      <c r="E754" s="4">
        <v>20210628</v>
      </c>
      <c r="F754" s="4">
        <v>20210628</v>
      </c>
      <c r="G754" s="4">
        <v>20240628</v>
      </c>
      <c r="H754" s="4" t="s">
        <v>13023</v>
      </c>
      <c r="I754" s="4" t="s">
        <v>4084</v>
      </c>
      <c r="J754" s="4" t="s">
        <v>2030</v>
      </c>
    </row>
    <row r="755" spans="1:10" hidden="1">
      <c r="A755" s="4">
        <v>2.0210628410000499E+17</v>
      </c>
      <c r="B755" s="4">
        <v>2238119741</v>
      </c>
      <c r="C755" s="4" t="s">
        <v>13022</v>
      </c>
      <c r="D755" s="4">
        <v>28410</v>
      </c>
      <c r="E755" s="4">
        <v>20210628</v>
      </c>
      <c r="F755" s="4">
        <v>20210628</v>
      </c>
      <c r="G755" s="4">
        <v>20240628</v>
      </c>
      <c r="H755" s="4" t="s">
        <v>1478</v>
      </c>
      <c r="I755" s="4" t="s">
        <v>13021</v>
      </c>
      <c r="J755" s="4" t="s">
        <v>2199</v>
      </c>
    </row>
    <row r="756" spans="1:10" hidden="1">
      <c r="A756" s="4">
        <v>2.0210627211000499E+17</v>
      </c>
      <c r="B756" s="4">
        <v>5498102123</v>
      </c>
      <c r="C756" s="4" t="s">
        <v>13020</v>
      </c>
      <c r="D756" s="4">
        <v>27211</v>
      </c>
      <c r="E756" s="4">
        <v>20210628</v>
      </c>
      <c r="F756" s="4">
        <v>20210628</v>
      </c>
      <c r="G756" s="4">
        <v>20240628</v>
      </c>
      <c r="H756" s="4" t="s">
        <v>7002</v>
      </c>
      <c r="I756" s="4" t="s">
        <v>13019</v>
      </c>
      <c r="J756" s="4" t="s">
        <v>1585</v>
      </c>
    </row>
    <row r="757" spans="1:10" hidden="1">
      <c r="A757" s="4">
        <v>2.0210638130000499E+17</v>
      </c>
      <c r="B757" s="4">
        <v>2128801518</v>
      </c>
      <c r="C757" s="4" t="s">
        <v>13018</v>
      </c>
      <c r="D757" s="4">
        <v>38130</v>
      </c>
      <c r="E757" s="4">
        <v>20210628</v>
      </c>
      <c r="F757" s="4">
        <v>20210628</v>
      </c>
      <c r="G757" s="4">
        <v>20240628</v>
      </c>
      <c r="H757" s="4" t="s">
        <v>13017</v>
      </c>
      <c r="J757" s="4" t="s">
        <v>13016</v>
      </c>
    </row>
    <row r="758" spans="1:10" hidden="1">
      <c r="A758" s="4">
        <v>2.0210670129000499E+17</v>
      </c>
      <c r="B758" s="4">
        <v>8658601322</v>
      </c>
      <c r="C758" s="4" t="s">
        <v>13015</v>
      </c>
      <c r="D758" s="4">
        <v>70129</v>
      </c>
      <c r="E758" s="4">
        <v>20210628</v>
      </c>
      <c r="F758" s="4">
        <v>20210628</v>
      </c>
      <c r="G758" s="4">
        <v>20240628</v>
      </c>
      <c r="H758" s="4" t="s">
        <v>2735</v>
      </c>
      <c r="I758" s="4" t="s">
        <v>13014</v>
      </c>
      <c r="J758" s="4" t="s">
        <v>937</v>
      </c>
    </row>
    <row r="759" spans="1:10" hidden="1">
      <c r="A759" s="4">
        <v>2.0210685701000499E+17</v>
      </c>
      <c r="B759" s="4">
        <v>1528801822</v>
      </c>
      <c r="C759" s="4" t="s">
        <v>13013</v>
      </c>
      <c r="D759" s="4">
        <v>85701</v>
      </c>
      <c r="E759" s="4">
        <v>20210628</v>
      </c>
      <c r="F759" s="4">
        <v>20210628</v>
      </c>
      <c r="G759" s="4">
        <v>20240628</v>
      </c>
      <c r="H759" s="4" t="s">
        <v>13012</v>
      </c>
      <c r="I759" s="4" t="s">
        <v>13011</v>
      </c>
      <c r="J759" s="4" t="s">
        <v>11745</v>
      </c>
    </row>
    <row r="760" spans="1:10" hidden="1">
      <c r="A760" s="4">
        <v>2.0210673202000499E+17</v>
      </c>
      <c r="B760" s="4">
        <v>8568101420</v>
      </c>
      <c r="C760" s="4" t="s">
        <v>13010</v>
      </c>
      <c r="D760" s="4">
        <v>73202</v>
      </c>
      <c r="E760" s="4">
        <v>20210628</v>
      </c>
      <c r="F760" s="4">
        <v>20210628</v>
      </c>
      <c r="G760" s="4">
        <v>20240628</v>
      </c>
      <c r="H760" s="4" t="s">
        <v>13009</v>
      </c>
      <c r="I760" s="4" t="s">
        <v>13008</v>
      </c>
      <c r="J760" s="4" t="s">
        <v>605</v>
      </c>
    </row>
    <row r="761" spans="1:10" hidden="1">
      <c r="A761" s="4">
        <v>2.0210629176000499E+17</v>
      </c>
      <c r="B761" s="4">
        <v>7058600472</v>
      </c>
      <c r="C761" s="4" t="s">
        <v>13007</v>
      </c>
      <c r="D761" s="4">
        <v>29176</v>
      </c>
      <c r="E761" s="4">
        <v>20210628</v>
      </c>
      <c r="F761" s="4">
        <v>20210628</v>
      </c>
      <c r="G761" s="4">
        <v>20230520</v>
      </c>
      <c r="H761" s="4" t="s">
        <v>13006</v>
      </c>
      <c r="I761" s="4" t="s">
        <v>91</v>
      </c>
      <c r="J761" s="4" t="s">
        <v>9770</v>
      </c>
    </row>
    <row r="762" spans="1:10" hidden="1">
      <c r="A762" s="4">
        <v>2.0210658222000499E+17</v>
      </c>
      <c r="B762" s="4">
        <v>7088800363</v>
      </c>
      <c r="C762" s="4" t="s">
        <v>13005</v>
      </c>
      <c r="D762" s="4">
        <v>58222</v>
      </c>
      <c r="E762" s="4">
        <v>20210628</v>
      </c>
      <c r="F762" s="4">
        <v>20210628</v>
      </c>
      <c r="G762" s="4">
        <v>20230715</v>
      </c>
      <c r="H762" s="4" t="s">
        <v>13004</v>
      </c>
      <c r="I762" s="4" t="s">
        <v>855</v>
      </c>
      <c r="J762" s="4" t="s">
        <v>94</v>
      </c>
    </row>
    <row r="763" spans="1:10" hidden="1">
      <c r="A763" s="4">
        <v>2.0210662021000499E+17</v>
      </c>
      <c r="B763" s="4">
        <v>3118152713</v>
      </c>
      <c r="C763" s="4" t="s">
        <v>13003</v>
      </c>
      <c r="D763" s="4">
        <v>62021</v>
      </c>
      <c r="E763" s="4">
        <v>20210628</v>
      </c>
      <c r="F763" s="4">
        <v>20210628</v>
      </c>
      <c r="G763" s="4">
        <v>20240628</v>
      </c>
      <c r="H763" s="4" t="s">
        <v>13002</v>
      </c>
      <c r="I763" s="4" t="s">
        <v>13001</v>
      </c>
      <c r="J763" s="4" t="s">
        <v>1505</v>
      </c>
    </row>
    <row r="764" spans="1:10" hidden="1">
      <c r="A764" s="4">
        <v>2.0210620499000499E+17</v>
      </c>
      <c r="B764" s="4">
        <v>5978101588</v>
      </c>
      <c r="C764" s="4" t="s">
        <v>13000</v>
      </c>
      <c r="D764" s="4">
        <v>20499</v>
      </c>
      <c r="E764" s="4">
        <v>20210628</v>
      </c>
      <c r="F764" s="4">
        <v>20210628</v>
      </c>
      <c r="G764" s="4">
        <v>20240628</v>
      </c>
      <c r="H764" s="4" t="s">
        <v>12999</v>
      </c>
      <c r="I764" s="4" t="s">
        <v>91</v>
      </c>
      <c r="J764" s="4" t="s">
        <v>406</v>
      </c>
    </row>
    <row r="765" spans="1:10" hidden="1">
      <c r="A765" s="4">
        <v>2.0210670113000499E+17</v>
      </c>
      <c r="B765" s="4">
        <v>4828102043</v>
      </c>
      <c r="C765" s="4" t="s">
        <v>12998</v>
      </c>
      <c r="D765" s="4">
        <v>70113</v>
      </c>
      <c r="E765" s="4">
        <v>20210628</v>
      </c>
      <c r="F765" s="4">
        <v>20210628</v>
      </c>
      <c r="G765" s="4">
        <v>20240628</v>
      </c>
      <c r="H765" s="4" t="s">
        <v>2146</v>
      </c>
      <c r="I765" s="4" t="s">
        <v>12997</v>
      </c>
      <c r="J765" s="4" t="s">
        <v>1173</v>
      </c>
    </row>
    <row r="766" spans="1:10" hidden="1">
      <c r="A766" s="4">
        <v>2.0210662010000499E+17</v>
      </c>
      <c r="B766" s="4">
        <v>6028601473</v>
      </c>
      <c r="C766" s="4" t="s">
        <v>12996</v>
      </c>
      <c r="D766" s="4">
        <v>62010</v>
      </c>
      <c r="E766" s="4">
        <v>20210628</v>
      </c>
      <c r="F766" s="4">
        <v>20210628</v>
      </c>
      <c r="G766" s="4">
        <v>20240628</v>
      </c>
      <c r="H766" s="4" t="s">
        <v>12995</v>
      </c>
      <c r="I766" s="4" t="s">
        <v>12994</v>
      </c>
      <c r="J766" s="4" t="s">
        <v>118</v>
      </c>
    </row>
    <row r="767" spans="1:10" hidden="1">
      <c r="A767" s="4">
        <v>2.0210623324000499E+17</v>
      </c>
      <c r="B767" s="4">
        <v>2328801773</v>
      </c>
      <c r="C767" s="4" t="s">
        <v>12993</v>
      </c>
      <c r="D767" s="4">
        <v>23324</v>
      </c>
      <c r="E767" s="4">
        <v>20210628</v>
      </c>
      <c r="F767" s="4">
        <v>20210628</v>
      </c>
      <c r="G767" s="4">
        <v>20240628</v>
      </c>
      <c r="H767" s="4" t="s">
        <v>12992</v>
      </c>
      <c r="I767" s="4" t="s">
        <v>91</v>
      </c>
      <c r="J767" s="4" t="s">
        <v>3323</v>
      </c>
    </row>
    <row r="768" spans="1:10" hidden="1">
      <c r="A768" s="4">
        <v>2.0210613999000499E+17</v>
      </c>
      <c r="B768" s="4">
        <v>5668801598</v>
      </c>
      <c r="C768" s="4" t="s">
        <v>12991</v>
      </c>
      <c r="D768" s="4">
        <v>13999</v>
      </c>
      <c r="E768" s="4">
        <v>20210628</v>
      </c>
      <c r="F768" s="4">
        <v>20210628</v>
      </c>
      <c r="G768" s="4">
        <v>20240628</v>
      </c>
      <c r="H768" s="4" t="s">
        <v>12990</v>
      </c>
      <c r="J768" s="4" t="s">
        <v>130</v>
      </c>
    </row>
    <row r="769" spans="1:10" hidden="1">
      <c r="A769" s="4">
        <v>2.0210659111000499E+17</v>
      </c>
      <c r="B769" s="4">
        <v>3728101150</v>
      </c>
      <c r="C769" s="4" t="s">
        <v>12989</v>
      </c>
      <c r="D769" s="4">
        <v>59111</v>
      </c>
      <c r="E769" s="4">
        <v>20210628</v>
      </c>
      <c r="F769" s="4">
        <v>20210628</v>
      </c>
      <c r="G769" s="4">
        <v>20240628</v>
      </c>
      <c r="H769" s="4" t="s">
        <v>12988</v>
      </c>
      <c r="I769" s="4" t="s">
        <v>1553</v>
      </c>
      <c r="J769" s="4" t="s">
        <v>1857</v>
      </c>
    </row>
    <row r="770" spans="1:10" hidden="1">
      <c r="A770" s="4">
        <v>2.0210658222000499E+17</v>
      </c>
      <c r="B770" s="4">
        <v>2338701667</v>
      </c>
      <c r="C770" s="4" t="s">
        <v>12987</v>
      </c>
      <c r="D770" s="4">
        <v>58222</v>
      </c>
      <c r="E770" s="4">
        <v>20210628</v>
      </c>
      <c r="F770" s="4">
        <v>20210628</v>
      </c>
      <c r="G770" s="4">
        <v>20240628</v>
      </c>
      <c r="H770" s="4" t="s">
        <v>4062</v>
      </c>
      <c r="J770" s="4" t="s">
        <v>94</v>
      </c>
    </row>
    <row r="771" spans="1:10" hidden="1">
      <c r="A771" s="4">
        <v>2.0210690123000499E+17</v>
      </c>
      <c r="B771" s="4">
        <v>5768101811</v>
      </c>
      <c r="C771" s="4" t="s">
        <v>12986</v>
      </c>
      <c r="D771" s="4">
        <v>90123</v>
      </c>
      <c r="E771" s="4">
        <v>20210628</v>
      </c>
      <c r="F771" s="4">
        <v>20210628</v>
      </c>
      <c r="G771" s="4">
        <v>20240628</v>
      </c>
      <c r="H771" s="4" t="s">
        <v>12985</v>
      </c>
      <c r="I771" s="4" t="s">
        <v>159</v>
      </c>
      <c r="J771" s="4" t="s">
        <v>12984</v>
      </c>
    </row>
    <row r="772" spans="1:10" hidden="1">
      <c r="A772" s="4">
        <v>2.0210675999000499E+17</v>
      </c>
      <c r="B772" s="4">
        <v>1818802227</v>
      </c>
      <c r="C772" s="4" t="s">
        <v>12983</v>
      </c>
      <c r="D772" s="4">
        <v>75999</v>
      </c>
      <c r="E772" s="4">
        <v>20210628</v>
      </c>
      <c r="F772" s="4">
        <v>20210628</v>
      </c>
      <c r="G772" s="4">
        <v>20240628</v>
      </c>
      <c r="H772" s="4" t="s">
        <v>12982</v>
      </c>
      <c r="J772" s="4" t="s">
        <v>158</v>
      </c>
    </row>
    <row r="773" spans="1:10" hidden="1">
      <c r="A773" s="4">
        <v>2.0210674100000499E+17</v>
      </c>
      <c r="B773" s="4">
        <v>3648801425</v>
      </c>
      <c r="C773" s="4" t="s">
        <v>13246</v>
      </c>
      <c r="D773" s="4">
        <v>74100</v>
      </c>
      <c r="E773" s="4">
        <v>20210629</v>
      </c>
      <c r="F773" s="4">
        <v>20210629</v>
      </c>
      <c r="G773" s="4">
        <v>20240629</v>
      </c>
      <c r="H773" s="4" t="s">
        <v>4099</v>
      </c>
      <c r="I773" s="4" t="s">
        <v>13245</v>
      </c>
      <c r="J773" s="4" t="s">
        <v>2207</v>
      </c>
    </row>
    <row r="774" spans="1:10" hidden="1">
      <c r="A774" s="4">
        <v>2.0210673203000499E+17</v>
      </c>
      <c r="B774" s="4">
        <v>6052750559</v>
      </c>
      <c r="C774" s="4" t="s">
        <v>12978</v>
      </c>
      <c r="D774" s="4">
        <v>73203</v>
      </c>
      <c r="E774" s="4">
        <v>20210628</v>
      </c>
      <c r="F774" s="4">
        <v>20210628</v>
      </c>
      <c r="G774" s="4">
        <v>20240628</v>
      </c>
      <c r="H774" s="4" t="s">
        <v>11833</v>
      </c>
      <c r="I774" s="4" t="s">
        <v>1611</v>
      </c>
      <c r="J774" s="4" t="s">
        <v>260</v>
      </c>
    </row>
    <row r="775" spans="1:10" hidden="1">
      <c r="A775" s="4">
        <v>2.0210646592000499E+17</v>
      </c>
      <c r="B775" s="4">
        <v>5010899394</v>
      </c>
      <c r="C775" s="4" t="s">
        <v>12977</v>
      </c>
      <c r="D775" s="4">
        <v>46592</v>
      </c>
      <c r="E775" s="4">
        <v>20210628</v>
      </c>
      <c r="F775" s="4">
        <v>20210628</v>
      </c>
      <c r="G775" s="4">
        <v>20240318</v>
      </c>
      <c r="H775" s="4" t="s">
        <v>12976</v>
      </c>
      <c r="I775" s="4" t="s">
        <v>149</v>
      </c>
      <c r="J775" s="4" t="s">
        <v>148</v>
      </c>
    </row>
    <row r="776" spans="1:10" hidden="1">
      <c r="A776" s="4">
        <v>2.0210626323000499E+17</v>
      </c>
      <c r="B776" s="4">
        <v>1656300369</v>
      </c>
      <c r="C776" s="4" t="s">
        <v>12975</v>
      </c>
      <c r="D776" s="4">
        <v>26323</v>
      </c>
      <c r="E776" s="4">
        <v>20210628</v>
      </c>
      <c r="F776" s="4">
        <v>20210628</v>
      </c>
      <c r="G776" s="4">
        <v>20240628</v>
      </c>
      <c r="H776" s="4" t="s">
        <v>8211</v>
      </c>
      <c r="I776" s="4" t="s">
        <v>12974</v>
      </c>
      <c r="J776" s="4" t="s">
        <v>2186</v>
      </c>
    </row>
    <row r="777" spans="1:10" hidden="1">
      <c r="A777" s="4">
        <v>2.0210627302000499E+17</v>
      </c>
      <c r="B777" s="4">
        <v>3454300609</v>
      </c>
      <c r="C777" s="4" t="s">
        <v>12973</v>
      </c>
      <c r="D777" s="4">
        <v>27302</v>
      </c>
      <c r="E777" s="4">
        <v>20210628</v>
      </c>
      <c r="F777" s="4">
        <v>20210628</v>
      </c>
      <c r="G777" s="4">
        <v>20240628</v>
      </c>
      <c r="H777" s="4" t="s">
        <v>12972</v>
      </c>
      <c r="I777" s="4" t="s">
        <v>1064</v>
      </c>
      <c r="J777" s="4" t="s">
        <v>2148</v>
      </c>
    </row>
    <row r="778" spans="1:10" hidden="1">
      <c r="A778" s="4">
        <v>2.0210647912000499E+17</v>
      </c>
      <c r="B778" s="4">
        <v>8922200681</v>
      </c>
      <c r="C778" s="4" t="s">
        <v>12971</v>
      </c>
      <c r="D778" s="4">
        <v>47912</v>
      </c>
      <c r="E778" s="4">
        <v>20210628</v>
      </c>
      <c r="F778" s="4">
        <v>20210628</v>
      </c>
      <c r="G778" s="4">
        <v>20240628</v>
      </c>
      <c r="H778" s="4" t="s">
        <v>12970</v>
      </c>
      <c r="I778" s="4" t="s">
        <v>12969</v>
      </c>
      <c r="J778" s="4" t="s">
        <v>78</v>
      </c>
    </row>
    <row r="779" spans="1:10" hidden="1">
      <c r="A779" s="4">
        <v>2.0210646800000499E+17</v>
      </c>
      <c r="B779" s="4">
        <v>5303900520</v>
      </c>
      <c r="C779" s="4" t="s">
        <v>12968</v>
      </c>
      <c r="D779" s="4">
        <v>46800</v>
      </c>
      <c r="E779" s="4">
        <v>20210628</v>
      </c>
      <c r="F779" s="4">
        <v>20210628</v>
      </c>
      <c r="G779" s="4">
        <v>20240628</v>
      </c>
      <c r="H779" s="4" t="s">
        <v>12967</v>
      </c>
      <c r="J779" s="4" t="s">
        <v>979</v>
      </c>
    </row>
    <row r="780" spans="1:10" hidden="1">
      <c r="A780" s="4">
        <v>2.0210631312000499E+17</v>
      </c>
      <c r="B780" s="4">
        <v>2028165893</v>
      </c>
      <c r="C780" s="4" t="s">
        <v>12966</v>
      </c>
      <c r="D780" s="4">
        <v>31312</v>
      </c>
      <c r="E780" s="4">
        <v>20210628</v>
      </c>
      <c r="F780" s="4">
        <v>20210628</v>
      </c>
      <c r="G780" s="4">
        <v>20240628</v>
      </c>
      <c r="H780" s="4" t="s">
        <v>12965</v>
      </c>
      <c r="I780" s="4" t="s">
        <v>12964</v>
      </c>
      <c r="J780" s="4" t="s">
        <v>748</v>
      </c>
    </row>
    <row r="781" spans="1:10" hidden="1">
      <c r="A781" s="4">
        <v>2.0210662090000499E+17</v>
      </c>
      <c r="B781" s="4">
        <v>5398100472</v>
      </c>
      <c r="C781" s="4" t="s">
        <v>12963</v>
      </c>
      <c r="D781" s="4">
        <v>62090</v>
      </c>
      <c r="E781" s="4">
        <v>20210627</v>
      </c>
      <c r="F781" s="4">
        <v>20210627</v>
      </c>
      <c r="G781" s="4">
        <v>20230830</v>
      </c>
      <c r="H781" s="4" t="s">
        <v>12962</v>
      </c>
      <c r="I781" s="4" t="s">
        <v>12961</v>
      </c>
      <c r="J781" s="4" t="s">
        <v>2030</v>
      </c>
    </row>
    <row r="782" spans="1:10" hidden="1">
      <c r="A782" s="4">
        <v>2.0210658222000499E+17</v>
      </c>
      <c r="B782" s="4">
        <v>1798101814</v>
      </c>
      <c r="C782" s="4" t="s">
        <v>12960</v>
      </c>
      <c r="D782" s="4">
        <v>58222</v>
      </c>
      <c r="E782" s="4">
        <v>20210625</v>
      </c>
      <c r="F782" s="4">
        <v>20210625</v>
      </c>
      <c r="G782" s="4">
        <v>20240625</v>
      </c>
      <c r="H782" s="4" t="s">
        <v>4685</v>
      </c>
      <c r="I782" s="4" t="s">
        <v>4084</v>
      </c>
      <c r="J782" s="4" t="s">
        <v>94</v>
      </c>
    </row>
    <row r="783" spans="1:10" hidden="1">
      <c r="A783" s="4">
        <v>2.0210658222000499E+17</v>
      </c>
      <c r="B783" s="4">
        <v>7238801089</v>
      </c>
      <c r="C783" s="4" t="s">
        <v>12959</v>
      </c>
      <c r="D783" s="4">
        <v>58222</v>
      </c>
      <c r="E783" s="4">
        <v>20210625</v>
      </c>
      <c r="F783" s="4">
        <v>20210625</v>
      </c>
      <c r="G783" s="4">
        <v>20240625</v>
      </c>
      <c r="H783" s="4" t="s">
        <v>4685</v>
      </c>
      <c r="I783" s="4" t="s">
        <v>12958</v>
      </c>
      <c r="J783" s="4" t="s">
        <v>94</v>
      </c>
    </row>
    <row r="784" spans="1:10" hidden="1">
      <c r="A784" s="4">
        <v>2.0210629163000499E+17</v>
      </c>
      <c r="B784" s="4">
        <v>5708602122</v>
      </c>
      <c r="C784" s="4" t="s">
        <v>12957</v>
      </c>
      <c r="D784" s="4">
        <v>29163</v>
      </c>
      <c r="E784" s="4">
        <v>20210625</v>
      </c>
      <c r="F784" s="4">
        <v>20210625</v>
      </c>
      <c r="G784" s="4">
        <v>20240625</v>
      </c>
      <c r="H784" s="4" t="s">
        <v>12956</v>
      </c>
      <c r="I784" s="4" t="s">
        <v>12955</v>
      </c>
      <c r="J784" s="4" t="s">
        <v>313</v>
      </c>
    </row>
    <row r="785" spans="1:10" hidden="1">
      <c r="A785" s="4">
        <v>2.0210685709000499E+17</v>
      </c>
      <c r="B785" s="4">
        <v>1318700611</v>
      </c>
      <c r="C785" s="4" t="s">
        <v>12954</v>
      </c>
      <c r="D785" s="4">
        <v>85709</v>
      </c>
      <c r="E785" s="4">
        <v>20210625</v>
      </c>
      <c r="F785" s="4">
        <v>20210625</v>
      </c>
      <c r="G785" s="4">
        <v>20240112</v>
      </c>
      <c r="H785" s="4" t="s">
        <v>12953</v>
      </c>
      <c r="I785" s="4" t="s">
        <v>1156</v>
      </c>
      <c r="J785" s="4" t="s">
        <v>141</v>
      </c>
    </row>
    <row r="786" spans="1:10" hidden="1">
      <c r="A786" s="4">
        <v>2.0210671400000499E+17</v>
      </c>
      <c r="B786" s="4">
        <v>5678700237</v>
      </c>
      <c r="C786" s="4" t="s">
        <v>12952</v>
      </c>
      <c r="D786" s="4">
        <v>71400</v>
      </c>
      <c r="E786" s="4">
        <v>20210625</v>
      </c>
      <c r="F786" s="4">
        <v>20210625</v>
      </c>
      <c r="G786" s="4">
        <v>20220728</v>
      </c>
      <c r="H786" s="4" t="s">
        <v>12951</v>
      </c>
      <c r="I786" s="4" t="s">
        <v>12950</v>
      </c>
      <c r="J786" s="4" t="s">
        <v>1629</v>
      </c>
    </row>
    <row r="787" spans="1:10" hidden="1">
      <c r="A787" s="4">
        <v>2.0210627213000499E+17</v>
      </c>
      <c r="B787" s="4">
        <v>8978100422</v>
      </c>
      <c r="C787" s="4" t="s">
        <v>12949</v>
      </c>
      <c r="D787" s="4">
        <v>27213</v>
      </c>
      <c r="E787" s="4">
        <v>20210625</v>
      </c>
      <c r="F787" s="4">
        <v>20210625</v>
      </c>
      <c r="G787" s="4">
        <v>20230615</v>
      </c>
      <c r="H787" s="4" t="s">
        <v>5038</v>
      </c>
      <c r="I787" s="4" t="s">
        <v>12948</v>
      </c>
      <c r="J787" s="4" t="s">
        <v>264</v>
      </c>
    </row>
    <row r="788" spans="1:10" hidden="1">
      <c r="A788" s="4">
        <v>2.0210658222000499E+17</v>
      </c>
      <c r="B788" s="4">
        <v>1128155199</v>
      </c>
      <c r="C788" s="4" t="s">
        <v>12947</v>
      </c>
      <c r="D788" s="4">
        <v>58222</v>
      </c>
      <c r="E788" s="4">
        <v>20210625</v>
      </c>
      <c r="F788" s="4">
        <v>20210625</v>
      </c>
      <c r="G788" s="4">
        <v>20240625</v>
      </c>
      <c r="H788" s="4" t="s">
        <v>12946</v>
      </c>
      <c r="I788" s="4" t="s">
        <v>12945</v>
      </c>
      <c r="J788" s="4" t="s">
        <v>94</v>
      </c>
    </row>
    <row r="789" spans="1:10" hidden="1">
      <c r="A789" s="4">
        <v>2.0210614112000499E+17</v>
      </c>
      <c r="B789" s="4">
        <v>3782001045</v>
      </c>
      <c r="C789" s="4" t="s">
        <v>12944</v>
      </c>
      <c r="D789" s="4">
        <v>14112</v>
      </c>
      <c r="E789" s="4">
        <v>20210625</v>
      </c>
      <c r="F789" s="4">
        <v>20210625</v>
      </c>
      <c r="G789" s="4">
        <v>20240625</v>
      </c>
      <c r="H789" s="4" t="s">
        <v>12943</v>
      </c>
      <c r="J789" s="4" t="s">
        <v>8973</v>
      </c>
    </row>
    <row r="790" spans="1:10" hidden="1">
      <c r="A790" s="4">
        <v>2.0210623329000499E+17</v>
      </c>
      <c r="B790" s="4">
        <v>4205300535</v>
      </c>
      <c r="C790" s="4" t="s">
        <v>12942</v>
      </c>
      <c r="D790" s="4">
        <v>23329</v>
      </c>
      <c r="E790" s="4">
        <v>20210625</v>
      </c>
      <c r="F790" s="4">
        <v>20210625</v>
      </c>
      <c r="G790" s="4">
        <v>20240625</v>
      </c>
      <c r="H790" s="4" t="s">
        <v>12941</v>
      </c>
      <c r="J790" s="4" t="s">
        <v>6281</v>
      </c>
    </row>
    <row r="791" spans="1:10" hidden="1">
      <c r="A791" s="4">
        <v>2.0210673202000499E+17</v>
      </c>
      <c r="B791" s="4">
        <v>7654300744</v>
      </c>
      <c r="C791" s="4" t="s">
        <v>12940</v>
      </c>
      <c r="D791" s="4">
        <v>73202</v>
      </c>
      <c r="E791" s="4">
        <v>20210625</v>
      </c>
      <c r="F791" s="4">
        <v>20210625</v>
      </c>
      <c r="G791" s="4">
        <v>20240625</v>
      </c>
      <c r="H791" s="4" t="s">
        <v>12939</v>
      </c>
      <c r="I791" s="4" t="s">
        <v>12938</v>
      </c>
      <c r="J791" s="4" t="s">
        <v>605</v>
      </c>
    </row>
    <row r="792" spans="1:10" hidden="1">
      <c r="A792" s="4">
        <v>2.0210642412000499E+17</v>
      </c>
      <c r="B792" s="4">
        <v>5938602106</v>
      </c>
      <c r="C792" s="4" t="s">
        <v>12937</v>
      </c>
      <c r="D792" s="4">
        <v>42412</v>
      </c>
      <c r="E792" s="4">
        <v>20210625</v>
      </c>
      <c r="F792" s="4">
        <v>20210625</v>
      </c>
      <c r="G792" s="4">
        <v>20240625</v>
      </c>
      <c r="H792" s="4" t="s">
        <v>12936</v>
      </c>
      <c r="J792" s="4" t="s">
        <v>281</v>
      </c>
    </row>
    <row r="793" spans="1:10" hidden="1">
      <c r="A793" s="4">
        <v>2.0210601151000499E+17</v>
      </c>
      <c r="B793" s="4">
        <v>7078600110</v>
      </c>
      <c r="C793" s="4" t="s">
        <v>12935</v>
      </c>
      <c r="D793" s="4">
        <v>1151</v>
      </c>
      <c r="E793" s="4">
        <v>20210625</v>
      </c>
      <c r="F793" s="4">
        <v>20210625</v>
      </c>
      <c r="G793" s="4">
        <v>20220528</v>
      </c>
      <c r="H793" s="4" t="s">
        <v>12934</v>
      </c>
      <c r="J793" s="4" t="s">
        <v>12933</v>
      </c>
    </row>
    <row r="794" spans="1:10" hidden="1">
      <c r="A794" s="4">
        <v>2.0210647912000499E+17</v>
      </c>
      <c r="B794" s="4">
        <v>1534300465</v>
      </c>
      <c r="C794" s="4" t="s">
        <v>12932</v>
      </c>
      <c r="D794" s="4">
        <v>47912</v>
      </c>
      <c r="E794" s="4">
        <v>20210625</v>
      </c>
      <c r="F794" s="4">
        <v>20210625</v>
      </c>
      <c r="G794" s="4">
        <v>20240625</v>
      </c>
      <c r="H794" s="4" t="s">
        <v>8867</v>
      </c>
      <c r="I794" s="4" t="s">
        <v>8428</v>
      </c>
      <c r="J794" s="4" t="s">
        <v>78</v>
      </c>
    </row>
    <row r="795" spans="1:10" hidden="1">
      <c r="A795" s="4">
        <v>2.0210646510000499E+17</v>
      </c>
      <c r="B795" s="4">
        <v>4650800483</v>
      </c>
      <c r="C795" s="4" t="s">
        <v>12931</v>
      </c>
      <c r="D795" s="4">
        <v>46510</v>
      </c>
      <c r="E795" s="4">
        <v>20210625</v>
      </c>
      <c r="F795" s="4">
        <v>20210625</v>
      </c>
      <c r="G795" s="4">
        <v>20230913</v>
      </c>
      <c r="H795" s="4" t="s">
        <v>12930</v>
      </c>
      <c r="I795" s="4" t="s">
        <v>12929</v>
      </c>
      <c r="J795" s="4" t="s">
        <v>126</v>
      </c>
    </row>
    <row r="796" spans="1:10" hidden="1">
      <c r="A796" s="4">
        <v>2.0210674100000499E+17</v>
      </c>
      <c r="B796" s="4">
        <v>4191801149</v>
      </c>
      <c r="C796" s="4" t="s">
        <v>12928</v>
      </c>
      <c r="D796" s="4">
        <v>74100</v>
      </c>
      <c r="E796" s="4">
        <v>20210625</v>
      </c>
      <c r="F796" s="4">
        <v>20210625</v>
      </c>
      <c r="G796" s="4">
        <v>20240625</v>
      </c>
      <c r="H796" s="4" t="s">
        <v>12927</v>
      </c>
      <c r="I796" s="4" t="s">
        <v>12926</v>
      </c>
      <c r="J796" s="4" t="s">
        <v>2207</v>
      </c>
    </row>
    <row r="797" spans="1:10">
      <c r="A797" s="4">
        <v>2.0210546453000301E+17</v>
      </c>
      <c r="B797" s="4">
        <v>1318670347</v>
      </c>
      <c r="C797" s="4" t="s">
        <v>8442</v>
      </c>
      <c r="D797" s="4">
        <v>46453</v>
      </c>
      <c r="E797" s="4">
        <v>20210506</v>
      </c>
      <c r="F797" s="4">
        <v>20210506</v>
      </c>
      <c r="G797" s="4">
        <v>20220209</v>
      </c>
      <c r="H797" s="4" t="s">
        <v>8441</v>
      </c>
      <c r="I797" s="4" t="s">
        <v>591</v>
      </c>
      <c r="J797" s="4" t="s">
        <v>816</v>
      </c>
    </row>
    <row r="798" spans="1:10" hidden="1">
      <c r="A798" s="4">
        <v>2.0210659113000499E+17</v>
      </c>
      <c r="B798" s="4">
        <v>7773500096</v>
      </c>
      <c r="C798" s="4" t="s">
        <v>12922</v>
      </c>
      <c r="D798" s="4">
        <v>59113</v>
      </c>
      <c r="E798" s="4">
        <v>20210625</v>
      </c>
      <c r="F798" s="4">
        <v>20210625</v>
      </c>
      <c r="G798" s="4">
        <v>20220814</v>
      </c>
      <c r="H798" s="4" t="s">
        <v>12921</v>
      </c>
      <c r="I798" s="4" t="s">
        <v>12920</v>
      </c>
      <c r="J798" s="4" t="s">
        <v>3651</v>
      </c>
    </row>
    <row r="799" spans="1:10" hidden="1">
      <c r="A799" s="4">
        <v>2.0210629221000499E+17</v>
      </c>
      <c r="B799" s="4">
        <v>6624600349</v>
      </c>
      <c r="C799" s="4" t="s">
        <v>12919</v>
      </c>
      <c r="D799" s="4">
        <v>29221</v>
      </c>
      <c r="E799" s="4">
        <v>20210625</v>
      </c>
      <c r="F799" s="4">
        <v>20210625</v>
      </c>
      <c r="G799" s="4">
        <v>20240625</v>
      </c>
      <c r="H799" s="4" t="s">
        <v>1530</v>
      </c>
      <c r="I799" s="4" t="s">
        <v>12918</v>
      </c>
      <c r="J799" s="4" t="s">
        <v>7230</v>
      </c>
    </row>
    <row r="800" spans="1:10" hidden="1">
      <c r="A800" s="4">
        <v>2.0210658221000499E+17</v>
      </c>
      <c r="B800" s="4">
        <v>6140466605</v>
      </c>
      <c r="C800" s="4" t="s">
        <v>12917</v>
      </c>
      <c r="D800" s="4">
        <v>58221</v>
      </c>
      <c r="E800" s="4">
        <v>20210625</v>
      </c>
      <c r="F800" s="4">
        <v>20210625</v>
      </c>
      <c r="G800" s="4">
        <v>20240625</v>
      </c>
      <c r="H800" s="4" t="s">
        <v>397</v>
      </c>
      <c r="I800" s="4" t="s">
        <v>12916</v>
      </c>
      <c r="J800" s="4" t="s">
        <v>228</v>
      </c>
    </row>
    <row r="801" spans="1:10" hidden="1">
      <c r="A801" s="4">
        <v>2.0210646442000499E+17</v>
      </c>
      <c r="B801" s="4">
        <v>6141369977</v>
      </c>
      <c r="C801" s="4" t="s">
        <v>12915</v>
      </c>
      <c r="D801" s="4">
        <v>46442</v>
      </c>
      <c r="E801" s="4">
        <v>20210625</v>
      </c>
      <c r="F801" s="4">
        <v>20210625</v>
      </c>
      <c r="G801" s="4">
        <v>20240625</v>
      </c>
      <c r="H801" s="4" t="s">
        <v>12914</v>
      </c>
      <c r="J801" s="4" t="s">
        <v>3282</v>
      </c>
    </row>
    <row r="802" spans="1:10" hidden="1">
      <c r="A802" s="4">
        <v>2.0210658221000499E+17</v>
      </c>
      <c r="B802" s="4">
        <v>2102692674</v>
      </c>
      <c r="C802" s="4" t="s">
        <v>12913</v>
      </c>
      <c r="D802" s="4">
        <v>58221</v>
      </c>
      <c r="E802" s="4">
        <v>20210625</v>
      </c>
      <c r="F802" s="4">
        <v>20210625</v>
      </c>
      <c r="G802" s="4">
        <v>20240625</v>
      </c>
      <c r="H802" s="4" t="s">
        <v>12912</v>
      </c>
      <c r="I802" s="4" t="s">
        <v>12911</v>
      </c>
      <c r="J802" s="4" t="s">
        <v>228</v>
      </c>
    </row>
    <row r="803" spans="1:10" hidden="1">
      <c r="A803" s="4">
        <v>2.0210642202000499E+17</v>
      </c>
      <c r="B803" s="4">
        <v>7238700031</v>
      </c>
      <c r="C803" s="4" t="s">
        <v>12910</v>
      </c>
      <c r="D803" s="4">
        <v>42202</v>
      </c>
      <c r="E803" s="4">
        <v>20210625</v>
      </c>
      <c r="F803" s="4">
        <v>20210625</v>
      </c>
      <c r="G803" s="4">
        <v>20220423</v>
      </c>
      <c r="H803" s="4" t="s">
        <v>12909</v>
      </c>
      <c r="J803" s="4" t="s">
        <v>447</v>
      </c>
    </row>
    <row r="804" spans="1:10" hidden="1">
      <c r="A804" s="4">
        <v>2.0210626329000499E+17</v>
      </c>
      <c r="B804" s="4">
        <v>7028700693</v>
      </c>
      <c r="C804" s="4" t="s">
        <v>12908</v>
      </c>
      <c r="D804" s="4">
        <v>26329</v>
      </c>
      <c r="E804" s="4">
        <v>20210625</v>
      </c>
      <c r="F804" s="4">
        <v>20210625</v>
      </c>
      <c r="G804" s="4">
        <v>20240306</v>
      </c>
      <c r="H804" s="4" t="s">
        <v>491</v>
      </c>
      <c r="I804" s="4" t="s">
        <v>12907</v>
      </c>
      <c r="J804" s="4" t="s">
        <v>565</v>
      </c>
    </row>
    <row r="805" spans="1:10" hidden="1">
      <c r="A805" s="4">
        <v>2.0210628511000499E+17</v>
      </c>
      <c r="B805" s="4">
        <v>4668601085</v>
      </c>
      <c r="C805" s="4" t="s">
        <v>12906</v>
      </c>
      <c r="D805" s="4">
        <v>28511</v>
      </c>
      <c r="E805" s="4">
        <v>20210625</v>
      </c>
      <c r="F805" s="4">
        <v>20210625</v>
      </c>
      <c r="G805" s="4">
        <v>20240625</v>
      </c>
      <c r="H805" s="4" t="s">
        <v>12905</v>
      </c>
      <c r="I805" s="4" t="s">
        <v>12904</v>
      </c>
      <c r="J805" s="4" t="s">
        <v>928</v>
      </c>
    </row>
    <row r="806" spans="1:10" hidden="1">
      <c r="A806" s="4">
        <v>2.0210622223000499E+17</v>
      </c>
      <c r="B806" s="4">
        <v>8268801995</v>
      </c>
      <c r="C806" s="4" t="s">
        <v>12903</v>
      </c>
      <c r="D806" s="4">
        <v>22223</v>
      </c>
      <c r="E806" s="4">
        <v>20210625</v>
      </c>
      <c r="F806" s="4">
        <v>20210625</v>
      </c>
      <c r="G806" s="4">
        <v>20240625</v>
      </c>
      <c r="H806" s="4" t="s">
        <v>12902</v>
      </c>
      <c r="J806" s="4" t="s">
        <v>1618</v>
      </c>
    </row>
    <row r="807" spans="1:10" hidden="1">
      <c r="A807" s="4">
        <v>2.0210670209000499E+17</v>
      </c>
      <c r="B807" s="4">
        <v>4438801470</v>
      </c>
      <c r="C807" s="4" t="s">
        <v>12901</v>
      </c>
      <c r="D807" s="4">
        <v>70209</v>
      </c>
      <c r="E807" s="4">
        <v>20210625</v>
      </c>
      <c r="F807" s="4">
        <v>20210625</v>
      </c>
      <c r="G807" s="4">
        <v>20240625</v>
      </c>
      <c r="H807" s="4" t="s">
        <v>1932</v>
      </c>
      <c r="I807" s="4" t="s">
        <v>12900</v>
      </c>
      <c r="J807" s="4" t="s">
        <v>242</v>
      </c>
    </row>
    <row r="808" spans="1:10" hidden="1">
      <c r="A808" s="4">
        <v>2.0210646595000499E+17</v>
      </c>
      <c r="B808" s="4">
        <v>1238701545</v>
      </c>
      <c r="C808" s="4" t="s">
        <v>12899</v>
      </c>
      <c r="D808" s="4">
        <v>46595</v>
      </c>
      <c r="E808" s="4">
        <v>20210625</v>
      </c>
      <c r="F808" s="4">
        <v>20210625</v>
      </c>
      <c r="G808" s="4">
        <v>20240625</v>
      </c>
      <c r="H808" s="4" t="s">
        <v>12898</v>
      </c>
      <c r="I808" s="4" t="s">
        <v>12897</v>
      </c>
      <c r="J808" s="4" t="s">
        <v>960</v>
      </c>
    </row>
    <row r="809" spans="1:10" hidden="1">
      <c r="A809" s="4">
        <v>2.0210685503000499E+17</v>
      </c>
      <c r="B809" s="4">
        <v>1688100135</v>
      </c>
      <c r="C809" s="4" t="s">
        <v>12896</v>
      </c>
      <c r="D809" s="4">
        <v>85503</v>
      </c>
      <c r="E809" s="4">
        <v>20210625</v>
      </c>
      <c r="F809" s="4">
        <v>20210625</v>
      </c>
      <c r="G809" s="4">
        <v>20220909</v>
      </c>
      <c r="H809" s="4" t="s">
        <v>563</v>
      </c>
      <c r="I809" s="4" t="s">
        <v>12895</v>
      </c>
      <c r="J809" s="4" t="s">
        <v>4470</v>
      </c>
    </row>
    <row r="810" spans="1:10" hidden="1">
      <c r="A810" s="4">
        <v>2.0210674211000499E+17</v>
      </c>
      <c r="B810" s="4">
        <v>7638701737</v>
      </c>
      <c r="C810" s="4" t="s">
        <v>12894</v>
      </c>
      <c r="D810" s="4">
        <v>74211</v>
      </c>
      <c r="E810" s="4">
        <v>20210625</v>
      </c>
      <c r="F810" s="4">
        <v>20210625</v>
      </c>
      <c r="G810" s="4">
        <v>20240625</v>
      </c>
      <c r="H810" s="4" t="s">
        <v>12893</v>
      </c>
      <c r="I810" s="4" t="s">
        <v>12892</v>
      </c>
      <c r="J810" s="4" t="s">
        <v>5576</v>
      </c>
    </row>
    <row r="811" spans="1:10" hidden="1">
      <c r="A811" s="4">
        <v>2.0210672111000499E+17</v>
      </c>
      <c r="B811" s="4">
        <v>2948601952</v>
      </c>
      <c r="C811" s="4" t="s">
        <v>12891</v>
      </c>
      <c r="D811" s="4">
        <v>72111</v>
      </c>
      <c r="E811" s="4">
        <v>20210625</v>
      </c>
      <c r="F811" s="4">
        <v>20210625</v>
      </c>
      <c r="G811" s="4">
        <v>20240625</v>
      </c>
      <c r="H811" s="4" t="s">
        <v>1441</v>
      </c>
      <c r="I811" s="4" t="s">
        <v>12890</v>
      </c>
      <c r="J811" s="4" t="s">
        <v>3461</v>
      </c>
    </row>
    <row r="812" spans="1:10" hidden="1">
      <c r="A812" s="4">
        <v>2.0210658222000499E+17</v>
      </c>
      <c r="B812" s="4">
        <v>3998700750</v>
      </c>
      <c r="C812" s="4" t="s">
        <v>12889</v>
      </c>
      <c r="D812" s="4">
        <v>58222</v>
      </c>
      <c r="E812" s="4">
        <v>20210625</v>
      </c>
      <c r="F812" s="4">
        <v>20210625</v>
      </c>
      <c r="G812" s="4">
        <v>20230905</v>
      </c>
      <c r="H812" s="4" t="s">
        <v>12888</v>
      </c>
      <c r="I812" s="4" t="s">
        <v>12887</v>
      </c>
      <c r="J812" s="4" t="s">
        <v>94</v>
      </c>
    </row>
    <row r="813" spans="1:10" hidden="1">
      <c r="A813" s="4">
        <v>2.0210662010000499E+17</v>
      </c>
      <c r="B813" s="4">
        <v>6888701440</v>
      </c>
      <c r="C813" s="4" t="s">
        <v>12886</v>
      </c>
      <c r="D813" s="4">
        <v>62010</v>
      </c>
      <c r="E813" s="4">
        <v>20210625</v>
      </c>
      <c r="F813" s="4">
        <v>20210625</v>
      </c>
      <c r="G813" s="4">
        <v>20240625</v>
      </c>
      <c r="H813" s="4" t="s">
        <v>12885</v>
      </c>
      <c r="I813" s="4" t="s">
        <v>12884</v>
      </c>
      <c r="J813" s="4" t="s">
        <v>118</v>
      </c>
    </row>
    <row r="814" spans="1:10" hidden="1">
      <c r="A814" s="4">
        <v>2.0210662021000499E+17</v>
      </c>
      <c r="B814" s="4">
        <v>8958601231</v>
      </c>
      <c r="C814" s="4" t="s">
        <v>12883</v>
      </c>
      <c r="D814" s="4">
        <v>62021</v>
      </c>
      <c r="E814" s="4">
        <v>20210625</v>
      </c>
      <c r="F814" s="4">
        <v>20210625</v>
      </c>
      <c r="G814" s="4">
        <v>20240625</v>
      </c>
      <c r="H814" s="4" t="s">
        <v>8271</v>
      </c>
      <c r="I814" s="4" t="s">
        <v>6986</v>
      </c>
      <c r="J814" s="4" t="s">
        <v>1505</v>
      </c>
    </row>
    <row r="815" spans="1:10" hidden="1">
      <c r="A815" s="4">
        <v>2.0210658221000499E+17</v>
      </c>
      <c r="B815" s="4">
        <v>1948102020</v>
      </c>
      <c r="C815" s="4" t="s">
        <v>12882</v>
      </c>
      <c r="D815" s="4">
        <v>58221</v>
      </c>
      <c r="E815" s="4">
        <v>20210625</v>
      </c>
      <c r="F815" s="4">
        <v>20210625</v>
      </c>
      <c r="G815" s="4">
        <v>20240625</v>
      </c>
      <c r="H815" s="4" t="s">
        <v>1883</v>
      </c>
      <c r="I815" s="4" t="s">
        <v>12881</v>
      </c>
      <c r="J815" s="4" t="s">
        <v>228</v>
      </c>
    </row>
    <row r="816" spans="1:10" hidden="1">
      <c r="A816" s="4">
        <v>2.0210658222000499E+17</v>
      </c>
      <c r="B816" s="4">
        <v>8128801619</v>
      </c>
      <c r="C816" s="4" t="s">
        <v>12880</v>
      </c>
      <c r="D816" s="4">
        <v>58222</v>
      </c>
      <c r="E816" s="4">
        <v>20210625</v>
      </c>
      <c r="F816" s="4">
        <v>20210625</v>
      </c>
      <c r="G816" s="4">
        <v>20240625</v>
      </c>
      <c r="H816" s="4" t="s">
        <v>12879</v>
      </c>
      <c r="I816" s="4" t="s">
        <v>762</v>
      </c>
      <c r="J816" s="4" t="s">
        <v>94</v>
      </c>
    </row>
    <row r="817" spans="1:10" hidden="1">
      <c r="A817" s="4">
        <v>2.0210610713000499E+17</v>
      </c>
      <c r="B817" s="4">
        <v>8898200092</v>
      </c>
      <c r="C817" s="4" t="s">
        <v>13141</v>
      </c>
      <c r="D817" s="4">
        <v>10713</v>
      </c>
      <c r="E817" s="4">
        <v>20210628</v>
      </c>
      <c r="F817" s="4">
        <v>20210628</v>
      </c>
      <c r="G817" s="4">
        <v>20230712</v>
      </c>
      <c r="H817" s="4" t="s">
        <v>13140</v>
      </c>
      <c r="I817" s="4" t="s">
        <v>13139</v>
      </c>
      <c r="J817" s="4" t="s">
        <v>715</v>
      </c>
    </row>
    <row r="818" spans="1:10" hidden="1">
      <c r="A818" s="4">
        <v>2.0210674220000499E+17</v>
      </c>
      <c r="B818" s="4">
        <v>7818102033</v>
      </c>
      <c r="C818" s="4" t="s">
        <v>12876</v>
      </c>
      <c r="D818" s="4">
        <v>74220</v>
      </c>
      <c r="E818" s="4">
        <v>20210625</v>
      </c>
      <c r="F818" s="4">
        <v>20210625</v>
      </c>
      <c r="G818" s="4">
        <v>20240625</v>
      </c>
      <c r="H818" s="4" t="s">
        <v>12875</v>
      </c>
      <c r="I818" s="4" t="s">
        <v>149</v>
      </c>
      <c r="J818" s="4" t="s">
        <v>2988</v>
      </c>
    </row>
    <row r="819" spans="1:10" hidden="1">
      <c r="A819" s="4">
        <v>2.0210646452000499E+17</v>
      </c>
      <c r="B819" s="4">
        <v>4800801574</v>
      </c>
      <c r="C819" s="4" t="s">
        <v>12874</v>
      </c>
      <c r="D819" s="4">
        <v>46452</v>
      </c>
      <c r="E819" s="4">
        <v>20210625</v>
      </c>
      <c r="F819" s="4">
        <v>20210625</v>
      </c>
      <c r="G819" s="4">
        <v>20240625</v>
      </c>
      <c r="H819" s="4" t="s">
        <v>12873</v>
      </c>
      <c r="I819" s="4" t="s">
        <v>12872</v>
      </c>
      <c r="J819" s="4" t="s">
        <v>516</v>
      </c>
    </row>
    <row r="820" spans="1:10" hidden="1">
      <c r="A820" s="4">
        <v>2.0210658222000499E+17</v>
      </c>
      <c r="B820" s="4">
        <v>7258101387</v>
      </c>
      <c r="C820" s="4" t="s">
        <v>12871</v>
      </c>
      <c r="D820" s="4">
        <v>58222</v>
      </c>
      <c r="E820" s="4">
        <v>20210625</v>
      </c>
      <c r="F820" s="4">
        <v>20210625</v>
      </c>
      <c r="G820" s="4">
        <v>20240625</v>
      </c>
      <c r="H820" s="4" t="s">
        <v>12870</v>
      </c>
      <c r="I820" s="4" t="s">
        <v>12869</v>
      </c>
      <c r="J820" s="4" t="s">
        <v>94</v>
      </c>
    </row>
    <row r="821" spans="1:10" hidden="1">
      <c r="A821" s="4">
        <v>2.0210642412000499E+17</v>
      </c>
      <c r="B821" s="4">
        <v>7914600685</v>
      </c>
      <c r="C821" s="4" t="s">
        <v>12868</v>
      </c>
      <c r="D821" s="4">
        <v>42412</v>
      </c>
      <c r="E821" s="4">
        <v>20210625</v>
      </c>
      <c r="F821" s="4">
        <v>20210625</v>
      </c>
      <c r="G821" s="4">
        <v>20240625</v>
      </c>
      <c r="H821" s="4" t="s">
        <v>12867</v>
      </c>
      <c r="J821" s="4" t="s">
        <v>281</v>
      </c>
    </row>
    <row r="822" spans="1:10" hidden="1">
      <c r="A822" s="4">
        <v>2.0210629174000499E+17</v>
      </c>
      <c r="B822" s="4">
        <v>1472301141</v>
      </c>
      <c r="C822" s="4" t="s">
        <v>12866</v>
      </c>
      <c r="D822" s="4">
        <v>29174</v>
      </c>
      <c r="E822" s="4">
        <v>20210625</v>
      </c>
      <c r="F822" s="4">
        <v>20210625</v>
      </c>
      <c r="G822" s="4">
        <v>20240625</v>
      </c>
      <c r="H822" s="4" t="s">
        <v>12865</v>
      </c>
      <c r="J822" s="4" t="s">
        <v>877</v>
      </c>
    </row>
    <row r="823" spans="1:10" hidden="1">
      <c r="A823" s="4">
        <v>2.0210646800000499E+17</v>
      </c>
      <c r="B823" s="4">
        <v>2605600439</v>
      </c>
      <c r="C823" s="4" t="s">
        <v>12864</v>
      </c>
      <c r="D823" s="4">
        <v>46800</v>
      </c>
      <c r="E823" s="4">
        <v>20210625</v>
      </c>
      <c r="F823" s="4">
        <v>20210625</v>
      </c>
      <c r="G823" s="4">
        <v>20240625</v>
      </c>
      <c r="H823" s="4" t="s">
        <v>12863</v>
      </c>
      <c r="I823" s="4" t="s">
        <v>12862</v>
      </c>
      <c r="J823" s="4" t="s">
        <v>979</v>
      </c>
    </row>
    <row r="824" spans="1:10" hidden="1">
      <c r="A824" s="4">
        <v>2.0210685501000499E+17</v>
      </c>
      <c r="B824" s="4">
        <v>5028640045</v>
      </c>
      <c r="C824" s="4" t="s">
        <v>12861</v>
      </c>
      <c r="D824" s="4">
        <v>85501</v>
      </c>
      <c r="E824" s="4">
        <v>20210624</v>
      </c>
      <c r="F824" s="4">
        <v>20210624</v>
      </c>
      <c r="G824" s="4">
        <v>20220727</v>
      </c>
      <c r="H824" s="4" t="s">
        <v>5044</v>
      </c>
      <c r="I824" s="4" t="s">
        <v>12860</v>
      </c>
      <c r="J824" s="4" t="s">
        <v>12859</v>
      </c>
    </row>
    <row r="825" spans="1:10" hidden="1">
      <c r="A825" s="4">
        <v>2.0210646443000499E+17</v>
      </c>
      <c r="B825" s="4">
        <v>6638801415</v>
      </c>
      <c r="C825" s="4" t="s">
        <v>12858</v>
      </c>
      <c r="D825" s="4">
        <v>46443</v>
      </c>
      <c r="E825" s="4">
        <v>20210624</v>
      </c>
      <c r="F825" s="4">
        <v>20210624</v>
      </c>
      <c r="G825" s="4">
        <v>20240624</v>
      </c>
      <c r="H825" s="4" t="s">
        <v>12857</v>
      </c>
      <c r="I825" s="4" t="s">
        <v>12856</v>
      </c>
      <c r="J825" s="4" t="s">
        <v>1379</v>
      </c>
    </row>
    <row r="826" spans="1:10" hidden="1">
      <c r="A826" s="4">
        <v>2.0210629280000499E+17</v>
      </c>
      <c r="B826" s="4">
        <v>1258701880</v>
      </c>
      <c r="C826" s="4" t="s">
        <v>12855</v>
      </c>
      <c r="D826" s="4">
        <v>29280</v>
      </c>
      <c r="E826" s="4">
        <v>20210624</v>
      </c>
      <c r="F826" s="4">
        <v>20210624</v>
      </c>
      <c r="G826" s="4">
        <v>20240624</v>
      </c>
      <c r="H826" s="4" t="s">
        <v>12854</v>
      </c>
      <c r="I826" s="4" t="s">
        <v>12853</v>
      </c>
      <c r="J826" s="4" t="s">
        <v>533</v>
      </c>
    </row>
    <row r="827" spans="1:10" hidden="1">
      <c r="A827" s="4">
        <v>2.0210633301000499E+17</v>
      </c>
      <c r="B827" s="4">
        <v>5508800371</v>
      </c>
      <c r="C827" s="4" t="s">
        <v>12852</v>
      </c>
      <c r="D827" s="4">
        <v>33301</v>
      </c>
      <c r="E827" s="4">
        <v>20210624</v>
      </c>
      <c r="F827" s="4">
        <v>20210624</v>
      </c>
      <c r="G827" s="4">
        <v>20230531</v>
      </c>
      <c r="H827" s="4" t="s">
        <v>12851</v>
      </c>
      <c r="J827" s="4" t="s">
        <v>902</v>
      </c>
    </row>
    <row r="828" spans="1:10" hidden="1">
      <c r="A828" s="4">
        <v>2.0210626310000499E+17</v>
      </c>
      <c r="B828" s="4">
        <v>7298600992</v>
      </c>
      <c r="C828" s="4" t="s">
        <v>12850</v>
      </c>
      <c r="D828" s="4">
        <v>26310</v>
      </c>
      <c r="E828" s="4">
        <v>20210624</v>
      </c>
      <c r="F828" s="4">
        <v>20210624</v>
      </c>
      <c r="G828" s="4">
        <v>20240624</v>
      </c>
      <c r="H828" s="4" t="s">
        <v>12849</v>
      </c>
      <c r="I828" s="4" t="s">
        <v>12848</v>
      </c>
      <c r="J828" s="4" t="s">
        <v>372</v>
      </c>
    </row>
    <row r="829" spans="1:10" hidden="1">
      <c r="A829" s="4">
        <v>2.0210663120000499E+17</v>
      </c>
      <c r="B829" s="4">
        <v>6295200343</v>
      </c>
      <c r="C829" s="4" t="s">
        <v>12847</v>
      </c>
      <c r="D829" s="4">
        <v>63120</v>
      </c>
      <c r="E829" s="4">
        <v>20210624</v>
      </c>
      <c r="F829" s="4">
        <v>20210624</v>
      </c>
      <c r="G829" s="4">
        <v>20240624</v>
      </c>
      <c r="H829" s="4" t="s">
        <v>2848</v>
      </c>
      <c r="I829" s="4" t="s">
        <v>12846</v>
      </c>
      <c r="J829" s="4" t="s">
        <v>632</v>
      </c>
    </row>
    <row r="830" spans="1:10" hidden="1">
      <c r="A830" s="4">
        <v>2.0210629210000499E+17</v>
      </c>
      <c r="B830" s="4">
        <v>4093990179</v>
      </c>
      <c r="C830" s="4" t="s">
        <v>12845</v>
      </c>
      <c r="D830" s="4">
        <v>29210</v>
      </c>
      <c r="E830" s="4">
        <v>20210624</v>
      </c>
      <c r="F830" s="4">
        <v>20210624</v>
      </c>
      <c r="G830" s="4">
        <v>20240624</v>
      </c>
      <c r="H830" s="4" t="s">
        <v>12844</v>
      </c>
      <c r="J830" s="4" t="s">
        <v>1274</v>
      </c>
    </row>
    <row r="831" spans="1:10" hidden="1">
      <c r="A831" s="4">
        <v>2.0210633910000499E+17</v>
      </c>
      <c r="B831" s="4">
        <v>8282800590</v>
      </c>
      <c r="C831" s="4" t="s">
        <v>6416</v>
      </c>
      <c r="D831" s="4">
        <v>33910</v>
      </c>
      <c r="E831" s="4">
        <v>20210624</v>
      </c>
      <c r="F831" s="4">
        <v>20210624</v>
      </c>
      <c r="G831" s="4">
        <v>20240624</v>
      </c>
      <c r="H831" s="4" t="s">
        <v>12843</v>
      </c>
      <c r="I831" s="4" t="s">
        <v>12842</v>
      </c>
      <c r="J831" s="4" t="s">
        <v>310</v>
      </c>
    </row>
    <row r="832" spans="1:10" hidden="1">
      <c r="A832" s="4">
        <v>2.0210646800000499E+17</v>
      </c>
      <c r="B832" s="4">
        <v>2940501157</v>
      </c>
      <c r="C832" s="4" t="s">
        <v>12841</v>
      </c>
      <c r="D832" s="4">
        <v>46800</v>
      </c>
      <c r="E832" s="4">
        <v>20210624</v>
      </c>
      <c r="F832" s="4">
        <v>20210624</v>
      </c>
      <c r="G832" s="4">
        <v>20240624</v>
      </c>
      <c r="H832" s="4" t="s">
        <v>2769</v>
      </c>
      <c r="I832" s="4" t="s">
        <v>12840</v>
      </c>
      <c r="J832" s="4" t="s">
        <v>979</v>
      </c>
    </row>
    <row r="833" spans="1:10" hidden="1">
      <c r="A833" s="4">
        <v>2.0210613213000499E+17</v>
      </c>
      <c r="B833" s="4">
        <v>7382700761</v>
      </c>
      <c r="C833" s="4" t="s">
        <v>12839</v>
      </c>
      <c r="D833" s="4">
        <v>13213</v>
      </c>
      <c r="E833" s="4">
        <v>20210624</v>
      </c>
      <c r="F833" s="4">
        <v>20210624</v>
      </c>
      <c r="G833" s="4">
        <v>20240624</v>
      </c>
      <c r="H833" s="4" t="s">
        <v>3211</v>
      </c>
      <c r="I833" s="4" t="s">
        <v>12838</v>
      </c>
      <c r="J833" s="4" t="s">
        <v>1787</v>
      </c>
    </row>
    <row r="834" spans="1:10" hidden="1">
      <c r="A834" s="4">
        <v>2.0210671531000499E+17</v>
      </c>
      <c r="B834" s="4">
        <v>2268151513</v>
      </c>
      <c r="C834" s="4" t="s">
        <v>12837</v>
      </c>
      <c r="D834" s="4">
        <v>71531</v>
      </c>
      <c r="E834" s="4">
        <v>20210624</v>
      </c>
      <c r="F834" s="4">
        <v>20210624</v>
      </c>
      <c r="G834" s="4">
        <v>20211224</v>
      </c>
      <c r="H834" s="4" t="s">
        <v>4776</v>
      </c>
      <c r="I834" s="4" t="s">
        <v>12836</v>
      </c>
      <c r="J834" s="4" t="s">
        <v>87</v>
      </c>
    </row>
    <row r="835" spans="1:10" hidden="1">
      <c r="A835" s="4">
        <v>2.0210647811000499E+17</v>
      </c>
      <c r="B835" s="4">
        <v>4320301037</v>
      </c>
      <c r="C835" s="4" t="s">
        <v>12835</v>
      </c>
      <c r="D835" s="4">
        <v>47811</v>
      </c>
      <c r="E835" s="4">
        <v>20210624</v>
      </c>
      <c r="F835" s="4">
        <v>20210624</v>
      </c>
      <c r="G835" s="4">
        <v>20240624</v>
      </c>
      <c r="H835" s="4" t="s">
        <v>12834</v>
      </c>
      <c r="I835" s="4">
        <v>202</v>
      </c>
      <c r="J835" s="4" t="s">
        <v>5002</v>
      </c>
    </row>
    <row r="836" spans="1:10" hidden="1">
      <c r="A836" s="4">
        <v>2.0210662090000499E+17</v>
      </c>
      <c r="B836" s="4">
        <v>1618100982</v>
      </c>
      <c r="C836" s="4" t="s">
        <v>12833</v>
      </c>
      <c r="D836" s="4">
        <v>62090</v>
      </c>
      <c r="E836" s="4">
        <v>20210624</v>
      </c>
      <c r="F836" s="4">
        <v>20210624</v>
      </c>
      <c r="G836" s="4">
        <v>20240624</v>
      </c>
      <c r="H836" s="4" t="s">
        <v>12832</v>
      </c>
      <c r="I836" s="4" t="s">
        <v>185</v>
      </c>
      <c r="J836" s="4" t="s">
        <v>2030</v>
      </c>
    </row>
    <row r="837" spans="1:10" hidden="1">
      <c r="A837" s="4">
        <v>2.0210658222000499E+17</v>
      </c>
      <c r="B837" s="4">
        <v>8118800510</v>
      </c>
      <c r="C837" s="4" t="s">
        <v>12831</v>
      </c>
      <c r="D837" s="4">
        <v>58222</v>
      </c>
      <c r="E837" s="4">
        <v>20210624</v>
      </c>
      <c r="F837" s="4">
        <v>20210624</v>
      </c>
      <c r="G837" s="4">
        <v>20230817</v>
      </c>
      <c r="H837" s="4" t="s">
        <v>12830</v>
      </c>
      <c r="I837" s="4" t="s">
        <v>1455</v>
      </c>
      <c r="J837" s="4" t="s">
        <v>94</v>
      </c>
    </row>
    <row r="838" spans="1:10" hidden="1">
      <c r="A838" s="4">
        <v>2.0210672129000499E+17</v>
      </c>
      <c r="B838" s="4">
        <v>6288100883</v>
      </c>
      <c r="C838" s="4" t="s">
        <v>12829</v>
      </c>
      <c r="D838" s="4">
        <v>72129</v>
      </c>
      <c r="E838" s="4">
        <v>20210624</v>
      </c>
      <c r="F838" s="4">
        <v>20210624</v>
      </c>
      <c r="G838" s="4">
        <v>20240624</v>
      </c>
      <c r="H838" s="4" t="s">
        <v>12828</v>
      </c>
      <c r="I838" s="4" t="s">
        <v>91</v>
      </c>
      <c r="J838" s="4" t="s">
        <v>1679</v>
      </c>
    </row>
    <row r="839" spans="1:10" hidden="1">
      <c r="A839" s="4">
        <v>2.0210626310000499E+17</v>
      </c>
      <c r="B839" s="4">
        <v>8458701567</v>
      </c>
      <c r="C839" s="4" t="s">
        <v>12827</v>
      </c>
      <c r="D839" s="4">
        <v>26310</v>
      </c>
      <c r="E839" s="4">
        <v>20210624</v>
      </c>
      <c r="F839" s="4">
        <v>20210624</v>
      </c>
      <c r="G839" s="4">
        <v>20240624</v>
      </c>
      <c r="H839" s="4" t="s">
        <v>10741</v>
      </c>
      <c r="I839" s="4" t="s">
        <v>12826</v>
      </c>
      <c r="J839" s="4" t="s">
        <v>372</v>
      </c>
    </row>
    <row r="840" spans="1:10" hidden="1">
      <c r="A840" s="4">
        <v>2.0210685650000499E+17</v>
      </c>
      <c r="B840" s="4">
        <v>7078600731</v>
      </c>
      <c r="C840" s="4" t="s">
        <v>12825</v>
      </c>
      <c r="D840" s="4">
        <v>85650</v>
      </c>
      <c r="E840" s="4">
        <v>20210624</v>
      </c>
      <c r="F840" s="4">
        <v>20210624</v>
      </c>
      <c r="G840" s="4">
        <v>20240407</v>
      </c>
      <c r="H840" s="4" t="s">
        <v>12824</v>
      </c>
      <c r="I840" s="4" t="s">
        <v>12823</v>
      </c>
      <c r="J840" s="4" t="s">
        <v>3107</v>
      </c>
    </row>
    <row r="841" spans="1:10" hidden="1">
      <c r="A841" s="4">
        <v>2.0210629199000499E+17</v>
      </c>
      <c r="B841" s="4">
        <v>8954500243</v>
      </c>
      <c r="C841" s="4" t="s">
        <v>12822</v>
      </c>
      <c r="D841" s="4">
        <v>29199</v>
      </c>
      <c r="E841" s="4">
        <v>20210624</v>
      </c>
      <c r="F841" s="4">
        <v>20210624</v>
      </c>
      <c r="G841" s="4">
        <v>20240624</v>
      </c>
      <c r="H841" s="4" t="s">
        <v>12821</v>
      </c>
      <c r="J841" s="4" t="s">
        <v>166</v>
      </c>
    </row>
    <row r="842" spans="1:10" hidden="1">
      <c r="A842" s="4">
        <v>2.0210613103000499E+17</v>
      </c>
      <c r="B842" s="4">
        <v>3934500617</v>
      </c>
      <c r="C842" s="4" t="s">
        <v>12820</v>
      </c>
      <c r="D842" s="4">
        <v>13103</v>
      </c>
      <c r="E842" s="4">
        <v>20210624</v>
      </c>
      <c r="F842" s="4">
        <v>20210624</v>
      </c>
      <c r="G842" s="4">
        <v>20240624</v>
      </c>
      <c r="H842" s="4" t="s">
        <v>12819</v>
      </c>
      <c r="J842" s="4" t="s">
        <v>12818</v>
      </c>
    </row>
    <row r="843" spans="1:10" hidden="1">
      <c r="A843" s="4">
        <v>2.0210658222000499E+17</v>
      </c>
      <c r="B843" s="4">
        <v>6773300924</v>
      </c>
      <c r="C843" s="4" t="s">
        <v>12817</v>
      </c>
      <c r="D843" s="4">
        <v>58222</v>
      </c>
      <c r="E843" s="4">
        <v>20210624</v>
      </c>
      <c r="F843" s="4">
        <v>20210624</v>
      </c>
      <c r="G843" s="4">
        <v>20240624</v>
      </c>
      <c r="H843" s="4" t="s">
        <v>3842</v>
      </c>
      <c r="I843" s="4" t="s">
        <v>12816</v>
      </c>
      <c r="J843" s="4" t="s">
        <v>94</v>
      </c>
    </row>
    <row r="844" spans="1:10" hidden="1">
      <c r="A844" s="4">
        <v>2.0210658222000499E+17</v>
      </c>
      <c r="B844" s="4">
        <v>7751600541</v>
      </c>
      <c r="C844" s="4" t="s">
        <v>12815</v>
      </c>
      <c r="D844" s="4">
        <v>58222</v>
      </c>
      <c r="E844" s="4">
        <v>20210624</v>
      </c>
      <c r="F844" s="4">
        <v>20210624</v>
      </c>
      <c r="G844" s="4">
        <v>20240624</v>
      </c>
      <c r="H844" s="4" t="s">
        <v>3842</v>
      </c>
      <c r="I844" s="4" t="s">
        <v>12814</v>
      </c>
      <c r="J844" s="4" t="s">
        <v>94</v>
      </c>
    </row>
    <row r="845" spans="1:10" hidden="1">
      <c r="A845" s="4">
        <v>2.0210672111000499E+17</v>
      </c>
      <c r="B845" s="4">
        <v>1248801230</v>
      </c>
      <c r="C845" s="4" t="s">
        <v>12813</v>
      </c>
      <c r="D845" s="4">
        <v>72111</v>
      </c>
      <c r="E845" s="4">
        <v>20210623</v>
      </c>
      <c r="F845" s="4">
        <v>20210623</v>
      </c>
      <c r="G845" s="4">
        <v>20240623</v>
      </c>
      <c r="H845" s="4" t="s">
        <v>12812</v>
      </c>
      <c r="J845" s="4" t="s">
        <v>3461</v>
      </c>
    </row>
    <row r="846" spans="1:10" hidden="1">
      <c r="A846" s="4">
        <v>2.0210614499000499E+17</v>
      </c>
      <c r="B846" s="4">
        <v>4748601295</v>
      </c>
      <c r="C846" s="4" t="s">
        <v>12811</v>
      </c>
      <c r="D846" s="4">
        <v>14499</v>
      </c>
      <c r="E846" s="4">
        <v>20210623</v>
      </c>
      <c r="F846" s="4">
        <v>20210623</v>
      </c>
      <c r="G846" s="4">
        <v>20240623</v>
      </c>
      <c r="H846" s="4" t="s">
        <v>12810</v>
      </c>
      <c r="I846" s="4" t="s">
        <v>149</v>
      </c>
      <c r="J846" s="4" t="s">
        <v>502</v>
      </c>
    </row>
    <row r="847" spans="1:10" hidden="1">
      <c r="A847" s="4">
        <v>2.0210672924000499E+17</v>
      </c>
      <c r="B847" s="4">
        <v>3108132091</v>
      </c>
      <c r="C847" s="4" t="s">
        <v>12809</v>
      </c>
      <c r="D847" s="4">
        <v>72924</v>
      </c>
      <c r="E847" s="4">
        <v>20210623</v>
      </c>
      <c r="F847" s="4">
        <v>20210623</v>
      </c>
      <c r="G847" s="4">
        <v>20220403</v>
      </c>
      <c r="H847" s="4" t="s">
        <v>12808</v>
      </c>
      <c r="I847" s="4" t="s">
        <v>1331</v>
      </c>
      <c r="J847" s="4" t="s">
        <v>9093</v>
      </c>
    </row>
    <row r="848" spans="1:10" hidden="1">
      <c r="A848" s="4">
        <v>2.0210671393000499E+17</v>
      </c>
      <c r="B848" s="4">
        <v>7328700976</v>
      </c>
      <c r="C848" s="4" t="s">
        <v>12807</v>
      </c>
      <c r="D848" s="4">
        <v>71393</v>
      </c>
      <c r="E848" s="4">
        <v>20210623</v>
      </c>
      <c r="F848" s="4">
        <v>20210623</v>
      </c>
      <c r="G848" s="4">
        <v>20240623</v>
      </c>
      <c r="H848" s="4" t="s">
        <v>12806</v>
      </c>
      <c r="I848" s="4" t="s">
        <v>1963</v>
      </c>
      <c r="J848" s="4" t="s">
        <v>7125</v>
      </c>
    </row>
    <row r="849" spans="1:10" hidden="1">
      <c r="A849" s="4">
        <v>2.0210685709000499E+17</v>
      </c>
      <c r="B849" s="4">
        <v>6698101224</v>
      </c>
      <c r="C849" s="4" t="s">
        <v>12805</v>
      </c>
      <c r="D849" s="4">
        <v>85709</v>
      </c>
      <c r="E849" s="4">
        <v>20210623</v>
      </c>
      <c r="F849" s="4">
        <v>20210623</v>
      </c>
      <c r="G849" s="4">
        <v>20240623</v>
      </c>
      <c r="H849" s="4" t="s">
        <v>6266</v>
      </c>
      <c r="I849" s="4" t="s">
        <v>12804</v>
      </c>
      <c r="J849" s="4" t="s">
        <v>141</v>
      </c>
    </row>
    <row r="850" spans="1:10" hidden="1">
      <c r="A850" s="4">
        <v>2.0210629199000499E+17</v>
      </c>
      <c r="B850" s="4">
        <v>3498701545</v>
      </c>
      <c r="C850" s="4" t="s">
        <v>12803</v>
      </c>
      <c r="D850" s="4">
        <v>29199</v>
      </c>
      <c r="E850" s="4">
        <v>20210623</v>
      </c>
      <c r="F850" s="4">
        <v>20210623</v>
      </c>
      <c r="G850" s="4">
        <v>20240623</v>
      </c>
      <c r="H850" s="4" t="s">
        <v>12802</v>
      </c>
      <c r="J850" s="4" t="s">
        <v>166</v>
      </c>
    </row>
    <row r="851" spans="1:10" hidden="1">
      <c r="A851" s="4">
        <v>2.0210690191000499E+17</v>
      </c>
      <c r="B851" s="4">
        <v>6258801830</v>
      </c>
      <c r="C851" s="4" t="s">
        <v>12801</v>
      </c>
      <c r="D851" s="4">
        <v>90191</v>
      </c>
      <c r="E851" s="4">
        <v>20210623</v>
      </c>
      <c r="F851" s="4">
        <v>20210623</v>
      </c>
      <c r="G851" s="4">
        <v>20240623</v>
      </c>
      <c r="H851" s="4" t="s">
        <v>12800</v>
      </c>
      <c r="I851" s="4" t="s">
        <v>12799</v>
      </c>
      <c r="J851" s="4" t="s">
        <v>3866</v>
      </c>
    </row>
    <row r="852" spans="1:10" hidden="1">
      <c r="A852" s="4">
        <v>2.0210625992000499E+17</v>
      </c>
      <c r="B852" s="4">
        <v>6688101274</v>
      </c>
      <c r="C852" s="4" t="s">
        <v>12798</v>
      </c>
      <c r="D852" s="4">
        <v>25992</v>
      </c>
      <c r="E852" s="4">
        <v>20210623</v>
      </c>
      <c r="F852" s="4">
        <v>20210623</v>
      </c>
      <c r="G852" s="4">
        <v>20240623</v>
      </c>
      <c r="H852" s="4" t="s">
        <v>12462</v>
      </c>
      <c r="I852" s="4" t="s">
        <v>185</v>
      </c>
      <c r="J852" s="4" t="s">
        <v>6165</v>
      </c>
    </row>
    <row r="853" spans="1:10" hidden="1">
      <c r="A853" s="4">
        <v>2.0210646521000499E+17</v>
      </c>
      <c r="B853" s="4">
        <v>6858102147</v>
      </c>
      <c r="C853" s="4" t="s">
        <v>12797</v>
      </c>
      <c r="D853" s="4">
        <v>46521</v>
      </c>
      <c r="E853" s="4">
        <v>20210623</v>
      </c>
      <c r="F853" s="4">
        <v>20210623</v>
      </c>
      <c r="G853" s="4">
        <v>20240623</v>
      </c>
      <c r="H853" s="4" t="s">
        <v>12796</v>
      </c>
      <c r="I853" s="4" t="s">
        <v>12795</v>
      </c>
      <c r="J853" s="4" t="s">
        <v>6178</v>
      </c>
    </row>
    <row r="854" spans="1:10" hidden="1">
      <c r="A854" s="4">
        <v>2.0210658222000499E+17</v>
      </c>
      <c r="B854" s="4">
        <v>1628801358</v>
      </c>
      <c r="C854" s="4" t="s">
        <v>12794</v>
      </c>
      <c r="D854" s="4">
        <v>58222</v>
      </c>
      <c r="E854" s="4">
        <v>20210623</v>
      </c>
      <c r="F854" s="4">
        <v>20210623</v>
      </c>
      <c r="G854" s="4">
        <v>20240623</v>
      </c>
      <c r="H854" s="4" t="s">
        <v>3905</v>
      </c>
      <c r="I854" s="4" t="s">
        <v>12793</v>
      </c>
      <c r="J854" s="4" t="s">
        <v>94</v>
      </c>
    </row>
    <row r="855" spans="1:10" hidden="1">
      <c r="A855" s="4">
        <v>2.0210670121000499E+17</v>
      </c>
      <c r="B855" s="4">
        <v>5858600048</v>
      </c>
      <c r="C855" s="4" t="s">
        <v>12792</v>
      </c>
      <c r="D855" s="4">
        <v>70121</v>
      </c>
      <c r="E855" s="4">
        <v>20210623</v>
      </c>
      <c r="F855" s="4">
        <v>20210623</v>
      </c>
      <c r="G855" s="4">
        <v>20220413</v>
      </c>
      <c r="H855" s="4" t="s">
        <v>12791</v>
      </c>
      <c r="I855" s="4" t="s">
        <v>185</v>
      </c>
      <c r="J855" s="4" t="s">
        <v>1267</v>
      </c>
    </row>
    <row r="856" spans="1:10" hidden="1">
      <c r="A856" s="4">
        <v>2.0210658222000499E+17</v>
      </c>
      <c r="B856" s="4">
        <v>1158600835</v>
      </c>
      <c r="C856" s="4" t="s">
        <v>12790</v>
      </c>
      <c r="D856" s="4">
        <v>58222</v>
      </c>
      <c r="E856" s="4">
        <v>20210623</v>
      </c>
      <c r="F856" s="4">
        <v>20210623</v>
      </c>
      <c r="G856" s="4">
        <v>20240623</v>
      </c>
      <c r="H856" s="4" t="s">
        <v>12789</v>
      </c>
      <c r="I856" s="4" t="s">
        <v>12788</v>
      </c>
      <c r="J856" s="4" t="s">
        <v>94</v>
      </c>
    </row>
    <row r="857" spans="1:10" hidden="1">
      <c r="A857" s="4">
        <v>2.0210626429000499E+17</v>
      </c>
      <c r="B857" s="4">
        <v>5178101428</v>
      </c>
      <c r="C857" s="4" t="s">
        <v>12787</v>
      </c>
      <c r="D857" s="4">
        <v>26429</v>
      </c>
      <c r="E857" s="4">
        <v>20210623</v>
      </c>
      <c r="F857" s="4">
        <v>20210623</v>
      </c>
      <c r="G857" s="4">
        <v>20240623</v>
      </c>
      <c r="H857" s="4" t="s">
        <v>12786</v>
      </c>
      <c r="I857" s="4" t="s">
        <v>12785</v>
      </c>
      <c r="J857" s="4" t="s">
        <v>422</v>
      </c>
    </row>
    <row r="858" spans="1:10" hidden="1">
      <c r="A858" s="4">
        <v>2.0210642136000499E+17</v>
      </c>
      <c r="B858" s="4">
        <v>4088801439</v>
      </c>
      <c r="C858" s="4" t="s">
        <v>12784</v>
      </c>
      <c r="D858" s="4">
        <v>42136</v>
      </c>
      <c r="E858" s="4">
        <v>20210623</v>
      </c>
      <c r="F858" s="4">
        <v>20210623</v>
      </c>
      <c r="G858" s="4">
        <v>20240623</v>
      </c>
      <c r="H858" s="4" t="s">
        <v>10206</v>
      </c>
      <c r="I858" s="4" t="s">
        <v>12783</v>
      </c>
      <c r="J858" s="4" t="s">
        <v>4913</v>
      </c>
    </row>
    <row r="859" spans="1:10" hidden="1">
      <c r="A859" s="4">
        <v>2.0210632029000499E+17</v>
      </c>
      <c r="B859" s="4">
        <v>1028801394</v>
      </c>
      <c r="C859" s="4" t="s">
        <v>12781</v>
      </c>
      <c r="D859" s="4">
        <v>32029</v>
      </c>
      <c r="E859" s="4">
        <v>20210623</v>
      </c>
      <c r="F859" s="4">
        <v>20210623</v>
      </c>
      <c r="G859" s="4">
        <v>20240623</v>
      </c>
      <c r="H859" s="4" t="s">
        <v>12782</v>
      </c>
      <c r="I859" s="4" t="s">
        <v>12781</v>
      </c>
      <c r="J859" s="4" t="s">
        <v>637</v>
      </c>
    </row>
    <row r="860" spans="1:10" hidden="1">
      <c r="A860" s="4">
        <v>2.0210626429000499E+17</v>
      </c>
      <c r="B860" s="4">
        <v>8168600447</v>
      </c>
      <c r="C860" s="4" t="s">
        <v>12780</v>
      </c>
      <c r="D860" s="4">
        <v>26429</v>
      </c>
      <c r="E860" s="4">
        <v>20210623</v>
      </c>
      <c r="F860" s="4">
        <v>20210623</v>
      </c>
      <c r="G860" s="4">
        <v>20230715</v>
      </c>
      <c r="H860" s="4" t="s">
        <v>1644</v>
      </c>
      <c r="I860" s="4" t="s">
        <v>1643</v>
      </c>
      <c r="J860" s="4" t="s">
        <v>422</v>
      </c>
    </row>
    <row r="861" spans="1:10" hidden="1">
      <c r="A861" s="4">
        <v>2.0210674211000499E+17</v>
      </c>
      <c r="B861" s="4">
        <v>2628601241</v>
      </c>
      <c r="C861" s="4" t="s">
        <v>12779</v>
      </c>
      <c r="D861" s="4">
        <v>74211</v>
      </c>
      <c r="E861" s="4">
        <v>20210623</v>
      </c>
      <c r="F861" s="4">
        <v>20210623</v>
      </c>
      <c r="G861" s="4">
        <v>20240623</v>
      </c>
      <c r="H861" s="4" t="s">
        <v>12778</v>
      </c>
      <c r="J861" s="4" t="s">
        <v>5576</v>
      </c>
    </row>
    <row r="862" spans="1:10" hidden="1">
      <c r="A862" s="4">
        <v>2.0210646699000499E+17</v>
      </c>
      <c r="B862" s="4">
        <v>3360701173</v>
      </c>
      <c r="C862" s="4" t="s">
        <v>12777</v>
      </c>
      <c r="D862" s="4">
        <v>46699</v>
      </c>
      <c r="E862" s="4">
        <v>20210623</v>
      </c>
      <c r="F862" s="4">
        <v>20210623</v>
      </c>
      <c r="G862" s="4">
        <v>20240623</v>
      </c>
      <c r="H862" s="4" t="s">
        <v>12776</v>
      </c>
      <c r="J862" s="4" t="s">
        <v>208</v>
      </c>
    </row>
    <row r="863" spans="1:10" hidden="1">
      <c r="A863" s="4">
        <v>2.0210646439000499E+17</v>
      </c>
      <c r="B863" s="4">
        <v>5990500349</v>
      </c>
      <c r="C863" s="4" t="s">
        <v>13103</v>
      </c>
      <c r="D863" s="4">
        <v>46439</v>
      </c>
      <c r="E863" s="4">
        <v>20210628</v>
      </c>
      <c r="F863" s="4">
        <v>20210628</v>
      </c>
      <c r="G863" s="4">
        <v>20230205</v>
      </c>
      <c r="H863" s="4" t="s">
        <v>13102</v>
      </c>
      <c r="J863" s="4" t="s">
        <v>9908</v>
      </c>
    </row>
    <row r="864" spans="1:10" hidden="1">
      <c r="A864" s="4">
        <v>2.0210647912000499E+17</v>
      </c>
      <c r="B864" s="4">
        <v>5161401379</v>
      </c>
      <c r="C864" s="4" t="s">
        <v>12773</v>
      </c>
      <c r="D864" s="4">
        <v>47912</v>
      </c>
      <c r="E864" s="4">
        <v>20210623</v>
      </c>
      <c r="F864" s="4">
        <v>20210623</v>
      </c>
      <c r="G864" s="4">
        <v>20240623</v>
      </c>
      <c r="H864" s="4" t="s">
        <v>12772</v>
      </c>
      <c r="I864" s="4" t="s">
        <v>12771</v>
      </c>
      <c r="J864" s="4" t="s">
        <v>78</v>
      </c>
    </row>
    <row r="865" spans="1:10" hidden="1">
      <c r="A865" s="4">
        <v>2.0210645220000499E+17</v>
      </c>
      <c r="B865" s="4">
        <v>2092838524</v>
      </c>
      <c r="C865" s="4" t="s">
        <v>12770</v>
      </c>
      <c r="D865" s="4">
        <v>45220</v>
      </c>
      <c r="E865" s="4">
        <v>20210623</v>
      </c>
      <c r="F865" s="4">
        <v>20210623</v>
      </c>
      <c r="G865" s="4">
        <v>20240623</v>
      </c>
      <c r="H865" s="4" t="s">
        <v>12769</v>
      </c>
      <c r="J865" s="4" t="s">
        <v>10305</v>
      </c>
    </row>
    <row r="866" spans="1:10" hidden="1">
      <c r="A866" s="4">
        <v>2.0210658222000499E+17</v>
      </c>
      <c r="B866" s="4">
        <v>2648150651</v>
      </c>
      <c r="C866" s="4" t="s">
        <v>12768</v>
      </c>
      <c r="D866" s="4">
        <v>58222</v>
      </c>
      <c r="E866" s="4">
        <v>20210623</v>
      </c>
      <c r="F866" s="4">
        <v>20210623</v>
      </c>
      <c r="G866" s="4">
        <v>20240203</v>
      </c>
      <c r="H866" s="4" t="s">
        <v>10927</v>
      </c>
      <c r="I866" s="4">
        <v>739</v>
      </c>
      <c r="J866" s="4" t="s">
        <v>94</v>
      </c>
    </row>
    <row r="867" spans="1:10">
      <c r="A867" s="4">
        <v>2.0210418119000301E+17</v>
      </c>
      <c r="B867" s="4">
        <v>8128700928</v>
      </c>
      <c r="C867" s="4" t="s">
        <v>8064</v>
      </c>
      <c r="D867" s="4">
        <v>18119</v>
      </c>
      <c r="E867" s="4">
        <v>20210430</v>
      </c>
      <c r="F867" s="4">
        <v>20210430</v>
      </c>
      <c r="G867" s="4">
        <v>20240430</v>
      </c>
      <c r="H867" s="4" t="s">
        <v>8063</v>
      </c>
      <c r="I867" s="4" t="s">
        <v>91</v>
      </c>
      <c r="J867" s="4" t="s">
        <v>707</v>
      </c>
    </row>
    <row r="868" spans="1:10" hidden="1">
      <c r="A868" s="4">
        <v>2.0210646800000499E+17</v>
      </c>
      <c r="B868" s="4">
        <v>1630601715</v>
      </c>
      <c r="C868" s="4" t="s">
        <v>12764</v>
      </c>
      <c r="D868" s="4">
        <v>46800</v>
      </c>
      <c r="E868" s="4">
        <v>20210623</v>
      </c>
      <c r="F868" s="4">
        <v>20210623</v>
      </c>
      <c r="G868" s="4">
        <v>20240623</v>
      </c>
      <c r="H868" s="4" t="s">
        <v>12763</v>
      </c>
      <c r="I868" s="4" t="s">
        <v>12762</v>
      </c>
      <c r="J868" s="4" t="s">
        <v>979</v>
      </c>
    </row>
    <row r="869" spans="1:10" hidden="1">
      <c r="A869" s="4">
        <v>2.0210673909000499E+17</v>
      </c>
      <c r="B869" s="4">
        <v>4161829279</v>
      </c>
      <c r="C869" s="4" t="s">
        <v>12761</v>
      </c>
      <c r="D869" s="4">
        <v>73909</v>
      </c>
      <c r="E869" s="4">
        <v>20210623</v>
      </c>
      <c r="F869" s="4">
        <v>20210623</v>
      </c>
      <c r="G869" s="4">
        <v>20220217</v>
      </c>
      <c r="H869" s="4" t="s">
        <v>12760</v>
      </c>
      <c r="I869" s="4" t="s">
        <v>91</v>
      </c>
      <c r="J869" s="4" t="s">
        <v>293</v>
      </c>
    </row>
    <row r="870" spans="1:10" hidden="1">
      <c r="A870" s="4">
        <v>2.0210658222000499E+17</v>
      </c>
      <c r="B870" s="4">
        <v>8553800820</v>
      </c>
      <c r="C870" s="4" t="s">
        <v>12759</v>
      </c>
      <c r="D870" s="4">
        <v>58222</v>
      </c>
      <c r="E870" s="4">
        <v>20210623</v>
      </c>
      <c r="F870" s="4">
        <v>20210623</v>
      </c>
      <c r="G870" s="4">
        <v>20240623</v>
      </c>
      <c r="H870" s="4" t="s">
        <v>12758</v>
      </c>
      <c r="I870" s="4" t="s">
        <v>12757</v>
      </c>
      <c r="J870" s="4" t="s">
        <v>94</v>
      </c>
    </row>
    <row r="871" spans="1:10" hidden="1">
      <c r="A871" s="4">
        <v>2.0210614499000499E+17</v>
      </c>
      <c r="B871" s="4">
        <v>8201500223</v>
      </c>
      <c r="C871" s="4" t="s">
        <v>12756</v>
      </c>
      <c r="D871" s="4">
        <v>14499</v>
      </c>
      <c r="E871" s="4">
        <v>20210623</v>
      </c>
      <c r="F871" s="4">
        <v>20210623</v>
      </c>
      <c r="G871" s="4">
        <v>20221130</v>
      </c>
      <c r="H871" s="4" t="s">
        <v>12755</v>
      </c>
      <c r="I871" s="4" t="s">
        <v>12754</v>
      </c>
      <c r="J871" s="4" t="s">
        <v>502</v>
      </c>
    </row>
    <row r="872" spans="1:10" hidden="1">
      <c r="A872" s="4">
        <v>2.0210647852000499E+17</v>
      </c>
      <c r="B872" s="4">
        <v>8541701442</v>
      </c>
      <c r="C872" s="4" t="s">
        <v>12753</v>
      </c>
      <c r="D872" s="4">
        <v>47852</v>
      </c>
      <c r="E872" s="4">
        <v>20210623</v>
      </c>
      <c r="F872" s="4">
        <v>20210623</v>
      </c>
      <c r="G872" s="4">
        <v>20240623</v>
      </c>
      <c r="H872" s="4" t="s">
        <v>12752</v>
      </c>
      <c r="J872" s="4" t="s">
        <v>3517</v>
      </c>
    </row>
    <row r="873" spans="1:10" hidden="1">
      <c r="A873" s="4">
        <v>2.0210627191000499E+17</v>
      </c>
      <c r="B873" s="4">
        <v>6398701754</v>
      </c>
      <c r="C873" s="4" t="s">
        <v>12751</v>
      </c>
      <c r="D873" s="4">
        <v>27191</v>
      </c>
      <c r="E873" s="4">
        <v>20210623</v>
      </c>
      <c r="F873" s="4">
        <v>20210623</v>
      </c>
      <c r="G873" s="4">
        <v>20240623</v>
      </c>
      <c r="H873" s="4" t="s">
        <v>12750</v>
      </c>
      <c r="I873" s="4" t="s">
        <v>12749</v>
      </c>
      <c r="J873" s="4" t="s">
        <v>4541</v>
      </c>
    </row>
    <row r="874" spans="1:10" hidden="1">
      <c r="A874" s="4">
        <v>2.0210647440000499E+17</v>
      </c>
      <c r="B874" s="4">
        <v>3090952510</v>
      </c>
      <c r="C874" s="4" t="s">
        <v>12748</v>
      </c>
      <c r="D874" s="4">
        <v>47440</v>
      </c>
      <c r="E874" s="4">
        <v>20210623</v>
      </c>
      <c r="F874" s="4">
        <v>20210623</v>
      </c>
      <c r="G874" s="4">
        <v>20240623</v>
      </c>
      <c r="H874" s="4" t="s">
        <v>12747</v>
      </c>
      <c r="I874" s="4" t="s">
        <v>1134</v>
      </c>
      <c r="J874" s="4" t="s">
        <v>1159</v>
      </c>
    </row>
    <row r="875" spans="1:10" hidden="1">
      <c r="A875" s="4">
        <v>2.0210620423000499E+17</v>
      </c>
      <c r="B875" s="4">
        <v>5498701204</v>
      </c>
      <c r="C875" s="4" t="s">
        <v>12746</v>
      </c>
      <c r="D875" s="4">
        <v>20423</v>
      </c>
      <c r="E875" s="4">
        <v>20210623</v>
      </c>
      <c r="F875" s="4">
        <v>20210623</v>
      </c>
      <c r="G875" s="4">
        <v>20240623</v>
      </c>
      <c r="H875" s="4" t="s">
        <v>474</v>
      </c>
      <c r="I875" s="4" t="s">
        <v>12745</v>
      </c>
      <c r="J875" s="4" t="s">
        <v>368</v>
      </c>
    </row>
    <row r="876" spans="1:10" hidden="1">
      <c r="A876" s="4">
        <v>2.0210646314000499E+17</v>
      </c>
      <c r="B876" s="4">
        <v>3854200385</v>
      </c>
      <c r="C876" s="4" t="s">
        <v>12744</v>
      </c>
      <c r="D876" s="4">
        <v>46314</v>
      </c>
      <c r="E876" s="4">
        <v>20210623</v>
      </c>
      <c r="F876" s="4">
        <v>20210623</v>
      </c>
      <c r="G876" s="4">
        <v>20240623</v>
      </c>
      <c r="H876" s="4" t="s">
        <v>11683</v>
      </c>
      <c r="I876" s="4" t="s">
        <v>12743</v>
      </c>
      <c r="J876" s="4" t="s">
        <v>9088</v>
      </c>
    </row>
    <row r="877" spans="1:10" hidden="1">
      <c r="A877" s="4">
        <v>2.0210646442000499E+17</v>
      </c>
      <c r="B877" s="4">
        <v>6372500557</v>
      </c>
      <c r="C877" s="4" t="s">
        <v>12742</v>
      </c>
      <c r="D877" s="4">
        <v>46442</v>
      </c>
      <c r="E877" s="4">
        <v>20210623</v>
      </c>
      <c r="F877" s="4">
        <v>20210623</v>
      </c>
      <c r="G877" s="4">
        <v>20240623</v>
      </c>
      <c r="H877" s="4" t="s">
        <v>12741</v>
      </c>
      <c r="J877" s="4" t="s">
        <v>3282</v>
      </c>
    </row>
    <row r="878" spans="1:10" hidden="1">
      <c r="A878" s="4">
        <v>2.0210634019000499E+17</v>
      </c>
      <c r="B878" s="4">
        <v>3670401216</v>
      </c>
      <c r="C878" s="4" t="s">
        <v>12981</v>
      </c>
      <c r="D878" s="4">
        <v>34019</v>
      </c>
      <c r="E878" s="4">
        <v>20210628</v>
      </c>
      <c r="F878" s="4">
        <v>20210628</v>
      </c>
      <c r="G878" s="4">
        <v>20240628</v>
      </c>
      <c r="H878" s="4" t="s">
        <v>12980</v>
      </c>
      <c r="I878" s="4" t="s">
        <v>12979</v>
      </c>
      <c r="J878" s="4" t="s">
        <v>7335</v>
      </c>
    </row>
    <row r="879" spans="1:10" hidden="1">
      <c r="A879" s="4">
        <v>2.0210658222000499E+17</v>
      </c>
      <c r="B879" s="4">
        <v>7858701886</v>
      </c>
      <c r="C879" s="4" t="s">
        <v>12738</v>
      </c>
      <c r="D879" s="4">
        <v>58222</v>
      </c>
      <c r="E879" s="4">
        <v>20210623</v>
      </c>
      <c r="F879" s="4">
        <v>20210623</v>
      </c>
      <c r="G879" s="4">
        <v>20240623</v>
      </c>
      <c r="H879" s="4" t="s">
        <v>1142</v>
      </c>
      <c r="I879" s="4" t="s">
        <v>12737</v>
      </c>
      <c r="J879" s="4" t="s">
        <v>94</v>
      </c>
    </row>
    <row r="880" spans="1:10" hidden="1">
      <c r="A880" s="4">
        <v>2.0210617901000499E+17</v>
      </c>
      <c r="B880" s="4">
        <v>6022161356</v>
      </c>
      <c r="C880" s="4" t="s">
        <v>12736</v>
      </c>
      <c r="D880" s="4">
        <v>17901</v>
      </c>
      <c r="E880" s="4">
        <v>20210623</v>
      </c>
      <c r="F880" s="4">
        <v>20210623</v>
      </c>
      <c r="G880" s="4">
        <v>20240623</v>
      </c>
      <c r="H880" s="4" t="s">
        <v>9764</v>
      </c>
      <c r="I880" s="4" t="s">
        <v>12735</v>
      </c>
      <c r="J880" s="4" t="s">
        <v>5641</v>
      </c>
    </row>
    <row r="881" spans="1:10" hidden="1">
      <c r="A881" s="4">
        <v>2.0210645219000499E+17</v>
      </c>
      <c r="B881" s="4">
        <v>2646100298</v>
      </c>
      <c r="C881" s="4" t="s">
        <v>12734</v>
      </c>
      <c r="D881" s="4">
        <v>45219</v>
      </c>
      <c r="E881" s="4">
        <v>20210623</v>
      </c>
      <c r="F881" s="4">
        <v>20210623</v>
      </c>
      <c r="G881" s="4">
        <v>20240623</v>
      </c>
      <c r="H881" s="4" t="s">
        <v>12733</v>
      </c>
      <c r="I881" s="4" t="s">
        <v>12732</v>
      </c>
      <c r="J881" s="4" t="s">
        <v>12731</v>
      </c>
    </row>
    <row r="882" spans="1:10" hidden="1">
      <c r="A882" s="4">
        <v>2.0210670209000499E+17</v>
      </c>
      <c r="B882" s="4">
        <v>7218800920</v>
      </c>
      <c r="C882" s="4" t="s">
        <v>12730</v>
      </c>
      <c r="D882" s="4">
        <v>70209</v>
      </c>
      <c r="E882" s="4">
        <v>20210623</v>
      </c>
      <c r="F882" s="4">
        <v>20210623</v>
      </c>
      <c r="G882" s="4">
        <v>20240623</v>
      </c>
      <c r="H882" s="4" t="s">
        <v>6558</v>
      </c>
      <c r="I882" s="4" t="s">
        <v>12729</v>
      </c>
      <c r="J882" s="4" t="s">
        <v>242</v>
      </c>
    </row>
    <row r="883" spans="1:10" hidden="1">
      <c r="A883" s="4">
        <v>2.0210647911000499E+17</v>
      </c>
      <c r="B883" s="4">
        <v>3182600556</v>
      </c>
      <c r="C883" s="4" t="s">
        <v>12728</v>
      </c>
      <c r="D883" s="4">
        <v>47911</v>
      </c>
      <c r="E883" s="4">
        <v>20210623</v>
      </c>
      <c r="F883" s="4">
        <v>20210623</v>
      </c>
      <c r="G883" s="4">
        <v>20240623</v>
      </c>
      <c r="H883" s="4" t="s">
        <v>12727</v>
      </c>
      <c r="J883" s="4" t="s">
        <v>440</v>
      </c>
    </row>
    <row r="884" spans="1:10" hidden="1">
      <c r="A884" s="4">
        <v>2.0210663120000499E+17</v>
      </c>
      <c r="B884" s="4">
        <v>2878801846</v>
      </c>
      <c r="C884" s="4" t="s">
        <v>12726</v>
      </c>
      <c r="D884" s="4">
        <v>63120</v>
      </c>
      <c r="E884" s="4">
        <v>20210623</v>
      </c>
      <c r="F884" s="4">
        <v>20210623</v>
      </c>
      <c r="G884" s="4">
        <v>20240623</v>
      </c>
      <c r="H884" s="4" t="s">
        <v>12725</v>
      </c>
      <c r="I884" s="4" t="s">
        <v>1134</v>
      </c>
      <c r="J884" s="4" t="s">
        <v>632</v>
      </c>
    </row>
    <row r="885" spans="1:10" hidden="1">
      <c r="A885" s="4">
        <v>2.0210672111000499E+17</v>
      </c>
      <c r="B885" s="4">
        <v>6805100400</v>
      </c>
      <c r="C885" s="4" t="s">
        <v>12724</v>
      </c>
      <c r="D885" s="4">
        <v>72111</v>
      </c>
      <c r="E885" s="4">
        <v>20210623</v>
      </c>
      <c r="F885" s="4">
        <v>20210623</v>
      </c>
      <c r="G885" s="4">
        <v>20240623</v>
      </c>
      <c r="H885" s="4" t="s">
        <v>12723</v>
      </c>
      <c r="I885" s="4" t="s">
        <v>12722</v>
      </c>
      <c r="J885" s="4" t="s">
        <v>3461</v>
      </c>
    </row>
    <row r="886" spans="1:10" hidden="1">
      <c r="A886" s="4">
        <v>2.0210616229000499E+17</v>
      </c>
      <c r="B886" s="4">
        <v>7708700565</v>
      </c>
      <c r="C886" s="4" t="s">
        <v>12720</v>
      </c>
      <c r="D886" s="4">
        <v>16229</v>
      </c>
      <c r="E886" s="4">
        <v>20210623</v>
      </c>
      <c r="F886" s="4">
        <v>20210623</v>
      </c>
      <c r="G886" s="4">
        <v>20240206</v>
      </c>
      <c r="H886" s="4" t="s">
        <v>12721</v>
      </c>
      <c r="I886" s="4" t="s">
        <v>12720</v>
      </c>
      <c r="J886" s="4" t="s">
        <v>1451</v>
      </c>
    </row>
    <row r="887" spans="1:10" hidden="1">
      <c r="A887" s="4">
        <v>2.0210632029000499E+17</v>
      </c>
      <c r="B887" s="4">
        <v>2134500801</v>
      </c>
      <c r="C887" s="4" t="s">
        <v>12719</v>
      </c>
      <c r="D887" s="4">
        <v>32029</v>
      </c>
      <c r="E887" s="4">
        <v>20210623</v>
      </c>
      <c r="F887" s="4">
        <v>20210623</v>
      </c>
      <c r="G887" s="4">
        <v>20240623</v>
      </c>
      <c r="H887" s="4" t="s">
        <v>12718</v>
      </c>
      <c r="J887" s="4" t="s">
        <v>637</v>
      </c>
    </row>
    <row r="888" spans="1:10" hidden="1">
      <c r="A888" s="4">
        <v>2.0210642499000499E+17</v>
      </c>
      <c r="B888" s="4">
        <v>7448601520</v>
      </c>
      <c r="C888" s="4" t="s">
        <v>12717</v>
      </c>
      <c r="D888" s="4">
        <v>42499</v>
      </c>
      <c r="E888" s="4">
        <v>20210623</v>
      </c>
      <c r="F888" s="4">
        <v>20210623</v>
      </c>
      <c r="G888" s="4">
        <v>20240623</v>
      </c>
      <c r="H888" s="4" t="s">
        <v>12716</v>
      </c>
      <c r="I888" s="4" t="s">
        <v>185</v>
      </c>
      <c r="J888" s="4" t="s">
        <v>505</v>
      </c>
    </row>
    <row r="889" spans="1:10" hidden="1">
      <c r="A889" s="4">
        <v>2.0210658222000499E+17</v>
      </c>
      <c r="B889" s="4">
        <v>2768801550</v>
      </c>
      <c r="C889" s="4" t="s">
        <v>12715</v>
      </c>
      <c r="D889" s="4">
        <v>58222</v>
      </c>
      <c r="E889" s="4">
        <v>20210623</v>
      </c>
      <c r="F889" s="4">
        <v>20210623</v>
      </c>
      <c r="G889" s="4">
        <v>20240623</v>
      </c>
      <c r="H889" s="4" t="s">
        <v>2986</v>
      </c>
      <c r="I889" s="4" t="s">
        <v>12714</v>
      </c>
      <c r="J889" s="4" t="s">
        <v>94</v>
      </c>
    </row>
    <row r="890" spans="1:10" hidden="1">
      <c r="A890" s="4">
        <v>2.0210658221000499E+17</v>
      </c>
      <c r="B890" s="4">
        <v>7048800959</v>
      </c>
      <c r="C890" s="4" t="s">
        <v>12713</v>
      </c>
      <c r="D890" s="4">
        <v>58221</v>
      </c>
      <c r="E890" s="4">
        <v>20210623</v>
      </c>
      <c r="F890" s="4">
        <v>20210623</v>
      </c>
      <c r="G890" s="4">
        <v>20240623</v>
      </c>
      <c r="H890" s="4" t="s">
        <v>9145</v>
      </c>
      <c r="J890" s="4" t="s">
        <v>228</v>
      </c>
    </row>
    <row r="891" spans="1:10" hidden="1">
      <c r="A891" s="4">
        <v>2.0210658222000499E+17</v>
      </c>
      <c r="B891" s="4">
        <v>4748102023</v>
      </c>
      <c r="C891" s="4" t="s">
        <v>12712</v>
      </c>
      <c r="D891" s="4">
        <v>58222</v>
      </c>
      <c r="E891" s="4">
        <v>20210623</v>
      </c>
      <c r="F891" s="4">
        <v>20210623</v>
      </c>
      <c r="G891" s="4">
        <v>20240623</v>
      </c>
      <c r="H891" s="4" t="s">
        <v>12711</v>
      </c>
      <c r="I891" s="4" t="s">
        <v>8322</v>
      </c>
      <c r="J891" s="4" t="s">
        <v>94</v>
      </c>
    </row>
    <row r="892" spans="1:10" hidden="1">
      <c r="A892" s="4">
        <v>2.0210671531000499E+17</v>
      </c>
      <c r="B892" s="4">
        <v>4758801405</v>
      </c>
      <c r="C892" s="4" t="s">
        <v>12710</v>
      </c>
      <c r="D892" s="4">
        <v>71531</v>
      </c>
      <c r="E892" s="4">
        <v>20210623</v>
      </c>
      <c r="F892" s="4">
        <v>20210623</v>
      </c>
      <c r="G892" s="4">
        <v>20240623</v>
      </c>
      <c r="H892" s="4" t="s">
        <v>8797</v>
      </c>
      <c r="I892" s="4" t="s">
        <v>8730</v>
      </c>
      <c r="J892" s="4" t="s">
        <v>87</v>
      </c>
    </row>
    <row r="893" spans="1:10" hidden="1">
      <c r="A893" s="4">
        <v>2.0210610791000499E+17</v>
      </c>
      <c r="B893" s="4">
        <v>4478100800</v>
      </c>
      <c r="C893" s="4" t="s">
        <v>12709</v>
      </c>
      <c r="D893" s="4">
        <v>10791</v>
      </c>
      <c r="E893" s="4">
        <v>20210623</v>
      </c>
      <c r="F893" s="4">
        <v>20210623</v>
      </c>
      <c r="G893" s="4">
        <v>20240609</v>
      </c>
      <c r="H893" s="4" t="s">
        <v>12708</v>
      </c>
      <c r="I893" s="4" t="s">
        <v>12707</v>
      </c>
      <c r="J893" s="4" t="s">
        <v>335</v>
      </c>
    </row>
    <row r="894" spans="1:10" hidden="1">
      <c r="A894" s="4">
        <v>2.0210626429000499E+17</v>
      </c>
      <c r="B894" s="4">
        <v>5908601767</v>
      </c>
      <c r="C894" s="4" t="s">
        <v>12706</v>
      </c>
      <c r="D894" s="4">
        <v>26429</v>
      </c>
      <c r="E894" s="4">
        <v>20210623</v>
      </c>
      <c r="F894" s="4">
        <v>20210623</v>
      </c>
      <c r="G894" s="4">
        <v>20240623</v>
      </c>
      <c r="H894" s="4" t="s">
        <v>1977</v>
      </c>
      <c r="I894" s="4" t="s">
        <v>12705</v>
      </c>
      <c r="J894" s="4" t="s">
        <v>422</v>
      </c>
    </row>
    <row r="895" spans="1:10" hidden="1">
      <c r="A895" s="4">
        <v>2.0210658221000499E+17</v>
      </c>
      <c r="B895" s="4">
        <v>7738701700</v>
      </c>
      <c r="C895" s="4" t="s">
        <v>12704</v>
      </c>
      <c r="D895" s="4">
        <v>58221</v>
      </c>
      <c r="E895" s="4">
        <v>20210623</v>
      </c>
      <c r="F895" s="4">
        <v>20210623</v>
      </c>
      <c r="G895" s="4">
        <v>20240623</v>
      </c>
      <c r="H895" s="4" t="s">
        <v>12703</v>
      </c>
      <c r="I895" s="4" t="s">
        <v>12702</v>
      </c>
      <c r="J895" s="4" t="s">
        <v>228</v>
      </c>
    </row>
    <row r="896" spans="1:10" hidden="1">
      <c r="A896" s="4">
        <v>2.0210647591000499E+17</v>
      </c>
      <c r="B896" s="4">
        <v>2598701354</v>
      </c>
      <c r="C896" s="4" t="s">
        <v>12701</v>
      </c>
      <c r="D896" s="4">
        <v>47591</v>
      </c>
      <c r="E896" s="4">
        <v>20210623</v>
      </c>
      <c r="F896" s="4">
        <v>20210623</v>
      </c>
      <c r="G896" s="4">
        <v>20240623</v>
      </c>
      <c r="H896" s="4" t="s">
        <v>12700</v>
      </c>
      <c r="I896" s="4" t="s">
        <v>12699</v>
      </c>
      <c r="J896" s="4" t="s">
        <v>476</v>
      </c>
    </row>
    <row r="897" spans="1:10" hidden="1">
      <c r="A897" s="4">
        <v>2.0210641226000499E+17</v>
      </c>
      <c r="B897" s="4">
        <v>5698102016</v>
      </c>
      <c r="C897" s="4" t="s">
        <v>12698</v>
      </c>
      <c r="D897" s="4">
        <v>41226</v>
      </c>
      <c r="E897" s="4">
        <v>20210623</v>
      </c>
      <c r="F897" s="4">
        <v>20210623</v>
      </c>
      <c r="G897" s="4">
        <v>20240623</v>
      </c>
      <c r="H897" s="4" t="s">
        <v>12697</v>
      </c>
      <c r="I897" s="4" t="s">
        <v>12696</v>
      </c>
      <c r="J897" s="4" t="s">
        <v>1063</v>
      </c>
    </row>
    <row r="898" spans="1:10" hidden="1">
      <c r="A898" s="4">
        <v>2.0210614111000499E+17</v>
      </c>
      <c r="B898" s="4">
        <v>4948601265</v>
      </c>
      <c r="C898" s="4" t="s">
        <v>12695</v>
      </c>
      <c r="D898" s="4">
        <v>14111</v>
      </c>
      <c r="E898" s="4">
        <v>20210623</v>
      </c>
      <c r="F898" s="4">
        <v>20210623</v>
      </c>
      <c r="G898" s="4">
        <v>20240623</v>
      </c>
      <c r="H898" s="4" t="s">
        <v>12694</v>
      </c>
      <c r="I898" s="4" t="s">
        <v>2362</v>
      </c>
      <c r="J898" s="4" t="s">
        <v>2462</v>
      </c>
    </row>
    <row r="899" spans="1:10" hidden="1">
      <c r="A899" s="4">
        <v>2.0210628410000499E+17</v>
      </c>
      <c r="B899" s="4">
        <v>5468800125</v>
      </c>
      <c r="C899" s="4" t="s">
        <v>12693</v>
      </c>
      <c r="D899" s="4">
        <v>28410</v>
      </c>
      <c r="E899" s="4">
        <v>20210623</v>
      </c>
      <c r="F899" s="4">
        <v>20210623</v>
      </c>
      <c r="G899" s="4">
        <v>20220605</v>
      </c>
      <c r="H899" s="4" t="s">
        <v>4035</v>
      </c>
      <c r="I899" s="4" t="s">
        <v>12692</v>
      </c>
      <c r="J899" s="4" t="s">
        <v>2199</v>
      </c>
    </row>
    <row r="900" spans="1:10" hidden="1">
      <c r="A900" s="4">
        <v>2.0210632029000499E+17</v>
      </c>
      <c r="B900" s="4">
        <v>6548100446</v>
      </c>
      <c r="C900" s="4" t="s">
        <v>12691</v>
      </c>
      <c r="D900" s="4">
        <v>32029</v>
      </c>
      <c r="E900" s="4">
        <v>20210623</v>
      </c>
      <c r="F900" s="4">
        <v>20210623</v>
      </c>
      <c r="G900" s="4">
        <v>20230225</v>
      </c>
      <c r="H900" s="4" t="s">
        <v>12690</v>
      </c>
      <c r="I900" s="4" t="s">
        <v>12689</v>
      </c>
      <c r="J900" s="4" t="s">
        <v>637</v>
      </c>
    </row>
    <row r="901" spans="1:10" hidden="1">
      <c r="A901" s="4">
        <v>2.0210663112000499E+17</v>
      </c>
      <c r="B901" s="4">
        <v>1868600948</v>
      </c>
      <c r="C901" s="4" t="s">
        <v>12688</v>
      </c>
      <c r="D901" s="4">
        <v>63112</v>
      </c>
      <c r="E901" s="4">
        <v>20210623</v>
      </c>
      <c r="F901" s="4">
        <v>20210623</v>
      </c>
      <c r="G901" s="4">
        <v>20240623</v>
      </c>
      <c r="H901" s="4" t="s">
        <v>7314</v>
      </c>
      <c r="I901" s="4" t="s">
        <v>4963</v>
      </c>
      <c r="J901" s="4" t="s">
        <v>12687</v>
      </c>
    </row>
    <row r="902" spans="1:10" hidden="1">
      <c r="A902" s="4">
        <v>2.0210627309000499E+17</v>
      </c>
      <c r="B902" s="4">
        <v>7978600582</v>
      </c>
      <c r="C902" s="4" t="s">
        <v>12686</v>
      </c>
      <c r="D902" s="4">
        <v>27309</v>
      </c>
      <c r="E902" s="4">
        <v>20210623</v>
      </c>
      <c r="F902" s="4">
        <v>20210623</v>
      </c>
      <c r="G902" s="4">
        <v>20240623</v>
      </c>
      <c r="H902" s="4" t="s">
        <v>3758</v>
      </c>
      <c r="I902" s="4" t="s">
        <v>4725</v>
      </c>
      <c r="J902" s="4" t="s">
        <v>268</v>
      </c>
    </row>
    <row r="903" spans="1:10" hidden="1">
      <c r="A903" s="4">
        <v>2.0210626410000499E+17</v>
      </c>
      <c r="B903" s="4">
        <v>1928800175</v>
      </c>
      <c r="C903" s="4" t="s">
        <v>12685</v>
      </c>
      <c r="D903" s="4">
        <v>26410</v>
      </c>
      <c r="E903" s="4">
        <v>20210623</v>
      </c>
      <c r="F903" s="4">
        <v>20210623</v>
      </c>
      <c r="G903" s="4">
        <v>20220714</v>
      </c>
      <c r="H903" s="4" t="s">
        <v>12684</v>
      </c>
      <c r="I903" s="4" t="s">
        <v>12683</v>
      </c>
      <c r="J903" s="4" t="s">
        <v>1102</v>
      </c>
    </row>
    <row r="904" spans="1:10" hidden="1">
      <c r="A904" s="4">
        <v>2.0210658222000499E+17</v>
      </c>
      <c r="B904" s="4">
        <v>8468801441</v>
      </c>
      <c r="C904" s="4" t="s">
        <v>12682</v>
      </c>
      <c r="D904" s="4">
        <v>58222</v>
      </c>
      <c r="E904" s="4">
        <v>20210623</v>
      </c>
      <c r="F904" s="4">
        <v>20210623</v>
      </c>
      <c r="G904" s="4">
        <v>20240623</v>
      </c>
      <c r="H904" s="4" t="s">
        <v>3483</v>
      </c>
      <c r="I904" s="4" t="s">
        <v>12681</v>
      </c>
      <c r="J904" s="4" t="s">
        <v>94</v>
      </c>
    </row>
    <row r="905" spans="1:10" hidden="1">
      <c r="A905" s="4">
        <v>2.0210668212000499E+17</v>
      </c>
      <c r="B905" s="4">
        <v>5618600514</v>
      </c>
      <c r="C905" s="4" t="s">
        <v>12680</v>
      </c>
      <c r="D905" s="4">
        <v>68212</v>
      </c>
      <c r="E905" s="4">
        <v>20210623</v>
      </c>
      <c r="F905" s="4">
        <v>20210623</v>
      </c>
      <c r="G905" s="4">
        <v>20231028</v>
      </c>
      <c r="H905" s="4" t="s">
        <v>12679</v>
      </c>
      <c r="J905" s="4" t="s">
        <v>12678</v>
      </c>
    </row>
    <row r="906" spans="1:10" hidden="1">
      <c r="A906" s="4">
        <v>2.0210628111000499E+17</v>
      </c>
      <c r="B906" s="4">
        <v>5978100560</v>
      </c>
      <c r="C906" s="4" t="s">
        <v>12878</v>
      </c>
      <c r="D906" s="4">
        <v>28111</v>
      </c>
      <c r="E906" s="4">
        <v>20210625</v>
      </c>
      <c r="F906" s="4">
        <v>20210625</v>
      </c>
      <c r="G906" s="4">
        <v>20240124</v>
      </c>
      <c r="H906" s="4" t="s">
        <v>3719</v>
      </c>
      <c r="I906" s="4" t="s">
        <v>12877</v>
      </c>
      <c r="J906" s="4" t="s">
        <v>1614</v>
      </c>
    </row>
    <row r="907" spans="1:10" hidden="1">
      <c r="A907" s="4">
        <v>2.0210641224000499E+17</v>
      </c>
      <c r="B907" s="4">
        <v>4548601419</v>
      </c>
      <c r="C907" s="4" t="s">
        <v>12675</v>
      </c>
      <c r="D907" s="4">
        <v>41224</v>
      </c>
      <c r="E907" s="4">
        <v>20210623</v>
      </c>
      <c r="F907" s="4">
        <v>20210623</v>
      </c>
      <c r="G907" s="4">
        <v>20240623</v>
      </c>
      <c r="H907" s="4" t="s">
        <v>12674</v>
      </c>
      <c r="I907" s="4" t="s">
        <v>12673</v>
      </c>
      <c r="J907" s="4" t="s">
        <v>4121</v>
      </c>
    </row>
    <row r="908" spans="1:10" hidden="1">
      <c r="A908" s="4">
        <v>2.0210658222000499E+17</v>
      </c>
      <c r="B908" s="4">
        <v>4108709984</v>
      </c>
      <c r="C908" s="4" t="s">
        <v>12672</v>
      </c>
      <c r="D908" s="4">
        <v>58222</v>
      </c>
      <c r="E908" s="4">
        <v>20210623</v>
      </c>
      <c r="F908" s="4">
        <v>20210623</v>
      </c>
      <c r="G908" s="4">
        <v>20240623</v>
      </c>
      <c r="H908" s="4" t="s">
        <v>2326</v>
      </c>
      <c r="I908" s="4" t="s">
        <v>12671</v>
      </c>
      <c r="J908" s="4" t="s">
        <v>94</v>
      </c>
    </row>
    <row r="909" spans="1:10" hidden="1">
      <c r="A909" s="4">
        <v>2.0210628519000499E+17</v>
      </c>
      <c r="B909" s="4">
        <v>2268601338</v>
      </c>
      <c r="C909" s="4" t="s">
        <v>12670</v>
      </c>
      <c r="D909" s="4">
        <v>28519</v>
      </c>
      <c r="E909" s="4">
        <v>20210623</v>
      </c>
      <c r="F909" s="4">
        <v>20210623</v>
      </c>
      <c r="G909" s="4">
        <v>20240623</v>
      </c>
      <c r="H909" s="4" t="s">
        <v>1886</v>
      </c>
      <c r="I909" s="4" t="s">
        <v>4963</v>
      </c>
      <c r="J909" s="4" t="s">
        <v>1412</v>
      </c>
    </row>
    <row r="910" spans="1:10" hidden="1">
      <c r="A910" s="4">
        <v>2.0210613992000499E+17</v>
      </c>
      <c r="B910" s="4">
        <v>6808601885</v>
      </c>
      <c r="C910" s="4" t="s">
        <v>12669</v>
      </c>
      <c r="D910" s="4">
        <v>13992</v>
      </c>
      <c r="E910" s="4">
        <v>20210623</v>
      </c>
      <c r="F910" s="4">
        <v>20210623</v>
      </c>
      <c r="G910" s="4">
        <v>20240623</v>
      </c>
      <c r="H910" s="4" t="s">
        <v>12668</v>
      </c>
      <c r="I910" s="4" t="s">
        <v>12667</v>
      </c>
      <c r="J910" s="4" t="s">
        <v>2982</v>
      </c>
    </row>
    <row r="911" spans="1:10" hidden="1">
      <c r="A911" s="4">
        <v>2.0210670130000499E+17</v>
      </c>
      <c r="B911" s="4">
        <v>7658800876</v>
      </c>
      <c r="C911" s="4" t="s">
        <v>12666</v>
      </c>
      <c r="D911" s="4">
        <v>70130</v>
      </c>
      <c r="E911" s="4">
        <v>20210623</v>
      </c>
      <c r="F911" s="4">
        <v>20210623</v>
      </c>
      <c r="G911" s="4">
        <v>20240623</v>
      </c>
      <c r="H911" s="4" t="s">
        <v>12665</v>
      </c>
      <c r="I911" s="4" t="s">
        <v>12664</v>
      </c>
      <c r="J911" s="4" t="s">
        <v>170</v>
      </c>
    </row>
    <row r="912" spans="1:10" hidden="1">
      <c r="A912" s="4">
        <v>2.0210629223000499E+17</v>
      </c>
      <c r="B912" s="4">
        <v>2508801183</v>
      </c>
      <c r="C912" s="4" t="s">
        <v>12663</v>
      </c>
      <c r="D912" s="4">
        <v>29223</v>
      </c>
      <c r="E912" s="4">
        <v>20210623</v>
      </c>
      <c r="F912" s="4">
        <v>20210623</v>
      </c>
      <c r="G912" s="4">
        <v>20240623</v>
      </c>
      <c r="H912" s="4" t="s">
        <v>341</v>
      </c>
      <c r="I912" s="4" t="s">
        <v>12662</v>
      </c>
      <c r="J912" s="4" t="s">
        <v>599</v>
      </c>
    </row>
    <row r="913" spans="1:10" hidden="1">
      <c r="A913" s="4">
        <v>2.0210629193000499E+17</v>
      </c>
      <c r="B913" s="4">
        <v>8848101987</v>
      </c>
      <c r="C913" s="4" t="s">
        <v>12661</v>
      </c>
      <c r="D913" s="4">
        <v>29193</v>
      </c>
      <c r="E913" s="4">
        <v>20210623</v>
      </c>
      <c r="F913" s="4">
        <v>20210623</v>
      </c>
      <c r="G913" s="4">
        <v>20240623</v>
      </c>
      <c r="H913" s="4" t="s">
        <v>5271</v>
      </c>
      <c r="I913" s="4" t="s">
        <v>12660</v>
      </c>
      <c r="J913" s="4" t="s">
        <v>721</v>
      </c>
    </row>
    <row r="914" spans="1:10" hidden="1">
      <c r="A914" s="4">
        <v>2.0210663111000499E+17</v>
      </c>
      <c r="B914" s="4">
        <v>2388701231</v>
      </c>
      <c r="C914" s="4" t="s">
        <v>12659</v>
      </c>
      <c r="D914" s="4">
        <v>63111</v>
      </c>
      <c r="E914" s="4">
        <v>20210623</v>
      </c>
      <c r="F914" s="4">
        <v>20210623</v>
      </c>
      <c r="G914" s="4">
        <v>20240623</v>
      </c>
      <c r="H914" s="4" t="s">
        <v>1366</v>
      </c>
      <c r="J914" s="4" t="s">
        <v>915</v>
      </c>
    </row>
    <row r="915" spans="1:10" hidden="1">
      <c r="A915" s="4">
        <v>2.0210625122000499E+17</v>
      </c>
      <c r="B915" s="4">
        <v>4062900873</v>
      </c>
      <c r="C915" s="4" t="s">
        <v>12657</v>
      </c>
      <c r="D915" s="4">
        <v>25122</v>
      </c>
      <c r="E915" s="4">
        <v>20210623</v>
      </c>
      <c r="F915" s="4">
        <v>20210623</v>
      </c>
      <c r="G915" s="4">
        <v>20240623</v>
      </c>
      <c r="H915" s="4" t="s">
        <v>12658</v>
      </c>
      <c r="I915" s="4" t="s">
        <v>12657</v>
      </c>
      <c r="J915" s="4" t="s">
        <v>6195</v>
      </c>
    </row>
    <row r="916" spans="1:10" hidden="1">
      <c r="A916" s="4">
        <v>2.0210662010000499E+17</v>
      </c>
      <c r="B916" s="4">
        <v>8678601202</v>
      </c>
      <c r="C916" s="4" t="s">
        <v>12656</v>
      </c>
      <c r="D916" s="4">
        <v>62010</v>
      </c>
      <c r="E916" s="4">
        <v>20210623</v>
      </c>
      <c r="F916" s="4">
        <v>20210623</v>
      </c>
      <c r="G916" s="4">
        <v>20240623</v>
      </c>
      <c r="H916" s="4" t="s">
        <v>1106</v>
      </c>
      <c r="I916" s="4" t="s">
        <v>415</v>
      </c>
      <c r="J916" s="4" t="s">
        <v>118</v>
      </c>
    </row>
    <row r="917" spans="1:10" hidden="1">
      <c r="A917" s="4">
        <v>2.0210633999000499E+17</v>
      </c>
      <c r="B917" s="4">
        <v>8555200224</v>
      </c>
      <c r="C917" s="4" t="s">
        <v>12655</v>
      </c>
      <c r="D917" s="4">
        <v>33999</v>
      </c>
      <c r="E917" s="4">
        <v>20210623</v>
      </c>
      <c r="F917" s="4">
        <v>20210623</v>
      </c>
      <c r="G917" s="4">
        <v>20230801</v>
      </c>
      <c r="H917" s="4" t="s">
        <v>474</v>
      </c>
      <c r="I917" s="4" t="s">
        <v>12654</v>
      </c>
      <c r="J917" s="4" t="s">
        <v>780</v>
      </c>
    </row>
    <row r="918" spans="1:10" hidden="1">
      <c r="A918" s="4">
        <v>2.0210629294000499E+17</v>
      </c>
      <c r="B918" s="4">
        <v>7790101586</v>
      </c>
      <c r="C918" s="4" t="s">
        <v>12653</v>
      </c>
      <c r="D918" s="4">
        <v>29294</v>
      </c>
      <c r="E918" s="4">
        <v>20210623</v>
      </c>
      <c r="F918" s="4">
        <v>20210623</v>
      </c>
      <c r="G918" s="4">
        <v>20240623</v>
      </c>
      <c r="H918" s="4" t="s">
        <v>12652</v>
      </c>
      <c r="J918" s="4" t="s">
        <v>1848</v>
      </c>
    </row>
    <row r="919" spans="1:10" hidden="1">
      <c r="A919" s="4">
        <v>2.0210629171000499E+17</v>
      </c>
      <c r="B919" s="4">
        <v>4618601800</v>
      </c>
      <c r="C919" s="4" t="s">
        <v>12651</v>
      </c>
      <c r="D919" s="4">
        <v>29171</v>
      </c>
      <c r="E919" s="4">
        <v>20210623</v>
      </c>
      <c r="F919" s="4">
        <v>20210623</v>
      </c>
      <c r="G919" s="4">
        <v>20240623</v>
      </c>
      <c r="H919" s="4" t="s">
        <v>6753</v>
      </c>
      <c r="I919" s="4" t="s">
        <v>12650</v>
      </c>
      <c r="J919" s="4" t="s">
        <v>2082</v>
      </c>
    </row>
    <row r="920" spans="1:10" hidden="1">
      <c r="A920" s="4">
        <v>2.0210629272000499E+17</v>
      </c>
      <c r="B920" s="4">
        <v>7542900506</v>
      </c>
      <c r="C920" s="4" t="s">
        <v>12649</v>
      </c>
      <c r="D920" s="4">
        <v>29272</v>
      </c>
      <c r="E920" s="4">
        <v>20210623</v>
      </c>
      <c r="F920" s="4">
        <v>20210623</v>
      </c>
      <c r="G920" s="4">
        <v>20240623</v>
      </c>
      <c r="H920" s="4" t="s">
        <v>299</v>
      </c>
      <c r="I920" s="4" t="s">
        <v>12648</v>
      </c>
      <c r="J920" s="4" t="s">
        <v>1124</v>
      </c>
    </row>
    <row r="921" spans="1:10" hidden="1">
      <c r="A921" s="4">
        <v>2.0210625112000499E+17</v>
      </c>
      <c r="B921" s="4">
        <v>2808602006</v>
      </c>
      <c r="C921" s="4" t="s">
        <v>12647</v>
      </c>
      <c r="D921" s="4">
        <v>25112</v>
      </c>
      <c r="E921" s="4">
        <v>20210623</v>
      </c>
      <c r="F921" s="4">
        <v>20210623</v>
      </c>
      <c r="G921" s="4">
        <v>20240623</v>
      </c>
      <c r="H921" s="4" t="s">
        <v>12646</v>
      </c>
      <c r="I921" s="4" t="s">
        <v>12645</v>
      </c>
      <c r="J921" s="4" t="s">
        <v>320</v>
      </c>
    </row>
    <row r="922" spans="1:10" hidden="1">
      <c r="A922" s="4">
        <v>2.0210627219000499E+17</v>
      </c>
      <c r="B922" s="4">
        <v>2092869594</v>
      </c>
      <c r="C922" s="4" t="s">
        <v>12644</v>
      </c>
      <c r="D922" s="4">
        <v>27219</v>
      </c>
      <c r="E922" s="4">
        <v>20210623</v>
      </c>
      <c r="F922" s="4">
        <v>20210623</v>
      </c>
      <c r="G922" s="4">
        <v>20240623</v>
      </c>
      <c r="H922" s="4" t="s">
        <v>12643</v>
      </c>
      <c r="I922" s="4" t="s">
        <v>197</v>
      </c>
      <c r="J922" s="4" t="s">
        <v>1454</v>
      </c>
    </row>
    <row r="923" spans="1:10" hidden="1">
      <c r="A923" s="4">
        <v>2.0210670129000499E+17</v>
      </c>
      <c r="B923" s="4">
        <v>6378601407</v>
      </c>
      <c r="C923" s="4" t="s">
        <v>12642</v>
      </c>
      <c r="D923" s="4">
        <v>70129</v>
      </c>
      <c r="E923" s="4">
        <v>20210623</v>
      </c>
      <c r="F923" s="4">
        <v>20210623</v>
      </c>
      <c r="G923" s="4">
        <v>20240623</v>
      </c>
      <c r="H923" s="4" t="s">
        <v>12641</v>
      </c>
      <c r="I923" s="4" t="s">
        <v>3580</v>
      </c>
      <c r="J923" s="4" t="s">
        <v>937</v>
      </c>
    </row>
    <row r="924" spans="1:10" hidden="1">
      <c r="A924" s="4">
        <v>2.0210685699000499E+17</v>
      </c>
      <c r="B924" s="4">
        <v>2948700101</v>
      </c>
      <c r="C924" s="4" t="s">
        <v>12640</v>
      </c>
      <c r="D924" s="4">
        <v>85699</v>
      </c>
      <c r="E924" s="4">
        <v>20210622</v>
      </c>
      <c r="F924" s="4">
        <v>20210622</v>
      </c>
      <c r="G924" s="4">
        <v>20220618</v>
      </c>
      <c r="H924" s="4" t="s">
        <v>12639</v>
      </c>
      <c r="I924" s="4" t="s">
        <v>4068</v>
      </c>
      <c r="J924" s="4" t="s">
        <v>2192</v>
      </c>
    </row>
    <row r="925" spans="1:10" hidden="1">
      <c r="A925" s="4">
        <v>2.0210671310000499E+17</v>
      </c>
      <c r="B925" s="4">
        <v>3338801533</v>
      </c>
      <c r="C925" s="4" t="s">
        <v>12638</v>
      </c>
      <c r="D925" s="4">
        <v>71310</v>
      </c>
      <c r="E925" s="4">
        <v>20210622</v>
      </c>
      <c r="F925" s="4">
        <v>20210622</v>
      </c>
      <c r="G925" s="4">
        <v>20240622</v>
      </c>
      <c r="H925" s="4" t="s">
        <v>1711</v>
      </c>
      <c r="I925" s="4" t="s">
        <v>657</v>
      </c>
      <c r="J925" s="4" t="s">
        <v>426</v>
      </c>
    </row>
    <row r="926" spans="1:10" hidden="1">
      <c r="A926" s="4">
        <v>2.0210663991000499E+17</v>
      </c>
      <c r="B926" s="4">
        <v>5228801851</v>
      </c>
      <c r="C926" s="4" t="s">
        <v>12637</v>
      </c>
      <c r="D926" s="4">
        <v>63991</v>
      </c>
      <c r="E926" s="4">
        <v>20210622</v>
      </c>
      <c r="F926" s="4">
        <v>20210622</v>
      </c>
      <c r="G926" s="4">
        <v>20240622</v>
      </c>
      <c r="H926" s="4" t="s">
        <v>12636</v>
      </c>
      <c r="I926" s="4" t="s">
        <v>12635</v>
      </c>
      <c r="J926" s="4" t="s">
        <v>395</v>
      </c>
    </row>
    <row r="927" spans="1:10" hidden="1">
      <c r="A927" s="4">
        <v>2.0210633309000499E+17</v>
      </c>
      <c r="B927" s="4">
        <v>7553500062</v>
      </c>
      <c r="C927" s="4" t="s">
        <v>12774</v>
      </c>
      <c r="D927" s="4">
        <v>33309</v>
      </c>
      <c r="E927" s="4">
        <v>20210623</v>
      </c>
      <c r="F927" s="4">
        <v>20210623</v>
      </c>
      <c r="G927" s="4">
        <v>20220714</v>
      </c>
      <c r="H927" s="4" t="s">
        <v>12775</v>
      </c>
      <c r="I927" s="4" t="s">
        <v>12774</v>
      </c>
      <c r="J927" s="4" t="s">
        <v>238</v>
      </c>
    </row>
    <row r="928" spans="1:10" hidden="1">
      <c r="A928" s="4">
        <v>2.0210671531000499E+17</v>
      </c>
      <c r="B928" s="4">
        <v>8688701707</v>
      </c>
      <c r="C928" s="4" t="s">
        <v>12632</v>
      </c>
      <c r="D928" s="4">
        <v>71531</v>
      </c>
      <c r="E928" s="4">
        <v>20210622</v>
      </c>
      <c r="F928" s="4">
        <v>20210622</v>
      </c>
      <c r="G928" s="4">
        <v>20240622</v>
      </c>
      <c r="H928" s="4" t="s">
        <v>12631</v>
      </c>
      <c r="I928" s="4" t="s">
        <v>91</v>
      </c>
      <c r="J928" s="4" t="s">
        <v>87</v>
      </c>
    </row>
    <row r="929" spans="1:10" hidden="1">
      <c r="A929" s="4">
        <v>2.0210629280000499E+17</v>
      </c>
      <c r="B929" s="4">
        <v>4168199333</v>
      </c>
      <c r="C929" s="4" t="s">
        <v>12630</v>
      </c>
      <c r="D929" s="4">
        <v>29280</v>
      </c>
      <c r="E929" s="4">
        <v>20210622</v>
      </c>
      <c r="F929" s="4">
        <v>20210622</v>
      </c>
      <c r="G929" s="4">
        <v>20210904</v>
      </c>
      <c r="H929" s="4" t="s">
        <v>12629</v>
      </c>
      <c r="I929" s="4" t="s">
        <v>12628</v>
      </c>
      <c r="J929" s="4" t="s">
        <v>533</v>
      </c>
    </row>
    <row r="930" spans="1:10">
      <c r="A930" s="4">
        <v>2.0210329293000099E+17</v>
      </c>
      <c r="B930" s="4">
        <v>7258100184</v>
      </c>
      <c r="C930" s="4" t="s">
        <v>4896</v>
      </c>
      <c r="D930" s="4">
        <v>29293</v>
      </c>
      <c r="E930" s="4">
        <v>20210322</v>
      </c>
      <c r="F930" s="4">
        <v>20210322</v>
      </c>
      <c r="G930" s="4">
        <v>20220701</v>
      </c>
      <c r="H930" s="4" t="s">
        <v>2730</v>
      </c>
      <c r="I930" s="4" t="s">
        <v>2729</v>
      </c>
      <c r="J930" s="4" t="s">
        <v>4895</v>
      </c>
    </row>
    <row r="931" spans="1:10" hidden="1">
      <c r="A931" s="4">
        <v>2.0210660229000499E+17</v>
      </c>
      <c r="B931" s="4">
        <v>4758801894</v>
      </c>
      <c r="C931" s="4" t="s">
        <v>12624</v>
      </c>
      <c r="D931" s="4">
        <v>60229</v>
      </c>
      <c r="E931" s="4">
        <v>20210622</v>
      </c>
      <c r="F931" s="4">
        <v>20210622</v>
      </c>
      <c r="G931" s="4">
        <v>20240622</v>
      </c>
      <c r="H931" s="4" t="s">
        <v>12623</v>
      </c>
      <c r="I931" s="4" t="s">
        <v>185</v>
      </c>
      <c r="J931" s="4" t="s">
        <v>12622</v>
      </c>
    </row>
    <row r="932" spans="1:10" hidden="1">
      <c r="A932" s="4">
        <v>2.0210658221000499E+17</v>
      </c>
      <c r="B932" s="4">
        <v>3338701797</v>
      </c>
      <c r="C932" s="4" t="s">
        <v>12621</v>
      </c>
      <c r="D932" s="4">
        <v>58221</v>
      </c>
      <c r="E932" s="4">
        <v>20210622</v>
      </c>
      <c r="F932" s="4">
        <v>20210622</v>
      </c>
      <c r="G932" s="4">
        <v>20220714</v>
      </c>
      <c r="H932" s="4" t="s">
        <v>12620</v>
      </c>
      <c r="J932" s="4" t="s">
        <v>228</v>
      </c>
    </row>
    <row r="933" spans="1:10" hidden="1">
      <c r="A933" s="4">
        <v>2.0210646510000499E+17</v>
      </c>
      <c r="B933" s="4">
        <v>6378801639</v>
      </c>
      <c r="C933" s="4" t="s">
        <v>12619</v>
      </c>
      <c r="D933" s="4">
        <v>46510</v>
      </c>
      <c r="E933" s="4">
        <v>20210622</v>
      </c>
      <c r="F933" s="4">
        <v>20210622</v>
      </c>
      <c r="G933" s="4">
        <v>20240622</v>
      </c>
      <c r="H933" s="4" t="s">
        <v>12618</v>
      </c>
      <c r="I933" s="4" t="s">
        <v>12617</v>
      </c>
      <c r="J933" s="4" t="s">
        <v>126</v>
      </c>
    </row>
    <row r="934" spans="1:10" hidden="1">
      <c r="A934" s="4">
        <v>2.0210622232000499E+17</v>
      </c>
      <c r="B934" s="4">
        <v>3548100721</v>
      </c>
      <c r="C934" s="4" t="s">
        <v>12616</v>
      </c>
      <c r="D934" s="4">
        <v>22232</v>
      </c>
      <c r="E934" s="4">
        <v>20210622</v>
      </c>
      <c r="F934" s="4">
        <v>20210622</v>
      </c>
      <c r="G934" s="4">
        <v>20240222</v>
      </c>
      <c r="H934" s="4" t="s">
        <v>12615</v>
      </c>
      <c r="I934" s="4" t="s">
        <v>149</v>
      </c>
      <c r="J934" s="4" t="s">
        <v>3289</v>
      </c>
    </row>
    <row r="935" spans="1:10" hidden="1">
      <c r="A935" s="4">
        <v>2.0210626421000499E+17</v>
      </c>
      <c r="B935" s="4">
        <v>7358600852</v>
      </c>
      <c r="C935" s="4" t="s">
        <v>12614</v>
      </c>
      <c r="D935" s="4">
        <v>26421</v>
      </c>
      <c r="E935" s="4">
        <v>20210622</v>
      </c>
      <c r="F935" s="4">
        <v>20210622</v>
      </c>
      <c r="G935" s="4">
        <v>20240622</v>
      </c>
      <c r="H935" s="4" t="s">
        <v>3331</v>
      </c>
      <c r="I935" s="4" t="s">
        <v>12613</v>
      </c>
      <c r="J935" s="4" t="s">
        <v>1767</v>
      </c>
    </row>
    <row r="936" spans="1:10" hidden="1">
      <c r="A936" s="4">
        <v>2.0210628422000499E+17</v>
      </c>
      <c r="B936" s="4">
        <v>5998800513</v>
      </c>
      <c r="C936" s="4" t="s">
        <v>12612</v>
      </c>
      <c r="D936" s="4">
        <v>28422</v>
      </c>
      <c r="E936" s="4">
        <v>20210622</v>
      </c>
      <c r="F936" s="4">
        <v>20210622</v>
      </c>
      <c r="G936" s="4">
        <v>20231027</v>
      </c>
      <c r="H936" s="4" t="s">
        <v>12611</v>
      </c>
      <c r="J936" s="4" t="s">
        <v>188</v>
      </c>
    </row>
    <row r="937" spans="1:10" hidden="1">
      <c r="A937" s="4">
        <v>2.0210620322000499E+17</v>
      </c>
      <c r="B937" s="4">
        <v>2168701435</v>
      </c>
      <c r="C937" s="4" t="s">
        <v>12610</v>
      </c>
      <c r="D937" s="4">
        <v>20322</v>
      </c>
      <c r="E937" s="4">
        <v>20210622</v>
      </c>
      <c r="F937" s="4">
        <v>20210622</v>
      </c>
      <c r="G937" s="4">
        <v>20240622</v>
      </c>
      <c r="H937" s="4" t="s">
        <v>12609</v>
      </c>
      <c r="I937" s="4" t="s">
        <v>12608</v>
      </c>
      <c r="J937" s="4" t="s">
        <v>105</v>
      </c>
    </row>
    <row r="938" spans="1:10" hidden="1">
      <c r="A938" s="4">
        <v>2.0210662021000499E+17</v>
      </c>
      <c r="B938" s="4">
        <v>5210300570</v>
      </c>
      <c r="C938" s="4" t="s">
        <v>12607</v>
      </c>
      <c r="D938" s="4">
        <v>62021</v>
      </c>
      <c r="E938" s="4">
        <v>20210622</v>
      </c>
      <c r="F938" s="4">
        <v>20210622</v>
      </c>
      <c r="G938" s="4">
        <v>20231001</v>
      </c>
      <c r="H938" s="4" t="s">
        <v>1525</v>
      </c>
      <c r="I938" s="4" t="s">
        <v>12606</v>
      </c>
      <c r="J938" s="4" t="s">
        <v>1505</v>
      </c>
    </row>
    <row r="939" spans="1:10" hidden="1">
      <c r="A939" s="4">
        <v>2.0210613921000499E+17</v>
      </c>
      <c r="B939" s="4">
        <v>8901001696</v>
      </c>
      <c r="C939" s="4" t="s">
        <v>12605</v>
      </c>
      <c r="D939" s="4">
        <v>13921</v>
      </c>
      <c r="E939" s="4">
        <v>20210622</v>
      </c>
      <c r="F939" s="4">
        <v>20210622</v>
      </c>
      <c r="G939" s="4">
        <v>20240622</v>
      </c>
      <c r="H939" s="4" t="s">
        <v>12604</v>
      </c>
      <c r="J939" s="4" t="s">
        <v>12603</v>
      </c>
    </row>
    <row r="940" spans="1:10" hidden="1">
      <c r="A940" s="4">
        <v>2.0210696921000499E+17</v>
      </c>
      <c r="B940" s="4">
        <v>4189302123</v>
      </c>
      <c r="C940" s="4" t="s">
        <v>12602</v>
      </c>
      <c r="D940" s="4">
        <v>96921</v>
      </c>
      <c r="E940" s="4">
        <v>20210622</v>
      </c>
      <c r="F940" s="4">
        <v>20210622</v>
      </c>
      <c r="G940" s="4">
        <v>20220701</v>
      </c>
      <c r="H940" s="4" t="s">
        <v>12601</v>
      </c>
      <c r="I940" s="4" t="s">
        <v>12600</v>
      </c>
      <c r="J940" s="4" t="s">
        <v>12599</v>
      </c>
    </row>
    <row r="941" spans="1:10" hidden="1">
      <c r="A941" s="4">
        <v>2.0210646432000499E+17</v>
      </c>
      <c r="B941" s="4">
        <v>8820401641</v>
      </c>
      <c r="C941" s="4" t="s">
        <v>12598</v>
      </c>
      <c r="D941" s="4">
        <v>46432</v>
      </c>
      <c r="E941" s="4">
        <v>20210622</v>
      </c>
      <c r="F941" s="4">
        <v>20210622</v>
      </c>
      <c r="G941" s="4">
        <v>20240622</v>
      </c>
      <c r="H941" s="4" t="s">
        <v>12597</v>
      </c>
      <c r="I941" s="4" t="s">
        <v>1537</v>
      </c>
      <c r="J941" s="4" t="s">
        <v>414</v>
      </c>
    </row>
    <row r="942" spans="1:10" hidden="1">
      <c r="A942" s="4">
        <v>2.0210646800000499E+17</v>
      </c>
      <c r="B942" s="4">
        <v>2602900864</v>
      </c>
      <c r="C942" s="4" t="s">
        <v>12596</v>
      </c>
      <c r="D942" s="4">
        <v>46800</v>
      </c>
      <c r="E942" s="4">
        <v>20210622</v>
      </c>
      <c r="F942" s="4">
        <v>20210622</v>
      </c>
      <c r="G942" s="4">
        <v>20240622</v>
      </c>
      <c r="H942" s="4" t="s">
        <v>7758</v>
      </c>
      <c r="I942" s="4" t="s">
        <v>12595</v>
      </c>
      <c r="J942" s="4" t="s">
        <v>979</v>
      </c>
    </row>
    <row r="943" spans="1:10" hidden="1">
      <c r="A943" s="4">
        <v>2.0210641226000499E+17</v>
      </c>
      <c r="B943" s="4">
        <v>3958701892</v>
      </c>
      <c r="C943" s="4" t="s">
        <v>12594</v>
      </c>
      <c r="D943" s="4">
        <v>41226</v>
      </c>
      <c r="E943" s="4">
        <v>20210622</v>
      </c>
      <c r="F943" s="4">
        <v>20210622</v>
      </c>
      <c r="G943" s="4">
        <v>20240622</v>
      </c>
      <c r="H943" s="4" t="s">
        <v>12593</v>
      </c>
      <c r="J943" s="4" t="s">
        <v>1063</v>
      </c>
    </row>
    <row r="944" spans="1:10" hidden="1">
      <c r="A944" s="4">
        <v>2.0210629176000499E+17</v>
      </c>
      <c r="B944" s="4">
        <v>8324300457</v>
      </c>
      <c r="C944" s="4" t="s">
        <v>12592</v>
      </c>
      <c r="D944" s="4">
        <v>29176</v>
      </c>
      <c r="E944" s="4">
        <v>20210622</v>
      </c>
      <c r="F944" s="4">
        <v>20210622</v>
      </c>
      <c r="G944" s="4">
        <v>20240622</v>
      </c>
      <c r="H944" s="4" t="s">
        <v>12591</v>
      </c>
      <c r="I944" s="4" t="s">
        <v>4706</v>
      </c>
      <c r="J944" s="4" t="s">
        <v>9770</v>
      </c>
    </row>
    <row r="945" spans="1:10" hidden="1">
      <c r="A945" s="4">
        <v>2.0210620423000499E+17</v>
      </c>
      <c r="B945" s="4">
        <v>7871200793</v>
      </c>
      <c r="C945" s="4" t="s">
        <v>12590</v>
      </c>
      <c r="D945" s="4">
        <v>20423</v>
      </c>
      <c r="E945" s="4">
        <v>20210622</v>
      </c>
      <c r="F945" s="4">
        <v>20210622</v>
      </c>
      <c r="G945" s="4">
        <v>20240622</v>
      </c>
      <c r="H945" s="4" t="s">
        <v>10229</v>
      </c>
      <c r="I945" s="4" t="s">
        <v>12589</v>
      </c>
      <c r="J945" s="4" t="s">
        <v>368</v>
      </c>
    </row>
    <row r="946" spans="1:10" hidden="1">
      <c r="A946" s="4">
        <v>2.0210673202000499E+17</v>
      </c>
      <c r="B946" s="4">
        <v>2014400422</v>
      </c>
      <c r="C946" s="4" t="s">
        <v>12588</v>
      </c>
      <c r="D946" s="4">
        <v>73202</v>
      </c>
      <c r="E946" s="4">
        <v>20210622</v>
      </c>
      <c r="F946" s="4">
        <v>20210622</v>
      </c>
      <c r="G946" s="4">
        <v>20240622</v>
      </c>
      <c r="H946" s="4" t="s">
        <v>12587</v>
      </c>
      <c r="I946" s="4" t="s">
        <v>2800</v>
      </c>
      <c r="J946" s="4" t="s">
        <v>605</v>
      </c>
    </row>
    <row r="947" spans="1:10" hidden="1">
      <c r="A947" s="4">
        <v>2.0210671531000499E+17</v>
      </c>
      <c r="B947" s="4">
        <v>8878701197</v>
      </c>
      <c r="C947" s="4" t="s">
        <v>12586</v>
      </c>
      <c r="D947" s="4">
        <v>71531</v>
      </c>
      <c r="E947" s="4">
        <v>20210622</v>
      </c>
      <c r="F947" s="4">
        <v>20210622</v>
      </c>
      <c r="G947" s="4">
        <v>20240222</v>
      </c>
      <c r="H947" s="4" t="s">
        <v>1825</v>
      </c>
      <c r="I947" s="4" t="s">
        <v>12585</v>
      </c>
      <c r="J947" s="4" t="s">
        <v>87</v>
      </c>
    </row>
    <row r="948" spans="1:10" hidden="1">
      <c r="A948" s="4">
        <v>2.0210642491000499E+17</v>
      </c>
      <c r="B948" s="4">
        <v>7128602051</v>
      </c>
      <c r="C948" s="4" t="s">
        <v>12584</v>
      </c>
      <c r="D948" s="4">
        <v>42491</v>
      </c>
      <c r="E948" s="4">
        <v>20210622</v>
      </c>
      <c r="F948" s="4">
        <v>20210622</v>
      </c>
      <c r="G948" s="4">
        <v>20240622</v>
      </c>
      <c r="H948" s="4" t="s">
        <v>12583</v>
      </c>
      <c r="I948" s="4" t="s">
        <v>12582</v>
      </c>
      <c r="J948" s="4" t="s">
        <v>883</v>
      </c>
    </row>
    <row r="949" spans="1:10" hidden="1">
      <c r="A949" s="4">
        <v>2.0210647912000499E+17</v>
      </c>
      <c r="B949" s="4">
        <v>4990601555</v>
      </c>
      <c r="C949" s="4" t="s">
        <v>12581</v>
      </c>
      <c r="D949" s="4">
        <v>47912</v>
      </c>
      <c r="E949" s="4">
        <v>20210622</v>
      </c>
      <c r="F949" s="4">
        <v>20210622</v>
      </c>
      <c r="G949" s="4">
        <v>20240622</v>
      </c>
      <c r="H949" s="4" t="s">
        <v>9139</v>
      </c>
      <c r="I949" s="4" t="s">
        <v>12580</v>
      </c>
      <c r="J949" s="4" t="s">
        <v>78</v>
      </c>
    </row>
    <row r="950" spans="1:10" hidden="1">
      <c r="A950" s="4">
        <v>2.0210659111000499E+17</v>
      </c>
      <c r="B950" s="4">
        <v>7078701625</v>
      </c>
      <c r="C950" s="4" t="s">
        <v>12740</v>
      </c>
      <c r="D950" s="4">
        <v>59111</v>
      </c>
      <c r="E950" s="4">
        <v>20210623</v>
      </c>
      <c r="F950" s="4">
        <v>20210623</v>
      </c>
      <c r="G950" s="4">
        <v>20240623</v>
      </c>
      <c r="H950" s="4" t="s">
        <v>3181</v>
      </c>
      <c r="I950" s="4" t="s">
        <v>12739</v>
      </c>
      <c r="J950" s="4" t="s">
        <v>1857</v>
      </c>
    </row>
    <row r="951" spans="1:10" hidden="1">
      <c r="A951" s="4">
        <v>2.0210630399000499E+17</v>
      </c>
      <c r="B951" s="4">
        <v>8223400220</v>
      </c>
      <c r="C951" s="4" t="s">
        <v>12575</v>
      </c>
      <c r="D951" s="4">
        <v>30399</v>
      </c>
      <c r="E951" s="4">
        <v>20210622</v>
      </c>
      <c r="F951" s="4">
        <v>20210622</v>
      </c>
      <c r="G951" s="4">
        <v>20231101</v>
      </c>
      <c r="H951" s="4" t="s">
        <v>12576</v>
      </c>
      <c r="I951" s="4" t="s">
        <v>12575</v>
      </c>
      <c r="J951" s="4" t="s">
        <v>1763</v>
      </c>
    </row>
    <row r="952" spans="1:10" hidden="1">
      <c r="A952" s="4">
        <v>2.0210646499000499E+17</v>
      </c>
      <c r="B952" s="4">
        <v>3401600724</v>
      </c>
      <c r="C952" s="4" t="s">
        <v>12574</v>
      </c>
      <c r="D952" s="4">
        <v>46499</v>
      </c>
      <c r="E952" s="4">
        <v>20210622</v>
      </c>
      <c r="F952" s="4">
        <v>20210622</v>
      </c>
      <c r="G952" s="4">
        <v>20240622</v>
      </c>
      <c r="H952" s="4" t="s">
        <v>755</v>
      </c>
      <c r="I952" s="4" t="s">
        <v>12573</v>
      </c>
      <c r="J952" s="4" t="s">
        <v>184</v>
      </c>
    </row>
    <row r="953" spans="1:10" hidden="1">
      <c r="A953" s="4">
        <v>2.0210626429000499E+17</v>
      </c>
      <c r="B953" s="4">
        <v>6450301690</v>
      </c>
      <c r="C953" s="4" t="s">
        <v>12572</v>
      </c>
      <c r="D953" s="4">
        <v>26429</v>
      </c>
      <c r="E953" s="4">
        <v>20210622</v>
      </c>
      <c r="F953" s="4">
        <v>20210622</v>
      </c>
      <c r="G953" s="4">
        <v>20240622</v>
      </c>
      <c r="H953" s="4" t="s">
        <v>9894</v>
      </c>
      <c r="I953" s="4" t="s">
        <v>12571</v>
      </c>
      <c r="J953" s="4" t="s">
        <v>422</v>
      </c>
    </row>
    <row r="954" spans="1:10" hidden="1">
      <c r="A954" s="4">
        <v>2.0210629174000499E+17</v>
      </c>
      <c r="B954" s="4">
        <v>7780102127</v>
      </c>
      <c r="C954" s="4" t="s">
        <v>12570</v>
      </c>
      <c r="D954" s="4">
        <v>29174</v>
      </c>
      <c r="E954" s="4">
        <v>20210622</v>
      </c>
      <c r="F954" s="4">
        <v>20210622</v>
      </c>
      <c r="G954" s="4">
        <v>20240622</v>
      </c>
      <c r="H954" s="4" t="s">
        <v>6173</v>
      </c>
      <c r="I954" s="4" t="s">
        <v>12569</v>
      </c>
      <c r="J954" s="4" t="s">
        <v>877</v>
      </c>
    </row>
    <row r="955" spans="1:10" hidden="1">
      <c r="A955" s="4">
        <v>2.0210647190000499E+17</v>
      </c>
      <c r="B955" s="4">
        <v>6322800266</v>
      </c>
      <c r="C955" s="4" t="s">
        <v>12568</v>
      </c>
      <c r="D955" s="4">
        <v>47190</v>
      </c>
      <c r="E955" s="4">
        <v>20210622</v>
      </c>
      <c r="F955" s="4">
        <v>20210622</v>
      </c>
      <c r="G955" s="4">
        <v>20230901</v>
      </c>
      <c r="H955" s="4" t="s">
        <v>825</v>
      </c>
      <c r="J955" s="4" t="s">
        <v>6297</v>
      </c>
    </row>
    <row r="956" spans="1:10" hidden="1">
      <c r="A956" s="4">
        <v>2.0210647912000499E+17</v>
      </c>
      <c r="B956" s="4">
        <v>7932401280</v>
      </c>
      <c r="C956" s="4" t="s">
        <v>12567</v>
      </c>
      <c r="D956" s="4">
        <v>47912</v>
      </c>
      <c r="E956" s="4">
        <v>20210622</v>
      </c>
      <c r="F956" s="4">
        <v>20210622</v>
      </c>
      <c r="G956" s="4">
        <v>20240622</v>
      </c>
      <c r="H956" s="4" t="s">
        <v>12566</v>
      </c>
      <c r="I956" s="4" t="s">
        <v>12565</v>
      </c>
      <c r="J956" s="4" t="s">
        <v>78</v>
      </c>
    </row>
    <row r="957" spans="1:10" hidden="1">
      <c r="A957" s="4">
        <v>2.0210646739000499E+17</v>
      </c>
      <c r="B957" s="4">
        <v>7571301070</v>
      </c>
      <c r="C957" s="4" t="s">
        <v>12564</v>
      </c>
      <c r="D957" s="4">
        <v>46739</v>
      </c>
      <c r="E957" s="4">
        <v>20210622</v>
      </c>
      <c r="F957" s="4">
        <v>20210622</v>
      </c>
      <c r="G957" s="4">
        <v>20240622</v>
      </c>
      <c r="H957" s="4" t="s">
        <v>12563</v>
      </c>
      <c r="J957" s="4" t="s">
        <v>2551</v>
      </c>
    </row>
    <row r="958" spans="1:10" hidden="1">
      <c r="A958" s="4">
        <v>2.0210675992000499E+17</v>
      </c>
      <c r="B958" s="4">
        <v>5090297160</v>
      </c>
      <c r="C958" s="4" t="s">
        <v>12562</v>
      </c>
      <c r="D958" s="4">
        <v>75992</v>
      </c>
      <c r="E958" s="4">
        <v>20210622</v>
      </c>
      <c r="F958" s="4">
        <v>20210622</v>
      </c>
      <c r="G958" s="4">
        <v>20240622</v>
      </c>
      <c r="H958" s="4" t="s">
        <v>12561</v>
      </c>
      <c r="I958" s="4" t="s">
        <v>12560</v>
      </c>
      <c r="J958" s="4" t="s">
        <v>111</v>
      </c>
    </row>
    <row r="959" spans="1:10" hidden="1">
      <c r="A959" s="4">
        <v>2.0210626299000499E+17</v>
      </c>
      <c r="B959" s="4">
        <v>3094100555</v>
      </c>
      <c r="C959" s="4" t="s">
        <v>12559</v>
      </c>
      <c r="D959" s="4">
        <v>26299</v>
      </c>
      <c r="E959" s="4">
        <v>20210622</v>
      </c>
      <c r="F959" s="4">
        <v>20210622</v>
      </c>
      <c r="G959" s="4">
        <v>20240622</v>
      </c>
      <c r="H959" s="4" t="s">
        <v>1449</v>
      </c>
      <c r="I959" s="4" t="s">
        <v>9988</v>
      </c>
      <c r="J959" s="4" t="s">
        <v>339</v>
      </c>
    </row>
    <row r="960" spans="1:10" hidden="1">
      <c r="A960" s="4">
        <v>2.0210642139000499E+17</v>
      </c>
      <c r="B960" s="4">
        <v>6258700023</v>
      </c>
      <c r="C960" s="4" t="s">
        <v>12558</v>
      </c>
      <c r="D960" s="4">
        <v>42139</v>
      </c>
      <c r="E960" s="4">
        <v>20210622</v>
      </c>
      <c r="F960" s="4">
        <v>20210622</v>
      </c>
      <c r="G960" s="4">
        <v>20220225</v>
      </c>
      <c r="H960" s="4" t="s">
        <v>12557</v>
      </c>
      <c r="J960" s="4" t="s">
        <v>5502</v>
      </c>
    </row>
    <row r="961" spans="1:10" hidden="1">
      <c r="A961" s="4">
        <v>2.0210646595000499E+17</v>
      </c>
      <c r="B961" s="4">
        <v>6792200792</v>
      </c>
      <c r="C961" s="4" t="s">
        <v>12556</v>
      </c>
      <c r="D961" s="4">
        <v>46595</v>
      </c>
      <c r="E961" s="4">
        <v>20210622</v>
      </c>
      <c r="F961" s="4">
        <v>20210622</v>
      </c>
      <c r="G961" s="4">
        <v>20240622</v>
      </c>
      <c r="H961" s="4" t="s">
        <v>12555</v>
      </c>
      <c r="I961" s="4" t="s">
        <v>12554</v>
      </c>
      <c r="J961" s="4" t="s">
        <v>960</v>
      </c>
    </row>
    <row r="962" spans="1:10" hidden="1">
      <c r="A962" s="4">
        <v>2.0210646203000499E+17</v>
      </c>
      <c r="B962" s="4">
        <v>6881001415</v>
      </c>
      <c r="C962" s="4" t="s">
        <v>12553</v>
      </c>
      <c r="D962" s="4">
        <v>46203</v>
      </c>
      <c r="E962" s="4">
        <v>20210622</v>
      </c>
      <c r="F962" s="4">
        <v>20210622</v>
      </c>
      <c r="G962" s="4">
        <v>20240622</v>
      </c>
      <c r="H962" s="4" t="s">
        <v>12552</v>
      </c>
      <c r="I962" s="4" t="s">
        <v>591</v>
      </c>
      <c r="J962" s="4" t="s">
        <v>3762</v>
      </c>
    </row>
    <row r="963" spans="1:10" hidden="1">
      <c r="A963" s="4">
        <v>2.0210659120000499E+17</v>
      </c>
      <c r="B963" s="4">
        <v>2471001698</v>
      </c>
      <c r="C963" s="4" t="s">
        <v>12551</v>
      </c>
      <c r="D963" s="4">
        <v>59120</v>
      </c>
      <c r="E963" s="4">
        <v>20210622</v>
      </c>
      <c r="F963" s="4">
        <v>20210622</v>
      </c>
      <c r="G963" s="4">
        <v>20240622</v>
      </c>
      <c r="H963" s="4" t="s">
        <v>12550</v>
      </c>
      <c r="J963" s="4" t="s">
        <v>2961</v>
      </c>
    </row>
    <row r="964" spans="1:10" hidden="1">
      <c r="A964" s="4">
        <v>2.0210628422000499E+17</v>
      </c>
      <c r="B964" s="4">
        <v>7230501029</v>
      </c>
      <c r="C964" s="4" t="s">
        <v>12549</v>
      </c>
      <c r="D964" s="4">
        <v>28422</v>
      </c>
      <c r="E964" s="4">
        <v>20210622</v>
      </c>
      <c r="F964" s="4">
        <v>20210622</v>
      </c>
      <c r="G964" s="4">
        <v>20240622</v>
      </c>
      <c r="H964" s="4" t="s">
        <v>12548</v>
      </c>
      <c r="I964" s="4" t="s">
        <v>3923</v>
      </c>
      <c r="J964" s="4" t="s">
        <v>188</v>
      </c>
    </row>
    <row r="965" spans="1:10" hidden="1">
      <c r="A965" s="4">
        <v>2.0210626295000499E+17</v>
      </c>
      <c r="B965" s="4">
        <v>5108136396</v>
      </c>
      <c r="C965" s="4" t="s">
        <v>10592</v>
      </c>
      <c r="D965" s="4">
        <v>26295</v>
      </c>
      <c r="E965" s="4">
        <v>20210622</v>
      </c>
      <c r="F965" s="4">
        <v>20210622</v>
      </c>
      <c r="G965" s="4">
        <v>20240622</v>
      </c>
      <c r="H965" s="4" t="s">
        <v>10591</v>
      </c>
      <c r="I965" s="4" t="s">
        <v>10590</v>
      </c>
      <c r="J965" s="4" t="s">
        <v>174</v>
      </c>
    </row>
    <row r="966" spans="1:10" hidden="1">
      <c r="A966" s="4">
        <v>2.0210610711000499E+17</v>
      </c>
      <c r="B966" s="4">
        <v>3958600348</v>
      </c>
      <c r="C966" s="4" t="s">
        <v>12546</v>
      </c>
      <c r="D966" s="4">
        <v>10711</v>
      </c>
      <c r="E966" s="4">
        <v>20210622</v>
      </c>
      <c r="F966" s="4">
        <v>20210622</v>
      </c>
      <c r="G966" s="4">
        <v>20220113</v>
      </c>
      <c r="H966" s="4" t="s">
        <v>12547</v>
      </c>
      <c r="I966" s="4" t="s">
        <v>12546</v>
      </c>
      <c r="J966" s="4" t="s">
        <v>12545</v>
      </c>
    </row>
    <row r="967" spans="1:10" hidden="1">
      <c r="A967" s="4">
        <v>2.0210670111000499E+17</v>
      </c>
      <c r="B967" s="4">
        <v>1160796324</v>
      </c>
      <c r="C967" s="4" t="s">
        <v>12544</v>
      </c>
      <c r="D967" s="4">
        <v>70111</v>
      </c>
      <c r="E967" s="4">
        <v>20210622</v>
      </c>
      <c r="F967" s="4">
        <v>20210622</v>
      </c>
      <c r="G967" s="4">
        <v>20240622</v>
      </c>
      <c r="H967" s="4" t="s">
        <v>4543</v>
      </c>
      <c r="I967" s="4" t="s">
        <v>1318</v>
      </c>
      <c r="J967" s="4" t="s">
        <v>399</v>
      </c>
    </row>
    <row r="968" spans="1:10" hidden="1">
      <c r="A968" s="4">
        <v>2.0210622299000499E+17</v>
      </c>
      <c r="B968" s="4">
        <v>5438800790</v>
      </c>
      <c r="C968" s="4" t="s">
        <v>12543</v>
      </c>
      <c r="D968" s="4">
        <v>22299</v>
      </c>
      <c r="E968" s="4">
        <v>20210622</v>
      </c>
      <c r="F968" s="4">
        <v>20210622</v>
      </c>
      <c r="G968" s="4">
        <v>20240622</v>
      </c>
      <c r="H968" s="4" t="s">
        <v>12542</v>
      </c>
      <c r="I968" s="4" t="s">
        <v>2451</v>
      </c>
      <c r="J968" s="4" t="s">
        <v>384</v>
      </c>
    </row>
    <row r="969" spans="1:10" hidden="1">
      <c r="A969" s="4">
        <v>2.0210673202000499E+17</v>
      </c>
      <c r="B969" s="4">
        <v>8378701377</v>
      </c>
      <c r="C969" s="4" t="s">
        <v>12541</v>
      </c>
      <c r="D969" s="4">
        <v>73202</v>
      </c>
      <c r="E969" s="4">
        <v>20210622</v>
      </c>
      <c r="F969" s="4">
        <v>20210622</v>
      </c>
      <c r="G969" s="4">
        <v>20240622</v>
      </c>
      <c r="H969" s="4" t="s">
        <v>12540</v>
      </c>
      <c r="I969" s="4" t="s">
        <v>12539</v>
      </c>
      <c r="J969" s="4" t="s">
        <v>605</v>
      </c>
    </row>
    <row r="970" spans="1:10" hidden="1">
      <c r="A970" s="4">
        <v>2.0210675994000499E+17</v>
      </c>
      <c r="B970" s="4">
        <v>3908601885</v>
      </c>
      <c r="C970" s="4" t="s">
        <v>12538</v>
      </c>
      <c r="D970" s="4">
        <v>75994</v>
      </c>
      <c r="E970" s="4">
        <v>20210622</v>
      </c>
      <c r="F970" s="4">
        <v>20210622</v>
      </c>
      <c r="G970" s="4">
        <v>20240622</v>
      </c>
      <c r="H970" s="4" t="s">
        <v>12537</v>
      </c>
      <c r="I970" s="4" t="s">
        <v>12536</v>
      </c>
      <c r="J970" s="4" t="s">
        <v>8571</v>
      </c>
    </row>
    <row r="971" spans="1:10" hidden="1">
      <c r="A971" s="4">
        <v>2.0210647912000499E+17</v>
      </c>
      <c r="B971" s="4">
        <v>3248801091</v>
      </c>
      <c r="C971" s="4" t="s">
        <v>12677</v>
      </c>
      <c r="D971" s="4">
        <v>47912</v>
      </c>
      <c r="E971" s="4">
        <v>20210623</v>
      </c>
      <c r="F971" s="4">
        <v>20210623</v>
      </c>
      <c r="G971" s="4">
        <v>20240623</v>
      </c>
      <c r="H971" s="4" t="s">
        <v>12676</v>
      </c>
      <c r="J971" s="4" t="s">
        <v>78</v>
      </c>
    </row>
    <row r="972" spans="1:10" hidden="1">
      <c r="A972" s="4">
        <v>2.0210623211000499E+17</v>
      </c>
      <c r="B972" s="4">
        <v>4288700285</v>
      </c>
      <c r="C972" s="4" t="s">
        <v>12533</v>
      </c>
      <c r="D972" s="4">
        <v>23211</v>
      </c>
      <c r="E972" s="4">
        <v>20210622</v>
      </c>
      <c r="F972" s="4">
        <v>20210622</v>
      </c>
      <c r="G972" s="4">
        <v>20221221</v>
      </c>
      <c r="H972" s="4" t="s">
        <v>12532</v>
      </c>
      <c r="I972" s="4" t="s">
        <v>12531</v>
      </c>
      <c r="J972" s="4" t="s">
        <v>9032</v>
      </c>
    </row>
    <row r="973" spans="1:10" hidden="1">
      <c r="A973" s="4">
        <v>2.0210623329000499E+17</v>
      </c>
      <c r="B973" s="4">
        <v>7928100660</v>
      </c>
      <c r="C973" s="4" t="s">
        <v>12530</v>
      </c>
      <c r="D973" s="4">
        <v>23329</v>
      </c>
      <c r="E973" s="4">
        <v>20210622</v>
      </c>
      <c r="F973" s="4">
        <v>20210622</v>
      </c>
      <c r="G973" s="4">
        <v>20240131</v>
      </c>
      <c r="H973" s="4" t="s">
        <v>12529</v>
      </c>
      <c r="J973" s="4" t="s">
        <v>6281</v>
      </c>
    </row>
    <row r="974" spans="1:10" hidden="1">
      <c r="A974" s="4">
        <v>2.0210658222000499E+17</v>
      </c>
      <c r="B974" s="4">
        <v>1518801310</v>
      </c>
      <c r="C974" s="4" t="s">
        <v>12528</v>
      </c>
      <c r="D974" s="4">
        <v>58222</v>
      </c>
      <c r="E974" s="4">
        <v>20210622</v>
      </c>
      <c r="F974" s="4">
        <v>20210622</v>
      </c>
      <c r="G974" s="4">
        <v>20240622</v>
      </c>
      <c r="H974" s="4" t="s">
        <v>222</v>
      </c>
      <c r="I974" s="4" t="s">
        <v>12527</v>
      </c>
      <c r="J974" s="4" t="s">
        <v>94</v>
      </c>
    </row>
    <row r="975" spans="1:10" hidden="1">
      <c r="A975" s="4">
        <v>2.0210658222000499E+17</v>
      </c>
      <c r="B975" s="4">
        <v>5038801258</v>
      </c>
      <c r="C975" s="4" t="s">
        <v>12526</v>
      </c>
      <c r="D975" s="4">
        <v>58222</v>
      </c>
      <c r="E975" s="4">
        <v>20210622</v>
      </c>
      <c r="F975" s="4">
        <v>20210622</v>
      </c>
      <c r="G975" s="4">
        <v>20240622</v>
      </c>
      <c r="H975" s="4" t="s">
        <v>12525</v>
      </c>
      <c r="I975" s="4" t="s">
        <v>12524</v>
      </c>
      <c r="J975" s="4" t="s">
        <v>94</v>
      </c>
    </row>
    <row r="976" spans="1:10" hidden="1">
      <c r="A976" s="4">
        <v>2.0210662021000499E+17</v>
      </c>
      <c r="B976" s="4">
        <v>8668801498</v>
      </c>
      <c r="C976" s="4" t="s">
        <v>12523</v>
      </c>
      <c r="D976" s="4">
        <v>62021</v>
      </c>
      <c r="E976" s="4">
        <v>20210622</v>
      </c>
      <c r="F976" s="4">
        <v>20210622</v>
      </c>
      <c r="G976" s="4">
        <v>20240622</v>
      </c>
      <c r="H976" s="4" t="s">
        <v>12522</v>
      </c>
      <c r="I976" s="4" t="s">
        <v>11569</v>
      </c>
      <c r="J976" s="4" t="s">
        <v>1505</v>
      </c>
    </row>
    <row r="977" spans="1:10" hidden="1">
      <c r="A977" s="4">
        <v>2.0210642321000499E+17</v>
      </c>
      <c r="B977" s="4">
        <v>8778101956</v>
      </c>
      <c r="C977" s="4" t="s">
        <v>12521</v>
      </c>
      <c r="D977" s="4">
        <v>42321</v>
      </c>
      <c r="E977" s="4">
        <v>20210622</v>
      </c>
      <c r="F977" s="4">
        <v>20210622</v>
      </c>
      <c r="G977" s="4">
        <v>20240622</v>
      </c>
      <c r="H977" s="4" t="s">
        <v>12520</v>
      </c>
      <c r="I977" s="4" t="s">
        <v>12519</v>
      </c>
      <c r="J977" s="4" t="s">
        <v>698</v>
      </c>
    </row>
    <row r="978" spans="1:10" hidden="1">
      <c r="A978" s="4">
        <v>2.0210663999000499E+17</v>
      </c>
      <c r="B978" s="4">
        <v>6388801739</v>
      </c>
      <c r="C978" s="4" t="s">
        <v>12518</v>
      </c>
      <c r="D978" s="4">
        <v>63999</v>
      </c>
      <c r="E978" s="4">
        <v>20210622</v>
      </c>
      <c r="F978" s="4">
        <v>20210622</v>
      </c>
      <c r="G978" s="4">
        <v>20240622</v>
      </c>
      <c r="H978" s="4" t="s">
        <v>1525</v>
      </c>
      <c r="I978" s="4" t="s">
        <v>12517</v>
      </c>
      <c r="J978" s="4" t="s">
        <v>643</v>
      </c>
    </row>
    <row r="979" spans="1:10" hidden="1">
      <c r="A979" s="4">
        <v>2.0210618122000499E+17</v>
      </c>
      <c r="B979" s="4">
        <v>6408802110</v>
      </c>
      <c r="C979" s="4" t="s">
        <v>12516</v>
      </c>
      <c r="D979" s="4">
        <v>18122</v>
      </c>
      <c r="E979" s="4">
        <v>20210622</v>
      </c>
      <c r="F979" s="4">
        <v>20210622</v>
      </c>
      <c r="G979" s="4">
        <v>20240622</v>
      </c>
      <c r="H979" s="4" t="s">
        <v>12515</v>
      </c>
      <c r="J979" s="4" t="s">
        <v>823</v>
      </c>
    </row>
    <row r="980" spans="1:10" hidden="1">
      <c r="A980" s="4">
        <v>2.0210662021000499E+17</v>
      </c>
      <c r="B980" s="4">
        <v>4618600723</v>
      </c>
      <c r="C980" s="4" t="s">
        <v>12514</v>
      </c>
      <c r="D980" s="4">
        <v>62021</v>
      </c>
      <c r="E980" s="4">
        <v>20210622</v>
      </c>
      <c r="F980" s="4">
        <v>20210622</v>
      </c>
      <c r="G980" s="4">
        <v>20240313</v>
      </c>
      <c r="H980" s="4" t="s">
        <v>6214</v>
      </c>
      <c r="I980" s="4" t="s">
        <v>12513</v>
      </c>
      <c r="J980" s="4" t="s">
        <v>1505</v>
      </c>
    </row>
    <row r="981" spans="1:10" hidden="1">
      <c r="A981" s="4">
        <v>2.0210671400000499E+17</v>
      </c>
      <c r="B981" s="4">
        <v>7108600800</v>
      </c>
      <c r="C981" s="4" t="s">
        <v>12512</v>
      </c>
      <c r="D981" s="4">
        <v>71400</v>
      </c>
      <c r="E981" s="4">
        <v>20210622</v>
      </c>
      <c r="F981" s="4">
        <v>20210622</v>
      </c>
      <c r="G981" s="4">
        <v>20240601</v>
      </c>
      <c r="H981" s="4" t="s">
        <v>12511</v>
      </c>
      <c r="I981" s="4" t="s">
        <v>12510</v>
      </c>
      <c r="J981" s="4" t="s">
        <v>1629</v>
      </c>
    </row>
    <row r="982" spans="1:10" hidden="1">
      <c r="A982" s="4">
        <v>2.0210672911000499E+17</v>
      </c>
      <c r="B982" s="4">
        <v>4868101314</v>
      </c>
      <c r="C982" s="4" t="s">
        <v>12509</v>
      </c>
      <c r="D982" s="4">
        <v>72911</v>
      </c>
      <c r="E982" s="4">
        <v>20210622</v>
      </c>
      <c r="F982" s="4">
        <v>20210622</v>
      </c>
      <c r="G982" s="4">
        <v>20240622</v>
      </c>
      <c r="H982" s="4" t="s">
        <v>12508</v>
      </c>
      <c r="I982" s="4" t="s">
        <v>12507</v>
      </c>
      <c r="J982" s="4" t="s">
        <v>5020</v>
      </c>
    </row>
    <row r="983" spans="1:10" hidden="1">
      <c r="A983" s="4">
        <v>2.0210629199000499E+17</v>
      </c>
      <c r="B983" s="4">
        <v>2178701194</v>
      </c>
      <c r="C983" s="4" t="s">
        <v>12506</v>
      </c>
      <c r="D983" s="4">
        <v>29199</v>
      </c>
      <c r="E983" s="4">
        <v>20210622</v>
      </c>
      <c r="F983" s="4">
        <v>20210622</v>
      </c>
      <c r="G983" s="4">
        <v>20240622</v>
      </c>
      <c r="H983" s="4" t="s">
        <v>3538</v>
      </c>
      <c r="I983" s="4" t="s">
        <v>12505</v>
      </c>
      <c r="J983" s="4" t="s">
        <v>166</v>
      </c>
    </row>
    <row r="984" spans="1:10" hidden="1">
      <c r="A984" s="4">
        <v>2.0210617902000499E+17</v>
      </c>
      <c r="B984" s="4">
        <v>3068138155</v>
      </c>
      <c r="C984" s="4" t="s">
        <v>12504</v>
      </c>
      <c r="D984" s="4">
        <v>17902</v>
      </c>
      <c r="E984" s="4">
        <v>20210622</v>
      </c>
      <c r="F984" s="4">
        <v>20210622</v>
      </c>
      <c r="G984" s="4">
        <v>20240622</v>
      </c>
      <c r="H984" s="4" t="s">
        <v>11799</v>
      </c>
      <c r="I984" s="4" t="s">
        <v>12503</v>
      </c>
      <c r="J984" s="4" t="s">
        <v>6653</v>
      </c>
    </row>
    <row r="985" spans="1:10" hidden="1">
      <c r="A985" s="4">
        <v>2.0210659111000499E+17</v>
      </c>
      <c r="B985" s="4">
        <v>8418100128</v>
      </c>
      <c r="C985" s="4" t="s">
        <v>12502</v>
      </c>
      <c r="D985" s="4">
        <v>59111</v>
      </c>
      <c r="E985" s="4">
        <v>20210622</v>
      </c>
      <c r="F985" s="4">
        <v>20210622</v>
      </c>
      <c r="G985" s="4">
        <v>20220521</v>
      </c>
      <c r="H985" s="4" t="s">
        <v>12501</v>
      </c>
      <c r="I985" s="4" t="s">
        <v>12500</v>
      </c>
      <c r="J985" s="4" t="s">
        <v>1857</v>
      </c>
    </row>
    <row r="986" spans="1:10" hidden="1">
      <c r="A986" s="4">
        <v>2.0210658222000499E+17</v>
      </c>
      <c r="B986" s="4">
        <v>8908701887</v>
      </c>
      <c r="C986" s="4" t="s">
        <v>12499</v>
      </c>
      <c r="D986" s="4">
        <v>58222</v>
      </c>
      <c r="E986" s="4">
        <v>20210622</v>
      </c>
      <c r="F986" s="4">
        <v>20210622</v>
      </c>
      <c r="G986" s="4">
        <v>20240622</v>
      </c>
      <c r="H986" s="4" t="s">
        <v>366</v>
      </c>
      <c r="I986" s="4" t="s">
        <v>12498</v>
      </c>
      <c r="J986" s="4" t="s">
        <v>94</v>
      </c>
    </row>
    <row r="987" spans="1:10" hidden="1">
      <c r="A987" s="4">
        <v>2.0210646800000499E+17</v>
      </c>
      <c r="B987" s="4">
        <v>4168701184</v>
      </c>
      <c r="C987" s="4" t="s">
        <v>12497</v>
      </c>
      <c r="D987" s="4">
        <v>46800</v>
      </c>
      <c r="E987" s="4">
        <v>20210622</v>
      </c>
      <c r="F987" s="4">
        <v>20210622</v>
      </c>
      <c r="G987" s="4">
        <v>20240622</v>
      </c>
      <c r="H987" s="4" t="s">
        <v>3409</v>
      </c>
      <c r="I987" s="4" t="s">
        <v>7222</v>
      </c>
      <c r="J987" s="4" t="s">
        <v>979</v>
      </c>
    </row>
    <row r="988" spans="1:10" hidden="1">
      <c r="A988" s="4">
        <v>2.0210627199000499E+17</v>
      </c>
      <c r="B988" s="4">
        <v>6298600033</v>
      </c>
      <c r="C988" s="4" t="s">
        <v>12496</v>
      </c>
      <c r="D988" s="4">
        <v>27199</v>
      </c>
      <c r="E988" s="4">
        <v>20210622</v>
      </c>
      <c r="F988" s="4">
        <v>20210622</v>
      </c>
      <c r="G988" s="4">
        <v>20220318</v>
      </c>
      <c r="H988" s="4" t="s">
        <v>11055</v>
      </c>
      <c r="I988" s="4" t="s">
        <v>12495</v>
      </c>
      <c r="J988" s="4" t="s">
        <v>418</v>
      </c>
    </row>
    <row r="989" spans="1:10" hidden="1">
      <c r="A989" s="4">
        <v>2.0210647311000499E+17</v>
      </c>
      <c r="B989" s="4">
        <v>1478600389</v>
      </c>
      <c r="C989" s="4" t="s">
        <v>12494</v>
      </c>
      <c r="D989" s="4">
        <v>47311</v>
      </c>
      <c r="E989" s="4">
        <v>20210622</v>
      </c>
      <c r="F989" s="4">
        <v>20210622</v>
      </c>
      <c r="G989" s="4">
        <v>20230321</v>
      </c>
      <c r="H989" s="4" t="s">
        <v>9359</v>
      </c>
      <c r="J989" s="4" t="s">
        <v>588</v>
      </c>
    </row>
    <row r="990" spans="1:10" hidden="1">
      <c r="A990" s="4">
        <v>2.0210656111000499E+17</v>
      </c>
      <c r="B990" s="4">
        <v>3658801938</v>
      </c>
      <c r="C990" s="4" t="s">
        <v>12493</v>
      </c>
      <c r="D990" s="4">
        <v>56111</v>
      </c>
      <c r="E990" s="4">
        <v>20210622</v>
      </c>
      <c r="F990" s="4">
        <v>20210622</v>
      </c>
      <c r="G990" s="4">
        <v>20240622</v>
      </c>
      <c r="H990" s="4" t="s">
        <v>12492</v>
      </c>
      <c r="I990" s="4" t="s">
        <v>175</v>
      </c>
      <c r="J990" s="4" t="s">
        <v>6538</v>
      </c>
    </row>
    <row r="991" spans="1:10" hidden="1">
      <c r="A991" s="4">
        <v>2.0210670209000499E+17</v>
      </c>
      <c r="B991" s="4">
        <v>4888600844</v>
      </c>
      <c r="C991" s="4" t="s">
        <v>12491</v>
      </c>
      <c r="D991" s="4">
        <v>70209</v>
      </c>
      <c r="E991" s="4">
        <v>20210622</v>
      </c>
      <c r="F991" s="4">
        <v>20210622</v>
      </c>
      <c r="G991" s="4">
        <v>20240622</v>
      </c>
      <c r="H991" s="4" t="s">
        <v>12490</v>
      </c>
      <c r="I991" s="4" t="s">
        <v>12489</v>
      </c>
      <c r="J991" s="4" t="s">
        <v>242</v>
      </c>
    </row>
    <row r="992" spans="1:10" hidden="1">
      <c r="A992" s="4">
        <v>2.0210624123000499E+17</v>
      </c>
      <c r="B992" s="4">
        <v>8478701035</v>
      </c>
      <c r="C992" s="4" t="s">
        <v>12488</v>
      </c>
      <c r="D992" s="4">
        <v>24123</v>
      </c>
      <c r="E992" s="4">
        <v>20210622</v>
      </c>
      <c r="F992" s="4">
        <v>20210622</v>
      </c>
      <c r="G992" s="4">
        <v>20240622</v>
      </c>
      <c r="H992" s="4" t="s">
        <v>12487</v>
      </c>
      <c r="J992" s="4" t="s">
        <v>12486</v>
      </c>
    </row>
    <row r="993" spans="1:10" hidden="1">
      <c r="A993" s="4">
        <v>2.0210641121000499E+17</v>
      </c>
      <c r="B993" s="4">
        <v>2478601392</v>
      </c>
      <c r="C993" s="4" t="s">
        <v>12485</v>
      </c>
      <c r="D993" s="4">
        <v>41121</v>
      </c>
      <c r="E993" s="4">
        <v>20210622</v>
      </c>
      <c r="F993" s="4">
        <v>20210622</v>
      </c>
      <c r="G993" s="4">
        <v>20240622</v>
      </c>
      <c r="H993" s="4" t="s">
        <v>12484</v>
      </c>
      <c r="I993" s="4" t="s">
        <v>12483</v>
      </c>
      <c r="J993" s="4" t="s">
        <v>2302</v>
      </c>
    </row>
    <row r="994" spans="1:10" hidden="1">
      <c r="A994" s="4">
        <v>2.0210625924000499E+17</v>
      </c>
      <c r="B994" s="4">
        <v>8298701361</v>
      </c>
      <c r="C994" s="4" t="s">
        <v>12482</v>
      </c>
      <c r="D994" s="4">
        <v>25924</v>
      </c>
      <c r="E994" s="4">
        <v>20210622</v>
      </c>
      <c r="F994" s="4">
        <v>20210622</v>
      </c>
      <c r="G994" s="4">
        <v>20240622</v>
      </c>
      <c r="H994" s="4" t="s">
        <v>10888</v>
      </c>
      <c r="I994" s="4" t="s">
        <v>12481</v>
      </c>
      <c r="J994" s="4" t="s">
        <v>757</v>
      </c>
    </row>
    <row r="995" spans="1:10" hidden="1">
      <c r="A995" s="4">
        <v>2.0210642499000499E+17</v>
      </c>
      <c r="B995" s="4">
        <v>3278100898</v>
      </c>
      <c r="C995" s="4" t="s">
        <v>12480</v>
      </c>
      <c r="D995" s="4">
        <v>42499</v>
      </c>
      <c r="E995" s="4">
        <v>20210622</v>
      </c>
      <c r="F995" s="4">
        <v>20210622</v>
      </c>
      <c r="G995" s="4">
        <v>20240622</v>
      </c>
      <c r="H995" s="4" t="s">
        <v>12479</v>
      </c>
      <c r="I995" s="4" t="s">
        <v>3363</v>
      </c>
      <c r="J995" s="4" t="s">
        <v>505</v>
      </c>
    </row>
    <row r="996" spans="1:10" hidden="1">
      <c r="A996" s="4">
        <v>2.0210670129000499E+17</v>
      </c>
      <c r="B996" s="4">
        <v>1848601510</v>
      </c>
      <c r="C996" s="4" t="s">
        <v>12478</v>
      </c>
      <c r="D996" s="4">
        <v>70129</v>
      </c>
      <c r="E996" s="4">
        <v>20210622</v>
      </c>
      <c r="F996" s="4">
        <v>20210622</v>
      </c>
      <c r="G996" s="4">
        <v>20240622</v>
      </c>
      <c r="H996" s="4" t="s">
        <v>3766</v>
      </c>
      <c r="I996" s="4" t="s">
        <v>12477</v>
      </c>
      <c r="J996" s="4" t="s">
        <v>937</v>
      </c>
    </row>
    <row r="997" spans="1:10" hidden="1">
      <c r="A997" s="4">
        <v>2.0210626429000499E+17</v>
      </c>
      <c r="B997" s="4">
        <v>8358101078</v>
      </c>
      <c r="C997" s="4" t="s">
        <v>12476</v>
      </c>
      <c r="D997" s="4">
        <v>26429</v>
      </c>
      <c r="E997" s="4">
        <v>20210622</v>
      </c>
      <c r="F997" s="4">
        <v>20210622</v>
      </c>
      <c r="G997" s="4">
        <v>20240622</v>
      </c>
      <c r="H997" s="4" t="s">
        <v>10973</v>
      </c>
      <c r="I997" s="4" t="s">
        <v>12475</v>
      </c>
      <c r="J997" s="4" t="s">
        <v>422</v>
      </c>
    </row>
    <row r="998" spans="1:10" hidden="1">
      <c r="A998" s="4">
        <v>2.0210628423000499E+17</v>
      </c>
      <c r="B998" s="4">
        <v>5138601886</v>
      </c>
      <c r="C998" s="4" t="s">
        <v>12474</v>
      </c>
      <c r="D998" s="4">
        <v>28423</v>
      </c>
      <c r="E998" s="4">
        <v>20210622</v>
      </c>
      <c r="F998" s="4">
        <v>20210622</v>
      </c>
      <c r="G998" s="4">
        <v>20240622</v>
      </c>
      <c r="H998" s="4" t="s">
        <v>12473</v>
      </c>
      <c r="I998" s="4" t="s">
        <v>12472</v>
      </c>
      <c r="J998" s="4" t="s">
        <v>485</v>
      </c>
    </row>
    <row r="999" spans="1:10" hidden="1">
      <c r="A999" s="4">
        <v>2.0210628422000499E+17</v>
      </c>
      <c r="B999" s="4">
        <v>1658102003</v>
      </c>
      <c r="C999" s="4" t="s">
        <v>12471</v>
      </c>
      <c r="D999" s="4">
        <v>28422</v>
      </c>
      <c r="E999" s="4">
        <v>20210622</v>
      </c>
      <c r="F999" s="4">
        <v>20210622</v>
      </c>
      <c r="G999" s="4">
        <v>20240622</v>
      </c>
      <c r="H999" s="4" t="s">
        <v>12470</v>
      </c>
      <c r="I999" s="4" t="s">
        <v>12469</v>
      </c>
      <c r="J999" s="4" t="s">
        <v>188</v>
      </c>
    </row>
    <row r="1000" spans="1:10" hidden="1">
      <c r="A1000" s="4">
        <v>2.0210658222000499E+17</v>
      </c>
      <c r="B1000" s="4">
        <v>7058701008</v>
      </c>
      <c r="C1000" s="4" t="s">
        <v>12468</v>
      </c>
      <c r="D1000" s="4">
        <v>58222</v>
      </c>
      <c r="E1000" s="4">
        <v>20210622</v>
      </c>
      <c r="F1000" s="4">
        <v>20210622</v>
      </c>
      <c r="G1000" s="4">
        <v>20240622</v>
      </c>
      <c r="H1000" s="4" t="s">
        <v>12467</v>
      </c>
      <c r="I1000" s="4" t="s">
        <v>12466</v>
      </c>
      <c r="J1000" s="4" t="s">
        <v>94</v>
      </c>
    </row>
    <row r="1001" spans="1:10" hidden="1">
      <c r="A1001" s="4">
        <v>2.0210629192000499E+17</v>
      </c>
      <c r="B1001" s="4">
        <v>2668102058</v>
      </c>
      <c r="C1001" s="4" t="s">
        <v>12465</v>
      </c>
      <c r="D1001" s="4">
        <v>29192</v>
      </c>
      <c r="E1001" s="4">
        <v>20210622</v>
      </c>
      <c r="F1001" s="4">
        <v>20210622</v>
      </c>
      <c r="G1001" s="4">
        <v>20240622</v>
      </c>
      <c r="H1001" s="4" t="s">
        <v>10252</v>
      </c>
      <c r="I1001" s="4" t="s">
        <v>12464</v>
      </c>
      <c r="J1001" s="4" t="s">
        <v>7218</v>
      </c>
    </row>
    <row r="1002" spans="1:10" hidden="1">
      <c r="A1002" s="4">
        <v>2.0210613229000499E+17</v>
      </c>
      <c r="B1002" s="4">
        <v>3388801464</v>
      </c>
      <c r="C1002" s="4" t="s">
        <v>12463</v>
      </c>
      <c r="D1002" s="4">
        <v>13229</v>
      </c>
      <c r="E1002" s="4">
        <v>20210622</v>
      </c>
      <c r="F1002" s="4">
        <v>20210622</v>
      </c>
      <c r="G1002" s="4">
        <v>20240622</v>
      </c>
      <c r="H1002" s="4" t="s">
        <v>12462</v>
      </c>
      <c r="I1002" s="4" t="s">
        <v>1922</v>
      </c>
      <c r="J1002" s="4" t="s">
        <v>115</v>
      </c>
    </row>
    <row r="1003" spans="1:10" hidden="1">
      <c r="A1003" s="4">
        <v>2.0210647812000499E+17</v>
      </c>
      <c r="B1003" s="4">
        <v>5731701470</v>
      </c>
      <c r="C1003" s="4" t="s">
        <v>12461</v>
      </c>
      <c r="D1003" s="4">
        <v>47812</v>
      </c>
      <c r="E1003" s="4">
        <v>20210622</v>
      </c>
      <c r="F1003" s="4">
        <v>20210622</v>
      </c>
      <c r="G1003" s="4">
        <v>20240622</v>
      </c>
      <c r="H1003" s="4" t="s">
        <v>11161</v>
      </c>
      <c r="I1003" s="4" t="s">
        <v>12460</v>
      </c>
      <c r="J1003" s="4" t="s">
        <v>12459</v>
      </c>
    </row>
    <row r="1004" spans="1:10" hidden="1">
      <c r="A1004" s="4">
        <v>2.0210675992000499E+17</v>
      </c>
      <c r="B1004" s="4">
        <v>1968700336</v>
      </c>
      <c r="C1004" s="4" t="s">
        <v>12458</v>
      </c>
      <c r="D1004" s="4">
        <v>75992</v>
      </c>
      <c r="E1004" s="4">
        <v>20210622</v>
      </c>
      <c r="F1004" s="4">
        <v>20210622</v>
      </c>
      <c r="G1004" s="4">
        <v>20230308</v>
      </c>
      <c r="H1004" s="4" t="s">
        <v>12457</v>
      </c>
      <c r="I1004" s="4" t="s">
        <v>12456</v>
      </c>
      <c r="J1004" s="4" t="s">
        <v>111</v>
      </c>
    </row>
    <row r="1005" spans="1:10" hidden="1">
      <c r="A1005" s="4">
        <v>2.0210647912000499E+17</v>
      </c>
      <c r="B1005" s="4">
        <v>1555900332</v>
      </c>
      <c r="C1005" s="4" t="s">
        <v>12455</v>
      </c>
      <c r="D1005" s="4">
        <v>47912</v>
      </c>
      <c r="E1005" s="4">
        <v>20210622</v>
      </c>
      <c r="F1005" s="4">
        <v>20210622</v>
      </c>
      <c r="G1005" s="4">
        <v>20240622</v>
      </c>
      <c r="H1005" s="4" t="s">
        <v>11294</v>
      </c>
      <c r="I1005" s="4" t="s">
        <v>12454</v>
      </c>
      <c r="J1005" s="4" t="s">
        <v>78</v>
      </c>
    </row>
    <row r="1006" spans="1:10" hidden="1">
      <c r="A1006" s="4">
        <v>2.0210646593000499E+17</v>
      </c>
      <c r="B1006" s="4">
        <v>4507300252</v>
      </c>
      <c r="C1006" s="4" t="s">
        <v>12453</v>
      </c>
      <c r="D1006" s="4">
        <v>46593</v>
      </c>
      <c r="E1006" s="4">
        <v>20210622</v>
      </c>
      <c r="F1006" s="4">
        <v>20210622</v>
      </c>
      <c r="G1006" s="4">
        <v>20240622</v>
      </c>
      <c r="H1006" s="4" t="s">
        <v>12452</v>
      </c>
      <c r="I1006" s="4" t="s">
        <v>91</v>
      </c>
      <c r="J1006" s="4" t="s">
        <v>1469</v>
      </c>
    </row>
    <row r="1007" spans="1:10" hidden="1">
      <c r="A1007" s="4">
        <v>2.0210646442000499E+17</v>
      </c>
      <c r="B1007" s="4">
        <v>1113094464</v>
      </c>
      <c r="C1007" s="4" t="s">
        <v>11208</v>
      </c>
      <c r="D1007" s="4">
        <v>46442</v>
      </c>
      <c r="E1007" s="4">
        <v>20210622</v>
      </c>
      <c r="F1007" s="4">
        <v>20210622</v>
      </c>
      <c r="G1007" s="4">
        <v>20240622</v>
      </c>
      <c r="H1007" s="4" t="s">
        <v>12451</v>
      </c>
      <c r="J1007" s="4" t="s">
        <v>3282</v>
      </c>
    </row>
    <row r="1008" spans="1:10" hidden="1">
      <c r="A1008" s="4">
        <v>2.0210627216000499E+17</v>
      </c>
      <c r="B1008" s="4">
        <v>2080513706</v>
      </c>
      <c r="C1008" s="4" t="s">
        <v>12450</v>
      </c>
      <c r="D1008" s="4">
        <v>27216</v>
      </c>
      <c r="E1008" s="4">
        <v>20210622</v>
      </c>
      <c r="F1008" s="4">
        <v>20210622</v>
      </c>
      <c r="G1008" s="4">
        <v>20240622</v>
      </c>
      <c r="H1008" s="4" t="s">
        <v>1948</v>
      </c>
      <c r="I1008" s="4" t="s">
        <v>12449</v>
      </c>
      <c r="J1008" s="4" t="s">
        <v>527</v>
      </c>
    </row>
    <row r="1009" spans="1:10" hidden="1">
      <c r="A1009" s="4">
        <v>2.0210686901000499E+17</v>
      </c>
      <c r="B1009" s="4">
        <v>1598600534</v>
      </c>
      <c r="C1009" s="4" t="s">
        <v>12448</v>
      </c>
      <c r="D1009" s="4">
        <v>86901</v>
      </c>
      <c r="E1009" s="4">
        <v>20210622</v>
      </c>
      <c r="F1009" s="4">
        <v>20210622</v>
      </c>
      <c r="G1009" s="4">
        <v>20230726</v>
      </c>
      <c r="H1009" s="4" t="s">
        <v>12447</v>
      </c>
      <c r="I1009" s="4" t="s">
        <v>91</v>
      </c>
      <c r="J1009" s="4" t="s">
        <v>12446</v>
      </c>
    </row>
    <row r="1010" spans="1:10" hidden="1">
      <c r="A1010" s="4">
        <v>2.0210673203000499E+17</v>
      </c>
      <c r="B1010" s="4">
        <v>7352401116</v>
      </c>
      <c r="C1010" s="4" t="s">
        <v>12445</v>
      </c>
      <c r="D1010" s="4">
        <v>73203</v>
      </c>
      <c r="E1010" s="4">
        <v>20210622</v>
      </c>
      <c r="F1010" s="4">
        <v>20210622</v>
      </c>
      <c r="G1010" s="4">
        <v>20240622</v>
      </c>
      <c r="H1010" s="4" t="s">
        <v>483</v>
      </c>
      <c r="I1010" s="4" t="s">
        <v>12444</v>
      </c>
      <c r="J1010" s="4" t="s">
        <v>260</v>
      </c>
    </row>
    <row r="1011" spans="1:10" hidden="1">
      <c r="A1011" s="4">
        <v>2.0210629120000499E+17</v>
      </c>
      <c r="B1011" s="4">
        <v>4393300773</v>
      </c>
      <c r="C1011" s="4" t="s">
        <v>12443</v>
      </c>
      <c r="D1011" s="4">
        <v>29120</v>
      </c>
      <c r="E1011" s="4">
        <v>20210622</v>
      </c>
      <c r="F1011" s="4">
        <v>20210622</v>
      </c>
      <c r="G1011" s="4">
        <v>20240622</v>
      </c>
      <c r="H1011" s="4" t="s">
        <v>12442</v>
      </c>
      <c r="I1011" s="4" t="s">
        <v>12441</v>
      </c>
      <c r="J1011" s="4" t="s">
        <v>1188</v>
      </c>
    </row>
    <row r="1012" spans="1:10" hidden="1">
      <c r="A1012" s="4">
        <v>2.0210623994000499E+17</v>
      </c>
      <c r="B1012" s="4">
        <v>2051354983</v>
      </c>
      <c r="C1012" s="4" t="s">
        <v>12440</v>
      </c>
      <c r="D1012" s="4">
        <v>23994</v>
      </c>
      <c r="E1012" s="4">
        <v>20210622</v>
      </c>
      <c r="F1012" s="4">
        <v>20210622</v>
      </c>
      <c r="G1012" s="4">
        <v>20240622</v>
      </c>
      <c r="H1012" s="4" t="s">
        <v>12439</v>
      </c>
      <c r="J1012" s="4" t="s">
        <v>10070</v>
      </c>
    </row>
    <row r="1013" spans="1:10" hidden="1">
      <c r="A1013" s="4">
        <v>2.0210647592000499E+17</v>
      </c>
      <c r="B1013" s="4">
        <v>1021551833</v>
      </c>
      <c r="C1013" s="4" t="s">
        <v>12438</v>
      </c>
      <c r="D1013" s="4">
        <v>47592</v>
      </c>
      <c r="E1013" s="4">
        <v>20210622</v>
      </c>
      <c r="F1013" s="4">
        <v>20210622</v>
      </c>
      <c r="G1013" s="4">
        <v>20240622</v>
      </c>
      <c r="H1013" s="4" t="s">
        <v>12437</v>
      </c>
      <c r="I1013" s="4" t="s">
        <v>12436</v>
      </c>
      <c r="J1013" s="4" t="s">
        <v>12435</v>
      </c>
    </row>
    <row r="1014" spans="1:10" hidden="1">
      <c r="A1014" s="4">
        <v>2.0210625111000499E+17</v>
      </c>
      <c r="B1014" s="4">
        <v>4998802036</v>
      </c>
      <c r="C1014" s="4" t="s">
        <v>12434</v>
      </c>
      <c r="D1014" s="4">
        <v>25111</v>
      </c>
      <c r="E1014" s="4">
        <v>20210622</v>
      </c>
      <c r="F1014" s="4">
        <v>20210622</v>
      </c>
      <c r="G1014" s="4">
        <v>20240622</v>
      </c>
      <c r="H1014" s="4" t="s">
        <v>12433</v>
      </c>
      <c r="I1014" s="4" t="s">
        <v>12432</v>
      </c>
      <c r="J1014" s="4" t="s">
        <v>82</v>
      </c>
    </row>
    <row r="1015" spans="1:10" hidden="1">
      <c r="A1015" s="4">
        <v>2.0210632099000499E+17</v>
      </c>
      <c r="B1015" s="4">
        <v>2956500363</v>
      </c>
      <c r="C1015" s="4" t="s">
        <v>12430</v>
      </c>
      <c r="D1015" s="4">
        <v>32099</v>
      </c>
      <c r="E1015" s="4">
        <v>20210622</v>
      </c>
      <c r="F1015" s="4">
        <v>20210622</v>
      </c>
      <c r="G1015" s="4">
        <v>20240622</v>
      </c>
      <c r="H1015" s="4" t="s">
        <v>12431</v>
      </c>
      <c r="I1015" s="4" t="s">
        <v>12430</v>
      </c>
      <c r="J1015" s="4" t="s">
        <v>162</v>
      </c>
    </row>
    <row r="1016" spans="1:10" hidden="1">
      <c r="A1016" s="4">
        <v>2.0210670112000499E+17</v>
      </c>
      <c r="B1016" s="4">
        <v>8308101923</v>
      </c>
      <c r="C1016" s="4" t="s">
        <v>12429</v>
      </c>
      <c r="D1016" s="4">
        <v>70112</v>
      </c>
      <c r="E1016" s="4">
        <v>20210621</v>
      </c>
      <c r="F1016" s="4">
        <v>20210621</v>
      </c>
      <c r="G1016" s="4">
        <v>20240621</v>
      </c>
      <c r="H1016" s="4" t="s">
        <v>12428</v>
      </c>
      <c r="I1016" s="4" t="s">
        <v>12427</v>
      </c>
      <c r="J1016" s="4" t="s">
        <v>1975</v>
      </c>
    </row>
    <row r="1017" spans="1:10" hidden="1">
      <c r="A1017" s="4">
        <v>2.0210629133000499E+17</v>
      </c>
      <c r="B1017" s="4">
        <v>2998100953</v>
      </c>
      <c r="C1017" s="4" t="s">
        <v>12426</v>
      </c>
      <c r="D1017" s="4">
        <v>29133</v>
      </c>
      <c r="E1017" s="4">
        <v>20210621</v>
      </c>
      <c r="F1017" s="4">
        <v>20210621</v>
      </c>
      <c r="G1017" s="4">
        <v>20240621</v>
      </c>
      <c r="H1017" s="4" t="s">
        <v>1867</v>
      </c>
      <c r="I1017" s="4" t="s">
        <v>3442</v>
      </c>
      <c r="J1017" s="4" t="s">
        <v>990</v>
      </c>
    </row>
    <row r="1018" spans="1:10" hidden="1">
      <c r="A1018" s="4">
        <v>2.0210646441000499E+17</v>
      </c>
      <c r="B1018" s="4">
        <v>7848701184</v>
      </c>
      <c r="C1018" s="4" t="s">
        <v>12425</v>
      </c>
      <c r="D1018" s="4">
        <v>46441</v>
      </c>
      <c r="E1018" s="4">
        <v>20210621</v>
      </c>
      <c r="F1018" s="4">
        <v>20210621</v>
      </c>
      <c r="G1018" s="4">
        <v>20240621</v>
      </c>
      <c r="H1018" s="4" t="s">
        <v>12424</v>
      </c>
      <c r="I1018" s="4" t="s">
        <v>762</v>
      </c>
      <c r="J1018" s="4" t="s">
        <v>9801</v>
      </c>
    </row>
    <row r="1019" spans="1:10" hidden="1">
      <c r="A1019" s="4">
        <v>2.0210690191000499E+17</v>
      </c>
      <c r="B1019" s="4">
        <v>3608701407</v>
      </c>
      <c r="C1019" s="4" t="s">
        <v>12423</v>
      </c>
      <c r="D1019" s="4">
        <v>90191</v>
      </c>
      <c r="E1019" s="4">
        <v>20210621</v>
      </c>
      <c r="F1019" s="4">
        <v>20210621</v>
      </c>
      <c r="G1019" s="4">
        <v>20240621</v>
      </c>
      <c r="H1019" s="4" t="s">
        <v>2718</v>
      </c>
      <c r="I1019" s="4" t="s">
        <v>1338</v>
      </c>
      <c r="J1019" s="4" t="s">
        <v>3866</v>
      </c>
    </row>
    <row r="1020" spans="1:10" hidden="1">
      <c r="A1020" s="4">
        <v>2.0210670209000499E+17</v>
      </c>
      <c r="B1020" s="4">
        <v>1428183959</v>
      </c>
      <c r="C1020" s="4" t="s">
        <v>12422</v>
      </c>
      <c r="D1020" s="4">
        <v>70209</v>
      </c>
      <c r="E1020" s="4">
        <v>20210621</v>
      </c>
      <c r="F1020" s="4">
        <v>20210621</v>
      </c>
      <c r="G1020" s="4">
        <v>20220213</v>
      </c>
      <c r="H1020" s="4" t="s">
        <v>1658</v>
      </c>
      <c r="I1020" s="4" t="s">
        <v>12421</v>
      </c>
      <c r="J1020" s="4" t="s">
        <v>242</v>
      </c>
    </row>
    <row r="1021" spans="1:10" hidden="1">
      <c r="A1021" s="4">
        <v>2.0210673909000499E+17</v>
      </c>
      <c r="B1021" s="4">
        <v>8638601063</v>
      </c>
      <c r="C1021" s="4" t="s">
        <v>12420</v>
      </c>
      <c r="D1021" s="4">
        <v>73909</v>
      </c>
      <c r="E1021" s="4">
        <v>20210621</v>
      </c>
      <c r="F1021" s="4">
        <v>20210621</v>
      </c>
      <c r="G1021" s="4">
        <v>20240621</v>
      </c>
      <c r="H1021" s="4" t="s">
        <v>6873</v>
      </c>
      <c r="I1021" s="4" t="s">
        <v>12419</v>
      </c>
      <c r="J1021" s="4" t="s">
        <v>293</v>
      </c>
    </row>
    <row r="1022" spans="1:10" hidden="1">
      <c r="A1022" s="4">
        <v>2.0210658222000499E+17</v>
      </c>
      <c r="B1022" s="4">
        <v>8548600075</v>
      </c>
      <c r="C1022" s="4" t="s">
        <v>12418</v>
      </c>
      <c r="D1022" s="4">
        <v>58222</v>
      </c>
      <c r="E1022" s="4">
        <v>20210621</v>
      </c>
      <c r="F1022" s="4">
        <v>20210621</v>
      </c>
      <c r="G1022" s="4">
        <v>20220501</v>
      </c>
      <c r="H1022" s="4" t="s">
        <v>12417</v>
      </c>
      <c r="J1022" s="4" t="s">
        <v>94</v>
      </c>
    </row>
    <row r="1023" spans="1:10" hidden="1">
      <c r="A1023" s="4">
        <v>2.0210642204000499E+17</v>
      </c>
      <c r="B1023" s="4">
        <v>5958801301</v>
      </c>
      <c r="C1023" s="4" t="s">
        <v>12416</v>
      </c>
      <c r="D1023" s="4">
        <v>42204</v>
      </c>
      <c r="E1023" s="4">
        <v>20210621</v>
      </c>
      <c r="F1023" s="4">
        <v>20210621</v>
      </c>
      <c r="G1023" s="4">
        <v>20240621</v>
      </c>
      <c r="H1023" s="4" t="s">
        <v>12415</v>
      </c>
      <c r="I1023" s="4" t="s">
        <v>12414</v>
      </c>
      <c r="J1023" s="4" t="s">
        <v>7487</v>
      </c>
    </row>
    <row r="1024" spans="1:10" hidden="1">
      <c r="A1024" s="4">
        <v>2.0210658221000499E+17</v>
      </c>
      <c r="B1024" s="4">
        <v>2398101251</v>
      </c>
      <c r="C1024" s="4" t="s">
        <v>12413</v>
      </c>
      <c r="D1024" s="4">
        <v>58221</v>
      </c>
      <c r="E1024" s="4">
        <v>20210621</v>
      </c>
      <c r="F1024" s="4">
        <v>20210621</v>
      </c>
      <c r="G1024" s="4">
        <v>20240621</v>
      </c>
      <c r="H1024" s="4" t="s">
        <v>2650</v>
      </c>
      <c r="I1024" s="4" t="s">
        <v>12412</v>
      </c>
      <c r="J1024" s="4" t="s">
        <v>228</v>
      </c>
    </row>
    <row r="1025" spans="1:10" hidden="1">
      <c r="A1025" s="4">
        <v>2.0210629199000499E+17</v>
      </c>
      <c r="B1025" s="4">
        <v>7028701896</v>
      </c>
      <c r="C1025" s="4" t="s">
        <v>12411</v>
      </c>
      <c r="D1025" s="4">
        <v>29199</v>
      </c>
      <c r="E1025" s="4">
        <v>20210621</v>
      </c>
      <c r="F1025" s="4">
        <v>20210621</v>
      </c>
      <c r="G1025" s="4">
        <v>20240621</v>
      </c>
      <c r="H1025" s="4" t="s">
        <v>9623</v>
      </c>
      <c r="I1025" s="4" t="s">
        <v>12410</v>
      </c>
      <c r="J1025" s="4" t="s">
        <v>166</v>
      </c>
    </row>
    <row r="1026" spans="1:10" hidden="1">
      <c r="A1026" s="4">
        <v>2.0210658222000499E+17</v>
      </c>
      <c r="B1026" s="4">
        <v>8738600057</v>
      </c>
      <c r="C1026" s="4" t="s">
        <v>12409</v>
      </c>
      <c r="D1026" s="4">
        <v>58222</v>
      </c>
      <c r="E1026" s="4">
        <v>20210621</v>
      </c>
      <c r="F1026" s="4">
        <v>20210621</v>
      </c>
      <c r="G1026" s="4">
        <v>20220428</v>
      </c>
      <c r="H1026" s="4" t="s">
        <v>12408</v>
      </c>
      <c r="I1026" s="4" t="s">
        <v>91</v>
      </c>
      <c r="J1026" s="4" t="s">
        <v>94</v>
      </c>
    </row>
    <row r="1027" spans="1:10" hidden="1">
      <c r="A1027" s="4">
        <v>2.0210673201000499E+17</v>
      </c>
      <c r="B1027" s="4">
        <v>3218101550</v>
      </c>
      <c r="C1027" s="4" t="s">
        <v>12407</v>
      </c>
      <c r="D1027" s="4">
        <v>73201</v>
      </c>
      <c r="E1027" s="4">
        <v>20210621</v>
      </c>
      <c r="F1027" s="4">
        <v>20210621</v>
      </c>
      <c r="G1027" s="4">
        <v>20240621</v>
      </c>
      <c r="H1027" s="4" t="s">
        <v>12406</v>
      </c>
      <c r="I1027" s="4" t="s">
        <v>185</v>
      </c>
      <c r="J1027" s="4" t="s">
        <v>569</v>
      </c>
    </row>
    <row r="1028" spans="1:10" hidden="1">
      <c r="A1028" s="4">
        <v>2.0210646721000499E+17</v>
      </c>
      <c r="B1028" s="4">
        <v>8168701216</v>
      </c>
      <c r="C1028" s="4" t="s">
        <v>12405</v>
      </c>
      <c r="D1028" s="4">
        <v>46721</v>
      </c>
      <c r="E1028" s="4">
        <v>20210621</v>
      </c>
      <c r="F1028" s="4">
        <v>20210621</v>
      </c>
      <c r="G1028" s="4">
        <v>20240621</v>
      </c>
      <c r="H1028" s="4" t="s">
        <v>12404</v>
      </c>
      <c r="I1028" s="4" t="s">
        <v>12403</v>
      </c>
      <c r="J1028" s="4" t="s">
        <v>4335</v>
      </c>
    </row>
    <row r="1029" spans="1:10" hidden="1">
      <c r="A1029" s="4">
        <v>2.0210642321000499E+17</v>
      </c>
      <c r="B1029" s="4">
        <v>4468801407</v>
      </c>
      <c r="C1029" s="4" t="s">
        <v>12402</v>
      </c>
      <c r="D1029" s="4">
        <v>42321</v>
      </c>
      <c r="E1029" s="4">
        <v>20210621</v>
      </c>
      <c r="F1029" s="4">
        <v>20210621</v>
      </c>
      <c r="G1029" s="4">
        <v>20240621</v>
      </c>
      <c r="H1029" s="4" t="s">
        <v>12401</v>
      </c>
      <c r="I1029" s="4" t="s">
        <v>12400</v>
      </c>
      <c r="J1029" s="4" t="s">
        <v>698</v>
      </c>
    </row>
    <row r="1030" spans="1:10" hidden="1">
      <c r="A1030" s="4">
        <v>2.0210672129000499E+17</v>
      </c>
      <c r="B1030" s="4">
        <v>8138801679</v>
      </c>
      <c r="C1030" s="4" t="s">
        <v>12399</v>
      </c>
      <c r="D1030" s="4">
        <v>72129</v>
      </c>
      <c r="E1030" s="4">
        <v>20210621</v>
      </c>
      <c r="F1030" s="4">
        <v>20210621</v>
      </c>
      <c r="G1030" s="4">
        <v>20240621</v>
      </c>
      <c r="H1030" s="4" t="s">
        <v>12398</v>
      </c>
      <c r="J1030" s="4" t="s">
        <v>1679</v>
      </c>
    </row>
    <row r="1031" spans="1:10" hidden="1">
      <c r="A1031" s="4">
        <v>2.0210622299000499E+17</v>
      </c>
      <c r="B1031" s="4">
        <v>8268702186</v>
      </c>
      <c r="C1031" s="4" t="s">
        <v>12397</v>
      </c>
      <c r="D1031" s="4">
        <v>22299</v>
      </c>
      <c r="E1031" s="4">
        <v>20210621</v>
      </c>
      <c r="F1031" s="4">
        <v>20210621</v>
      </c>
      <c r="G1031" s="4">
        <v>20240621</v>
      </c>
      <c r="H1031" s="4" t="s">
        <v>12396</v>
      </c>
      <c r="J1031" s="4" t="s">
        <v>384</v>
      </c>
    </row>
    <row r="1032" spans="1:10" hidden="1">
      <c r="A1032" s="4">
        <v>2.0210672111000499E+17</v>
      </c>
      <c r="B1032" s="4">
        <v>2754500624</v>
      </c>
      <c r="C1032" s="4" t="s">
        <v>12395</v>
      </c>
      <c r="D1032" s="4">
        <v>72111</v>
      </c>
      <c r="E1032" s="4">
        <v>20210621</v>
      </c>
      <c r="F1032" s="4">
        <v>20210621</v>
      </c>
      <c r="G1032" s="4">
        <v>20240621</v>
      </c>
      <c r="H1032" s="4" t="s">
        <v>12394</v>
      </c>
      <c r="I1032" s="4" t="s">
        <v>185</v>
      </c>
      <c r="J1032" s="4" t="s">
        <v>3461</v>
      </c>
    </row>
    <row r="1033" spans="1:10" hidden="1">
      <c r="A1033" s="4">
        <v>2.0210616299000499E+17</v>
      </c>
      <c r="B1033" s="4">
        <v>7314100408</v>
      </c>
      <c r="C1033" s="4" t="s">
        <v>12393</v>
      </c>
      <c r="D1033" s="4">
        <v>16299</v>
      </c>
      <c r="E1033" s="4">
        <v>20210621</v>
      </c>
      <c r="F1033" s="4">
        <v>20210621</v>
      </c>
      <c r="G1033" s="4">
        <v>20240621</v>
      </c>
      <c r="H1033" s="4" t="s">
        <v>12392</v>
      </c>
      <c r="J1033" s="4" t="s">
        <v>1863</v>
      </c>
    </row>
    <row r="1034" spans="1:10" hidden="1">
      <c r="A1034" s="4">
        <v>2.0210642311000499E+17</v>
      </c>
      <c r="B1034" s="4">
        <v>3768101638</v>
      </c>
      <c r="C1034" s="4" t="s">
        <v>12391</v>
      </c>
      <c r="D1034" s="4">
        <v>42311</v>
      </c>
      <c r="E1034" s="4">
        <v>20210621</v>
      </c>
      <c r="F1034" s="4">
        <v>20210621</v>
      </c>
      <c r="G1034" s="4">
        <v>20240621</v>
      </c>
      <c r="H1034" s="4" t="s">
        <v>12390</v>
      </c>
      <c r="I1034" s="4" t="s">
        <v>12389</v>
      </c>
      <c r="J1034" s="4" t="s">
        <v>718</v>
      </c>
    </row>
    <row r="1035" spans="1:10" hidden="1">
      <c r="A1035" s="4">
        <v>2.0210673203000499E+17</v>
      </c>
      <c r="B1035" s="4">
        <v>8150401995</v>
      </c>
      <c r="C1035" s="4" t="s">
        <v>12388</v>
      </c>
      <c r="D1035" s="4">
        <v>73203</v>
      </c>
      <c r="E1035" s="4">
        <v>20210621</v>
      </c>
      <c r="F1035" s="4">
        <v>20210621</v>
      </c>
      <c r="G1035" s="4">
        <v>20240621</v>
      </c>
      <c r="H1035" s="4" t="s">
        <v>12387</v>
      </c>
      <c r="I1035" s="4" t="s">
        <v>12386</v>
      </c>
      <c r="J1035" s="4" t="s">
        <v>260</v>
      </c>
    </row>
    <row r="1036" spans="1:10" hidden="1">
      <c r="A1036" s="4">
        <v>2.0210628422000499E+17</v>
      </c>
      <c r="B1036" s="4">
        <v>1430801845</v>
      </c>
      <c r="C1036" s="4" t="s">
        <v>12385</v>
      </c>
      <c r="D1036" s="4">
        <v>28422</v>
      </c>
      <c r="E1036" s="4">
        <v>20210621</v>
      </c>
      <c r="F1036" s="4">
        <v>20210621</v>
      </c>
      <c r="G1036" s="4">
        <v>20240621</v>
      </c>
      <c r="H1036" s="4" t="s">
        <v>12384</v>
      </c>
      <c r="I1036" s="4" t="s">
        <v>8911</v>
      </c>
      <c r="J1036" s="4" t="s">
        <v>188</v>
      </c>
    </row>
    <row r="1037" spans="1:10" hidden="1">
      <c r="A1037" s="4">
        <v>2.0210658222000499E+17</v>
      </c>
      <c r="B1037" s="4">
        <v>1988801264</v>
      </c>
      <c r="C1037" s="4" t="s">
        <v>12383</v>
      </c>
      <c r="D1037" s="4">
        <v>58222</v>
      </c>
      <c r="E1037" s="4">
        <v>20210621</v>
      </c>
      <c r="F1037" s="4">
        <v>20210621</v>
      </c>
      <c r="G1037" s="4">
        <v>20240621</v>
      </c>
      <c r="H1037" s="4" t="s">
        <v>12382</v>
      </c>
      <c r="I1037" s="4" t="s">
        <v>12381</v>
      </c>
      <c r="J1037" s="4" t="s">
        <v>94</v>
      </c>
    </row>
    <row r="1038" spans="1:10" hidden="1">
      <c r="A1038" s="4">
        <v>2.0210617901000499E+17</v>
      </c>
      <c r="B1038" s="4">
        <v>7328200200</v>
      </c>
      <c r="C1038" s="4" t="s">
        <v>12380</v>
      </c>
      <c r="D1038" s="4">
        <v>17901</v>
      </c>
      <c r="E1038" s="4">
        <v>20210621</v>
      </c>
      <c r="F1038" s="4">
        <v>20210621</v>
      </c>
      <c r="G1038" s="4">
        <v>20240621</v>
      </c>
      <c r="H1038" s="4" t="s">
        <v>12379</v>
      </c>
      <c r="I1038" s="4" t="s">
        <v>12378</v>
      </c>
      <c r="J1038" s="4" t="s">
        <v>5641</v>
      </c>
    </row>
    <row r="1039" spans="1:10" hidden="1">
      <c r="A1039" s="4">
        <v>2.0210670209000499E+17</v>
      </c>
      <c r="B1039" s="4">
        <v>1119305608</v>
      </c>
      <c r="C1039" s="4" t="s">
        <v>12377</v>
      </c>
      <c r="D1039" s="4">
        <v>70209</v>
      </c>
      <c r="E1039" s="4">
        <v>20210621</v>
      </c>
      <c r="F1039" s="4">
        <v>20210621</v>
      </c>
      <c r="G1039" s="4">
        <v>20240621</v>
      </c>
      <c r="H1039" s="4" t="s">
        <v>12376</v>
      </c>
      <c r="I1039" s="4" t="s">
        <v>1156</v>
      </c>
      <c r="J1039" s="4" t="s">
        <v>242</v>
      </c>
    </row>
    <row r="1040" spans="1:10">
      <c r="A1040" s="4">
        <v>2.0210218119E+17</v>
      </c>
      <c r="B1040" s="4">
        <v>5048282970</v>
      </c>
      <c r="C1040" s="4" t="s">
        <v>2441</v>
      </c>
      <c r="D1040" s="4">
        <v>18119</v>
      </c>
      <c r="E1040" s="4">
        <v>20210222</v>
      </c>
      <c r="F1040" s="4">
        <v>20210222</v>
      </c>
      <c r="G1040" s="4">
        <v>20240222</v>
      </c>
      <c r="H1040" s="4" t="s">
        <v>2440</v>
      </c>
      <c r="I1040" s="4" t="s">
        <v>2439</v>
      </c>
      <c r="J1040" s="4" t="s">
        <v>707</v>
      </c>
    </row>
    <row r="1041" spans="1:10" hidden="1">
      <c r="A1041" s="4">
        <v>2.0210663111000499E+17</v>
      </c>
      <c r="B1041" s="4">
        <v>4428601696</v>
      </c>
      <c r="C1041" s="4" t="s">
        <v>12372</v>
      </c>
      <c r="D1041" s="4">
        <v>63111</v>
      </c>
      <c r="E1041" s="4">
        <v>20210621</v>
      </c>
      <c r="F1041" s="4">
        <v>20210621</v>
      </c>
      <c r="G1041" s="4">
        <v>20240621</v>
      </c>
      <c r="H1041" s="4" t="s">
        <v>12371</v>
      </c>
      <c r="I1041" s="4" t="s">
        <v>9712</v>
      </c>
      <c r="J1041" s="4" t="s">
        <v>915</v>
      </c>
    </row>
    <row r="1042" spans="1:10" hidden="1">
      <c r="A1042" s="4">
        <v>2.0210613999000499E+17</v>
      </c>
      <c r="B1042" s="4">
        <v>3428601848</v>
      </c>
      <c r="C1042" s="4" t="s">
        <v>12633</v>
      </c>
      <c r="D1042" s="4">
        <v>13999</v>
      </c>
      <c r="E1042" s="4">
        <v>20210622</v>
      </c>
      <c r="F1042" s="4">
        <v>20210622</v>
      </c>
      <c r="G1042" s="4">
        <v>20240622</v>
      </c>
      <c r="H1042" s="4" t="s">
        <v>12634</v>
      </c>
      <c r="I1042" s="4" t="s">
        <v>12633</v>
      </c>
      <c r="J1042" s="4" t="s">
        <v>130</v>
      </c>
    </row>
    <row r="1043" spans="1:10" hidden="1">
      <c r="A1043" s="4">
        <v>2.0210647911000499E+17</v>
      </c>
      <c r="B1043" s="4">
        <v>7168601433</v>
      </c>
      <c r="C1043" s="4" t="s">
        <v>12368</v>
      </c>
      <c r="D1043" s="4">
        <v>47911</v>
      </c>
      <c r="E1043" s="4">
        <v>20210621</v>
      </c>
      <c r="F1043" s="4">
        <v>20210621</v>
      </c>
      <c r="G1043" s="4">
        <v>20240621</v>
      </c>
      <c r="H1043" s="4" t="s">
        <v>12367</v>
      </c>
      <c r="I1043" s="4" t="s">
        <v>12366</v>
      </c>
      <c r="J1043" s="4" t="s">
        <v>440</v>
      </c>
    </row>
    <row r="1044" spans="1:10" hidden="1">
      <c r="A1044" s="4">
        <v>2.0210642420000499E+17</v>
      </c>
      <c r="B1044" s="4">
        <v>6828801003</v>
      </c>
      <c r="C1044" s="4" t="s">
        <v>12365</v>
      </c>
      <c r="D1044" s="4">
        <v>42420</v>
      </c>
      <c r="E1044" s="4">
        <v>20210621</v>
      </c>
      <c r="F1044" s="4">
        <v>20210621</v>
      </c>
      <c r="G1044" s="4">
        <v>20240621</v>
      </c>
      <c r="H1044" s="4" t="s">
        <v>12364</v>
      </c>
      <c r="J1044" s="4" t="s">
        <v>1649</v>
      </c>
    </row>
    <row r="1045" spans="1:10" hidden="1">
      <c r="A1045" s="4">
        <v>2.0210670209000499E+17</v>
      </c>
      <c r="B1045" s="4">
        <v>7248601526</v>
      </c>
      <c r="C1045" s="4" t="s">
        <v>12363</v>
      </c>
      <c r="D1045" s="4">
        <v>70209</v>
      </c>
      <c r="E1045" s="4">
        <v>20210621</v>
      </c>
      <c r="F1045" s="4">
        <v>20210621</v>
      </c>
      <c r="G1045" s="4">
        <v>20240621</v>
      </c>
      <c r="H1045" s="4" t="s">
        <v>12362</v>
      </c>
      <c r="I1045" s="4" t="s">
        <v>91</v>
      </c>
      <c r="J1045" s="4" t="s">
        <v>242</v>
      </c>
    </row>
    <row r="1046" spans="1:10" hidden="1">
      <c r="A1046" s="4">
        <v>2.0210646612000499E+17</v>
      </c>
      <c r="B1046" s="4">
        <v>6582300773</v>
      </c>
      <c r="C1046" s="4" t="s">
        <v>12361</v>
      </c>
      <c r="D1046" s="4">
        <v>46612</v>
      </c>
      <c r="E1046" s="4">
        <v>20210621</v>
      </c>
      <c r="F1046" s="4">
        <v>20210621</v>
      </c>
      <c r="G1046" s="4">
        <v>20240621</v>
      </c>
      <c r="H1046" s="4" t="s">
        <v>12360</v>
      </c>
      <c r="I1046" s="4" t="s">
        <v>149</v>
      </c>
      <c r="J1046" s="4" t="s">
        <v>6527</v>
      </c>
    </row>
    <row r="1047" spans="1:10" hidden="1">
      <c r="A1047" s="4">
        <v>2.0210610802000499E+17</v>
      </c>
      <c r="B1047" s="4">
        <v>2111617475</v>
      </c>
      <c r="C1047" s="4" t="s">
        <v>12359</v>
      </c>
      <c r="D1047" s="4">
        <v>10802</v>
      </c>
      <c r="E1047" s="4">
        <v>20210621</v>
      </c>
      <c r="F1047" s="4">
        <v>20210621</v>
      </c>
      <c r="G1047" s="4">
        <v>20240621</v>
      </c>
      <c r="H1047" s="4" t="s">
        <v>12358</v>
      </c>
      <c r="J1047" s="4" t="s">
        <v>973</v>
      </c>
    </row>
    <row r="1048" spans="1:10" hidden="1">
      <c r="A1048" s="4">
        <v>2.0210670121000499E+17</v>
      </c>
      <c r="B1048" s="4">
        <v>1408601427</v>
      </c>
      <c r="C1048" s="4" t="s">
        <v>12357</v>
      </c>
      <c r="D1048" s="4">
        <v>70121</v>
      </c>
      <c r="E1048" s="4">
        <v>20210621</v>
      </c>
      <c r="F1048" s="4">
        <v>20210621</v>
      </c>
      <c r="G1048" s="4">
        <v>20240621</v>
      </c>
      <c r="H1048" s="4" t="s">
        <v>2477</v>
      </c>
      <c r="I1048" s="4" t="s">
        <v>12356</v>
      </c>
      <c r="J1048" s="4" t="s">
        <v>1267</v>
      </c>
    </row>
    <row r="1049" spans="1:10" hidden="1">
      <c r="A1049" s="4">
        <v>2.0210626421000499E+17</v>
      </c>
      <c r="B1049" s="4">
        <v>4480601692</v>
      </c>
      <c r="C1049" s="4" t="s">
        <v>12355</v>
      </c>
      <c r="D1049" s="4">
        <v>26421</v>
      </c>
      <c r="E1049" s="4">
        <v>20210621</v>
      </c>
      <c r="F1049" s="4">
        <v>20210621</v>
      </c>
      <c r="G1049" s="4">
        <v>20240621</v>
      </c>
      <c r="H1049" s="4" t="s">
        <v>7868</v>
      </c>
      <c r="I1049" s="4" t="s">
        <v>12354</v>
      </c>
      <c r="J1049" s="4" t="s">
        <v>1767</v>
      </c>
    </row>
    <row r="1050" spans="1:10" hidden="1">
      <c r="A1050" s="4">
        <v>2.0210629131000499E+17</v>
      </c>
      <c r="B1050" s="4">
        <v>8913700149</v>
      </c>
      <c r="C1050" s="4" t="s">
        <v>12353</v>
      </c>
      <c r="D1050" s="4">
        <v>29131</v>
      </c>
      <c r="E1050" s="4">
        <v>20210621</v>
      </c>
      <c r="F1050" s="4">
        <v>20210621</v>
      </c>
      <c r="G1050" s="4">
        <v>20221012</v>
      </c>
      <c r="H1050" s="4" t="s">
        <v>12352</v>
      </c>
      <c r="J1050" s="4" t="s">
        <v>4077</v>
      </c>
    </row>
    <row r="1051" spans="1:10" hidden="1">
      <c r="A1051" s="4">
        <v>2.0210672121000499E+17</v>
      </c>
      <c r="B1051" s="4">
        <v>3788602166</v>
      </c>
      <c r="C1051" s="4" t="s">
        <v>12351</v>
      </c>
      <c r="D1051" s="4">
        <v>72121</v>
      </c>
      <c r="E1051" s="4">
        <v>20210621</v>
      </c>
      <c r="F1051" s="4">
        <v>20210621</v>
      </c>
      <c r="G1051" s="4">
        <v>20240621</v>
      </c>
      <c r="H1051" s="4" t="s">
        <v>10312</v>
      </c>
      <c r="I1051" s="4" t="s">
        <v>12350</v>
      </c>
      <c r="J1051" s="4" t="s">
        <v>2243</v>
      </c>
    </row>
    <row r="1052" spans="1:10" hidden="1">
      <c r="A1052" s="4">
        <v>2.0210672111000499E+17</v>
      </c>
      <c r="B1052" s="4">
        <v>1658701097</v>
      </c>
      <c r="C1052" s="4" t="s">
        <v>12349</v>
      </c>
      <c r="D1052" s="4">
        <v>72111</v>
      </c>
      <c r="E1052" s="4">
        <v>20210621</v>
      </c>
      <c r="F1052" s="4">
        <v>20210621</v>
      </c>
      <c r="G1052" s="4">
        <v>20240516</v>
      </c>
      <c r="H1052" s="4" t="s">
        <v>12348</v>
      </c>
      <c r="I1052" s="4" t="s">
        <v>12347</v>
      </c>
      <c r="J1052" s="4" t="s">
        <v>3461</v>
      </c>
    </row>
    <row r="1053" spans="1:10" hidden="1">
      <c r="A1053" s="4">
        <v>2.0210642312000499E+17</v>
      </c>
      <c r="B1053" s="4">
        <v>7298601782</v>
      </c>
      <c r="C1053" s="4" t="s">
        <v>12346</v>
      </c>
      <c r="D1053" s="4">
        <v>42312</v>
      </c>
      <c r="E1053" s="4">
        <v>20210621</v>
      </c>
      <c r="F1053" s="4">
        <v>20210621</v>
      </c>
      <c r="G1053" s="4">
        <v>20240621</v>
      </c>
      <c r="H1053" s="4" t="s">
        <v>12345</v>
      </c>
      <c r="I1053" s="4" t="s">
        <v>12344</v>
      </c>
      <c r="J1053" s="4" t="s">
        <v>6044</v>
      </c>
    </row>
    <row r="1054" spans="1:10" hidden="1">
      <c r="A1054" s="4">
        <v>2.0210628519000499E+17</v>
      </c>
      <c r="B1054" s="4">
        <v>8158101453</v>
      </c>
      <c r="C1054" s="4" t="s">
        <v>12343</v>
      </c>
      <c r="D1054" s="4">
        <v>28519</v>
      </c>
      <c r="E1054" s="4">
        <v>20210621</v>
      </c>
      <c r="F1054" s="4">
        <v>20210621</v>
      </c>
      <c r="G1054" s="4">
        <v>20240621</v>
      </c>
      <c r="H1054" s="4" t="s">
        <v>12342</v>
      </c>
      <c r="J1054" s="4" t="s">
        <v>1412</v>
      </c>
    </row>
    <row r="1055" spans="1:10" hidden="1">
      <c r="A1055" s="4">
        <v>2.0210613229000499E+17</v>
      </c>
      <c r="B1055" s="4">
        <v>3638601020</v>
      </c>
      <c r="C1055" s="4" t="s">
        <v>12341</v>
      </c>
      <c r="D1055" s="4">
        <v>13229</v>
      </c>
      <c r="E1055" s="4">
        <v>20210621</v>
      </c>
      <c r="F1055" s="4">
        <v>20210621</v>
      </c>
      <c r="G1055" s="4">
        <v>20240621</v>
      </c>
      <c r="H1055" s="4" t="s">
        <v>12340</v>
      </c>
      <c r="I1055" s="4" t="s">
        <v>12339</v>
      </c>
      <c r="J1055" s="4" t="s">
        <v>115</v>
      </c>
    </row>
    <row r="1056" spans="1:10" hidden="1">
      <c r="A1056" s="4">
        <v>2.0210625111000499E+17</v>
      </c>
      <c r="B1056" s="4">
        <v>8178701131</v>
      </c>
      <c r="C1056" s="4" t="s">
        <v>12338</v>
      </c>
      <c r="D1056" s="4">
        <v>25111</v>
      </c>
      <c r="E1056" s="4">
        <v>20210621</v>
      </c>
      <c r="F1056" s="4">
        <v>20210621</v>
      </c>
      <c r="G1056" s="4">
        <v>20240621</v>
      </c>
      <c r="H1056" s="4" t="s">
        <v>12337</v>
      </c>
      <c r="I1056" s="4" t="s">
        <v>185</v>
      </c>
      <c r="J1056" s="4" t="s">
        <v>82</v>
      </c>
    </row>
    <row r="1057" spans="1:10" hidden="1">
      <c r="A1057" s="4">
        <v>2.0210659202000499E+17</v>
      </c>
      <c r="B1057" s="4">
        <v>6768101969</v>
      </c>
      <c r="C1057" s="4" t="s">
        <v>12336</v>
      </c>
      <c r="D1057" s="4">
        <v>59202</v>
      </c>
      <c r="E1057" s="4">
        <v>20210621</v>
      </c>
      <c r="F1057" s="4">
        <v>20210621</v>
      </c>
      <c r="G1057" s="4">
        <v>20240621</v>
      </c>
      <c r="H1057" s="4" t="s">
        <v>12335</v>
      </c>
      <c r="J1057" s="4" t="s">
        <v>2157</v>
      </c>
    </row>
    <row r="1058" spans="1:10" hidden="1">
      <c r="A1058" s="4">
        <v>2.0210663991000499E+17</v>
      </c>
      <c r="B1058" s="4">
        <v>1278801184</v>
      </c>
      <c r="C1058" s="4" t="s">
        <v>12334</v>
      </c>
      <c r="D1058" s="4">
        <v>63991</v>
      </c>
      <c r="E1058" s="4">
        <v>20210621</v>
      </c>
      <c r="F1058" s="4">
        <v>20210621</v>
      </c>
      <c r="G1058" s="4">
        <v>20230818</v>
      </c>
      <c r="H1058" s="4" t="s">
        <v>12333</v>
      </c>
      <c r="I1058" s="4" t="s">
        <v>1695</v>
      </c>
      <c r="J1058" s="4" t="s">
        <v>395</v>
      </c>
    </row>
    <row r="1059" spans="1:10" hidden="1">
      <c r="A1059" s="4">
        <v>2.0210642110000499E+17</v>
      </c>
      <c r="B1059" s="4">
        <v>4548601011</v>
      </c>
      <c r="C1059" s="4" t="s">
        <v>12332</v>
      </c>
      <c r="D1059" s="4">
        <v>42110</v>
      </c>
      <c r="E1059" s="4">
        <v>20210621</v>
      </c>
      <c r="F1059" s="4">
        <v>20210621</v>
      </c>
      <c r="G1059" s="4">
        <v>20240621</v>
      </c>
      <c r="H1059" s="4" t="s">
        <v>12331</v>
      </c>
      <c r="J1059" s="4" t="s">
        <v>8525</v>
      </c>
    </row>
    <row r="1060" spans="1:10" hidden="1">
      <c r="A1060" s="4">
        <v>2.0210642321000499E+17</v>
      </c>
      <c r="B1060" s="4">
        <v>5278600284</v>
      </c>
      <c r="C1060" s="4" t="s">
        <v>12330</v>
      </c>
      <c r="D1060" s="4">
        <v>42321</v>
      </c>
      <c r="E1060" s="4">
        <v>20210621</v>
      </c>
      <c r="F1060" s="4">
        <v>20210621</v>
      </c>
      <c r="G1060" s="4">
        <v>20230121</v>
      </c>
      <c r="H1060" s="4" t="s">
        <v>12329</v>
      </c>
      <c r="I1060" s="4" t="s">
        <v>12328</v>
      </c>
      <c r="J1060" s="4" t="s">
        <v>698</v>
      </c>
    </row>
    <row r="1061" spans="1:10" hidden="1">
      <c r="A1061" s="4">
        <v>2.0210614300000499E+17</v>
      </c>
      <c r="B1061" s="4">
        <v>5958600012</v>
      </c>
      <c r="C1061" s="4" t="s">
        <v>12327</v>
      </c>
      <c r="D1061" s="4">
        <v>14300</v>
      </c>
      <c r="E1061" s="4">
        <v>20210621</v>
      </c>
      <c r="F1061" s="4">
        <v>20210621</v>
      </c>
      <c r="G1061" s="4">
        <v>20220320</v>
      </c>
      <c r="H1061" s="4" t="s">
        <v>12326</v>
      </c>
      <c r="I1061" s="4" t="s">
        <v>12325</v>
      </c>
      <c r="J1061" s="4" t="s">
        <v>3381</v>
      </c>
    </row>
    <row r="1062" spans="1:10" hidden="1">
      <c r="A1062" s="4">
        <v>2.0210646499000499E+17</v>
      </c>
      <c r="B1062" s="4">
        <v>5500201814</v>
      </c>
      <c r="C1062" s="4" t="s">
        <v>12579</v>
      </c>
      <c r="D1062" s="4">
        <v>46499</v>
      </c>
      <c r="E1062" s="4">
        <v>20210622</v>
      </c>
      <c r="F1062" s="4">
        <v>20210622</v>
      </c>
      <c r="G1062" s="4">
        <v>20240622</v>
      </c>
      <c r="H1062" s="4" t="s">
        <v>12578</v>
      </c>
      <c r="I1062" s="4" t="s">
        <v>12577</v>
      </c>
      <c r="J1062" s="4" t="s">
        <v>184</v>
      </c>
    </row>
    <row r="1063" spans="1:10" hidden="1">
      <c r="A1063" s="4">
        <v>2.0210647912000499E+17</v>
      </c>
      <c r="B1063" s="4">
        <v>3818801721</v>
      </c>
      <c r="C1063" s="4" t="s">
        <v>12322</v>
      </c>
      <c r="D1063" s="4">
        <v>47912</v>
      </c>
      <c r="E1063" s="4">
        <v>20210621</v>
      </c>
      <c r="F1063" s="4">
        <v>20210621</v>
      </c>
      <c r="G1063" s="4">
        <v>20240621</v>
      </c>
      <c r="H1063" s="4" t="s">
        <v>12321</v>
      </c>
      <c r="I1063" s="4" t="s">
        <v>12320</v>
      </c>
      <c r="J1063" s="4" t="s">
        <v>78</v>
      </c>
    </row>
    <row r="1064" spans="1:10" hidden="1">
      <c r="A1064" s="4">
        <v>2.0210658221000499E+17</v>
      </c>
      <c r="B1064" s="4">
        <v>8408700258</v>
      </c>
      <c r="C1064" s="4" t="s">
        <v>12319</v>
      </c>
      <c r="D1064" s="4">
        <v>58221</v>
      </c>
      <c r="E1064" s="4">
        <v>20210621</v>
      </c>
      <c r="F1064" s="4">
        <v>20210621</v>
      </c>
      <c r="G1064" s="4">
        <v>20221112</v>
      </c>
      <c r="H1064" s="4" t="s">
        <v>12318</v>
      </c>
      <c r="I1064" s="4" t="s">
        <v>185</v>
      </c>
      <c r="J1064" s="4" t="s">
        <v>228</v>
      </c>
    </row>
    <row r="1065" spans="1:10" hidden="1">
      <c r="A1065" s="4">
        <v>2.0210662010000499E+17</v>
      </c>
      <c r="B1065" s="4">
        <v>7748800787</v>
      </c>
      <c r="C1065" s="4" t="s">
        <v>12317</v>
      </c>
      <c r="D1065" s="4">
        <v>62010</v>
      </c>
      <c r="E1065" s="4">
        <v>20210621</v>
      </c>
      <c r="F1065" s="4">
        <v>20210621</v>
      </c>
      <c r="G1065" s="4">
        <v>20240621</v>
      </c>
      <c r="H1065" s="4" t="s">
        <v>12316</v>
      </c>
      <c r="I1065" s="4" t="s">
        <v>12315</v>
      </c>
      <c r="J1065" s="4" t="s">
        <v>118</v>
      </c>
    </row>
    <row r="1066" spans="1:10" hidden="1">
      <c r="A1066" s="4">
        <v>2.0210659120000499E+17</v>
      </c>
      <c r="B1066" s="4">
        <v>7048801749</v>
      </c>
      <c r="C1066" s="4" t="s">
        <v>12314</v>
      </c>
      <c r="D1066" s="4">
        <v>59120</v>
      </c>
      <c r="E1066" s="4">
        <v>20210621</v>
      </c>
      <c r="F1066" s="4">
        <v>20210621</v>
      </c>
      <c r="G1066" s="4">
        <v>20240621</v>
      </c>
      <c r="H1066" s="4" t="s">
        <v>1899</v>
      </c>
      <c r="I1066" s="4" t="s">
        <v>12313</v>
      </c>
      <c r="J1066" s="4" t="s">
        <v>2961</v>
      </c>
    </row>
    <row r="1067" spans="1:10" hidden="1">
      <c r="A1067" s="4">
        <v>2.0210663991000499E+17</v>
      </c>
      <c r="B1067" s="4">
        <v>8728702103</v>
      </c>
      <c r="C1067" s="4" t="s">
        <v>12312</v>
      </c>
      <c r="D1067" s="4">
        <v>63991</v>
      </c>
      <c r="E1067" s="4">
        <v>20210621</v>
      </c>
      <c r="F1067" s="4">
        <v>20210621</v>
      </c>
      <c r="G1067" s="4">
        <v>20240621</v>
      </c>
      <c r="H1067" s="4" t="s">
        <v>5278</v>
      </c>
      <c r="I1067" s="4" t="s">
        <v>12311</v>
      </c>
      <c r="J1067" s="4" t="s">
        <v>395</v>
      </c>
    </row>
    <row r="1068" spans="1:10" hidden="1">
      <c r="A1068" s="4">
        <v>2.0210675122000499E+17</v>
      </c>
      <c r="B1068" s="4">
        <v>7168601205</v>
      </c>
      <c r="C1068" s="4" t="s">
        <v>12310</v>
      </c>
      <c r="D1068" s="4">
        <v>75122</v>
      </c>
      <c r="E1068" s="4">
        <v>20210621</v>
      </c>
      <c r="F1068" s="4">
        <v>20210621</v>
      </c>
      <c r="G1068" s="4">
        <v>20240621</v>
      </c>
      <c r="H1068" s="4" t="s">
        <v>12309</v>
      </c>
      <c r="I1068" s="4" t="s">
        <v>12308</v>
      </c>
      <c r="J1068" s="4" t="s">
        <v>7358</v>
      </c>
    </row>
    <row r="1069" spans="1:10" hidden="1">
      <c r="A1069" s="4">
        <v>2.0210626421000499E+17</v>
      </c>
      <c r="B1069" s="4">
        <v>4888701893</v>
      </c>
      <c r="C1069" s="4" t="s">
        <v>12307</v>
      </c>
      <c r="D1069" s="4">
        <v>26421</v>
      </c>
      <c r="E1069" s="4">
        <v>20210621</v>
      </c>
      <c r="F1069" s="4">
        <v>20210621</v>
      </c>
      <c r="G1069" s="4">
        <v>20240621</v>
      </c>
      <c r="H1069" s="4" t="s">
        <v>3728</v>
      </c>
      <c r="I1069" s="4" t="s">
        <v>12306</v>
      </c>
      <c r="J1069" s="4" t="s">
        <v>1767</v>
      </c>
    </row>
    <row r="1070" spans="1:10" hidden="1">
      <c r="A1070" s="4">
        <v>2.0210629280000499E+17</v>
      </c>
      <c r="B1070" s="4">
        <v>3718101045</v>
      </c>
      <c r="C1070" s="4" t="s">
        <v>12305</v>
      </c>
      <c r="D1070" s="4">
        <v>29280</v>
      </c>
      <c r="E1070" s="4">
        <v>20210621</v>
      </c>
      <c r="F1070" s="4">
        <v>20210621</v>
      </c>
      <c r="G1070" s="4">
        <v>20240621</v>
      </c>
      <c r="H1070" s="4" t="s">
        <v>1132</v>
      </c>
      <c r="I1070" s="4" t="s">
        <v>12304</v>
      </c>
      <c r="J1070" s="4" t="s">
        <v>533</v>
      </c>
    </row>
    <row r="1071" spans="1:10" hidden="1">
      <c r="A1071" s="4">
        <v>2.0210658221000499E+17</v>
      </c>
      <c r="B1071" s="4">
        <v>8128100912</v>
      </c>
      <c r="C1071" s="4" t="s">
        <v>12303</v>
      </c>
      <c r="D1071" s="4">
        <v>58221</v>
      </c>
      <c r="E1071" s="4">
        <v>20210621</v>
      </c>
      <c r="F1071" s="4">
        <v>20210621</v>
      </c>
      <c r="G1071" s="4">
        <v>20240621</v>
      </c>
      <c r="H1071" s="4" t="s">
        <v>12302</v>
      </c>
      <c r="I1071" s="4" t="s">
        <v>12301</v>
      </c>
      <c r="J1071" s="4" t="s">
        <v>228</v>
      </c>
    </row>
    <row r="1072" spans="1:10" hidden="1">
      <c r="A1072" s="4">
        <v>2.0210627213000499E+17</v>
      </c>
      <c r="B1072" s="4">
        <v>7488700331</v>
      </c>
      <c r="C1072" s="4" t="s">
        <v>12300</v>
      </c>
      <c r="D1072" s="4">
        <v>27213</v>
      </c>
      <c r="E1072" s="4">
        <v>20210621</v>
      </c>
      <c r="F1072" s="4">
        <v>20210621</v>
      </c>
      <c r="G1072" s="4">
        <v>20230307</v>
      </c>
      <c r="H1072" s="4" t="s">
        <v>12299</v>
      </c>
      <c r="J1072" s="4" t="s">
        <v>264</v>
      </c>
    </row>
    <row r="1073" spans="1:10" hidden="1">
      <c r="A1073" s="4">
        <v>2.0210642311000499E+17</v>
      </c>
      <c r="B1073" s="4">
        <v>4368801507</v>
      </c>
      <c r="C1073" s="4" t="s">
        <v>12298</v>
      </c>
      <c r="D1073" s="4">
        <v>42311</v>
      </c>
      <c r="E1073" s="4">
        <v>20210621</v>
      </c>
      <c r="F1073" s="4">
        <v>20210621</v>
      </c>
      <c r="G1073" s="4">
        <v>20240621</v>
      </c>
      <c r="H1073" s="4" t="s">
        <v>12297</v>
      </c>
      <c r="I1073" s="4" t="s">
        <v>149</v>
      </c>
      <c r="J1073" s="4" t="s">
        <v>718</v>
      </c>
    </row>
    <row r="1074" spans="1:10" hidden="1">
      <c r="A1074" s="4">
        <v>2.0210630332000499E+17</v>
      </c>
      <c r="B1074" s="4">
        <v>6038801354</v>
      </c>
      <c r="C1074" s="4" t="s">
        <v>12296</v>
      </c>
      <c r="D1074" s="4">
        <v>30332</v>
      </c>
      <c r="E1074" s="4">
        <v>20210621</v>
      </c>
      <c r="F1074" s="4">
        <v>20210621</v>
      </c>
      <c r="G1074" s="4">
        <v>20240621</v>
      </c>
      <c r="H1074" s="4" t="s">
        <v>12295</v>
      </c>
      <c r="I1074" s="4" t="s">
        <v>149</v>
      </c>
      <c r="J1074" s="4" t="s">
        <v>4701</v>
      </c>
    </row>
    <row r="1075" spans="1:10" hidden="1">
      <c r="A1075" s="4">
        <v>2.0210627219000499E+17</v>
      </c>
      <c r="B1075" s="4">
        <v>2778801378</v>
      </c>
      <c r="C1075" s="4" t="s">
        <v>12294</v>
      </c>
      <c r="D1075" s="4">
        <v>27219</v>
      </c>
      <c r="E1075" s="4">
        <v>20210621</v>
      </c>
      <c r="F1075" s="4">
        <v>20210621</v>
      </c>
      <c r="G1075" s="4">
        <v>20240621</v>
      </c>
      <c r="H1075" s="4" t="s">
        <v>3443</v>
      </c>
      <c r="J1075" s="4" t="s">
        <v>1454</v>
      </c>
    </row>
    <row r="1076" spans="1:10" hidden="1">
      <c r="A1076" s="4">
        <v>2.0210668211000499E+17</v>
      </c>
      <c r="B1076" s="4">
        <v>8428101227</v>
      </c>
      <c r="C1076" s="4" t="s">
        <v>12293</v>
      </c>
      <c r="D1076" s="4">
        <v>68211</v>
      </c>
      <c r="E1076" s="4">
        <v>20210621</v>
      </c>
      <c r="F1076" s="4">
        <v>20210621</v>
      </c>
      <c r="G1076" s="4">
        <v>20240621</v>
      </c>
      <c r="H1076" s="4" t="s">
        <v>12292</v>
      </c>
      <c r="I1076" s="4">
        <v>1</v>
      </c>
      <c r="J1076" s="4" t="s">
        <v>12291</v>
      </c>
    </row>
    <row r="1077" spans="1:10" hidden="1">
      <c r="A1077" s="4">
        <v>2.0210626129000499E+17</v>
      </c>
      <c r="B1077" s="4">
        <v>1568101164</v>
      </c>
      <c r="C1077" s="4" t="s">
        <v>12290</v>
      </c>
      <c r="D1077" s="4">
        <v>26129</v>
      </c>
      <c r="E1077" s="4">
        <v>20210621</v>
      </c>
      <c r="F1077" s="4">
        <v>20210621</v>
      </c>
      <c r="G1077" s="4">
        <v>20240621</v>
      </c>
      <c r="H1077" s="4" t="s">
        <v>12289</v>
      </c>
      <c r="I1077" s="4" t="s">
        <v>2340</v>
      </c>
      <c r="J1077" s="4" t="s">
        <v>403</v>
      </c>
    </row>
    <row r="1078" spans="1:10" hidden="1">
      <c r="A1078" s="4">
        <v>2.0210675992000499E+17</v>
      </c>
      <c r="B1078" s="4">
        <v>4488700090</v>
      </c>
      <c r="C1078" s="4" t="s">
        <v>12288</v>
      </c>
      <c r="D1078" s="4">
        <v>75992</v>
      </c>
      <c r="E1078" s="4">
        <v>20210621</v>
      </c>
      <c r="F1078" s="4">
        <v>20210621</v>
      </c>
      <c r="G1078" s="4">
        <v>20220625</v>
      </c>
      <c r="H1078" s="4" t="s">
        <v>11768</v>
      </c>
      <c r="I1078" s="4" t="s">
        <v>12287</v>
      </c>
      <c r="J1078" s="4" t="s">
        <v>111</v>
      </c>
    </row>
    <row r="1079" spans="1:10" hidden="1">
      <c r="A1079" s="4">
        <v>2.0210638110000499E+17</v>
      </c>
      <c r="B1079" s="4">
        <v>4678701014</v>
      </c>
      <c r="C1079" s="4" t="s">
        <v>12285</v>
      </c>
      <c r="D1079" s="4">
        <v>38110</v>
      </c>
      <c r="E1079" s="4">
        <v>20210621</v>
      </c>
      <c r="F1079" s="4">
        <v>20210621</v>
      </c>
      <c r="G1079" s="4">
        <v>20240621</v>
      </c>
      <c r="H1079" s="4" t="s">
        <v>12286</v>
      </c>
      <c r="I1079" s="4" t="s">
        <v>12285</v>
      </c>
      <c r="J1079" s="4" t="s">
        <v>3177</v>
      </c>
    </row>
    <row r="1080" spans="1:10" hidden="1">
      <c r="A1080" s="4">
        <v>2.0210662021000499E+17</v>
      </c>
      <c r="B1080" s="4">
        <v>6748100552</v>
      </c>
      <c r="C1080" s="4" t="s">
        <v>12284</v>
      </c>
      <c r="D1080" s="4">
        <v>62021</v>
      </c>
      <c r="E1080" s="4">
        <v>20210621</v>
      </c>
      <c r="F1080" s="4">
        <v>20210621</v>
      </c>
      <c r="G1080" s="4">
        <v>20240112</v>
      </c>
      <c r="H1080" s="4" t="s">
        <v>1142</v>
      </c>
      <c r="I1080" s="4" t="s">
        <v>12283</v>
      </c>
      <c r="J1080" s="4" t="s">
        <v>1505</v>
      </c>
    </row>
    <row r="1081" spans="1:10" hidden="1">
      <c r="A1081" s="4">
        <v>2.0210629175000499E+17</v>
      </c>
      <c r="B1081" s="4">
        <v>8078801107</v>
      </c>
      <c r="C1081" s="4" t="s">
        <v>12282</v>
      </c>
      <c r="D1081" s="4">
        <v>29175</v>
      </c>
      <c r="E1081" s="4">
        <v>20210621</v>
      </c>
      <c r="F1081" s="4">
        <v>20210621</v>
      </c>
      <c r="G1081" s="4">
        <v>20240621</v>
      </c>
      <c r="H1081" s="4" t="s">
        <v>12281</v>
      </c>
      <c r="I1081" s="4" t="s">
        <v>12280</v>
      </c>
      <c r="J1081" s="4" t="s">
        <v>232</v>
      </c>
    </row>
    <row r="1082" spans="1:10" hidden="1">
      <c r="A1082" s="4">
        <v>2.0210616102000499E+17</v>
      </c>
      <c r="B1082" s="4">
        <v>4638701797</v>
      </c>
      <c r="C1082" s="4" t="s">
        <v>12279</v>
      </c>
      <c r="D1082" s="4">
        <v>16102</v>
      </c>
      <c r="E1082" s="4">
        <v>20210621</v>
      </c>
      <c r="F1082" s="4">
        <v>20210621</v>
      </c>
      <c r="G1082" s="4">
        <v>20240621</v>
      </c>
      <c r="H1082" s="4" t="s">
        <v>12278</v>
      </c>
      <c r="I1082" s="4" t="s">
        <v>91</v>
      </c>
      <c r="J1082" s="4" t="s">
        <v>451</v>
      </c>
    </row>
    <row r="1083" spans="1:10" hidden="1">
      <c r="A1083" s="4">
        <v>2.0210628429000499E+17</v>
      </c>
      <c r="B1083" s="4">
        <v>4278801352</v>
      </c>
      <c r="C1083" s="4" t="s">
        <v>12277</v>
      </c>
      <c r="D1083" s="4">
        <v>28429</v>
      </c>
      <c r="E1083" s="4">
        <v>20210621</v>
      </c>
      <c r="F1083" s="4">
        <v>20210621</v>
      </c>
      <c r="G1083" s="4">
        <v>20240621</v>
      </c>
      <c r="H1083" s="4" t="s">
        <v>12276</v>
      </c>
      <c r="I1083" s="4" t="s">
        <v>12275</v>
      </c>
      <c r="J1083" s="4" t="s">
        <v>765</v>
      </c>
    </row>
    <row r="1084" spans="1:10" hidden="1">
      <c r="A1084" s="4">
        <v>2.0210615121000499E+17</v>
      </c>
      <c r="B1084" s="4">
        <v>6128601392</v>
      </c>
      <c r="C1084" s="4" t="s">
        <v>12274</v>
      </c>
      <c r="D1084" s="4">
        <v>15121</v>
      </c>
      <c r="E1084" s="4">
        <v>20210621</v>
      </c>
      <c r="F1084" s="4">
        <v>20210621</v>
      </c>
      <c r="G1084" s="4">
        <v>20240621</v>
      </c>
      <c r="H1084" s="4" t="s">
        <v>12273</v>
      </c>
      <c r="J1084" s="4" t="s">
        <v>6482</v>
      </c>
    </row>
    <row r="1085" spans="1:10" hidden="1">
      <c r="A1085" s="4">
        <v>2.0210642312000499E+17</v>
      </c>
      <c r="B1085" s="4">
        <v>6318100410</v>
      </c>
      <c r="C1085" s="4" t="s">
        <v>12535</v>
      </c>
      <c r="D1085" s="4">
        <v>42312</v>
      </c>
      <c r="E1085" s="4">
        <v>20210622</v>
      </c>
      <c r="F1085" s="4">
        <v>20210622</v>
      </c>
      <c r="G1085" s="4">
        <v>20230414</v>
      </c>
      <c r="H1085" s="4" t="s">
        <v>12534</v>
      </c>
      <c r="J1085" s="4" t="s">
        <v>6044</v>
      </c>
    </row>
    <row r="1086" spans="1:10" hidden="1">
      <c r="A1086" s="4">
        <v>2.0210625999000499E+17</v>
      </c>
      <c r="B1086" s="4">
        <v>8848601890</v>
      </c>
      <c r="C1086" s="4" t="s">
        <v>12269</v>
      </c>
      <c r="D1086" s="4">
        <v>25999</v>
      </c>
      <c r="E1086" s="4">
        <v>20210621</v>
      </c>
      <c r="F1086" s="4">
        <v>20210621</v>
      </c>
      <c r="G1086" s="4">
        <v>20240621</v>
      </c>
      <c r="H1086" s="4" t="s">
        <v>12268</v>
      </c>
      <c r="I1086" s="4" t="s">
        <v>3530</v>
      </c>
      <c r="J1086" s="4" t="s">
        <v>301</v>
      </c>
    </row>
    <row r="1087" spans="1:10" hidden="1">
      <c r="A1087" s="4">
        <v>2.0210629199000499E+17</v>
      </c>
      <c r="B1087" s="4">
        <v>2193100461</v>
      </c>
      <c r="C1087" s="4" t="s">
        <v>12267</v>
      </c>
      <c r="D1087" s="4">
        <v>29199</v>
      </c>
      <c r="E1087" s="4">
        <v>20210621</v>
      </c>
      <c r="F1087" s="4">
        <v>20210621</v>
      </c>
      <c r="G1087" s="4">
        <v>20240621</v>
      </c>
      <c r="H1087" s="4" t="s">
        <v>1389</v>
      </c>
      <c r="J1087" s="4" t="s">
        <v>166</v>
      </c>
    </row>
    <row r="1088" spans="1:10" hidden="1">
      <c r="A1088" s="4">
        <v>2.0210647811000499E+17</v>
      </c>
      <c r="B1088" s="4">
        <v>4140393446</v>
      </c>
      <c r="C1088" s="4" t="s">
        <v>12266</v>
      </c>
      <c r="D1088" s="4">
        <v>47811</v>
      </c>
      <c r="E1088" s="4">
        <v>20210621</v>
      </c>
      <c r="F1088" s="4">
        <v>20210621</v>
      </c>
      <c r="G1088" s="4">
        <v>20240621</v>
      </c>
      <c r="H1088" s="4" t="s">
        <v>12265</v>
      </c>
      <c r="I1088" s="4" t="s">
        <v>591</v>
      </c>
      <c r="J1088" s="4" t="s">
        <v>5002</v>
      </c>
    </row>
    <row r="1089" spans="1:10" hidden="1">
      <c r="A1089" s="4">
        <v>2.0210623995000499E+17</v>
      </c>
      <c r="B1089" s="4">
        <v>8825700333</v>
      </c>
      <c r="C1089" s="4" t="s">
        <v>12370</v>
      </c>
      <c r="D1089" s="4">
        <v>23995</v>
      </c>
      <c r="E1089" s="4">
        <v>20210621</v>
      </c>
      <c r="F1089" s="4">
        <v>20210621</v>
      </c>
      <c r="G1089" s="4">
        <v>20240621</v>
      </c>
      <c r="H1089" s="4" t="s">
        <v>3181</v>
      </c>
      <c r="I1089" s="4" t="s">
        <v>12369</v>
      </c>
      <c r="J1089" s="4" t="s">
        <v>6187</v>
      </c>
    </row>
    <row r="1090" spans="1:10" hidden="1">
      <c r="A1090" s="4">
        <v>2.0210671201000499E+17</v>
      </c>
      <c r="B1090" s="4">
        <v>1258700106</v>
      </c>
      <c r="C1090" s="4" t="s">
        <v>12262</v>
      </c>
      <c r="D1090" s="4">
        <v>71201</v>
      </c>
      <c r="E1090" s="4">
        <v>20210621</v>
      </c>
      <c r="F1090" s="4">
        <v>20210621</v>
      </c>
      <c r="G1090" s="4">
        <v>20220403</v>
      </c>
      <c r="H1090" s="4" t="s">
        <v>12261</v>
      </c>
      <c r="I1090" s="4" t="s">
        <v>591</v>
      </c>
      <c r="J1090" s="4" t="s">
        <v>6940</v>
      </c>
    </row>
    <row r="1091" spans="1:10" hidden="1">
      <c r="A1091" s="4">
        <v>2.0210629210000499E+17</v>
      </c>
      <c r="B1091" s="4">
        <v>2788602060</v>
      </c>
      <c r="C1091" s="4" t="s">
        <v>12260</v>
      </c>
      <c r="D1091" s="4">
        <v>29210</v>
      </c>
      <c r="E1091" s="4">
        <v>20210619</v>
      </c>
      <c r="F1091" s="4">
        <v>20210619</v>
      </c>
      <c r="G1091" s="4">
        <v>20240619</v>
      </c>
      <c r="H1091" s="4" t="s">
        <v>12259</v>
      </c>
      <c r="I1091" s="4" t="s">
        <v>12258</v>
      </c>
      <c r="J1091" s="4" t="s">
        <v>1274</v>
      </c>
    </row>
    <row r="1092" spans="1:10" hidden="1">
      <c r="A1092" s="4">
        <v>2.0210671310000499E+17</v>
      </c>
      <c r="B1092" s="4">
        <v>5338100265</v>
      </c>
      <c r="C1092" s="4" t="s">
        <v>12257</v>
      </c>
      <c r="D1092" s="4">
        <v>71310</v>
      </c>
      <c r="E1092" s="4">
        <v>20210619</v>
      </c>
      <c r="F1092" s="4">
        <v>20210619</v>
      </c>
      <c r="G1092" s="4">
        <v>20221022</v>
      </c>
      <c r="H1092" s="4" t="s">
        <v>12256</v>
      </c>
      <c r="I1092" s="4" t="s">
        <v>12255</v>
      </c>
      <c r="J1092" s="4" t="s">
        <v>426</v>
      </c>
    </row>
    <row r="1093" spans="1:10" hidden="1">
      <c r="A1093" s="4">
        <v>2.0210646800000499E+17</v>
      </c>
      <c r="B1093" s="4">
        <v>1704100622</v>
      </c>
      <c r="C1093" s="4" t="s">
        <v>12254</v>
      </c>
      <c r="D1093" s="4">
        <v>46800</v>
      </c>
      <c r="E1093" s="4">
        <v>20210619</v>
      </c>
      <c r="F1093" s="4">
        <v>20210619</v>
      </c>
      <c r="G1093" s="4">
        <v>20240619</v>
      </c>
      <c r="H1093" s="4" t="s">
        <v>12253</v>
      </c>
      <c r="J1093" s="4" t="s">
        <v>979</v>
      </c>
    </row>
    <row r="1094" spans="1:10">
      <c r="A1094" s="4">
        <v>2.0210118111E+17</v>
      </c>
      <c r="B1094" s="4">
        <v>2730400718</v>
      </c>
      <c r="C1094" s="4" t="s">
        <v>790</v>
      </c>
      <c r="D1094" s="4">
        <v>18111</v>
      </c>
      <c r="E1094" s="4">
        <v>20210128</v>
      </c>
      <c r="F1094" s="4">
        <v>20210128</v>
      </c>
      <c r="G1094" s="4">
        <v>20240128</v>
      </c>
      <c r="H1094" s="4" t="s">
        <v>789</v>
      </c>
      <c r="J1094" s="4" t="s">
        <v>662</v>
      </c>
    </row>
    <row r="1095" spans="1:10" hidden="1">
      <c r="A1095" s="4">
        <v>2.0210646329000499E+17</v>
      </c>
      <c r="B1095" s="4">
        <v>4011796269</v>
      </c>
      <c r="C1095" s="4" t="s">
        <v>12249</v>
      </c>
      <c r="D1095" s="4">
        <v>46329</v>
      </c>
      <c r="E1095" s="4">
        <v>20210619</v>
      </c>
      <c r="F1095" s="4">
        <v>20210619</v>
      </c>
      <c r="G1095" s="4">
        <v>20240619</v>
      </c>
      <c r="H1095" s="4" t="s">
        <v>12248</v>
      </c>
      <c r="I1095" s="4" t="s">
        <v>12247</v>
      </c>
      <c r="J1095" s="4" t="s">
        <v>830</v>
      </c>
    </row>
    <row r="1096" spans="1:10" hidden="1">
      <c r="A1096" s="4">
        <v>2.0210642203000499E+17</v>
      </c>
      <c r="B1096" s="4">
        <v>2508801811</v>
      </c>
      <c r="C1096" s="4" t="s">
        <v>12246</v>
      </c>
      <c r="D1096" s="4">
        <v>42203</v>
      </c>
      <c r="E1096" s="4">
        <v>20210619</v>
      </c>
      <c r="F1096" s="4">
        <v>20210619</v>
      </c>
      <c r="G1096" s="4">
        <v>20240619</v>
      </c>
      <c r="H1096" s="4" t="s">
        <v>12245</v>
      </c>
      <c r="I1096" s="4" t="s">
        <v>12244</v>
      </c>
      <c r="J1096" s="4" t="s">
        <v>6852</v>
      </c>
    </row>
    <row r="1097" spans="1:10" hidden="1">
      <c r="A1097" s="4">
        <v>2.0210641121000499E+17</v>
      </c>
      <c r="B1097" s="4">
        <v>5268101965</v>
      </c>
      <c r="C1097" s="4" t="s">
        <v>12243</v>
      </c>
      <c r="D1097" s="4">
        <v>41121</v>
      </c>
      <c r="E1097" s="4">
        <v>20210619</v>
      </c>
      <c r="F1097" s="4">
        <v>20210619</v>
      </c>
      <c r="G1097" s="4">
        <v>20240619</v>
      </c>
      <c r="H1097" s="4" t="s">
        <v>12242</v>
      </c>
      <c r="I1097" s="4" t="s">
        <v>1490</v>
      </c>
      <c r="J1097" s="4" t="s">
        <v>2302</v>
      </c>
    </row>
    <row r="1098" spans="1:10" hidden="1">
      <c r="A1098" s="4">
        <v>2.0210629199000499E+17</v>
      </c>
      <c r="B1098" s="4">
        <v>3048802058</v>
      </c>
      <c r="C1098" s="4" t="s">
        <v>12241</v>
      </c>
      <c r="D1098" s="4">
        <v>29199</v>
      </c>
      <c r="E1098" s="4">
        <v>20210619</v>
      </c>
      <c r="F1098" s="4">
        <v>20210619</v>
      </c>
      <c r="G1098" s="4">
        <v>20240619</v>
      </c>
      <c r="H1098" s="4" t="s">
        <v>1199</v>
      </c>
      <c r="I1098" s="4" t="s">
        <v>12240</v>
      </c>
      <c r="J1098" s="4" t="s">
        <v>166</v>
      </c>
    </row>
    <row r="1099" spans="1:10" hidden="1">
      <c r="A1099" s="4">
        <v>2.0210617212000499E+17</v>
      </c>
      <c r="B1099" s="4">
        <v>5038615952</v>
      </c>
      <c r="C1099" s="4" t="s">
        <v>12239</v>
      </c>
      <c r="D1099" s="4">
        <v>17212</v>
      </c>
      <c r="E1099" s="4">
        <v>20210618</v>
      </c>
      <c r="F1099" s="4">
        <v>20210618</v>
      </c>
      <c r="G1099" s="4">
        <v>20211008</v>
      </c>
      <c r="H1099" s="4" t="s">
        <v>12238</v>
      </c>
      <c r="J1099" s="4" t="s">
        <v>11266</v>
      </c>
    </row>
    <row r="1100" spans="1:10" hidden="1">
      <c r="A1100" s="4">
        <v>2.0210646622000499E+17</v>
      </c>
      <c r="B1100" s="4">
        <v>4628101303</v>
      </c>
      <c r="C1100" s="4" t="s">
        <v>12237</v>
      </c>
      <c r="D1100" s="4">
        <v>46622</v>
      </c>
      <c r="E1100" s="4">
        <v>20210618</v>
      </c>
      <c r="F1100" s="4">
        <v>20210618</v>
      </c>
      <c r="G1100" s="4">
        <v>20240618</v>
      </c>
      <c r="H1100" s="4" t="s">
        <v>315</v>
      </c>
      <c r="I1100" s="4" t="s">
        <v>12236</v>
      </c>
      <c r="J1100" s="4" t="s">
        <v>7011</v>
      </c>
    </row>
    <row r="1101" spans="1:10" hidden="1">
      <c r="A1101" s="4">
        <v>2.0210663120000499E+17</v>
      </c>
      <c r="B1101" s="4">
        <v>2128800445</v>
      </c>
      <c r="C1101" s="4" t="s">
        <v>12235</v>
      </c>
      <c r="D1101" s="4">
        <v>63120</v>
      </c>
      <c r="E1101" s="4">
        <v>20210618</v>
      </c>
      <c r="F1101" s="4">
        <v>20210618</v>
      </c>
      <c r="G1101" s="4">
        <v>20231010</v>
      </c>
      <c r="H1101" s="4" t="s">
        <v>1825</v>
      </c>
      <c r="I1101" s="4" t="s">
        <v>12234</v>
      </c>
      <c r="J1101" s="4" t="s">
        <v>632</v>
      </c>
    </row>
    <row r="1102" spans="1:10" hidden="1">
      <c r="A1102" s="4">
        <v>2.0210601299000499E+17</v>
      </c>
      <c r="B1102" s="4">
        <v>6258801053</v>
      </c>
      <c r="C1102" s="4" t="s">
        <v>12233</v>
      </c>
      <c r="D1102" s="4">
        <v>1299</v>
      </c>
      <c r="E1102" s="4">
        <v>20210618</v>
      </c>
      <c r="F1102" s="4">
        <v>20210618</v>
      </c>
      <c r="G1102" s="4">
        <v>20240618</v>
      </c>
      <c r="H1102" s="4" t="s">
        <v>12232</v>
      </c>
      <c r="J1102" s="4" t="s">
        <v>12231</v>
      </c>
    </row>
    <row r="1103" spans="1:10" hidden="1">
      <c r="A1103" s="4">
        <v>2.0210630399000499E+17</v>
      </c>
      <c r="B1103" s="4">
        <v>4238100589</v>
      </c>
      <c r="C1103" s="4" t="s">
        <v>12230</v>
      </c>
      <c r="D1103" s="4">
        <v>30399</v>
      </c>
      <c r="E1103" s="4">
        <v>20210618</v>
      </c>
      <c r="F1103" s="4">
        <v>20210618</v>
      </c>
      <c r="G1103" s="4">
        <v>20230825</v>
      </c>
      <c r="H1103" s="4" t="s">
        <v>12229</v>
      </c>
      <c r="J1103" s="4" t="s">
        <v>1763</v>
      </c>
    </row>
    <row r="1104" spans="1:10" hidden="1">
      <c r="A1104" s="4">
        <v>2.0210662010000499E+17</v>
      </c>
      <c r="B1104" s="4">
        <v>3128678405</v>
      </c>
      <c r="C1104" s="4" t="s">
        <v>12228</v>
      </c>
      <c r="D1104" s="4">
        <v>62010</v>
      </c>
      <c r="E1104" s="4">
        <v>20210618</v>
      </c>
      <c r="F1104" s="4">
        <v>20210618</v>
      </c>
      <c r="G1104" s="4">
        <v>20240618</v>
      </c>
      <c r="H1104" s="4" t="s">
        <v>12227</v>
      </c>
      <c r="I1104" s="4" t="s">
        <v>1963</v>
      </c>
      <c r="J1104" s="4" t="s">
        <v>118</v>
      </c>
    </row>
    <row r="1105" spans="1:10" hidden="1">
      <c r="A1105" s="4">
        <v>2.0210658222000499E+17</v>
      </c>
      <c r="B1105" s="4">
        <v>6648101665</v>
      </c>
      <c r="C1105" s="4" t="s">
        <v>12226</v>
      </c>
      <c r="D1105" s="4">
        <v>58222</v>
      </c>
      <c r="E1105" s="4">
        <v>20210618</v>
      </c>
      <c r="F1105" s="4">
        <v>20210618</v>
      </c>
      <c r="G1105" s="4">
        <v>20240618</v>
      </c>
      <c r="H1105" s="4" t="s">
        <v>4944</v>
      </c>
      <c r="I1105" s="4" t="s">
        <v>12225</v>
      </c>
      <c r="J1105" s="4" t="s">
        <v>94</v>
      </c>
    </row>
    <row r="1106" spans="1:10" hidden="1">
      <c r="A1106" s="4">
        <v>2.0210613999000499E+17</v>
      </c>
      <c r="B1106" s="4">
        <v>7458702188</v>
      </c>
      <c r="C1106" s="4" t="s">
        <v>12224</v>
      </c>
      <c r="D1106" s="4">
        <v>13999</v>
      </c>
      <c r="E1106" s="4">
        <v>20210618</v>
      </c>
      <c r="F1106" s="4">
        <v>20210618</v>
      </c>
      <c r="G1106" s="4">
        <v>20240618</v>
      </c>
      <c r="H1106" s="4" t="s">
        <v>12223</v>
      </c>
      <c r="J1106" s="4" t="s">
        <v>130</v>
      </c>
    </row>
    <row r="1107" spans="1:10" hidden="1">
      <c r="A1107" s="4">
        <v>2.0210658221000499E+17</v>
      </c>
      <c r="B1107" s="4">
        <v>5198600380</v>
      </c>
      <c r="C1107" s="4" t="s">
        <v>12324</v>
      </c>
      <c r="D1107" s="4">
        <v>58221</v>
      </c>
      <c r="E1107" s="4">
        <v>20210621</v>
      </c>
      <c r="F1107" s="4">
        <v>20210621</v>
      </c>
      <c r="G1107" s="4">
        <v>20230218</v>
      </c>
      <c r="H1107" s="4" t="s">
        <v>12323</v>
      </c>
      <c r="I1107" s="4" t="s">
        <v>4215</v>
      </c>
      <c r="J1107" s="4" t="s">
        <v>228</v>
      </c>
    </row>
    <row r="1108" spans="1:10" hidden="1">
      <c r="A1108" s="4">
        <v>2.0210627212000499E+17</v>
      </c>
      <c r="B1108" s="4">
        <v>4988601909</v>
      </c>
      <c r="C1108" s="4" t="s">
        <v>12220</v>
      </c>
      <c r="D1108" s="4">
        <v>27212</v>
      </c>
      <c r="E1108" s="4">
        <v>20210618</v>
      </c>
      <c r="F1108" s="4">
        <v>20210618</v>
      </c>
      <c r="G1108" s="4">
        <v>20240618</v>
      </c>
      <c r="H1108" s="4" t="s">
        <v>1661</v>
      </c>
      <c r="I1108" s="4" t="s">
        <v>12219</v>
      </c>
      <c r="J1108" s="4" t="s">
        <v>200</v>
      </c>
    </row>
    <row r="1109" spans="1:10" hidden="1">
      <c r="A1109" s="4">
        <v>2.0210627192000499E+17</v>
      </c>
      <c r="B1109" s="4">
        <v>4948101334</v>
      </c>
      <c r="C1109" s="4" t="s">
        <v>12218</v>
      </c>
      <c r="D1109" s="4">
        <v>27192</v>
      </c>
      <c r="E1109" s="4">
        <v>20210618</v>
      </c>
      <c r="F1109" s="4">
        <v>20210618</v>
      </c>
      <c r="G1109" s="4">
        <v>20240618</v>
      </c>
      <c r="H1109" s="4" t="s">
        <v>6353</v>
      </c>
      <c r="I1109" s="4" t="s">
        <v>2482</v>
      </c>
      <c r="J1109" s="4" t="s">
        <v>1033</v>
      </c>
    </row>
    <row r="1110" spans="1:10" hidden="1">
      <c r="A1110" s="4">
        <v>2.0210629280000499E+17</v>
      </c>
      <c r="B1110" s="4">
        <v>5908800665</v>
      </c>
      <c r="C1110" s="4" t="s">
        <v>12217</v>
      </c>
      <c r="D1110" s="4">
        <v>29280</v>
      </c>
      <c r="E1110" s="4">
        <v>20210618</v>
      </c>
      <c r="F1110" s="4">
        <v>20210618</v>
      </c>
      <c r="G1110" s="4">
        <v>20240607</v>
      </c>
      <c r="H1110" s="4" t="s">
        <v>1578</v>
      </c>
      <c r="I1110" s="4" t="s">
        <v>12216</v>
      </c>
      <c r="J1110" s="4" t="s">
        <v>533</v>
      </c>
    </row>
    <row r="1111" spans="1:10" hidden="1">
      <c r="A1111" s="4">
        <v>2.0210675121000499E+17</v>
      </c>
      <c r="B1111" s="4">
        <v>2848700690</v>
      </c>
      <c r="C1111" s="4" t="s">
        <v>12215</v>
      </c>
      <c r="D1111" s="4">
        <v>75121</v>
      </c>
      <c r="E1111" s="4">
        <v>20210618</v>
      </c>
      <c r="F1111" s="4">
        <v>20210618</v>
      </c>
      <c r="G1111" s="4">
        <v>20240524</v>
      </c>
      <c r="H1111" s="4" t="s">
        <v>12214</v>
      </c>
      <c r="I1111" s="4" t="s">
        <v>12213</v>
      </c>
      <c r="J1111" s="4" t="s">
        <v>2152</v>
      </c>
    </row>
    <row r="1112" spans="1:10" hidden="1">
      <c r="A1112" s="4">
        <v>2.0210629174000499E+17</v>
      </c>
      <c r="B1112" s="4">
        <v>8648600825</v>
      </c>
      <c r="C1112" s="4" t="s">
        <v>12212</v>
      </c>
      <c r="D1112" s="4">
        <v>29174</v>
      </c>
      <c r="E1112" s="4">
        <v>20210618</v>
      </c>
      <c r="F1112" s="4">
        <v>20210618</v>
      </c>
      <c r="G1112" s="4">
        <v>20240618</v>
      </c>
      <c r="H1112" s="4" t="s">
        <v>12211</v>
      </c>
      <c r="J1112" s="4" t="s">
        <v>877</v>
      </c>
    </row>
    <row r="1113" spans="1:10" hidden="1">
      <c r="A1113" s="4">
        <v>2.0210622222000499E+17</v>
      </c>
      <c r="B1113" s="4">
        <v>2798801812</v>
      </c>
      <c r="C1113" s="4" t="s">
        <v>12210</v>
      </c>
      <c r="D1113" s="4">
        <v>22222</v>
      </c>
      <c r="E1113" s="4">
        <v>20210618</v>
      </c>
      <c r="F1113" s="4">
        <v>20210618</v>
      </c>
      <c r="G1113" s="4">
        <v>20240618</v>
      </c>
      <c r="H1113" s="4" t="s">
        <v>3554</v>
      </c>
      <c r="I1113" s="4" t="s">
        <v>12209</v>
      </c>
      <c r="J1113" s="4" t="s">
        <v>5939</v>
      </c>
    </row>
    <row r="1114" spans="1:10" hidden="1">
      <c r="A1114" s="4">
        <v>2.0210672129000499E+17</v>
      </c>
      <c r="B1114" s="4">
        <v>8808601622</v>
      </c>
      <c r="C1114" s="4" t="s">
        <v>12208</v>
      </c>
      <c r="D1114" s="4">
        <v>72129</v>
      </c>
      <c r="E1114" s="4">
        <v>20210618</v>
      </c>
      <c r="F1114" s="4">
        <v>20210618</v>
      </c>
      <c r="G1114" s="4">
        <v>20240618</v>
      </c>
      <c r="H1114" s="4" t="s">
        <v>12207</v>
      </c>
      <c r="I1114" s="4" t="s">
        <v>938</v>
      </c>
      <c r="J1114" s="4" t="s">
        <v>1679</v>
      </c>
    </row>
    <row r="1115" spans="1:10" hidden="1">
      <c r="A1115" s="4">
        <v>2.0210629271000499E+17</v>
      </c>
      <c r="B1115" s="4">
        <v>3298801908</v>
      </c>
      <c r="C1115" s="4" t="s">
        <v>12206</v>
      </c>
      <c r="D1115" s="4">
        <v>29271</v>
      </c>
      <c r="E1115" s="4">
        <v>20210618</v>
      </c>
      <c r="F1115" s="4">
        <v>20210618</v>
      </c>
      <c r="G1115" s="4">
        <v>20240618</v>
      </c>
      <c r="H1115" s="4" t="s">
        <v>3802</v>
      </c>
      <c r="I1115" s="4" t="s">
        <v>12205</v>
      </c>
      <c r="J1115" s="4" t="s">
        <v>285</v>
      </c>
    </row>
    <row r="1116" spans="1:10" hidden="1">
      <c r="A1116" s="4">
        <v>2.0210658222000499E+17</v>
      </c>
      <c r="B1116" s="4">
        <v>4168701054</v>
      </c>
      <c r="C1116" s="4" t="s">
        <v>12204</v>
      </c>
      <c r="D1116" s="4">
        <v>58222</v>
      </c>
      <c r="E1116" s="4">
        <v>20210618</v>
      </c>
      <c r="F1116" s="4">
        <v>20210618</v>
      </c>
      <c r="G1116" s="4">
        <v>20240618</v>
      </c>
      <c r="H1116" s="4" t="s">
        <v>12203</v>
      </c>
      <c r="I1116" s="4" t="s">
        <v>12202</v>
      </c>
      <c r="J1116" s="4" t="s">
        <v>94</v>
      </c>
    </row>
    <row r="1117" spans="1:10" hidden="1">
      <c r="A1117" s="4">
        <v>2.0210625111000499E+17</v>
      </c>
      <c r="B1117" s="4">
        <v>4728800713</v>
      </c>
      <c r="C1117" s="4" t="s">
        <v>12201</v>
      </c>
      <c r="D1117" s="4">
        <v>25111</v>
      </c>
      <c r="E1117" s="4">
        <v>20210618</v>
      </c>
      <c r="F1117" s="4">
        <v>20210618</v>
      </c>
      <c r="G1117" s="4">
        <v>20240618</v>
      </c>
      <c r="H1117" s="4" t="s">
        <v>12200</v>
      </c>
      <c r="J1117" s="4" t="s">
        <v>82</v>
      </c>
    </row>
    <row r="1118" spans="1:10" hidden="1">
      <c r="A1118" s="4">
        <v>2.0210658222000499E+17</v>
      </c>
      <c r="B1118" s="4">
        <v>5143766128</v>
      </c>
      <c r="C1118" s="4" t="s">
        <v>12199</v>
      </c>
      <c r="D1118" s="4">
        <v>58222</v>
      </c>
      <c r="E1118" s="4">
        <v>20210618</v>
      </c>
      <c r="F1118" s="4">
        <v>20210618</v>
      </c>
      <c r="G1118" s="4">
        <v>20240618</v>
      </c>
      <c r="H1118" s="4" t="s">
        <v>10088</v>
      </c>
      <c r="I1118" s="4" t="s">
        <v>3036</v>
      </c>
      <c r="J1118" s="4" t="s">
        <v>94</v>
      </c>
    </row>
    <row r="1119" spans="1:10" hidden="1">
      <c r="A1119" s="4">
        <v>2.0210641226000499E+17</v>
      </c>
      <c r="B1119" s="4">
        <v>5532900956</v>
      </c>
      <c r="C1119" s="4" t="s">
        <v>12198</v>
      </c>
      <c r="D1119" s="4">
        <v>41226</v>
      </c>
      <c r="E1119" s="4">
        <v>20210618</v>
      </c>
      <c r="F1119" s="4">
        <v>20210618</v>
      </c>
      <c r="G1119" s="4">
        <v>20240618</v>
      </c>
      <c r="H1119" s="4" t="s">
        <v>8558</v>
      </c>
      <c r="I1119" s="4" t="s">
        <v>12197</v>
      </c>
      <c r="J1119" s="4" t="s">
        <v>1063</v>
      </c>
    </row>
    <row r="1120" spans="1:10" hidden="1">
      <c r="A1120" s="4">
        <v>2.0210615220000499E+17</v>
      </c>
      <c r="B1120" s="4">
        <v>6610301805</v>
      </c>
      <c r="C1120" s="4" t="s">
        <v>12196</v>
      </c>
      <c r="D1120" s="4">
        <v>15220</v>
      </c>
      <c r="E1120" s="4">
        <v>20210618</v>
      </c>
      <c r="F1120" s="4">
        <v>20210618</v>
      </c>
      <c r="G1120" s="4">
        <v>20240618</v>
      </c>
      <c r="H1120" s="4" t="s">
        <v>5178</v>
      </c>
      <c r="I1120" s="4" t="s">
        <v>12195</v>
      </c>
      <c r="J1120" s="4" t="s">
        <v>523</v>
      </c>
    </row>
    <row r="1121" spans="1:10" hidden="1">
      <c r="A1121" s="4">
        <v>2.0210642321000499E+17</v>
      </c>
      <c r="B1121" s="4">
        <v>6612200807</v>
      </c>
      <c r="C1121" s="4" t="s">
        <v>12272</v>
      </c>
      <c r="D1121" s="4">
        <v>42321</v>
      </c>
      <c r="E1121" s="4">
        <v>20210621</v>
      </c>
      <c r="F1121" s="4">
        <v>20210621</v>
      </c>
      <c r="G1121" s="4">
        <v>20240621</v>
      </c>
      <c r="H1121" s="4" t="s">
        <v>12271</v>
      </c>
      <c r="I1121" s="4" t="s">
        <v>12270</v>
      </c>
      <c r="J1121" s="4" t="s">
        <v>698</v>
      </c>
    </row>
    <row r="1122" spans="1:10" hidden="1">
      <c r="A1122" s="4">
        <v>2.0210613229000499E+17</v>
      </c>
      <c r="B1122" s="4">
        <v>2840101680</v>
      </c>
      <c r="C1122" s="4" t="s">
        <v>12192</v>
      </c>
      <c r="D1122" s="4">
        <v>13229</v>
      </c>
      <c r="E1122" s="4">
        <v>20210618</v>
      </c>
      <c r="F1122" s="4">
        <v>20210618</v>
      </c>
      <c r="G1122" s="4">
        <v>20240618</v>
      </c>
      <c r="H1122" s="4" t="s">
        <v>12191</v>
      </c>
      <c r="I1122" s="4" t="s">
        <v>12190</v>
      </c>
      <c r="J1122" s="4" t="s">
        <v>115</v>
      </c>
    </row>
    <row r="1123" spans="1:10" hidden="1">
      <c r="A1123" s="4">
        <v>2.0210663991000499E+17</v>
      </c>
      <c r="B1123" s="4">
        <v>5738601025</v>
      </c>
      <c r="C1123" s="4" t="s">
        <v>12189</v>
      </c>
      <c r="D1123" s="4">
        <v>63991</v>
      </c>
      <c r="E1123" s="4">
        <v>20210618</v>
      </c>
      <c r="F1123" s="4">
        <v>20210618</v>
      </c>
      <c r="G1123" s="4">
        <v>20240618</v>
      </c>
      <c r="H1123" s="4" t="s">
        <v>12188</v>
      </c>
      <c r="I1123" s="4" t="s">
        <v>185</v>
      </c>
      <c r="J1123" s="4" t="s">
        <v>395</v>
      </c>
    </row>
    <row r="1124" spans="1:10" hidden="1">
      <c r="A1124" s="4">
        <v>2.0210663111000499E+17</v>
      </c>
      <c r="B1124" s="4">
        <v>4548101883</v>
      </c>
      <c r="C1124" s="4" t="s">
        <v>12187</v>
      </c>
      <c r="D1124" s="4">
        <v>63111</v>
      </c>
      <c r="E1124" s="4">
        <v>20210618</v>
      </c>
      <c r="F1124" s="4">
        <v>20210618</v>
      </c>
      <c r="G1124" s="4">
        <v>20240618</v>
      </c>
      <c r="H1124" s="4" t="s">
        <v>12186</v>
      </c>
      <c r="I1124" s="4" t="s">
        <v>1553</v>
      </c>
      <c r="J1124" s="4" t="s">
        <v>915</v>
      </c>
    </row>
    <row r="1125" spans="1:10" hidden="1">
      <c r="A1125" s="4">
        <v>2.0210658222000499E+17</v>
      </c>
      <c r="B1125" s="4">
        <v>3248700848</v>
      </c>
      <c r="C1125" s="4" t="s">
        <v>12185</v>
      </c>
      <c r="D1125" s="4">
        <v>58222</v>
      </c>
      <c r="E1125" s="4">
        <v>20210618</v>
      </c>
      <c r="F1125" s="4">
        <v>20210618</v>
      </c>
      <c r="G1125" s="4">
        <v>20240328</v>
      </c>
      <c r="H1125" s="4" t="s">
        <v>366</v>
      </c>
      <c r="I1125" s="4" t="s">
        <v>12184</v>
      </c>
      <c r="J1125" s="4" t="s">
        <v>94</v>
      </c>
    </row>
    <row r="1126" spans="1:10" hidden="1">
      <c r="A1126" s="4">
        <v>2.0210663120000499E+17</v>
      </c>
      <c r="B1126" s="4">
        <v>7118101807</v>
      </c>
      <c r="C1126" s="4" t="s">
        <v>12183</v>
      </c>
      <c r="D1126" s="4">
        <v>63120</v>
      </c>
      <c r="E1126" s="4">
        <v>20210618</v>
      </c>
      <c r="F1126" s="4">
        <v>20210618</v>
      </c>
      <c r="G1126" s="4">
        <v>20240618</v>
      </c>
      <c r="H1126" s="4" t="s">
        <v>3263</v>
      </c>
      <c r="I1126" s="4" t="s">
        <v>12182</v>
      </c>
      <c r="J1126" s="4" t="s">
        <v>632</v>
      </c>
    </row>
    <row r="1127" spans="1:10" hidden="1">
      <c r="A1127" s="4">
        <v>2.0210659111000499E+17</v>
      </c>
      <c r="B1127" s="4">
        <v>6376200377</v>
      </c>
      <c r="C1127" s="4" t="s">
        <v>12181</v>
      </c>
      <c r="D1127" s="4">
        <v>59111</v>
      </c>
      <c r="E1127" s="4">
        <v>20210618</v>
      </c>
      <c r="F1127" s="4">
        <v>20210618</v>
      </c>
      <c r="G1127" s="4">
        <v>20240618</v>
      </c>
      <c r="H1127" s="4" t="s">
        <v>12180</v>
      </c>
      <c r="I1127" s="4" t="s">
        <v>12179</v>
      </c>
      <c r="J1127" s="4" t="s">
        <v>1857</v>
      </c>
    </row>
    <row r="1128" spans="1:10" hidden="1">
      <c r="A1128" s="4">
        <v>2.0210659113000499E+17</v>
      </c>
      <c r="B1128" s="4">
        <v>4750900342</v>
      </c>
      <c r="C1128" s="4" t="s">
        <v>12178</v>
      </c>
      <c r="D1128" s="4">
        <v>59113</v>
      </c>
      <c r="E1128" s="4">
        <v>20210618</v>
      </c>
      <c r="F1128" s="4">
        <v>20210618</v>
      </c>
      <c r="G1128" s="4">
        <v>20230803</v>
      </c>
      <c r="H1128" s="4" t="s">
        <v>12177</v>
      </c>
      <c r="I1128" s="4" t="s">
        <v>149</v>
      </c>
      <c r="J1128" s="4" t="s">
        <v>3651</v>
      </c>
    </row>
    <row r="1129" spans="1:10" hidden="1">
      <c r="A1129" s="4">
        <v>2.0210631201000499E+17</v>
      </c>
      <c r="B1129" s="4">
        <v>5668100829</v>
      </c>
      <c r="C1129" s="4" t="s">
        <v>12176</v>
      </c>
      <c r="D1129" s="4">
        <v>31201</v>
      </c>
      <c r="E1129" s="4">
        <v>20210618</v>
      </c>
      <c r="F1129" s="4">
        <v>20210618</v>
      </c>
      <c r="G1129" s="4">
        <v>20240618</v>
      </c>
      <c r="H1129" s="4" t="s">
        <v>2267</v>
      </c>
      <c r="J1129" s="4" t="s">
        <v>2914</v>
      </c>
    </row>
    <row r="1130" spans="1:10" hidden="1">
      <c r="A1130" s="4">
        <v>2.0210662010000499E+17</v>
      </c>
      <c r="B1130" s="4">
        <v>6518100388</v>
      </c>
      <c r="C1130" s="4" t="s">
        <v>12175</v>
      </c>
      <c r="D1130" s="4">
        <v>62010</v>
      </c>
      <c r="E1130" s="4">
        <v>20210618</v>
      </c>
      <c r="F1130" s="4">
        <v>20210618</v>
      </c>
      <c r="G1130" s="4">
        <v>20230509</v>
      </c>
      <c r="H1130" s="4" t="s">
        <v>12174</v>
      </c>
      <c r="I1130" s="4" t="s">
        <v>1156</v>
      </c>
      <c r="J1130" s="4" t="s">
        <v>118</v>
      </c>
    </row>
    <row r="1131" spans="1:10" hidden="1">
      <c r="A1131" s="4">
        <v>2.0210633999000499E+17</v>
      </c>
      <c r="B1131" s="4">
        <v>5452800623</v>
      </c>
      <c r="C1131" s="4" t="s">
        <v>12173</v>
      </c>
      <c r="D1131" s="4">
        <v>33999</v>
      </c>
      <c r="E1131" s="4">
        <v>20210618</v>
      </c>
      <c r="F1131" s="4">
        <v>20210618</v>
      </c>
      <c r="G1131" s="4">
        <v>20240618</v>
      </c>
      <c r="H1131" s="4" t="s">
        <v>12172</v>
      </c>
      <c r="I1131" s="4" t="s">
        <v>12171</v>
      </c>
      <c r="J1131" s="4" t="s">
        <v>780</v>
      </c>
    </row>
    <row r="1132" spans="1:10" hidden="1">
      <c r="A1132" s="4">
        <v>2.0210646521000499E+17</v>
      </c>
      <c r="B1132" s="4">
        <v>8174600430</v>
      </c>
      <c r="C1132" s="4" t="s">
        <v>12170</v>
      </c>
      <c r="D1132" s="4">
        <v>46521</v>
      </c>
      <c r="E1132" s="4">
        <v>20210618</v>
      </c>
      <c r="F1132" s="4">
        <v>20210618</v>
      </c>
      <c r="G1132" s="4">
        <v>20240618</v>
      </c>
      <c r="H1132" s="4" t="s">
        <v>12169</v>
      </c>
      <c r="I1132" s="4" t="s">
        <v>12168</v>
      </c>
      <c r="J1132" s="4" t="s">
        <v>6178</v>
      </c>
    </row>
    <row r="1133" spans="1:10" hidden="1">
      <c r="A1133" s="4">
        <v>2.0210625130000499E+17</v>
      </c>
      <c r="B1133" s="4">
        <v>8358801344</v>
      </c>
      <c r="C1133" s="4" t="s">
        <v>12167</v>
      </c>
      <c r="D1133" s="4">
        <v>25130</v>
      </c>
      <c r="E1133" s="4">
        <v>20210618</v>
      </c>
      <c r="F1133" s="4">
        <v>20210618</v>
      </c>
      <c r="G1133" s="4">
        <v>20240618</v>
      </c>
      <c r="H1133" s="4" t="s">
        <v>12166</v>
      </c>
      <c r="I1133" s="4" t="s">
        <v>91</v>
      </c>
      <c r="J1133" s="4" t="s">
        <v>7052</v>
      </c>
    </row>
    <row r="1134" spans="1:10" hidden="1">
      <c r="A1134" s="4">
        <v>2.0210672121000499E+17</v>
      </c>
      <c r="B1134" s="4">
        <v>1428185729</v>
      </c>
      <c r="C1134" s="4" t="s">
        <v>12165</v>
      </c>
      <c r="D1134" s="4">
        <v>72121</v>
      </c>
      <c r="E1134" s="4">
        <v>20210618</v>
      </c>
      <c r="F1134" s="4">
        <v>20210618</v>
      </c>
      <c r="G1134" s="4">
        <v>20240618</v>
      </c>
      <c r="H1134" s="4" t="s">
        <v>12164</v>
      </c>
      <c r="I1134" s="4" t="s">
        <v>12163</v>
      </c>
      <c r="J1134" s="4" t="s">
        <v>2243</v>
      </c>
    </row>
    <row r="1135" spans="1:10" hidden="1">
      <c r="A1135" s="4">
        <v>2.0210631202000499E+17</v>
      </c>
      <c r="B1135" s="4">
        <v>7898701267</v>
      </c>
      <c r="C1135" s="4" t="s">
        <v>12162</v>
      </c>
      <c r="D1135" s="4">
        <v>31202</v>
      </c>
      <c r="E1135" s="4">
        <v>20210618</v>
      </c>
      <c r="F1135" s="4">
        <v>20210618</v>
      </c>
      <c r="G1135" s="4">
        <v>20240618</v>
      </c>
      <c r="H1135" s="4" t="s">
        <v>12161</v>
      </c>
      <c r="J1135" s="4" t="s">
        <v>11863</v>
      </c>
    </row>
    <row r="1136" spans="1:10" hidden="1">
      <c r="A1136" s="4">
        <v>2.0210646599000499E+17</v>
      </c>
      <c r="B1136" s="4">
        <v>5121701117</v>
      </c>
      <c r="C1136" s="4" t="s">
        <v>12160</v>
      </c>
      <c r="D1136" s="4">
        <v>46599</v>
      </c>
      <c r="E1136" s="4">
        <v>20210618</v>
      </c>
      <c r="F1136" s="4">
        <v>20210618</v>
      </c>
      <c r="G1136" s="4">
        <v>20240618</v>
      </c>
      <c r="H1136" s="4" t="s">
        <v>6476</v>
      </c>
      <c r="I1136" s="4" t="s">
        <v>12159</v>
      </c>
      <c r="J1136" s="4" t="s">
        <v>2310</v>
      </c>
    </row>
    <row r="1137" spans="1:10" hidden="1">
      <c r="A1137" s="4">
        <v>2.0210646800000499E+17</v>
      </c>
      <c r="B1137" s="4">
        <v>8504000191</v>
      </c>
      <c r="C1137" s="4" t="s">
        <v>12158</v>
      </c>
      <c r="D1137" s="4">
        <v>46800</v>
      </c>
      <c r="E1137" s="4">
        <v>20210618</v>
      </c>
      <c r="F1137" s="4">
        <v>20210618</v>
      </c>
      <c r="G1137" s="4">
        <v>20231122</v>
      </c>
      <c r="H1137" s="4" t="s">
        <v>12157</v>
      </c>
      <c r="I1137" s="4" t="s">
        <v>12156</v>
      </c>
      <c r="J1137" s="4" t="s">
        <v>979</v>
      </c>
    </row>
    <row r="1138" spans="1:10" hidden="1">
      <c r="A1138" s="4">
        <v>2.0210646800000499E+17</v>
      </c>
      <c r="B1138" s="4">
        <v>5241501760</v>
      </c>
      <c r="C1138" s="4" t="s">
        <v>12155</v>
      </c>
      <c r="D1138" s="4">
        <v>46800</v>
      </c>
      <c r="E1138" s="4">
        <v>20210618</v>
      </c>
      <c r="F1138" s="4">
        <v>20210618</v>
      </c>
      <c r="G1138" s="4">
        <v>20240618</v>
      </c>
      <c r="H1138" s="4" t="s">
        <v>12154</v>
      </c>
      <c r="J1138" s="4" t="s">
        <v>979</v>
      </c>
    </row>
    <row r="1139" spans="1:10" hidden="1">
      <c r="A1139" s="4">
        <v>2.0210646452000499E+17</v>
      </c>
      <c r="B1139" s="4">
        <v>2521000916</v>
      </c>
      <c r="C1139" s="4" t="s">
        <v>12153</v>
      </c>
      <c r="D1139" s="4">
        <v>46452</v>
      </c>
      <c r="E1139" s="4">
        <v>20210618</v>
      </c>
      <c r="F1139" s="4">
        <v>20210618</v>
      </c>
      <c r="G1139" s="4">
        <v>20240618</v>
      </c>
      <c r="H1139" s="4" t="s">
        <v>12152</v>
      </c>
      <c r="I1139" s="4" t="s">
        <v>12151</v>
      </c>
      <c r="J1139" s="4" t="s">
        <v>516</v>
      </c>
    </row>
    <row r="1140" spans="1:10" hidden="1">
      <c r="A1140" s="4">
        <v>2.0210625999000499E+17</v>
      </c>
      <c r="B1140" s="4">
        <v>8538100927</v>
      </c>
      <c r="C1140" s="4" t="s">
        <v>12149</v>
      </c>
      <c r="D1140" s="4">
        <v>25999</v>
      </c>
      <c r="E1140" s="4">
        <v>20210618</v>
      </c>
      <c r="F1140" s="4">
        <v>20210618</v>
      </c>
      <c r="G1140" s="4">
        <v>20240618</v>
      </c>
      <c r="H1140" s="4" t="s">
        <v>12150</v>
      </c>
      <c r="I1140" s="4" t="s">
        <v>12149</v>
      </c>
      <c r="J1140" s="4" t="s">
        <v>301</v>
      </c>
    </row>
    <row r="1141" spans="1:10" hidden="1">
      <c r="A1141" s="4">
        <v>2.0210674211000499E+17</v>
      </c>
      <c r="B1141" s="4">
        <v>4470201842</v>
      </c>
      <c r="C1141" s="4" t="s">
        <v>12264</v>
      </c>
      <c r="D1141" s="4">
        <v>74211</v>
      </c>
      <c r="E1141" s="4">
        <v>20210621</v>
      </c>
      <c r="F1141" s="4">
        <v>20210621</v>
      </c>
      <c r="G1141" s="4">
        <v>20240621</v>
      </c>
      <c r="H1141" s="4" t="s">
        <v>12263</v>
      </c>
      <c r="I1141" s="4" t="s">
        <v>149</v>
      </c>
      <c r="J1141" s="4" t="s">
        <v>5576</v>
      </c>
    </row>
    <row r="1142" spans="1:10" hidden="1">
      <c r="A1142" s="4">
        <v>2.0210646510000499E+17</v>
      </c>
      <c r="B1142" s="4">
        <v>3141899483</v>
      </c>
      <c r="C1142" s="4" t="s">
        <v>12146</v>
      </c>
      <c r="D1142" s="4">
        <v>46510</v>
      </c>
      <c r="E1142" s="4">
        <v>20210618</v>
      </c>
      <c r="F1142" s="4">
        <v>20210618</v>
      </c>
      <c r="G1142" s="4">
        <v>20211118</v>
      </c>
      <c r="H1142" s="4" t="s">
        <v>3245</v>
      </c>
      <c r="J1142" s="4" t="s">
        <v>126</v>
      </c>
    </row>
    <row r="1143" spans="1:10" hidden="1">
      <c r="A1143" s="4">
        <v>2.0210674211000499E+17</v>
      </c>
      <c r="B1143" s="4">
        <v>7323800643</v>
      </c>
      <c r="C1143" s="4" t="s">
        <v>12145</v>
      </c>
      <c r="D1143" s="4">
        <v>74211</v>
      </c>
      <c r="E1143" s="4">
        <v>20210618</v>
      </c>
      <c r="F1143" s="4">
        <v>20210618</v>
      </c>
      <c r="G1143" s="4">
        <v>20240618</v>
      </c>
      <c r="H1143" s="4" t="s">
        <v>12144</v>
      </c>
      <c r="I1143" s="4" t="s">
        <v>149</v>
      </c>
      <c r="J1143" s="4" t="s">
        <v>5576</v>
      </c>
    </row>
    <row r="1144" spans="1:10" hidden="1">
      <c r="A1144" s="4">
        <v>2.0210645110000499E+17</v>
      </c>
      <c r="B1144" s="4">
        <v>8853300753</v>
      </c>
      <c r="C1144" s="4" t="s">
        <v>12143</v>
      </c>
      <c r="D1144" s="4">
        <v>45110</v>
      </c>
      <c r="E1144" s="4">
        <v>20210618</v>
      </c>
      <c r="F1144" s="4">
        <v>20210618</v>
      </c>
      <c r="G1144" s="4">
        <v>20240618</v>
      </c>
      <c r="H1144" s="4" t="s">
        <v>12142</v>
      </c>
      <c r="J1144" s="4" t="s">
        <v>12141</v>
      </c>
    </row>
    <row r="1145" spans="1:10" hidden="1">
      <c r="A1145" s="4">
        <v>2.0210663999000499E+17</v>
      </c>
      <c r="B1145" s="4">
        <v>4478602031</v>
      </c>
      <c r="C1145" s="4" t="s">
        <v>12140</v>
      </c>
      <c r="D1145" s="4">
        <v>63999</v>
      </c>
      <c r="E1145" s="4">
        <v>20210618</v>
      </c>
      <c r="F1145" s="4">
        <v>20210618</v>
      </c>
      <c r="G1145" s="4">
        <v>20240618</v>
      </c>
      <c r="H1145" s="4" t="s">
        <v>7447</v>
      </c>
      <c r="J1145" s="4" t="s">
        <v>643</v>
      </c>
    </row>
    <row r="1146" spans="1:10" hidden="1">
      <c r="A1146" s="4">
        <v>2.0210646799000499E+17</v>
      </c>
      <c r="B1146" s="4">
        <v>7918601865</v>
      </c>
      <c r="C1146" s="4" t="s">
        <v>12139</v>
      </c>
      <c r="D1146" s="4">
        <v>46799</v>
      </c>
      <c r="E1146" s="4">
        <v>20210618</v>
      </c>
      <c r="F1146" s="4">
        <v>20210618</v>
      </c>
      <c r="G1146" s="4">
        <v>20240618</v>
      </c>
      <c r="H1146" s="4" t="s">
        <v>1661</v>
      </c>
      <c r="J1146" s="4" t="s">
        <v>2181</v>
      </c>
    </row>
    <row r="1147" spans="1:10" hidden="1">
      <c r="A1147" s="4">
        <v>2.0210671531000499E+17</v>
      </c>
      <c r="B1147" s="4">
        <v>6828601896</v>
      </c>
      <c r="C1147" s="4" t="s">
        <v>12138</v>
      </c>
      <c r="D1147" s="4">
        <v>71531</v>
      </c>
      <c r="E1147" s="4">
        <v>20210618</v>
      </c>
      <c r="F1147" s="4">
        <v>20210618</v>
      </c>
      <c r="G1147" s="4">
        <v>20240618</v>
      </c>
      <c r="H1147" s="4" t="s">
        <v>12137</v>
      </c>
      <c r="I1147" s="4" t="s">
        <v>3442</v>
      </c>
      <c r="J1147" s="4" t="s">
        <v>87</v>
      </c>
    </row>
    <row r="1148" spans="1:10" hidden="1">
      <c r="A1148" s="4">
        <v>2.0210674100000499E+17</v>
      </c>
      <c r="B1148" s="4">
        <v>3868700337</v>
      </c>
      <c r="C1148" s="4" t="s">
        <v>12136</v>
      </c>
      <c r="D1148" s="4">
        <v>74100</v>
      </c>
      <c r="E1148" s="4">
        <v>20210618</v>
      </c>
      <c r="F1148" s="4">
        <v>20210618</v>
      </c>
      <c r="G1148" s="4">
        <v>20230119</v>
      </c>
      <c r="H1148" s="4" t="s">
        <v>12135</v>
      </c>
      <c r="J1148" s="4" t="s">
        <v>2207</v>
      </c>
    </row>
    <row r="1149" spans="1:10" hidden="1">
      <c r="A1149" s="4">
        <v>2.0210659120000499E+17</v>
      </c>
      <c r="B1149" s="4">
        <v>8048100610</v>
      </c>
      <c r="C1149" s="4" t="s">
        <v>12134</v>
      </c>
      <c r="D1149" s="4">
        <v>59120</v>
      </c>
      <c r="E1149" s="4">
        <v>20210618</v>
      </c>
      <c r="F1149" s="4">
        <v>20210618</v>
      </c>
      <c r="G1149" s="4">
        <v>20240308</v>
      </c>
      <c r="H1149" s="4" t="s">
        <v>12133</v>
      </c>
      <c r="I1149" s="4" t="s">
        <v>12132</v>
      </c>
      <c r="J1149" s="4" t="s">
        <v>2961</v>
      </c>
    </row>
    <row r="1150" spans="1:10" hidden="1">
      <c r="A1150" s="4">
        <v>2.0210663991000499E+17</v>
      </c>
      <c r="B1150" s="4">
        <v>2888701240</v>
      </c>
      <c r="C1150" s="4" t="s">
        <v>12131</v>
      </c>
      <c r="D1150" s="4">
        <v>63991</v>
      </c>
      <c r="E1150" s="4">
        <v>20210618</v>
      </c>
      <c r="F1150" s="4">
        <v>20210618</v>
      </c>
      <c r="G1150" s="4">
        <v>20240618</v>
      </c>
      <c r="H1150" s="4" t="s">
        <v>3627</v>
      </c>
      <c r="I1150" s="4" t="s">
        <v>12130</v>
      </c>
      <c r="J1150" s="4" t="s">
        <v>395</v>
      </c>
    </row>
    <row r="1151" spans="1:10" hidden="1">
      <c r="A1151" s="4">
        <v>2.0210671531000499E+17</v>
      </c>
      <c r="B1151" s="4">
        <v>4148801225</v>
      </c>
      <c r="C1151" s="4" t="s">
        <v>12129</v>
      </c>
      <c r="D1151" s="4">
        <v>71531</v>
      </c>
      <c r="E1151" s="4">
        <v>20210618</v>
      </c>
      <c r="F1151" s="4">
        <v>20210618</v>
      </c>
      <c r="G1151" s="4">
        <v>20240618</v>
      </c>
      <c r="H1151" s="4" t="s">
        <v>12128</v>
      </c>
      <c r="I1151" s="4" t="s">
        <v>91</v>
      </c>
      <c r="J1151" s="4" t="s">
        <v>87</v>
      </c>
    </row>
    <row r="1152" spans="1:10" hidden="1">
      <c r="A1152" s="4">
        <v>2.0210629175000499E+17</v>
      </c>
      <c r="B1152" s="4">
        <v>5258701265</v>
      </c>
      <c r="C1152" s="4" t="s">
        <v>12127</v>
      </c>
      <c r="D1152" s="4">
        <v>29175</v>
      </c>
      <c r="E1152" s="4">
        <v>20210618</v>
      </c>
      <c r="F1152" s="4">
        <v>20210618</v>
      </c>
      <c r="G1152" s="4">
        <v>20240618</v>
      </c>
      <c r="H1152" s="4" t="s">
        <v>12126</v>
      </c>
      <c r="I1152" s="4" t="s">
        <v>12125</v>
      </c>
      <c r="J1152" s="4" t="s">
        <v>232</v>
      </c>
    </row>
    <row r="1153" spans="1:10" hidden="1">
      <c r="A1153" s="4">
        <v>2.0210658222000499E+17</v>
      </c>
      <c r="B1153" s="4">
        <v>1468701058</v>
      </c>
      <c r="C1153" s="4" t="s">
        <v>12124</v>
      </c>
      <c r="D1153" s="4">
        <v>58222</v>
      </c>
      <c r="E1153" s="4">
        <v>20210618</v>
      </c>
      <c r="F1153" s="4">
        <v>20210618</v>
      </c>
      <c r="G1153" s="4">
        <v>20240618</v>
      </c>
      <c r="H1153" s="4" t="s">
        <v>318</v>
      </c>
      <c r="I1153" s="4" t="s">
        <v>1156</v>
      </c>
      <c r="J1153" s="4" t="s">
        <v>94</v>
      </c>
    </row>
    <row r="1154" spans="1:10" hidden="1">
      <c r="A1154" s="4">
        <v>2.0210658222000499E+17</v>
      </c>
      <c r="B1154" s="4">
        <v>1828701919</v>
      </c>
      <c r="C1154" s="4" t="s">
        <v>12123</v>
      </c>
      <c r="D1154" s="4">
        <v>58222</v>
      </c>
      <c r="E1154" s="4">
        <v>20210618</v>
      </c>
      <c r="F1154" s="4">
        <v>20210618</v>
      </c>
      <c r="G1154" s="4">
        <v>20240618</v>
      </c>
      <c r="H1154" s="4" t="s">
        <v>10857</v>
      </c>
      <c r="I1154" s="4" t="s">
        <v>7422</v>
      </c>
      <c r="J1154" s="4" t="s">
        <v>94</v>
      </c>
    </row>
    <row r="1155" spans="1:10" hidden="1">
      <c r="A1155" s="4">
        <v>2.0210658222000499E+17</v>
      </c>
      <c r="B1155" s="4">
        <v>7788701398</v>
      </c>
      <c r="C1155" s="4" t="s">
        <v>12122</v>
      </c>
      <c r="D1155" s="4">
        <v>58222</v>
      </c>
      <c r="E1155" s="4">
        <v>20210618</v>
      </c>
      <c r="F1155" s="4">
        <v>20210618</v>
      </c>
      <c r="G1155" s="4">
        <v>20240618</v>
      </c>
      <c r="H1155" s="4" t="s">
        <v>12121</v>
      </c>
      <c r="I1155" s="4" t="s">
        <v>12120</v>
      </c>
      <c r="J1155" s="4" t="s">
        <v>94</v>
      </c>
    </row>
    <row r="1156" spans="1:10" hidden="1">
      <c r="A1156" s="4">
        <v>2.0210626429000499E+17</v>
      </c>
      <c r="B1156" s="4">
        <v>2638801097</v>
      </c>
      <c r="C1156" s="4" t="s">
        <v>12119</v>
      </c>
      <c r="D1156" s="4">
        <v>26429</v>
      </c>
      <c r="E1156" s="4">
        <v>20210618</v>
      </c>
      <c r="F1156" s="4">
        <v>20210618</v>
      </c>
      <c r="G1156" s="4">
        <v>20240618</v>
      </c>
      <c r="H1156" s="4" t="s">
        <v>3263</v>
      </c>
      <c r="I1156" s="4" t="s">
        <v>12118</v>
      </c>
      <c r="J1156" s="4" t="s">
        <v>422</v>
      </c>
    </row>
    <row r="1157" spans="1:10" hidden="1">
      <c r="A1157" s="4">
        <v>2.0210629299000499E+17</v>
      </c>
      <c r="B1157" s="4">
        <v>8488701815</v>
      </c>
      <c r="C1157" s="4" t="s">
        <v>12222</v>
      </c>
      <c r="D1157" s="4">
        <v>29299</v>
      </c>
      <c r="E1157" s="4">
        <v>20210618</v>
      </c>
      <c r="F1157" s="4">
        <v>20210618</v>
      </c>
      <c r="G1157" s="4">
        <v>20240618</v>
      </c>
      <c r="H1157" s="4" t="s">
        <v>12221</v>
      </c>
      <c r="J1157" s="4" t="s">
        <v>137</v>
      </c>
    </row>
    <row r="1158" spans="1:10" hidden="1">
      <c r="A1158" s="4">
        <v>2.0210675992000499E+17</v>
      </c>
      <c r="B1158" s="4">
        <v>1908101470</v>
      </c>
      <c r="C1158" s="4" t="s">
        <v>12115</v>
      </c>
      <c r="D1158" s="4">
        <v>75992</v>
      </c>
      <c r="E1158" s="4">
        <v>20210618</v>
      </c>
      <c r="F1158" s="4">
        <v>20210618</v>
      </c>
      <c r="G1158" s="4">
        <v>20240618</v>
      </c>
      <c r="H1158" s="4" t="s">
        <v>12114</v>
      </c>
      <c r="I1158" s="4" t="s">
        <v>12113</v>
      </c>
      <c r="J1158" s="4" t="s">
        <v>111</v>
      </c>
    </row>
    <row r="1159" spans="1:10" hidden="1">
      <c r="A1159" s="4">
        <v>2.0210671531000499E+17</v>
      </c>
      <c r="B1159" s="4">
        <v>5648800818</v>
      </c>
      <c r="C1159" s="4" t="s">
        <v>12112</v>
      </c>
      <c r="D1159" s="4">
        <v>71531</v>
      </c>
      <c r="E1159" s="4">
        <v>20210618</v>
      </c>
      <c r="F1159" s="4">
        <v>20210618</v>
      </c>
      <c r="G1159" s="4">
        <v>20240618</v>
      </c>
      <c r="H1159" s="4" t="s">
        <v>12111</v>
      </c>
      <c r="I1159" s="4" t="s">
        <v>657</v>
      </c>
      <c r="J1159" s="4" t="s">
        <v>87</v>
      </c>
    </row>
    <row r="1160" spans="1:10" hidden="1">
      <c r="A1160" s="4">
        <v>2.0210641225000499E+17</v>
      </c>
      <c r="B1160" s="4">
        <v>8068700715</v>
      </c>
      <c r="C1160" s="4" t="s">
        <v>12110</v>
      </c>
      <c r="D1160" s="4">
        <v>41225</v>
      </c>
      <c r="E1160" s="4">
        <v>20210618</v>
      </c>
      <c r="F1160" s="4">
        <v>20210618</v>
      </c>
      <c r="G1160" s="4">
        <v>20240609</v>
      </c>
      <c r="H1160" s="4" t="s">
        <v>7184</v>
      </c>
      <c r="I1160" s="4" t="s">
        <v>12109</v>
      </c>
      <c r="J1160" s="4" t="s">
        <v>8151</v>
      </c>
    </row>
    <row r="1161" spans="1:10" hidden="1">
      <c r="A1161" s="4">
        <v>2.0210662021000499E+17</v>
      </c>
      <c r="B1161" s="4">
        <v>1928100064</v>
      </c>
      <c r="C1161" s="4" t="s">
        <v>12108</v>
      </c>
      <c r="D1161" s="4">
        <v>62021</v>
      </c>
      <c r="E1161" s="4">
        <v>20210618</v>
      </c>
      <c r="F1161" s="4">
        <v>20210618</v>
      </c>
      <c r="G1161" s="4">
        <v>20220603</v>
      </c>
      <c r="H1161" s="4" t="s">
        <v>1644</v>
      </c>
      <c r="I1161" s="4" t="s">
        <v>12107</v>
      </c>
      <c r="J1161" s="4" t="s">
        <v>1505</v>
      </c>
    </row>
    <row r="1162" spans="1:10" hidden="1">
      <c r="A1162" s="4">
        <v>2.0210662090000499E+17</v>
      </c>
      <c r="B1162" s="4">
        <v>1738701007</v>
      </c>
      <c r="C1162" s="4" t="s">
        <v>12106</v>
      </c>
      <c r="D1162" s="4">
        <v>62090</v>
      </c>
      <c r="E1162" s="4">
        <v>20210618</v>
      </c>
      <c r="F1162" s="4">
        <v>20210618</v>
      </c>
      <c r="G1162" s="4">
        <v>20240618</v>
      </c>
      <c r="H1162" s="4" t="s">
        <v>6102</v>
      </c>
      <c r="I1162" s="4" t="s">
        <v>12105</v>
      </c>
      <c r="J1162" s="4" t="s">
        <v>2030</v>
      </c>
    </row>
    <row r="1163" spans="1:10" hidden="1">
      <c r="A1163" s="4">
        <v>2.0210626429000499E+17</v>
      </c>
      <c r="B1163" s="4">
        <v>1288800892</v>
      </c>
      <c r="C1163" s="4" t="s">
        <v>12104</v>
      </c>
      <c r="D1163" s="4">
        <v>26429</v>
      </c>
      <c r="E1163" s="4">
        <v>20210618</v>
      </c>
      <c r="F1163" s="4">
        <v>20210618</v>
      </c>
      <c r="G1163" s="4">
        <v>20240618</v>
      </c>
      <c r="H1163" s="4" t="s">
        <v>2767</v>
      </c>
      <c r="I1163" s="4" t="s">
        <v>12103</v>
      </c>
      <c r="J1163" s="4" t="s">
        <v>422</v>
      </c>
    </row>
    <row r="1164" spans="1:10" hidden="1">
      <c r="A1164" s="4">
        <v>2.0210629194000499E+17</v>
      </c>
      <c r="B1164" s="4">
        <v>1228700465</v>
      </c>
      <c r="C1164" s="4" t="s">
        <v>12102</v>
      </c>
      <c r="D1164" s="4">
        <v>29194</v>
      </c>
      <c r="E1164" s="4">
        <v>20210618</v>
      </c>
      <c r="F1164" s="4">
        <v>20210618</v>
      </c>
      <c r="G1164" s="4">
        <v>20230622</v>
      </c>
      <c r="H1164" s="4" t="s">
        <v>12101</v>
      </c>
      <c r="I1164" s="4" t="s">
        <v>12100</v>
      </c>
      <c r="J1164" s="4" t="s">
        <v>2756</v>
      </c>
    </row>
    <row r="1165" spans="1:10" hidden="1">
      <c r="A1165" s="4">
        <v>2.0210620321000499E+17</v>
      </c>
      <c r="B1165" s="4">
        <v>6818601796</v>
      </c>
      <c r="C1165" s="4" t="s">
        <v>12099</v>
      </c>
      <c r="D1165" s="4">
        <v>20321</v>
      </c>
      <c r="E1165" s="4">
        <v>20210618</v>
      </c>
      <c r="F1165" s="4">
        <v>20210618</v>
      </c>
      <c r="G1165" s="4">
        <v>20240618</v>
      </c>
      <c r="H1165" s="4" t="s">
        <v>12098</v>
      </c>
      <c r="I1165" s="4" t="s">
        <v>149</v>
      </c>
      <c r="J1165" s="4" t="s">
        <v>192</v>
      </c>
    </row>
    <row r="1166" spans="1:10" hidden="1">
      <c r="A1166" s="4">
        <v>2.0210650112000499E+17</v>
      </c>
      <c r="B1166" s="4">
        <v>3158701799</v>
      </c>
      <c r="C1166" s="4" t="s">
        <v>12097</v>
      </c>
      <c r="D1166" s="4">
        <v>50112</v>
      </c>
      <c r="E1166" s="4">
        <v>20210618</v>
      </c>
      <c r="F1166" s="4">
        <v>20210618</v>
      </c>
      <c r="G1166" s="4">
        <v>20240618</v>
      </c>
      <c r="H1166" s="4" t="s">
        <v>12096</v>
      </c>
      <c r="I1166" s="4" t="s">
        <v>91</v>
      </c>
      <c r="J1166" s="4" t="s">
        <v>12095</v>
      </c>
    </row>
    <row r="1167" spans="1:10" hidden="1">
      <c r="A1167" s="4">
        <v>2.0210646599000499E+17</v>
      </c>
      <c r="B1167" s="4">
        <v>4396300391</v>
      </c>
      <c r="C1167" s="4" t="s">
        <v>12194</v>
      </c>
      <c r="D1167" s="4">
        <v>46599</v>
      </c>
      <c r="E1167" s="4">
        <v>20210618</v>
      </c>
      <c r="F1167" s="4">
        <v>20210618</v>
      </c>
      <c r="G1167" s="4">
        <v>20240618</v>
      </c>
      <c r="H1167" s="4" t="s">
        <v>12193</v>
      </c>
      <c r="I1167" s="4" t="s">
        <v>9657</v>
      </c>
      <c r="J1167" s="4" t="s">
        <v>2310</v>
      </c>
    </row>
    <row r="1168" spans="1:10" hidden="1">
      <c r="A1168" s="4">
        <v>2.0210642499000499E+17</v>
      </c>
      <c r="B1168" s="4">
        <v>3788801856</v>
      </c>
      <c r="C1168" s="4" t="s">
        <v>12091</v>
      </c>
      <c r="D1168" s="4">
        <v>42499</v>
      </c>
      <c r="E1168" s="4">
        <v>20210618</v>
      </c>
      <c r="F1168" s="4">
        <v>20210618</v>
      </c>
      <c r="G1168" s="4">
        <v>20240618</v>
      </c>
      <c r="H1168" s="4" t="s">
        <v>1546</v>
      </c>
      <c r="I1168" s="4" t="s">
        <v>12090</v>
      </c>
      <c r="J1168" s="4" t="s">
        <v>505</v>
      </c>
    </row>
    <row r="1169" spans="1:10" hidden="1">
      <c r="A1169" s="4">
        <v>2.0210620423000499E+17</v>
      </c>
      <c r="B1169" s="4">
        <v>2388101336</v>
      </c>
      <c r="C1169" s="4" t="s">
        <v>12089</v>
      </c>
      <c r="D1169" s="4">
        <v>20423</v>
      </c>
      <c r="E1169" s="4">
        <v>20210618</v>
      </c>
      <c r="F1169" s="4">
        <v>20210618</v>
      </c>
      <c r="G1169" s="4">
        <v>20240618</v>
      </c>
      <c r="H1169" s="4" t="s">
        <v>12088</v>
      </c>
      <c r="I1169" s="4" t="s">
        <v>12087</v>
      </c>
      <c r="J1169" s="4" t="s">
        <v>368</v>
      </c>
    </row>
    <row r="1170" spans="1:10" hidden="1">
      <c r="A1170" s="4">
        <v>2.0210646433000499E+17</v>
      </c>
      <c r="B1170" s="4">
        <v>5132900792</v>
      </c>
      <c r="C1170" s="4" t="s">
        <v>12086</v>
      </c>
      <c r="D1170" s="4">
        <v>46433</v>
      </c>
      <c r="E1170" s="4">
        <v>20210618</v>
      </c>
      <c r="F1170" s="4">
        <v>20210618</v>
      </c>
      <c r="G1170" s="4">
        <v>20240618</v>
      </c>
      <c r="H1170" s="4" t="s">
        <v>12085</v>
      </c>
      <c r="I1170" s="4" t="s">
        <v>12084</v>
      </c>
      <c r="J1170" s="4" t="s">
        <v>4201</v>
      </c>
    </row>
    <row r="1171" spans="1:10" hidden="1">
      <c r="A1171" s="4">
        <v>2.0210646312000499E+17</v>
      </c>
      <c r="B1171" s="4">
        <v>7728101869</v>
      </c>
      <c r="C1171" s="4" t="s">
        <v>12083</v>
      </c>
      <c r="D1171" s="4">
        <v>46312</v>
      </c>
      <c r="E1171" s="4">
        <v>20210618</v>
      </c>
      <c r="F1171" s="4">
        <v>20210618</v>
      </c>
      <c r="G1171" s="4">
        <v>20240618</v>
      </c>
      <c r="H1171" s="4" t="s">
        <v>11713</v>
      </c>
      <c r="I1171" s="4" t="s">
        <v>149</v>
      </c>
      <c r="J1171" s="4" t="s">
        <v>5401</v>
      </c>
    </row>
    <row r="1172" spans="1:10" hidden="1">
      <c r="A1172" s="4">
        <v>2.0210685699000499E+17</v>
      </c>
      <c r="B1172" s="4">
        <v>5584900513</v>
      </c>
      <c r="C1172" s="4" t="s">
        <v>12082</v>
      </c>
      <c r="D1172" s="4">
        <v>85699</v>
      </c>
      <c r="E1172" s="4">
        <v>20210618</v>
      </c>
      <c r="F1172" s="4">
        <v>20210618</v>
      </c>
      <c r="G1172" s="4">
        <v>20240618</v>
      </c>
      <c r="H1172" s="4" t="s">
        <v>9764</v>
      </c>
      <c r="I1172" s="4" t="s">
        <v>12081</v>
      </c>
      <c r="J1172" s="4" t="s">
        <v>2192</v>
      </c>
    </row>
    <row r="1173" spans="1:10" hidden="1">
      <c r="A1173" s="4">
        <v>2.0210671102000499E+17</v>
      </c>
      <c r="B1173" s="4">
        <v>8588801575</v>
      </c>
      <c r="C1173" s="4" t="s">
        <v>12080</v>
      </c>
      <c r="D1173" s="4">
        <v>71102</v>
      </c>
      <c r="E1173" s="4">
        <v>20210618</v>
      </c>
      <c r="F1173" s="4">
        <v>20210618</v>
      </c>
      <c r="G1173" s="4">
        <v>20240618</v>
      </c>
      <c r="H1173" s="4" t="s">
        <v>12079</v>
      </c>
      <c r="I1173" s="4" t="s">
        <v>7973</v>
      </c>
      <c r="J1173" s="4" t="s">
        <v>12078</v>
      </c>
    </row>
    <row r="1174" spans="1:10" hidden="1">
      <c r="A1174" s="4">
        <v>2.02106141120004E+17</v>
      </c>
      <c r="B1174" s="4">
        <v>1118134736</v>
      </c>
      <c r="C1174" s="4" t="s">
        <v>12077</v>
      </c>
      <c r="D1174" s="4">
        <v>14112</v>
      </c>
      <c r="E1174" s="4">
        <v>20210617</v>
      </c>
      <c r="F1174" s="4">
        <v>20210617</v>
      </c>
      <c r="G1174" s="4">
        <v>20240617</v>
      </c>
      <c r="H1174" s="4" t="s">
        <v>5980</v>
      </c>
      <c r="I1174" s="4" t="s">
        <v>12076</v>
      </c>
      <c r="J1174" s="4" t="s">
        <v>8973</v>
      </c>
    </row>
    <row r="1175" spans="1:10" hidden="1">
      <c r="A1175" s="4">
        <v>2.02106620100004E+17</v>
      </c>
      <c r="B1175" s="4">
        <v>7638601986</v>
      </c>
      <c r="C1175" s="4" t="s">
        <v>12075</v>
      </c>
      <c r="D1175" s="4">
        <v>62010</v>
      </c>
      <c r="E1175" s="4">
        <v>20210617</v>
      </c>
      <c r="F1175" s="4">
        <v>20210617</v>
      </c>
      <c r="G1175" s="4">
        <v>20240617</v>
      </c>
      <c r="H1175" s="4" t="s">
        <v>1525</v>
      </c>
      <c r="I1175" s="4" t="s">
        <v>12074</v>
      </c>
      <c r="J1175" s="4" t="s">
        <v>118</v>
      </c>
    </row>
    <row r="1176" spans="1:10" hidden="1">
      <c r="A1176" s="4">
        <v>2.0210675210000499E+17</v>
      </c>
      <c r="B1176" s="4">
        <v>7988100464</v>
      </c>
      <c r="C1176" s="4" t="s">
        <v>12073</v>
      </c>
      <c r="D1176" s="4">
        <v>75210</v>
      </c>
      <c r="E1176" s="4">
        <v>20210617</v>
      </c>
      <c r="F1176" s="4">
        <v>20210617</v>
      </c>
      <c r="G1176" s="4">
        <v>20230811</v>
      </c>
      <c r="H1176" s="4" t="s">
        <v>12072</v>
      </c>
      <c r="J1176" s="4" t="s">
        <v>155</v>
      </c>
    </row>
    <row r="1177" spans="1:10" hidden="1">
      <c r="A1177" s="4">
        <v>2.02106233250004E+17</v>
      </c>
      <c r="B1177" s="4">
        <v>2498601985</v>
      </c>
      <c r="C1177" s="4" t="s">
        <v>12071</v>
      </c>
      <c r="D1177" s="4">
        <v>23325</v>
      </c>
      <c r="E1177" s="4">
        <v>20210617</v>
      </c>
      <c r="F1177" s="4">
        <v>20210617</v>
      </c>
      <c r="G1177" s="4">
        <v>20240617</v>
      </c>
      <c r="H1177" s="4" t="s">
        <v>12070</v>
      </c>
      <c r="J1177" s="4" t="s">
        <v>2588</v>
      </c>
    </row>
    <row r="1178" spans="1:10" hidden="1">
      <c r="A1178" s="4">
        <v>2.02106759920004E+17</v>
      </c>
      <c r="B1178" s="4">
        <v>6908600618</v>
      </c>
      <c r="C1178" s="4" t="s">
        <v>12069</v>
      </c>
      <c r="D1178" s="4">
        <v>75992</v>
      </c>
      <c r="E1178" s="4">
        <v>20210617</v>
      </c>
      <c r="F1178" s="4">
        <v>20210617</v>
      </c>
      <c r="G1178" s="4">
        <v>20240214</v>
      </c>
      <c r="H1178" s="4" t="s">
        <v>12068</v>
      </c>
      <c r="I1178" s="4" t="s">
        <v>91</v>
      </c>
      <c r="J1178" s="4" t="s">
        <v>111</v>
      </c>
    </row>
    <row r="1179" spans="1:10" hidden="1">
      <c r="A1179" s="4">
        <v>2.02106411210004E+17</v>
      </c>
      <c r="B1179" s="4">
        <v>8888601572</v>
      </c>
      <c r="C1179" s="4" t="s">
        <v>12067</v>
      </c>
      <c r="D1179" s="4">
        <v>41121</v>
      </c>
      <c r="E1179" s="4">
        <v>20210617</v>
      </c>
      <c r="F1179" s="4">
        <v>20210617</v>
      </c>
      <c r="G1179" s="4">
        <v>20240617</v>
      </c>
      <c r="H1179" s="4" t="s">
        <v>12066</v>
      </c>
      <c r="I1179" s="4" t="s">
        <v>91</v>
      </c>
      <c r="J1179" s="4" t="s">
        <v>2302</v>
      </c>
    </row>
    <row r="1180" spans="1:10" hidden="1">
      <c r="A1180" s="4">
        <v>2.02106620210004E+17</v>
      </c>
      <c r="B1180" s="4">
        <v>1308707931</v>
      </c>
      <c r="C1180" s="4" t="s">
        <v>12065</v>
      </c>
      <c r="D1180" s="4">
        <v>62021</v>
      </c>
      <c r="E1180" s="4">
        <v>20210617</v>
      </c>
      <c r="F1180" s="4">
        <v>20210617</v>
      </c>
      <c r="G1180" s="4">
        <v>20230601</v>
      </c>
      <c r="H1180" s="4" t="s">
        <v>12064</v>
      </c>
      <c r="I1180" s="4" t="s">
        <v>12063</v>
      </c>
      <c r="J1180" s="4" t="s">
        <v>1505</v>
      </c>
    </row>
    <row r="1181" spans="1:10" hidden="1">
      <c r="A1181" s="4">
        <v>2.0210673902000499E+17</v>
      </c>
      <c r="B1181" s="4">
        <v>4077000354</v>
      </c>
      <c r="C1181" s="4" t="s">
        <v>12062</v>
      </c>
      <c r="D1181" s="4">
        <v>73902</v>
      </c>
      <c r="E1181" s="4">
        <v>20210617</v>
      </c>
      <c r="F1181" s="4">
        <v>20210617</v>
      </c>
      <c r="G1181" s="4">
        <v>20230412</v>
      </c>
      <c r="H1181" s="4" t="s">
        <v>12061</v>
      </c>
      <c r="I1181" s="4" t="s">
        <v>91</v>
      </c>
      <c r="J1181" s="4" t="s">
        <v>1540</v>
      </c>
    </row>
    <row r="1182" spans="1:10" hidden="1">
      <c r="A1182" s="4">
        <v>2.02106422040004E+17</v>
      </c>
      <c r="B1182" s="4">
        <v>2088701036</v>
      </c>
      <c r="C1182" s="4" t="s">
        <v>12060</v>
      </c>
      <c r="D1182" s="4">
        <v>42204</v>
      </c>
      <c r="E1182" s="4">
        <v>20210617</v>
      </c>
      <c r="F1182" s="4">
        <v>20210617</v>
      </c>
      <c r="G1182" s="4">
        <v>20240617</v>
      </c>
      <c r="H1182" s="4" t="s">
        <v>12059</v>
      </c>
      <c r="I1182" s="4" t="s">
        <v>149</v>
      </c>
      <c r="J1182" s="4" t="s">
        <v>7487</v>
      </c>
    </row>
    <row r="1183" spans="1:10" hidden="1">
      <c r="A1183" s="4">
        <v>2.0210685709000499E+17</v>
      </c>
      <c r="B1183" s="4">
        <v>5357300363</v>
      </c>
      <c r="C1183" s="4" t="s">
        <v>12058</v>
      </c>
      <c r="D1183" s="4">
        <v>85709</v>
      </c>
      <c r="E1183" s="4">
        <v>20210617</v>
      </c>
      <c r="F1183" s="4">
        <v>20210617</v>
      </c>
      <c r="G1183" s="4">
        <v>20240617</v>
      </c>
      <c r="H1183" s="4" t="s">
        <v>12057</v>
      </c>
      <c r="I1183" s="4" t="s">
        <v>12056</v>
      </c>
      <c r="J1183" s="4" t="s">
        <v>141</v>
      </c>
    </row>
    <row r="1184" spans="1:10" hidden="1">
      <c r="A1184" s="4">
        <v>2.0210642131000499E+17</v>
      </c>
      <c r="B1184" s="4">
        <v>7911801172</v>
      </c>
      <c r="C1184" s="4" t="s">
        <v>12148</v>
      </c>
      <c r="D1184" s="4">
        <v>42131</v>
      </c>
      <c r="E1184" s="4">
        <v>20210618</v>
      </c>
      <c r="F1184" s="4">
        <v>20210618</v>
      </c>
      <c r="G1184" s="4">
        <v>20240618</v>
      </c>
      <c r="H1184" s="4" t="s">
        <v>12147</v>
      </c>
      <c r="J1184" s="4" t="s">
        <v>772</v>
      </c>
    </row>
    <row r="1185" spans="1:10" hidden="1">
      <c r="A1185" s="4">
        <v>2.02106721110004E+17</v>
      </c>
      <c r="B1185" s="4">
        <v>1011799537</v>
      </c>
      <c r="C1185" s="4" t="s">
        <v>12053</v>
      </c>
      <c r="D1185" s="4">
        <v>72111</v>
      </c>
      <c r="E1185" s="4">
        <v>20210617</v>
      </c>
      <c r="F1185" s="4">
        <v>20210617</v>
      </c>
      <c r="G1185" s="4">
        <v>20240617</v>
      </c>
      <c r="H1185" s="4" t="s">
        <v>12052</v>
      </c>
      <c r="I1185" s="4" t="s">
        <v>12051</v>
      </c>
      <c r="J1185" s="4" t="s">
        <v>3461</v>
      </c>
    </row>
    <row r="1186" spans="1:10" hidden="1">
      <c r="A1186" s="4">
        <v>2.02106108010004E+17</v>
      </c>
      <c r="B1186" s="4">
        <v>8014000637</v>
      </c>
      <c r="C1186" s="4" t="s">
        <v>12050</v>
      </c>
      <c r="D1186" s="4">
        <v>10801</v>
      </c>
      <c r="E1186" s="4">
        <v>20210617</v>
      </c>
      <c r="F1186" s="4">
        <v>20210617</v>
      </c>
      <c r="G1186" s="4">
        <v>20240617</v>
      </c>
      <c r="H1186" s="4" t="s">
        <v>12049</v>
      </c>
      <c r="I1186" s="4" t="s">
        <v>12048</v>
      </c>
      <c r="J1186" s="4" t="s">
        <v>7069</v>
      </c>
    </row>
    <row r="1187" spans="1:10" hidden="1">
      <c r="A1187" s="4">
        <v>2.02106742200004E+17</v>
      </c>
      <c r="B1187" s="4">
        <v>2711201429</v>
      </c>
      <c r="C1187" s="4" t="s">
        <v>12047</v>
      </c>
      <c r="D1187" s="4">
        <v>74220</v>
      </c>
      <c r="E1187" s="4">
        <v>20210617</v>
      </c>
      <c r="F1187" s="4">
        <v>20210617</v>
      </c>
      <c r="G1187" s="4">
        <v>20240617</v>
      </c>
      <c r="H1187" s="4" t="s">
        <v>12046</v>
      </c>
      <c r="J1187" s="4" t="s">
        <v>2988</v>
      </c>
    </row>
    <row r="1188" spans="1:10" hidden="1">
      <c r="A1188" s="4">
        <v>2.02106464640004E+17</v>
      </c>
      <c r="B1188" s="4">
        <v>2691401513</v>
      </c>
      <c r="C1188" s="4" t="s">
        <v>12045</v>
      </c>
      <c r="D1188" s="4">
        <v>46464</v>
      </c>
      <c r="E1188" s="4">
        <v>20210617</v>
      </c>
      <c r="F1188" s="4">
        <v>20210617</v>
      </c>
      <c r="G1188" s="4">
        <v>20240617</v>
      </c>
      <c r="H1188" s="4" t="s">
        <v>12044</v>
      </c>
      <c r="I1188" s="4" t="s">
        <v>12043</v>
      </c>
      <c r="J1188" s="4" t="s">
        <v>2416</v>
      </c>
    </row>
    <row r="1189" spans="1:10" hidden="1">
      <c r="A1189" s="4">
        <v>2.02106101220004E+17</v>
      </c>
      <c r="B1189" s="4">
        <v>1298800686</v>
      </c>
      <c r="C1189" s="4" t="s">
        <v>12042</v>
      </c>
      <c r="D1189" s="4">
        <v>10122</v>
      </c>
      <c r="E1189" s="4">
        <v>20210617</v>
      </c>
      <c r="F1189" s="4">
        <v>20210617</v>
      </c>
      <c r="G1189" s="4">
        <v>20240526</v>
      </c>
      <c r="H1189" s="4" t="s">
        <v>12041</v>
      </c>
      <c r="J1189" s="4" t="s">
        <v>1361</v>
      </c>
    </row>
    <row r="1190" spans="1:10" hidden="1">
      <c r="A1190" s="4">
        <v>2.0210647311000499E+17</v>
      </c>
      <c r="B1190" s="4">
        <v>5362500818</v>
      </c>
      <c r="C1190" s="4" t="s">
        <v>12040</v>
      </c>
      <c r="D1190" s="4">
        <v>47311</v>
      </c>
      <c r="E1190" s="4">
        <v>20210617</v>
      </c>
      <c r="F1190" s="4">
        <v>20210617</v>
      </c>
      <c r="G1190" s="4">
        <v>20240617</v>
      </c>
      <c r="H1190" s="4" t="s">
        <v>12039</v>
      </c>
      <c r="I1190" s="4" t="s">
        <v>91</v>
      </c>
      <c r="J1190" s="4" t="s">
        <v>588</v>
      </c>
    </row>
    <row r="1191" spans="1:10" hidden="1">
      <c r="A1191" s="4">
        <v>2.02106465950004E+17</v>
      </c>
      <c r="B1191" s="4">
        <v>3564900504</v>
      </c>
      <c r="C1191" s="4" t="s">
        <v>12038</v>
      </c>
      <c r="D1191" s="4">
        <v>46595</v>
      </c>
      <c r="E1191" s="4">
        <v>20210617</v>
      </c>
      <c r="F1191" s="4">
        <v>20210617</v>
      </c>
      <c r="G1191" s="4">
        <v>20240617</v>
      </c>
      <c r="H1191" s="4" t="s">
        <v>12037</v>
      </c>
      <c r="I1191" s="4" t="s">
        <v>1801</v>
      </c>
      <c r="J1191" s="4" t="s">
        <v>960</v>
      </c>
    </row>
    <row r="1192" spans="1:10" hidden="1">
      <c r="A1192" s="4">
        <v>2.02106479120004E+17</v>
      </c>
      <c r="B1192" s="4">
        <v>5027100205</v>
      </c>
      <c r="C1192" s="4" t="s">
        <v>12036</v>
      </c>
      <c r="D1192" s="4">
        <v>47912</v>
      </c>
      <c r="E1192" s="4">
        <v>20210617</v>
      </c>
      <c r="F1192" s="4">
        <v>20210617</v>
      </c>
      <c r="G1192" s="4">
        <v>20240617</v>
      </c>
      <c r="H1192" s="4" t="s">
        <v>12035</v>
      </c>
      <c r="I1192" s="4" t="s">
        <v>12034</v>
      </c>
      <c r="J1192" s="4" t="s">
        <v>78</v>
      </c>
    </row>
    <row r="1193" spans="1:10" hidden="1">
      <c r="A1193" s="4">
        <v>2.02106472140004E+17</v>
      </c>
      <c r="B1193" s="4">
        <v>2242550773</v>
      </c>
      <c r="C1193" s="4" t="s">
        <v>12033</v>
      </c>
      <c r="D1193" s="4">
        <v>47214</v>
      </c>
      <c r="E1193" s="4">
        <v>20210617</v>
      </c>
      <c r="F1193" s="4">
        <v>20210617</v>
      </c>
      <c r="G1193" s="4">
        <v>20240617</v>
      </c>
      <c r="H1193" s="4" t="s">
        <v>12032</v>
      </c>
      <c r="J1193" s="4" t="s">
        <v>12031</v>
      </c>
    </row>
    <row r="1194" spans="1:10" hidden="1">
      <c r="A1194" s="4">
        <v>2.02106475110004E+17</v>
      </c>
      <c r="B1194" s="4">
        <v>2034766590</v>
      </c>
      <c r="C1194" s="4" t="s">
        <v>12030</v>
      </c>
      <c r="D1194" s="4">
        <v>47511</v>
      </c>
      <c r="E1194" s="4">
        <v>20210617</v>
      </c>
      <c r="F1194" s="4">
        <v>20210617</v>
      </c>
      <c r="G1194" s="4">
        <v>20240617</v>
      </c>
      <c r="H1194" s="4" t="s">
        <v>12029</v>
      </c>
      <c r="J1194" s="4" t="s">
        <v>10291</v>
      </c>
    </row>
    <row r="1195" spans="1:10" hidden="1">
      <c r="A1195" s="4">
        <v>2.02106134090004E+17</v>
      </c>
      <c r="B1195" s="4">
        <v>4518600634</v>
      </c>
      <c r="C1195" s="4" t="s">
        <v>12028</v>
      </c>
      <c r="D1195" s="4">
        <v>13409</v>
      </c>
      <c r="E1195" s="4">
        <v>20210617</v>
      </c>
      <c r="F1195" s="4">
        <v>20210617</v>
      </c>
      <c r="G1195" s="4">
        <v>20230714</v>
      </c>
      <c r="H1195" s="4" t="s">
        <v>12027</v>
      </c>
      <c r="I1195" s="4" t="s">
        <v>12026</v>
      </c>
      <c r="J1195" s="4" t="s">
        <v>3591</v>
      </c>
    </row>
    <row r="1196" spans="1:10" hidden="1">
      <c r="A1196" s="4">
        <v>2.02106291500004E+17</v>
      </c>
      <c r="B1196" s="4">
        <v>3788601610</v>
      </c>
      <c r="C1196" s="4" t="s">
        <v>12025</v>
      </c>
      <c r="D1196" s="4">
        <v>29150</v>
      </c>
      <c r="E1196" s="4">
        <v>20210617</v>
      </c>
      <c r="F1196" s="4">
        <v>20210617</v>
      </c>
      <c r="G1196" s="4">
        <v>20240617</v>
      </c>
      <c r="H1196" s="4" t="s">
        <v>12024</v>
      </c>
      <c r="I1196" s="4" t="s">
        <v>91</v>
      </c>
      <c r="J1196" s="4" t="s">
        <v>12023</v>
      </c>
    </row>
    <row r="1197" spans="1:10" hidden="1">
      <c r="A1197" s="4">
        <v>2.02106582220004E+17</v>
      </c>
      <c r="B1197" s="4">
        <v>4338601881</v>
      </c>
      <c r="C1197" s="4" t="s">
        <v>12022</v>
      </c>
      <c r="D1197" s="4">
        <v>58222</v>
      </c>
      <c r="E1197" s="4">
        <v>20210617</v>
      </c>
      <c r="F1197" s="4">
        <v>20210617</v>
      </c>
      <c r="G1197" s="4">
        <v>20240617</v>
      </c>
      <c r="H1197" s="4" t="s">
        <v>4135</v>
      </c>
      <c r="I1197" s="4" t="s">
        <v>12021</v>
      </c>
      <c r="J1197" s="4" t="s">
        <v>94</v>
      </c>
    </row>
    <row r="1198" spans="1:10" hidden="1">
      <c r="A1198" s="4">
        <v>2.0210647912000499E+17</v>
      </c>
      <c r="B1198" s="4">
        <v>6031476650</v>
      </c>
      <c r="C1198" s="4" t="s">
        <v>12020</v>
      </c>
      <c r="D1198" s="4">
        <v>47912</v>
      </c>
      <c r="E1198" s="4">
        <v>20210617</v>
      </c>
      <c r="F1198" s="4">
        <v>20210617</v>
      </c>
      <c r="G1198" s="4">
        <v>20240617</v>
      </c>
      <c r="H1198" s="4" t="s">
        <v>12019</v>
      </c>
      <c r="I1198" s="4" t="s">
        <v>12018</v>
      </c>
      <c r="J1198" s="4" t="s">
        <v>78</v>
      </c>
    </row>
    <row r="1199" spans="1:10" hidden="1">
      <c r="A1199" s="4">
        <v>2.0210668223000499E+17</v>
      </c>
      <c r="B1199" s="4">
        <v>6280301583</v>
      </c>
      <c r="C1199" s="4" t="s">
        <v>12017</v>
      </c>
      <c r="D1199" s="4">
        <v>68223</v>
      </c>
      <c r="E1199" s="4">
        <v>20210617</v>
      </c>
      <c r="F1199" s="4">
        <v>20210617</v>
      </c>
      <c r="G1199" s="4">
        <v>20240617</v>
      </c>
      <c r="H1199" s="4" t="s">
        <v>12016</v>
      </c>
      <c r="I1199" s="4" t="s">
        <v>12015</v>
      </c>
      <c r="J1199" s="4" t="s">
        <v>304</v>
      </c>
    </row>
    <row r="1200" spans="1:10" hidden="1">
      <c r="A1200" s="4">
        <v>2.0210662010000499E+17</v>
      </c>
      <c r="B1200" s="4">
        <v>4078131246</v>
      </c>
      <c r="C1200" s="4" t="s">
        <v>12117</v>
      </c>
      <c r="D1200" s="4">
        <v>62010</v>
      </c>
      <c r="E1200" s="4">
        <v>20210618</v>
      </c>
      <c r="F1200" s="4">
        <v>20210618</v>
      </c>
      <c r="G1200" s="4">
        <v>20240618</v>
      </c>
      <c r="H1200" s="4" t="s">
        <v>3772</v>
      </c>
      <c r="I1200" s="4" t="s">
        <v>12116</v>
      </c>
      <c r="J1200" s="4" t="s">
        <v>118</v>
      </c>
    </row>
    <row r="1201" spans="1:10" hidden="1">
      <c r="A1201" s="4">
        <v>2.0210628519000499E+17</v>
      </c>
      <c r="B1201" s="4">
        <v>6190801911</v>
      </c>
      <c r="C1201" s="4" t="s">
        <v>12011</v>
      </c>
      <c r="D1201" s="4">
        <v>28519</v>
      </c>
      <c r="E1201" s="4">
        <v>20210617</v>
      </c>
      <c r="F1201" s="4">
        <v>20210617</v>
      </c>
      <c r="G1201" s="4">
        <v>20240617</v>
      </c>
      <c r="H1201" s="4" t="s">
        <v>12010</v>
      </c>
      <c r="I1201" s="4" t="s">
        <v>91</v>
      </c>
      <c r="J1201" s="4" t="s">
        <v>1412</v>
      </c>
    </row>
    <row r="1202" spans="1:10" hidden="1">
      <c r="A1202" s="4">
        <v>2.02106721110004E+17</v>
      </c>
      <c r="B1202" s="4">
        <v>2124300537</v>
      </c>
      <c r="C1202" s="4" t="s">
        <v>12009</v>
      </c>
      <c r="D1202" s="4">
        <v>72111</v>
      </c>
      <c r="E1202" s="4">
        <v>20210617</v>
      </c>
      <c r="F1202" s="4">
        <v>20210617</v>
      </c>
      <c r="G1202" s="4">
        <v>20240617</v>
      </c>
      <c r="H1202" s="4" t="s">
        <v>1964</v>
      </c>
      <c r="I1202" s="4" t="s">
        <v>1866</v>
      </c>
      <c r="J1202" s="4" t="s">
        <v>3461</v>
      </c>
    </row>
    <row r="1203" spans="1:10" hidden="1">
      <c r="A1203" s="4">
        <v>2.02106281230004E+17</v>
      </c>
      <c r="B1203" s="4">
        <v>7018800528</v>
      </c>
      <c r="C1203" s="4" t="s">
        <v>12008</v>
      </c>
      <c r="D1203" s="4">
        <v>28123</v>
      </c>
      <c r="E1203" s="4">
        <v>20210617</v>
      </c>
      <c r="F1203" s="4">
        <v>20210617</v>
      </c>
      <c r="G1203" s="4">
        <v>20240426</v>
      </c>
      <c r="H1203" s="4" t="s">
        <v>12007</v>
      </c>
      <c r="J1203" s="4" t="s">
        <v>640</v>
      </c>
    </row>
    <row r="1204" spans="1:10" hidden="1">
      <c r="A1204" s="4">
        <v>2.02106716000004E+17</v>
      </c>
      <c r="B1204" s="4">
        <v>4171668500</v>
      </c>
      <c r="C1204" s="4" t="s">
        <v>12006</v>
      </c>
      <c r="D1204" s="4">
        <v>71600</v>
      </c>
      <c r="E1204" s="4">
        <v>20210617</v>
      </c>
      <c r="F1204" s="4">
        <v>20210617</v>
      </c>
      <c r="G1204" s="4">
        <v>20240617</v>
      </c>
      <c r="H1204" s="4" t="s">
        <v>9661</v>
      </c>
      <c r="I1204" s="4" t="s">
        <v>12005</v>
      </c>
      <c r="J1204" s="4" t="s">
        <v>1783</v>
      </c>
    </row>
    <row r="1205" spans="1:10">
      <c r="A1205" s="4">
        <v>2.0210446453000198E+17</v>
      </c>
      <c r="B1205" s="4">
        <v>7201301326</v>
      </c>
      <c r="C1205" s="4" t="s">
        <v>7351</v>
      </c>
      <c r="D1205" s="4">
        <v>46453</v>
      </c>
      <c r="E1205" s="4">
        <v>20210423</v>
      </c>
      <c r="F1205" s="4">
        <v>20210423</v>
      </c>
      <c r="G1205" s="4">
        <v>20240423</v>
      </c>
      <c r="H1205" s="4" t="s">
        <v>7350</v>
      </c>
      <c r="I1205" s="4" t="s">
        <v>7349</v>
      </c>
      <c r="J1205" s="4" t="s">
        <v>816</v>
      </c>
    </row>
    <row r="1206" spans="1:10" hidden="1">
      <c r="A1206" s="4">
        <v>2.0210685699000499E+17</v>
      </c>
      <c r="B1206" s="4">
        <v>7777200145</v>
      </c>
      <c r="C1206" s="4" t="s">
        <v>12002</v>
      </c>
      <c r="D1206" s="4">
        <v>85699</v>
      </c>
      <c r="E1206" s="4">
        <v>20210617</v>
      </c>
      <c r="F1206" s="4">
        <v>20210617</v>
      </c>
      <c r="G1206" s="4">
        <v>20240617</v>
      </c>
      <c r="H1206" s="4" t="s">
        <v>12001</v>
      </c>
      <c r="I1206" s="4" t="s">
        <v>91</v>
      </c>
      <c r="J1206" s="4" t="s">
        <v>2192</v>
      </c>
    </row>
    <row r="1207" spans="1:10" hidden="1">
      <c r="A1207" s="4">
        <v>2.0210617129000499E+17</v>
      </c>
      <c r="B1207" s="4">
        <v>6571401137</v>
      </c>
      <c r="C1207" s="4" t="s">
        <v>12000</v>
      </c>
      <c r="D1207" s="4">
        <v>17129</v>
      </c>
      <c r="E1207" s="4">
        <v>20210617</v>
      </c>
      <c r="F1207" s="4">
        <v>20210617</v>
      </c>
      <c r="G1207" s="4">
        <v>20240617</v>
      </c>
      <c r="H1207" s="4" t="s">
        <v>6135</v>
      </c>
      <c r="J1207" s="4" t="s">
        <v>2178</v>
      </c>
    </row>
    <row r="1208" spans="1:10" hidden="1">
      <c r="A1208" s="4">
        <v>2.0210628422000499E+17</v>
      </c>
      <c r="B1208" s="4">
        <v>6963800139</v>
      </c>
      <c r="C1208" s="4" t="s">
        <v>11999</v>
      </c>
      <c r="D1208" s="4">
        <v>28422</v>
      </c>
      <c r="E1208" s="4">
        <v>20210617</v>
      </c>
      <c r="F1208" s="4">
        <v>20210617</v>
      </c>
      <c r="G1208" s="4">
        <v>20230714</v>
      </c>
      <c r="H1208" s="4" t="s">
        <v>11998</v>
      </c>
      <c r="J1208" s="4" t="s">
        <v>188</v>
      </c>
    </row>
    <row r="1209" spans="1:10" hidden="1">
      <c r="A1209" s="4">
        <v>2.02106732030004E+17</v>
      </c>
      <c r="B1209" s="4">
        <v>5103602902</v>
      </c>
      <c r="C1209" s="4" t="s">
        <v>11997</v>
      </c>
      <c r="D1209" s="4">
        <v>73203</v>
      </c>
      <c r="E1209" s="4">
        <v>20210617</v>
      </c>
      <c r="F1209" s="4">
        <v>20210617</v>
      </c>
      <c r="G1209" s="4">
        <v>20240617</v>
      </c>
      <c r="H1209" s="4" t="s">
        <v>11996</v>
      </c>
      <c r="I1209" s="4" t="s">
        <v>11995</v>
      </c>
      <c r="J1209" s="4" t="s">
        <v>260</v>
      </c>
    </row>
    <row r="1210" spans="1:10" hidden="1">
      <c r="A1210" s="4">
        <v>2.0210675992000499E+17</v>
      </c>
      <c r="B1210" s="4">
        <v>6183901440</v>
      </c>
      <c r="C1210" s="4" t="s">
        <v>11994</v>
      </c>
      <c r="D1210" s="4">
        <v>75992</v>
      </c>
      <c r="E1210" s="4">
        <v>20210617</v>
      </c>
      <c r="F1210" s="4">
        <v>20210617</v>
      </c>
      <c r="G1210" s="4">
        <v>20240617</v>
      </c>
      <c r="H1210" s="4" t="s">
        <v>11993</v>
      </c>
      <c r="I1210" s="4" t="s">
        <v>239</v>
      </c>
      <c r="J1210" s="4" t="s">
        <v>111</v>
      </c>
    </row>
    <row r="1211" spans="1:10" hidden="1">
      <c r="A1211" s="4">
        <v>2.02106464310004E+17</v>
      </c>
      <c r="B1211" s="4">
        <v>2111176237</v>
      </c>
      <c r="C1211" s="4" t="s">
        <v>11992</v>
      </c>
      <c r="D1211" s="4">
        <v>46431</v>
      </c>
      <c r="E1211" s="4">
        <v>20210617</v>
      </c>
      <c r="F1211" s="4">
        <v>20210617</v>
      </c>
      <c r="G1211" s="4">
        <v>20220904</v>
      </c>
      <c r="H1211" s="4" t="s">
        <v>11991</v>
      </c>
      <c r="J1211" s="4" t="s">
        <v>2911</v>
      </c>
    </row>
    <row r="1212" spans="1:10" hidden="1">
      <c r="A1212" s="4">
        <v>2.0210673203000499E+17</v>
      </c>
      <c r="B1212" s="4">
        <v>7541200298</v>
      </c>
      <c r="C1212" s="4" t="s">
        <v>11990</v>
      </c>
      <c r="D1212" s="4">
        <v>73203</v>
      </c>
      <c r="E1212" s="4">
        <v>20210617</v>
      </c>
      <c r="F1212" s="4">
        <v>20210617</v>
      </c>
      <c r="G1212" s="4">
        <v>20231004</v>
      </c>
      <c r="H1212" s="4" t="s">
        <v>1960</v>
      </c>
      <c r="I1212" s="4" t="s">
        <v>209</v>
      </c>
      <c r="J1212" s="4" t="s">
        <v>260</v>
      </c>
    </row>
    <row r="1213" spans="1:10" hidden="1">
      <c r="A1213" s="4">
        <v>2.02106582210004E+17</v>
      </c>
      <c r="B1213" s="4">
        <v>5998600144</v>
      </c>
      <c r="C1213" s="4" t="s">
        <v>11989</v>
      </c>
      <c r="D1213" s="4">
        <v>58221</v>
      </c>
      <c r="E1213" s="4">
        <v>20210617</v>
      </c>
      <c r="F1213" s="4">
        <v>20210617</v>
      </c>
      <c r="G1213" s="4">
        <v>20220924</v>
      </c>
      <c r="H1213" s="4" t="s">
        <v>11988</v>
      </c>
      <c r="J1213" s="4" t="s">
        <v>228</v>
      </c>
    </row>
    <row r="1214" spans="1:10" hidden="1">
      <c r="A1214" s="4">
        <v>2.0210642500000499E+17</v>
      </c>
      <c r="B1214" s="4">
        <v>3808701736</v>
      </c>
      <c r="C1214" s="4" t="s">
        <v>11987</v>
      </c>
      <c r="D1214" s="4">
        <v>42500</v>
      </c>
      <c r="E1214" s="4">
        <v>20210617</v>
      </c>
      <c r="F1214" s="4">
        <v>20210617</v>
      </c>
      <c r="G1214" s="4">
        <v>20240617</v>
      </c>
      <c r="H1214" s="4" t="s">
        <v>11986</v>
      </c>
      <c r="J1214" s="4" t="s">
        <v>740</v>
      </c>
    </row>
    <row r="1215" spans="1:10" hidden="1">
      <c r="A1215" s="4">
        <v>2.0210613229000499E+17</v>
      </c>
      <c r="B1215" s="4">
        <v>4728101315</v>
      </c>
      <c r="C1215" s="4" t="s">
        <v>12094</v>
      </c>
      <c r="D1215" s="4">
        <v>13229</v>
      </c>
      <c r="E1215" s="4">
        <v>20210618</v>
      </c>
      <c r="F1215" s="4">
        <v>20210618</v>
      </c>
      <c r="G1215" s="4">
        <v>20240618</v>
      </c>
      <c r="H1215" s="4" t="s">
        <v>12093</v>
      </c>
      <c r="I1215" s="4" t="s">
        <v>12092</v>
      </c>
      <c r="J1215" s="4" t="s">
        <v>115</v>
      </c>
    </row>
    <row r="1216" spans="1:10" hidden="1">
      <c r="A1216" s="4">
        <v>2.02106264290004E+17</v>
      </c>
      <c r="B1216" s="4">
        <v>3898102079</v>
      </c>
      <c r="C1216" s="4" t="s">
        <v>11983</v>
      </c>
      <c r="D1216" s="4">
        <v>26429</v>
      </c>
      <c r="E1216" s="4">
        <v>20210617</v>
      </c>
      <c r="F1216" s="4">
        <v>20210617</v>
      </c>
      <c r="G1216" s="4">
        <v>20240617</v>
      </c>
      <c r="H1216" s="4" t="s">
        <v>11982</v>
      </c>
      <c r="I1216" s="4" t="s">
        <v>91</v>
      </c>
      <c r="J1216" s="4" t="s">
        <v>422</v>
      </c>
    </row>
    <row r="1217" spans="1:10" hidden="1">
      <c r="A1217" s="4">
        <v>2.0210670129000499E+17</v>
      </c>
      <c r="B1217" s="4">
        <v>8558701657</v>
      </c>
      <c r="C1217" s="4" t="s">
        <v>11981</v>
      </c>
      <c r="D1217" s="4">
        <v>70129</v>
      </c>
      <c r="E1217" s="4">
        <v>20210617</v>
      </c>
      <c r="F1217" s="4">
        <v>20210617</v>
      </c>
      <c r="G1217" s="4">
        <v>20240617</v>
      </c>
      <c r="H1217" s="4" t="s">
        <v>11980</v>
      </c>
      <c r="I1217" s="4" t="s">
        <v>11979</v>
      </c>
      <c r="J1217" s="4" t="s">
        <v>937</v>
      </c>
    </row>
    <row r="1218" spans="1:10" hidden="1">
      <c r="A1218" s="4">
        <v>2.02106759920004E+17</v>
      </c>
      <c r="B1218" s="4">
        <v>5676200267</v>
      </c>
      <c r="C1218" s="4" t="s">
        <v>11978</v>
      </c>
      <c r="D1218" s="4">
        <v>75992</v>
      </c>
      <c r="E1218" s="4">
        <v>20210617</v>
      </c>
      <c r="F1218" s="4">
        <v>20210617</v>
      </c>
      <c r="G1218" s="4">
        <v>20240617</v>
      </c>
      <c r="H1218" s="4" t="s">
        <v>11977</v>
      </c>
      <c r="I1218" s="4" t="s">
        <v>657</v>
      </c>
      <c r="J1218" s="4" t="s">
        <v>111</v>
      </c>
    </row>
    <row r="1219" spans="1:10" hidden="1">
      <c r="A1219" s="4">
        <v>2.0210646800000499E+17</v>
      </c>
      <c r="B1219" s="4">
        <v>5770801752</v>
      </c>
      <c r="C1219" s="4" t="s">
        <v>12054</v>
      </c>
      <c r="D1219" s="4">
        <v>46800</v>
      </c>
      <c r="E1219" s="4">
        <v>20210617</v>
      </c>
      <c r="F1219" s="4">
        <v>20210617</v>
      </c>
      <c r="G1219" s="4">
        <v>20240617</v>
      </c>
      <c r="H1219" s="4" t="s">
        <v>12055</v>
      </c>
      <c r="I1219" s="4" t="s">
        <v>12054</v>
      </c>
      <c r="J1219" s="4" t="s">
        <v>979</v>
      </c>
    </row>
    <row r="1220" spans="1:10" hidden="1">
      <c r="A1220" s="4">
        <v>2.02106272150004E+17</v>
      </c>
      <c r="B1220" s="4">
        <v>6916200328</v>
      </c>
      <c r="C1220" s="4" t="s">
        <v>11974</v>
      </c>
      <c r="D1220" s="4">
        <v>27215</v>
      </c>
      <c r="E1220" s="4">
        <v>20210617</v>
      </c>
      <c r="F1220" s="4">
        <v>20210617</v>
      </c>
      <c r="G1220" s="4">
        <v>20240617</v>
      </c>
      <c r="H1220" s="4" t="s">
        <v>120</v>
      </c>
      <c r="I1220" s="4" t="s">
        <v>11973</v>
      </c>
      <c r="J1220" s="4" t="s">
        <v>734</v>
      </c>
    </row>
    <row r="1221" spans="1:10" hidden="1">
      <c r="A1221" s="4">
        <v>2.0210641226000499E+17</v>
      </c>
      <c r="B1221" s="4">
        <v>4423900882</v>
      </c>
      <c r="C1221" s="4" t="s">
        <v>11972</v>
      </c>
      <c r="D1221" s="4">
        <v>41226</v>
      </c>
      <c r="E1221" s="4">
        <v>20210617</v>
      </c>
      <c r="F1221" s="4">
        <v>20210617</v>
      </c>
      <c r="G1221" s="4">
        <v>20240617</v>
      </c>
      <c r="H1221" s="4" t="s">
        <v>9110</v>
      </c>
      <c r="I1221" s="4" t="s">
        <v>9109</v>
      </c>
      <c r="J1221" s="4" t="s">
        <v>1063</v>
      </c>
    </row>
    <row r="1222" spans="1:10" hidden="1">
      <c r="A1222" s="4">
        <v>2.0210659111000499E+17</v>
      </c>
      <c r="B1222" s="4">
        <v>7393800718</v>
      </c>
      <c r="C1222" s="4" t="s">
        <v>11971</v>
      </c>
      <c r="D1222" s="4">
        <v>59111</v>
      </c>
      <c r="E1222" s="4">
        <v>20210617</v>
      </c>
      <c r="F1222" s="4">
        <v>20210617</v>
      </c>
      <c r="G1222" s="4">
        <v>20240617</v>
      </c>
      <c r="H1222" s="4" t="s">
        <v>5566</v>
      </c>
      <c r="I1222" s="4" t="s">
        <v>11970</v>
      </c>
      <c r="J1222" s="4" t="s">
        <v>1857</v>
      </c>
    </row>
    <row r="1223" spans="1:10" hidden="1">
      <c r="A1223" s="4">
        <v>2.02106478130004E+17</v>
      </c>
      <c r="B1223" s="4">
        <v>3411001568</v>
      </c>
      <c r="C1223" s="4" t="s">
        <v>11969</v>
      </c>
      <c r="D1223" s="4">
        <v>47813</v>
      </c>
      <c r="E1223" s="4">
        <v>20210617</v>
      </c>
      <c r="F1223" s="4">
        <v>20210617</v>
      </c>
      <c r="G1223" s="4">
        <v>20240617</v>
      </c>
      <c r="H1223" s="4" t="s">
        <v>11968</v>
      </c>
      <c r="I1223" s="4" t="s">
        <v>149</v>
      </c>
      <c r="J1223" s="4" t="s">
        <v>376</v>
      </c>
    </row>
    <row r="1224" spans="1:10" hidden="1">
      <c r="A1224" s="4">
        <v>2.0210630399000499E+17</v>
      </c>
      <c r="B1224" s="4">
        <v>7403100742</v>
      </c>
      <c r="C1224" s="4" t="s">
        <v>11967</v>
      </c>
      <c r="D1224" s="4">
        <v>30399</v>
      </c>
      <c r="E1224" s="4">
        <v>20210617</v>
      </c>
      <c r="F1224" s="4">
        <v>20210617</v>
      </c>
      <c r="G1224" s="4">
        <v>20240617</v>
      </c>
      <c r="H1224" s="4" t="s">
        <v>11966</v>
      </c>
      <c r="I1224" s="4" t="s">
        <v>11965</v>
      </c>
      <c r="J1224" s="4" t="s">
        <v>1763</v>
      </c>
    </row>
    <row r="1225" spans="1:10" hidden="1">
      <c r="A1225" s="4">
        <v>2.0210647912000499E+17</v>
      </c>
      <c r="B1225" s="4">
        <v>7395600653</v>
      </c>
      <c r="C1225" s="4" t="s">
        <v>11964</v>
      </c>
      <c r="D1225" s="4">
        <v>47912</v>
      </c>
      <c r="E1225" s="4">
        <v>20210617</v>
      </c>
      <c r="F1225" s="4">
        <v>20210617</v>
      </c>
      <c r="G1225" s="4">
        <v>20240617</v>
      </c>
      <c r="H1225" s="4" t="s">
        <v>11963</v>
      </c>
      <c r="J1225" s="4" t="s">
        <v>78</v>
      </c>
    </row>
    <row r="1226" spans="1:10" hidden="1">
      <c r="A1226" s="4">
        <v>2.02106423110004E+17</v>
      </c>
      <c r="B1226" s="4">
        <v>3208701506</v>
      </c>
      <c r="C1226" s="4" t="s">
        <v>11962</v>
      </c>
      <c r="D1226" s="4">
        <v>42311</v>
      </c>
      <c r="E1226" s="4">
        <v>20210617</v>
      </c>
      <c r="F1226" s="4">
        <v>20210617</v>
      </c>
      <c r="G1226" s="4">
        <v>20240617</v>
      </c>
      <c r="H1226" s="4" t="s">
        <v>11961</v>
      </c>
      <c r="I1226" s="4" t="s">
        <v>11960</v>
      </c>
      <c r="J1226" s="4" t="s">
        <v>718</v>
      </c>
    </row>
    <row r="1227" spans="1:10" hidden="1">
      <c r="A1227" s="4">
        <v>2.02106292410004E+17</v>
      </c>
      <c r="B1227" s="4">
        <v>2318801144</v>
      </c>
      <c r="C1227" s="4" t="s">
        <v>11959</v>
      </c>
      <c r="D1227" s="4">
        <v>29241</v>
      </c>
      <c r="E1227" s="4">
        <v>20210617</v>
      </c>
      <c r="F1227" s="4">
        <v>20210617</v>
      </c>
      <c r="G1227" s="4">
        <v>20240617</v>
      </c>
      <c r="H1227" s="4" t="s">
        <v>11958</v>
      </c>
      <c r="I1227" s="4" t="s">
        <v>11957</v>
      </c>
      <c r="J1227" s="4" t="s">
        <v>8208</v>
      </c>
    </row>
    <row r="1228" spans="1:10" hidden="1">
      <c r="A1228" s="4">
        <v>2.02106620100004E+17</v>
      </c>
      <c r="B1228" s="4">
        <v>4818701984</v>
      </c>
      <c r="C1228" s="4" t="s">
        <v>11956</v>
      </c>
      <c r="D1228" s="4">
        <v>62010</v>
      </c>
      <c r="E1228" s="4">
        <v>20210617</v>
      </c>
      <c r="F1228" s="4">
        <v>20210617</v>
      </c>
      <c r="G1228" s="4">
        <v>20240617</v>
      </c>
      <c r="H1228" s="4" t="s">
        <v>11955</v>
      </c>
      <c r="I1228" s="4" t="s">
        <v>11954</v>
      </c>
      <c r="J1228" s="4" t="s">
        <v>118</v>
      </c>
    </row>
    <row r="1229" spans="1:10" hidden="1">
      <c r="A1229" s="4">
        <v>2.02106291740004E+17</v>
      </c>
      <c r="B1229" s="4">
        <v>2458101805</v>
      </c>
      <c r="C1229" s="4" t="s">
        <v>11953</v>
      </c>
      <c r="D1229" s="4">
        <v>29174</v>
      </c>
      <c r="E1229" s="4">
        <v>20210617</v>
      </c>
      <c r="F1229" s="4">
        <v>20210617</v>
      </c>
      <c r="G1229" s="4">
        <v>20240617</v>
      </c>
      <c r="H1229" s="4" t="s">
        <v>11952</v>
      </c>
      <c r="I1229" s="4" t="s">
        <v>1455</v>
      </c>
      <c r="J1229" s="4" t="s">
        <v>877</v>
      </c>
    </row>
    <row r="1230" spans="1:10" hidden="1">
      <c r="A1230" s="4">
        <v>2.0210619221000499E+17</v>
      </c>
      <c r="B1230" s="4">
        <v>8068101347</v>
      </c>
      <c r="C1230" s="4" t="s">
        <v>11951</v>
      </c>
      <c r="D1230" s="4">
        <v>19221</v>
      </c>
      <c r="E1230" s="4">
        <v>20210617</v>
      </c>
      <c r="F1230" s="4">
        <v>20210617</v>
      </c>
      <c r="G1230" s="4">
        <v>20240617</v>
      </c>
      <c r="H1230" s="4" t="s">
        <v>11950</v>
      </c>
      <c r="J1230" s="4" t="s">
        <v>9053</v>
      </c>
    </row>
    <row r="1231" spans="1:10" hidden="1">
      <c r="A1231" s="4">
        <v>2.02106251190004E+17</v>
      </c>
      <c r="B1231" s="4">
        <v>6528801356</v>
      </c>
      <c r="C1231" s="4" t="s">
        <v>12014</v>
      </c>
      <c r="D1231" s="4">
        <v>25119</v>
      </c>
      <c r="E1231" s="4">
        <v>20210617</v>
      </c>
      <c r="F1231" s="4">
        <v>20210617</v>
      </c>
      <c r="G1231" s="4">
        <v>20240617</v>
      </c>
      <c r="H1231" s="4" t="s">
        <v>12013</v>
      </c>
      <c r="I1231" s="4" t="s">
        <v>12012</v>
      </c>
      <c r="J1231" s="4" t="s">
        <v>679</v>
      </c>
    </row>
    <row r="1232" spans="1:10" hidden="1">
      <c r="A1232" s="4">
        <v>2.02106251130004E+17</v>
      </c>
      <c r="B1232" s="4">
        <v>8418101199</v>
      </c>
      <c r="C1232" s="4" t="s">
        <v>11947</v>
      </c>
      <c r="D1232" s="4">
        <v>25113</v>
      </c>
      <c r="E1232" s="4">
        <v>20210617</v>
      </c>
      <c r="F1232" s="4">
        <v>20210617</v>
      </c>
      <c r="G1232" s="4">
        <v>20240617</v>
      </c>
      <c r="H1232" s="4" t="s">
        <v>11946</v>
      </c>
      <c r="J1232" s="4" t="s">
        <v>250</v>
      </c>
    </row>
    <row r="1233" spans="1:10" hidden="1">
      <c r="A1233" s="4">
        <v>2.02106162910004E+17</v>
      </c>
      <c r="B1233" s="4">
        <v>2348701603</v>
      </c>
      <c r="C1233" s="4" t="s">
        <v>11945</v>
      </c>
      <c r="D1233" s="4">
        <v>16291</v>
      </c>
      <c r="E1233" s="4">
        <v>20210617</v>
      </c>
      <c r="F1233" s="4">
        <v>20210617</v>
      </c>
      <c r="G1233" s="4">
        <v>20240617</v>
      </c>
      <c r="H1233" s="4" t="s">
        <v>11944</v>
      </c>
      <c r="J1233" s="4" t="s">
        <v>4956</v>
      </c>
    </row>
    <row r="1234" spans="1:10" hidden="1">
      <c r="A1234" s="4">
        <v>2.02106620100004E+17</v>
      </c>
      <c r="B1234" s="4">
        <v>3428100499</v>
      </c>
      <c r="C1234" s="4" t="s">
        <v>11943</v>
      </c>
      <c r="D1234" s="4">
        <v>62010</v>
      </c>
      <c r="E1234" s="4">
        <v>20210617</v>
      </c>
      <c r="F1234" s="4">
        <v>20210617</v>
      </c>
      <c r="G1234" s="4">
        <v>20230405</v>
      </c>
      <c r="H1234" s="4" t="s">
        <v>11942</v>
      </c>
      <c r="I1234" s="4" t="s">
        <v>149</v>
      </c>
      <c r="J1234" s="4" t="s">
        <v>118</v>
      </c>
    </row>
    <row r="1235" spans="1:10" hidden="1">
      <c r="A1235" s="4">
        <v>2.02106582220004E+17</v>
      </c>
      <c r="B1235" s="4">
        <v>2218701927</v>
      </c>
      <c r="C1235" s="4" t="s">
        <v>11941</v>
      </c>
      <c r="D1235" s="4">
        <v>58222</v>
      </c>
      <c r="E1235" s="4">
        <v>20210617</v>
      </c>
      <c r="F1235" s="4">
        <v>20210617</v>
      </c>
      <c r="G1235" s="4">
        <v>20240617</v>
      </c>
      <c r="H1235" s="4" t="s">
        <v>2762</v>
      </c>
      <c r="I1235" s="4" t="s">
        <v>11940</v>
      </c>
      <c r="J1235" s="4" t="s">
        <v>94</v>
      </c>
    </row>
    <row r="1236" spans="1:10" hidden="1">
      <c r="A1236" s="4">
        <v>2.0210647813000499E+17</v>
      </c>
      <c r="B1236" s="4">
        <v>4148801282</v>
      </c>
      <c r="C1236" s="4" t="s">
        <v>11939</v>
      </c>
      <c r="D1236" s="4">
        <v>47813</v>
      </c>
      <c r="E1236" s="4">
        <v>20210617</v>
      </c>
      <c r="F1236" s="4">
        <v>20210617</v>
      </c>
      <c r="G1236" s="4">
        <v>20240617</v>
      </c>
      <c r="H1236" s="4" t="s">
        <v>11938</v>
      </c>
      <c r="I1236" s="4" t="s">
        <v>11937</v>
      </c>
      <c r="J1236" s="4" t="s">
        <v>376</v>
      </c>
    </row>
    <row r="1237" spans="1:10" hidden="1">
      <c r="A1237" s="4">
        <v>2.02106639990004E+17</v>
      </c>
      <c r="B1237" s="4">
        <v>3378601055</v>
      </c>
      <c r="C1237" s="4" t="s">
        <v>11936</v>
      </c>
      <c r="D1237" s="4">
        <v>63999</v>
      </c>
      <c r="E1237" s="4">
        <v>20210617</v>
      </c>
      <c r="F1237" s="4">
        <v>20210617</v>
      </c>
      <c r="G1237" s="4">
        <v>20240617</v>
      </c>
      <c r="H1237" s="4" t="s">
        <v>2769</v>
      </c>
      <c r="I1237" s="4" t="s">
        <v>11935</v>
      </c>
      <c r="J1237" s="4" t="s">
        <v>643</v>
      </c>
    </row>
    <row r="1238" spans="1:10" hidden="1">
      <c r="A1238" s="4">
        <v>2.02106620210004E+17</v>
      </c>
      <c r="B1238" s="4">
        <v>4558100908</v>
      </c>
      <c r="C1238" s="4" t="s">
        <v>11934</v>
      </c>
      <c r="D1238" s="4">
        <v>62021</v>
      </c>
      <c r="E1238" s="4">
        <v>20210617</v>
      </c>
      <c r="F1238" s="4">
        <v>20210617</v>
      </c>
      <c r="G1238" s="4">
        <v>20240617</v>
      </c>
      <c r="H1238" s="4" t="s">
        <v>7180</v>
      </c>
      <c r="I1238" s="4" t="s">
        <v>11933</v>
      </c>
      <c r="J1238" s="4" t="s">
        <v>1505</v>
      </c>
    </row>
    <row r="1239" spans="1:10" hidden="1">
      <c r="A1239" s="4">
        <v>2.0210646414000499E+17</v>
      </c>
      <c r="B1239" s="4">
        <v>8618601238</v>
      </c>
      <c r="C1239" s="4" t="s">
        <v>11932</v>
      </c>
      <c r="D1239" s="4">
        <v>46414</v>
      </c>
      <c r="E1239" s="4">
        <v>20210617</v>
      </c>
      <c r="F1239" s="4">
        <v>20210617</v>
      </c>
      <c r="G1239" s="4">
        <v>20240617</v>
      </c>
      <c r="H1239" s="4" t="s">
        <v>6918</v>
      </c>
      <c r="I1239" s="4" t="s">
        <v>11931</v>
      </c>
      <c r="J1239" s="4" t="s">
        <v>11930</v>
      </c>
    </row>
    <row r="1240" spans="1:10" hidden="1">
      <c r="A1240" s="4">
        <v>2.02106203210004E+17</v>
      </c>
      <c r="B1240" s="4">
        <v>3318801202</v>
      </c>
      <c r="C1240" s="4" t="s">
        <v>11929</v>
      </c>
      <c r="D1240" s="4">
        <v>20321</v>
      </c>
      <c r="E1240" s="4">
        <v>20210617</v>
      </c>
      <c r="F1240" s="4">
        <v>20210617</v>
      </c>
      <c r="G1240" s="4">
        <v>20240617</v>
      </c>
      <c r="H1240" s="4" t="s">
        <v>11928</v>
      </c>
      <c r="I1240" s="4" t="s">
        <v>11927</v>
      </c>
      <c r="J1240" s="4" t="s">
        <v>192</v>
      </c>
    </row>
    <row r="1241" spans="1:10" hidden="1">
      <c r="A1241" s="4">
        <v>2.02106582220004E+17</v>
      </c>
      <c r="B1241" s="4">
        <v>5738601665</v>
      </c>
      <c r="C1241" s="4" t="s">
        <v>11926</v>
      </c>
      <c r="D1241" s="4">
        <v>58222</v>
      </c>
      <c r="E1241" s="4">
        <v>20210617</v>
      </c>
      <c r="F1241" s="4">
        <v>20210617</v>
      </c>
      <c r="G1241" s="4">
        <v>20240617</v>
      </c>
      <c r="H1241" s="4" t="s">
        <v>11925</v>
      </c>
      <c r="I1241" s="4" t="s">
        <v>11924</v>
      </c>
      <c r="J1241" s="4" t="s">
        <v>94</v>
      </c>
    </row>
    <row r="1242" spans="1:10" hidden="1">
      <c r="A1242" s="4">
        <v>2.02106701290004E+17</v>
      </c>
      <c r="B1242" s="4">
        <v>8178601599</v>
      </c>
      <c r="C1242" s="4" t="s">
        <v>11923</v>
      </c>
      <c r="D1242" s="4">
        <v>70129</v>
      </c>
      <c r="E1242" s="4">
        <v>20210617</v>
      </c>
      <c r="F1242" s="4">
        <v>20210617</v>
      </c>
      <c r="G1242" s="4">
        <v>20240617</v>
      </c>
      <c r="H1242" s="4" t="s">
        <v>11922</v>
      </c>
      <c r="J1242" s="4" t="s">
        <v>937</v>
      </c>
    </row>
    <row r="1243" spans="1:10" hidden="1">
      <c r="A1243" s="4">
        <v>2.0210658222000499E+17</v>
      </c>
      <c r="B1243" s="4">
        <v>7748701116</v>
      </c>
      <c r="C1243" s="4" t="s">
        <v>11921</v>
      </c>
      <c r="D1243" s="4">
        <v>58222</v>
      </c>
      <c r="E1243" s="4">
        <v>20210617</v>
      </c>
      <c r="F1243" s="4">
        <v>20210617</v>
      </c>
      <c r="G1243" s="4">
        <v>20240617</v>
      </c>
      <c r="H1243" s="4" t="s">
        <v>3003</v>
      </c>
      <c r="I1243" s="4" t="s">
        <v>11920</v>
      </c>
      <c r="J1243" s="4" t="s">
        <v>94</v>
      </c>
    </row>
    <row r="1244" spans="1:10" hidden="1">
      <c r="A1244" s="4">
        <v>2.02106631200004E+17</v>
      </c>
      <c r="B1244" s="4">
        <v>2408700346</v>
      </c>
      <c r="C1244" s="4" t="s">
        <v>11918</v>
      </c>
      <c r="D1244" s="4">
        <v>63120</v>
      </c>
      <c r="E1244" s="4">
        <v>20210617</v>
      </c>
      <c r="F1244" s="4">
        <v>20210617</v>
      </c>
      <c r="G1244" s="4">
        <v>20230608</v>
      </c>
      <c r="H1244" s="4" t="s">
        <v>11919</v>
      </c>
      <c r="I1244" s="4" t="s">
        <v>11918</v>
      </c>
      <c r="J1244" s="4" t="s">
        <v>632</v>
      </c>
    </row>
    <row r="1245" spans="1:10" hidden="1">
      <c r="A1245" s="4">
        <v>2.0210641229000499E+17</v>
      </c>
      <c r="B1245" s="4">
        <v>6498600212</v>
      </c>
      <c r="C1245" s="4" t="s">
        <v>11917</v>
      </c>
      <c r="D1245" s="4">
        <v>41229</v>
      </c>
      <c r="E1245" s="4">
        <v>20210617</v>
      </c>
      <c r="F1245" s="4">
        <v>20210617</v>
      </c>
      <c r="G1245" s="4">
        <v>20221223</v>
      </c>
      <c r="H1245" s="4" t="s">
        <v>11916</v>
      </c>
      <c r="I1245" s="4" t="s">
        <v>11915</v>
      </c>
      <c r="J1245" s="4" t="s">
        <v>5083</v>
      </c>
    </row>
    <row r="1246" spans="1:10" hidden="1">
      <c r="A1246" s="4">
        <v>2.02106382100004E+17</v>
      </c>
      <c r="B1246" s="4">
        <v>2758801009</v>
      </c>
      <c r="C1246" s="4" t="s">
        <v>11914</v>
      </c>
      <c r="D1246" s="4">
        <v>38210</v>
      </c>
      <c r="E1246" s="4">
        <v>20210617</v>
      </c>
      <c r="F1246" s="4">
        <v>20210617</v>
      </c>
      <c r="G1246" s="4">
        <v>20240617</v>
      </c>
      <c r="H1246" s="4" t="s">
        <v>11913</v>
      </c>
      <c r="J1246" s="4" t="s">
        <v>11912</v>
      </c>
    </row>
    <row r="1247" spans="1:10" hidden="1">
      <c r="A1247" s="4">
        <v>2.0210658221000499E+17</v>
      </c>
      <c r="B1247" s="4">
        <v>5488701744</v>
      </c>
      <c r="C1247" s="4" t="s">
        <v>11911</v>
      </c>
      <c r="D1247" s="4">
        <v>58221</v>
      </c>
      <c r="E1247" s="4">
        <v>20210617</v>
      </c>
      <c r="F1247" s="4">
        <v>20210617</v>
      </c>
      <c r="G1247" s="4">
        <v>20240131</v>
      </c>
      <c r="H1247" s="4" t="s">
        <v>9646</v>
      </c>
      <c r="I1247" s="4" t="s">
        <v>11910</v>
      </c>
      <c r="J1247" s="4" t="s">
        <v>228</v>
      </c>
    </row>
    <row r="1248" spans="1:10" hidden="1">
      <c r="A1248" s="4">
        <v>2.02106620100004E+17</v>
      </c>
      <c r="B1248" s="4">
        <v>4448601372</v>
      </c>
      <c r="C1248" s="4" t="s">
        <v>11909</v>
      </c>
      <c r="D1248" s="4">
        <v>62010</v>
      </c>
      <c r="E1248" s="4">
        <v>20210617</v>
      </c>
      <c r="F1248" s="4">
        <v>20210617</v>
      </c>
      <c r="G1248" s="4">
        <v>20240617</v>
      </c>
      <c r="H1248" s="4" t="s">
        <v>11908</v>
      </c>
      <c r="I1248" s="4" t="s">
        <v>11907</v>
      </c>
      <c r="J1248" s="4" t="s">
        <v>118</v>
      </c>
    </row>
    <row r="1249" spans="1:10" hidden="1">
      <c r="A1249" s="4">
        <v>2.02106465950004E+17</v>
      </c>
      <c r="B1249" s="4">
        <v>3718601133</v>
      </c>
      <c r="C1249" s="4" t="s">
        <v>11906</v>
      </c>
      <c r="D1249" s="4">
        <v>46595</v>
      </c>
      <c r="E1249" s="4">
        <v>20210617</v>
      </c>
      <c r="F1249" s="4">
        <v>20210617</v>
      </c>
      <c r="G1249" s="4">
        <v>20240617</v>
      </c>
      <c r="H1249" s="4" t="s">
        <v>11905</v>
      </c>
      <c r="I1249" s="4" t="s">
        <v>11904</v>
      </c>
      <c r="J1249" s="4" t="s">
        <v>960</v>
      </c>
    </row>
    <row r="1250" spans="1:10" hidden="1">
      <c r="A1250" s="4">
        <v>2.0210623232000499E+17</v>
      </c>
      <c r="B1250" s="4">
        <v>8448701680</v>
      </c>
      <c r="C1250" s="4" t="s">
        <v>11903</v>
      </c>
      <c r="D1250" s="4">
        <v>23232</v>
      </c>
      <c r="E1250" s="4">
        <v>20210617</v>
      </c>
      <c r="F1250" s="4">
        <v>20210617</v>
      </c>
      <c r="G1250" s="4">
        <v>20240617</v>
      </c>
      <c r="H1250" s="4" t="s">
        <v>11902</v>
      </c>
      <c r="J1250" s="4" t="s">
        <v>11901</v>
      </c>
    </row>
    <row r="1251" spans="1:10" hidden="1">
      <c r="A1251" s="4">
        <v>2.02106273010004E+17</v>
      </c>
      <c r="B1251" s="4">
        <v>8908801021</v>
      </c>
      <c r="C1251" s="4" t="s">
        <v>11900</v>
      </c>
      <c r="D1251" s="4">
        <v>27301</v>
      </c>
      <c r="E1251" s="4">
        <v>20210617</v>
      </c>
      <c r="F1251" s="4">
        <v>20210617</v>
      </c>
      <c r="G1251" s="4">
        <v>20240617</v>
      </c>
      <c r="H1251" s="4" t="s">
        <v>11899</v>
      </c>
      <c r="I1251" s="4" t="s">
        <v>591</v>
      </c>
      <c r="J1251" s="4" t="s">
        <v>1321</v>
      </c>
    </row>
    <row r="1252" spans="1:10" hidden="1">
      <c r="A1252" s="4">
        <v>2.02106582220004E+17</v>
      </c>
      <c r="B1252" s="4">
        <v>6508102312</v>
      </c>
      <c r="C1252" s="4" t="s">
        <v>11898</v>
      </c>
      <c r="D1252" s="4">
        <v>58222</v>
      </c>
      <c r="E1252" s="4">
        <v>20210617</v>
      </c>
      <c r="F1252" s="4">
        <v>20210617</v>
      </c>
      <c r="G1252" s="4">
        <v>20240617</v>
      </c>
      <c r="H1252" s="4" t="s">
        <v>11897</v>
      </c>
      <c r="I1252" s="4" t="s">
        <v>361</v>
      </c>
      <c r="J1252" s="4" t="s">
        <v>94</v>
      </c>
    </row>
    <row r="1253" spans="1:10" hidden="1">
      <c r="A1253" s="4">
        <v>2.02106259990004E+17</v>
      </c>
      <c r="B1253" s="4">
        <v>2670401842</v>
      </c>
      <c r="C1253" s="4" t="s">
        <v>11985</v>
      </c>
      <c r="D1253" s="4">
        <v>25999</v>
      </c>
      <c r="E1253" s="4">
        <v>20210617</v>
      </c>
      <c r="F1253" s="4">
        <v>20210617</v>
      </c>
      <c r="G1253" s="4">
        <v>20240617</v>
      </c>
      <c r="H1253" s="4" t="s">
        <v>11984</v>
      </c>
      <c r="J1253" s="4" t="s">
        <v>301</v>
      </c>
    </row>
    <row r="1254" spans="1:10" hidden="1">
      <c r="A1254" s="4">
        <v>2.02106620100004E+17</v>
      </c>
      <c r="B1254" s="4">
        <v>3758701262</v>
      </c>
      <c r="C1254" s="4" t="s">
        <v>11895</v>
      </c>
      <c r="D1254" s="4">
        <v>62010</v>
      </c>
      <c r="E1254" s="4">
        <v>20210617</v>
      </c>
      <c r="F1254" s="4">
        <v>20210617</v>
      </c>
      <c r="G1254" s="4">
        <v>20240617</v>
      </c>
      <c r="H1254" s="4" t="s">
        <v>11894</v>
      </c>
      <c r="I1254" s="4" t="s">
        <v>11893</v>
      </c>
      <c r="J1254" s="4" t="s">
        <v>118</v>
      </c>
    </row>
    <row r="1255" spans="1:10" hidden="1">
      <c r="A1255" s="4">
        <v>2.0210626299000499E+17</v>
      </c>
      <c r="B1255" s="4">
        <v>8758601877</v>
      </c>
      <c r="C1255" s="4" t="s">
        <v>11892</v>
      </c>
      <c r="D1255" s="4">
        <v>26299</v>
      </c>
      <c r="E1255" s="4">
        <v>20210617</v>
      </c>
      <c r="F1255" s="4">
        <v>20210617</v>
      </c>
      <c r="G1255" s="4">
        <v>20240617</v>
      </c>
      <c r="H1255" s="4" t="s">
        <v>10252</v>
      </c>
      <c r="J1255" s="4" t="s">
        <v>339</v>
      </c>
    </row>
    <row r="1256" spans="1:10" hidden="1">
      <c r="A1256" s="4">
        <v>2.0210659113000499E+17</v>
      </c>
      <c r="B1256" s="4">
        <v>8748601646</v>
      </c>
      <c r="C1256" s="4" t="s">
        <v>11891</v>
      </c>
      <c r="D1256" s="4">
        <v>59113</v>
      </c>
      <c r="E1256" s="4">
        <v>20210617</v>
      </c>
      <c r="F1256" s="4">
        <v>20210617</v>
      </c>
      <c r="G1256" s="4">
        <v>20220512</v>
      </c>
      <c r="H1256" s="4" t="s">
        <v>5171</v>
      </c>
      <c r="I1256" s="4" t="s">
        <v>11890</v>
      </c>
      <c r="J1256" s="4" t="s">
        <v>3651</v>
      </c>
    </row>
    <row r="1257" spans="1:10" hidden="1">
      <c r="A1257" s="4">
        <v>2.02106591200004E+17</v>
      </c>
      <c r="B1257" s="4">
        <v>2158801652</v>
      </c>
      <c r="C1257" s="4" t="s">
        <v>11889</v>
      </c>
      <c r="D1257" s="4">
        <v>59120</v>
      </c>
      <c r="E1257" s="4">
        <v>20210617</v>
      </c>
      <c r="F1257" s="4">
        <v>20210617</v>
      </c>
      <c r="G1257" s="4">
        <v>20240617</v>
      </c>
      <c r="H1257" s="4" t="s">
        <v>725</v>
      </c>
      <c r="I1257" s="4" t="s">
        <v>1963</v>
      </c>
      <c r="J1257" s="4" t="s">
        <v>2961</v>
      </c>
    </row>
    <row r="1258" spans="1:10" hidden="1">
      <c r="A1258" s="4">
        <v>2.02106857010004E+17</v>
      </c>
      <c r="B1258" s="4">
        <v>3778700217</v>
      </c>
      <c r="C1258" s="4" t="s">
        <v>11888</v>
      </c>
      <c r="D1258" s="4">
        <v>85701</v>
      </c>
      <c r="E1258" s="4">
        <v>20210617</v>
      </c>
      <c r="F1258" s="4">
        <v>20210617</v>
      </c>
      <c r="G1258" s="4">
        <v>20220827</v>
      </c>
      <c r="H1258" s="4" t="s">
        <v>11887</v>
      </c>
      <c r="J1258" s="4" t="s">
        <v>11745</v>
      </c>
    </row>
    <row r="1259" spans="1:10" hidden="1">
      <c r="A1259" s="4">
        <v>2.02106464520004E+17</v>
      </c>
      <c r="B1259" s="4">
        <v>5328102159</v>
      </c>
      <c r="C1259" s="4" t="s">
        <v>11886</v>
      </c>
      <c r="D1259" s="4">
        <v>46452</v>
      </c>
      <c r="E1259" s="4">
        <v>20210617</v>
      </c>
      <c r="F1259" s="4">
        <v>20210617</v>
      </c>
      <c r="G1259" s="4">
        <v>20240617</v>
      </c>
      <c r="H1259" s="4" t="s">
        <v>11885</v>
      </c>
      <c r="I1259" s="4" t="s">
        <v>149</v>
      </c>
      <c r="J1259" s="4" t="s">
        <v>516</v>
      </c>
    </row>
    <row r="1260" spans="1:10" hidden="1">
      <c r="A1260" s="4">
        <v>2.02106311140004E+17</v>
      </c>
      <c r="B1260" s="4">
        <v>2990100757</v>
      </c>
      <c r="C1260" s="4" t="s">
        <v>11884</v>
      </c>
      <c r="D1260" s="4">
        <v>31114</v>
      </c>
      <c r="E1260" s="4">
        <v>20210617</v>
      </c>
      <c r="F1260" s="4">
        <v>20210617</v>
      </c>
      <c r="G1260" s="4">
        <v>20240502</v>
      </c>
      <c r="H1260" s="4" t="s">
        <v>11883</v>
      </c>
      <c r="J1260" s="4" t="s">
        <v>1070</v>
      </c>
    </row>
    <row r="1261" spans="1:10" hidden="1">
      <c r="A1261" s="4">
        <v>2.02106741000004E+17</v>
      </c>
      <c r="B1261" s="4">
        <v>2042188689</v>
      </c>
      <c r="C1261" s="4" t="s">
        <v>11882</v>
      </c>
      <c r="D1261" s="4">
        <v>74100</v>
      </c>
      <c r="E1261" s="4">
        <v>20210617</v>
      </c>
      <c r="F1261" s="4">
        <v>20210617</v>
      </c>
      <c r="G1261" s="4">
        <v>20210903</v>
      </c>
      <c r="H1261" s="4" t="s">
        <v>11881</v>
      </c>
      <c r="I1261" s="4" t="s">
        <v>11880</v>
      </c>
      <c r="J1261" s="4" t="s">
        <v>2207</v>
      </c>
    </row>
    <row r="1262" spans="1:10" hidden="1">
      <c r="A1262" s="4">
        <v>2.02106265190004E+17</v>
      </c>
      <c r="B1262" s="4">
        <v>4766200224</v>
      </c>
      <c r="C1262" s="4" t="s">
        <v>11879</v>
      </c>
      <c r="D1262" s="4">
        <v>26519</v>
      </c>
      <c r="E1262" s="4">
        <v>20210617</v>
      </c>
      <c r="F1262" s="4">
        <v>20210617</v>
      </c>
      <c r="G1262" s="4">
        <v>20240617</v>
      </c>
      <c r="H1262" s="4" t="s">
        <v>11878</v>
      </c>
      <c r="J1262" s="4" t="s">
        <v>668</v>
      </c>
    </row>
    <row r="1263" spans="1:10" hidden="1">
      <c r="A1263" s="4">
        <v>2.02106721110004E+17</v>
      </c>
      <c r="B1263" s="4">
        <v>3470900450</v>
      </c>
      <c r="C1263" s="4" t="s">
        <v>11877</v>
      </c>
      <c r="D1263" s="4">
        <v>72111</v>
      </c>
      <c r="E1263" s="4">
        <v>20210617</v>
      </c>
      <c r="F1263" s="4">
        <v>20210617</v>
      </c>
      <c r="G1263" s="4">
        <v>20230805</v>
      </c>
      <c r="H1263" s="4" t="s">
        <v>11876</v>
      </c>
      <c r="I1263" s="4" t="s">
        <v>9702</v>
      </c>
      <c r="J1263" s="4" t="s">
        <v>3461</v>
      </c>
    </row>
    <row r="1264" spans="1:10" hidden="1">
      <c r="A1264" s="4">
        <v>2.02106232390004E+17</v>
      </c>
      <c r="B1264" s="4">
        <v>4535400250</v>
      </c>
      <c r="C1264" s="4" t="s">
        <v>11875</v>
      </c>
      <c r="D1264" s="4">
        <v>23239</v>
      </c>
      <c r="E1264" s="4">
        <v>20210617</v>
      </c>
      <c r="F1264" s="4">
        <v>20210617</v>
      </c>
      <c r="G1264" s="4">
        <v>20240617</v>
      </c>
      <c r="H1264" s="4" t="s">
        <v>11874</v>
      </c>
      <c r="I1264" s="4" t="s">
        <v>11873</v>
      </c>
      <c r="J1264" s="4" t="s">
        <v>11872</v>
      </c>
    </row>
    <row r="1265" spans="1:10" hidden="1">
      <c r="A1265" s="4">
        <v>2.0210685709000499E+17</v>
      </c>
      <c r="B1265" s="4">
        <v>6949500932</v>
      </c>
      <c r="C1265" s="4" t="s">
        <v>11871</v>
      </c>
      <c r="D1265" s="4">
        <v>85709</v>
      </c>
      <c r="E1265" s="4">
        <v>20210617</v>
      </c>
      <c r="F1265" s="4">
        <v>20210617</v>
      </c>
      <c r="G1265" s="4">
        <v>20240617</v>
      </c>
      <c r="H1265" s="4" t="s">
        <v>11870</v>
      </c>
      <c r="I1265" s="4" t="s">
        <v>209</v>
      </c>
      <c r="J1265" s="4" t="s">
        <v>141</v>
      </c>
    </row>
    <row r="1266" spans="1:10" hidden="1">
      <c r="A1266" s="4">
        <v>2.02106303990004E+17</v>
      </c>
      <c r="B1266" s="4">
        <v>8818801798</v>
      </c>
      <c r="C1266" s="4" t="s">
        <v>11869</v>
      </c>
      <c r="D1266" s="4">
        <v>30399</v>
      </c>
      <c r="E1266" s="4">
        <v>20210616</v>
      </c>
      <c r="F1266" s="4">
        <v>20210616</v>
      </c>
      <c r="G1266" s="4">
        <v>20240616</v>
      </c>
      <c r="H1266" s="4" t="s">
        <v>11868</v>
      </c>
      <c r="J1266" s="4" t="s">
        <v>1763</v>
      </c>
    </row>
    <row r="1267" spans="1:10" hidden="1">
      <c r="A1267" s="4">
        <v>2.02106423210004E+17</v>
      </c>
      <c r="B1267" s="4">
        <v>4878101001</v>
      </c>
      <c r="C1267" s="4" t="s">
        <v>11867</v>
      </c>
      <c r="D1267" s="4">
        <v>42321</v>
      </c>
      <c r="E1267" s="4">
        <v>20210616</v>
      </c>
      <c r="F1267" s="4">
        <v>20210616</v>
      </c>
      <c r="G1267" s="4">
        <v>20240616</v>
      </c>
      <c r="H1267" s="4" t="s">
        <v>11866</v>
      </c>
      <c r="J1267" s="4" t="s">
        <v>698</v>
      </c>
    </row>
    <row r="1268" spans="1:10" hidden="1">
      <c r="A1268" s="4">
        <v>2.02106312020004E+17</v>
      </c>
      <c r="B1268" s="4">
        <v>5758601773</v>
      </c>
      <c r="C1268" s="4" t="s">
        <v>11865</v>
      </c>
      <c r="D1268" s="4">
        <v>31202</v>
      </c>
      <c r="E1268" s="4">
        <v>20210616</v>
      </c>
      <c r="F1268" s="4">
        <v>20210616</v>
      </c>
      <c r="G1268" s="4">
        <v>20240616</v>
      </c>
      <c r="H1268" s="4" t="s">
        <v>7558</v>
      </c>
      <c r="I1268" s="4" t="s">
        <v>11864</v>
      </c>
      <c r="J1268" s="4" t="s">
        <v>11863</v>
      </c>
    </row>
    <row r="1269" spans="1:10" hidden="1">
      <c r="A1269" s="4">
        <v>2.02106478210004E+17</v>
      </c>
      <c r="B1269" s="4">
        <v>4258600275</v>
      </c>
      <c r="C1269" s="4" t="s">
        <v>11862</v>
      </c>
      <c r="D1269" s="4">
        <v>47821</v>
      </c>
      <c r="E1269" s="4">
        <v>20210616</v>
      </c>
      <c r="F1269" s="4">
        <v>20210616</v>
      </c>
      <c r="G1269" s="4">
        <v>20220924</v>
      </c>
      <c r="H1269" s="4" t="s">
        <v>11861</v>
      </c>
      <c r="J1269" s="4" t="s">
        <v>4207</v>
      </c>
    </row>
    <row r="1270" spans="1:10" hidden="1">
      <c r="A1270" s="4">
        <v>2.02106422020004E+17</v>
      </c>
      <c r="B1270" s="4">
        <v>2338701406</v>
      </c>
      <c r="C1270" s="4" t="s">
        <v>11860</v>
      </c>
      <c r="D1270" s="4">
        <v>42202</v>
      </c>
      <c r="E1270" s="4">
        <v>20210616</v>
      </c>
      <c r="F1270" s="4">
        <v>20210616</v>
      </c>
      <c r="G1270" s="4">
        <v>20240616</v>
      </c>
      <c r="H1270" s="4" t="s">
        <v>11859</v>
      </c>
      <c r="J1270" s="4" t="s">
        <v>447</v>
      </c>
    </row>
    <row r="1271" spans="1:10" hidden="1">
      <c r="A1271" s="4">
        <v>2.02106339990004E+17</v>
      </c>
      <c r="B1271" s="4">
        <v>7110801838</v>
      </c>
      <c r="C1271" s="4" t="s">
        <v>11858</v>
      </c>
      <c r="D1271" s="4">
        <v>33999</v>
      </c>
      <c r="E1271" s="4">
        <v>20210616</v>
      </c>
      <c r="F1271" s="4">
        <v>20210616</v>
      </c>
      <c r="G1271" s="4">
        <v>20240616</v>
      </c>
      <c r="H1271" s="4" t="s">
        <v>11857</v>
      </c>
      <c r="J1271" s="4" t="s">
        <v>780</v>
      </c>
    </row>
    <row r="1272" spans="1:10" hidden="1">
      <c r="A1272" s="4">
        <v>2.02106464520004E+17</v>
      </c>
      <c r="B1272" s="4">
        <v>1960701328</v>
      </c>
      <c r="C1272" s="4" t="s">
        <v>11856</v>
      </c>
      <c r="D1272" s="4">
        <v>46452</v>
      </c>
      <c r="E1272" s="4">
        <v>20210616</v>
      </c>
      <c r="F1272" s="4">
        <v>20210616</v>
      </c>
      <c r="G1272" s="4">
        <v>20240616</v>
      </c>
      <c r="H1272" s="4" t="s">
        <v>11005</v>
      </c>
      <c r="I1272" s="4" t="s">
        <v>11855</v>
      </c>
      <c r="J1272" s="4" t="s">
        <v>516</v>
      </c>
    </row>
    <row r="1273" spans="1:10" hidden="1">
      <c r="A1273" s="4">
        <v>2.02106411220004E+17</v>
      </c>
      <c r="B1273" s="4">
        <v>1978602024</v>
      </c>
      <c r="C1273" s="4" t="s">
        <v>11854</v>
      </c>
      <c r="D1273" s="4">
        <v>41122</v>
      </c>
      <c r="E1273" s="4">
        <v>20210616</v>
      </c>
      <c r="F1273" s="4">
        <v>20210616</v>
      </c>
      <c r="G1273" s="4">
        <v>20240616</v>
      </c>
      <c r="H1273" s="4" t="s">
        <v>10096</v>
      </c>
      <c r="I1273" s="4" t="s">
        <v>11853</v>
      </c>
      <c r="J1273" s="4" t="s">
        <v>1368</v>
      </c>
    </row>
    <row r="1274" spans="1:10" hidden="1">
      <c r="A1274" s="4">
        <v>2.02106856690004E+17</v>
      </c>
      <c r="B1274" s="4">
        <v>8869900067</v>
      </c>
      <c r="C1274" s="4" t="s">
        <v>11852</v>
      </c>
      <c r="D1274" s="4">
        <v>85669</v>
      </c>
      <c r="E1274" s="4">
        <v>20210616</v>
      </c>
      <c r="F1274" s="4">
        <v>20210616</v>
      </c>
      <c r="G1274" s="4">
        <v>20220703</v>
      </c>
      <c r="H1274" s="4" t="s">
        <v>11851</v>
      </c>
      <c r="I1274" s="4" t="s">
        <v>185</v>
      </c>
      <c r="J1274" s="4" t="s">
        <v>3833</v>
      </c>
    </row>
    <row r="1275" spans="1:10" hidden="1">
      <c r="A1275" s="4">
        <v>2.02106259990004E+17</v>
      </c>
      <c r="B1275" s="4">
        <v>6684200825</v>
      </c>
      <c r="C1275" s="4" t="s">
        <v>11850</v>
      </c>
      <c r="D1275" s="4">
        <v>25999</v>
      </c>
      <c r="E1275" s="4">
        <v>20210616</v>
      </c>
      <c r="F1275" s="4">
        <v>20210616</v>
      </c>
      <c r="G1275" s="4">
        <v>20240616</v>
      </c>
      <c r="H1275" s="4" t="s">
        <v>11849</v>
      </c>
      <c r="I1275" s="4" t="s">
        <v>2340</v>
      </c>
      <c r="J1275" s="4" t="s">
        <v>301</v>
      </c>
    </row>
    <row r="1276" spans="1:10" hidden="1">
      <c r="A1276" s="4">
        <v>2.02106265290004E+17</v>
      </c>
      <c r="B1276" s="4">
        <v>7018701404</v>
      </c>
      <c r="C1276" s="4" t="s">
        <v>11848</v>
      </c>
      <c r="D1276" s="4">
        <v>26529</v>
      </c>
      <c r="E1276" s="4">
        <v>20210616</v>
      </c>
      <c r="F1276" s="4">
        <v>20210616</v>
      </c>
      <c r="G1276" s="4">
        <v>20240616</v>
      </c>
      <c r="H1276" s="4" t="s">
        <v>11847</v>
      </c>
      <c r="I1276" s="4" t="s">
        <v>591</v>
      </c>
      <c r="J1276" s="4" t="s">
        <v>1207</v>
      </c>
    </row>
    <row r="1277" spans="1:10" hidden="1">
      <c r="A1277" s="4">
        <v>2.02106421360004E+17</v>
      </c>
      <c r="B1277" s="4">
        <v>5418601222</v>
      </c>
      <c r="C1277" s="4" t="s">
        <v>11846</v>
      </c>
      <c r="D1277" s="4">
        <v>42136</v>
      </c>
      <c r="E1277" s="4">
        <v>20210616</v>
      </c>
      <c r="F1277" s="4">
        <v>20210616</v>
      </c>
      <c r="G1277" s="4">
        <v>20240616</v>
      </c>
      <c r="H1277" s="4" t="s">
        <v>11845</v>
      </c>
      <c r="J1277" s="4" t="s">
        <v>4913</v>
      </c>
    </row>
    <row r="1278" spans="1:10" hidden="1">
      <c r="A1278" s="4">
        <v>2.02106701300004E+17</v>
      </c>
      <c r="B1278" s="4">
        <v>4408701187</v>
      </c>
      <c r="C1278" s="4" t="s">
        <v>11844</v>
      </c>
      <c r="D1278" s="4">
        <v>70130</v>
      </c>
      <c r="E1278" s="4">
        <v>20210616</v>
      </c>
      <c r="F1278" s="4">
        <v>20210616</v>
      </c>
      <c r="G1278" s="4">
        <v>20240616</v>
      </c>
      <c r="H1278" s="4" t="s">
        <v>3483</v>
      </c>
      <c r="I1278" s="4" t="s">
        <v>11843</v>
      </c>
      <c r="J1278" s="4" t="s">
        <v>170</v>
      </c>
    </row>
    <row r="1279" spans="1:10" hidden="1">
      <c r="A1279" s="4">
        <v>2.02106582220004E+17</v>
      </c>
      <c r="B1279" s="4">
        <v>2768801002</v>
      </c>
      <c r="C1279" s="4" t="s">
        <v>11842</v>
      </c>
      <c r="D1279" s="4">
        <v>58222</v>
      </c>
      <c r="E1279" s="4">
        <v>20210616</v>
      </c>
      <c r="F1279" s="4">
        <v>20210616</v>
      </c>
      <c r="G1279" s="4">
        <v>20240616</v>
      </c>
      <c r="H1279" s="4" t="s">
        <v>11841</v>
      </c>
      <c r="I1279" s="4" t="s">
        <v>11840</v>
      </c>
      <c r="J1279" s="4" t="s">
        <v>94</v>
      </c>
    </row>
    <row r="1280" spans="1:10" hidden="1">
      <c r="A1280" s="4">
        <v>2.02106291420004E+17</v>
      </c>
      <c r="B1280" s="4">
        <v>4178701979</v>
      </c>
      <c r="C1280" s="4" t="s">
        <v>11839</v>
      </c>
      <c r="D1280" s="4">
        <v>29142</v>
      </c>
      <c r="E1280" s="4">
        <v>20210616</v>
      </c>
      <c r="F1280" s="4">
        <v>20210616</v>
      </c>
      <c r="G1280" s="4">
        <v>20240616</v>
      </c>
      <c r="H1280" s="4" t="s">
        <v>11838</v>
      </c>
      <c r="J1280" s="4" t="s">
        <v>8321</v>
      </c>
    </row>
    <row r="1281" spans="1:10" hidden="1">
      <c r="A1281" s="4">
        <v>2.02106465100004E+17</v>
      </c>
      <c r="B1281" s="4">
        <v>7908801401</v>
      </c>
      <c r="C1281" s="4" t="s">
        <v>11837</v>
      </c>
      <c r="D1281" s="4">
        <v>46510</v>
      </c>
      <c r="E1281" s="4">
        <v>20210616</v>
      </c>
      <c r="F1281" s="4">
        <v>20210616</v>
      </c>
      <c r="G1281" s="4">
        <v>20240616</v>
      </c>
      <c r="H1281" s="4" t="s">
        <v>11836</v>
      </c>
      <c r="I1281" s="4" t="s">
        <v>11835</v>
      </c>
      <c r="J1281" s="4" t="s">
        <v>126</v>
      </c>
    </row>
    <row r="1282" spans="1:10" hidden="1">
      <c r="A1282" s="4">
        <v>2.02106639910004E+17</v>
      </c>
      <c r="B1282" s="4">
        <v>8708601815</v>
      </c>
      <c r="C1282" s="4" t="s">
        <v>11834</v>
      </c>
      <c r="D1282" s="4">
        <v>63991</v>
      </c>
      <c r="E1282" s="4">
        <v>20210616</v>
      </c>
      <c r="F1282" s="4">
        <v>20210616</v>
      </c>
      <c r="G1282" s="4">
        <v>20240616</v>
      </c>
      <c r="H1282" s="4" t="s">
        <v>11833</v>
      </c>
      <c r="I1282" s="4" t="s">
        <v>11832</v>
      </c>
      <c r="J1282" s="4" t="s">
        <v>395</v>
      </c>
    </row>
    <row r="1283" spans="1:10" hidden="1">
      <c r="A1283" s="4">
        <v>2.02106281230004E+17</v>
      </c>
      <c r="B1283" s="4">
        <v>8838101460</v>
      </c>
      <c r="C1283" s="4" t="s">
        <v>11831</v>
      </c>
      <c r="D1283" s="4">
        <v>28123</v>
      </c>
      <c r="E1283" s="4">
        <v>20210616</v>
      </c>
      <c r="F1283" s="4">
        <v>20210616</v>
      </c>
      <c r="G1283" s="4">
        <v>20240616</v>
      </c>
      <c r="H1283" s="4" t="s">
        <v>11830</v>
      </c>
      <c r="J1283" s="4" t="s">
        <v>640</v>
      </c>
    </row>
    <row r="1284" spans="1:10" hidden="1">
      <c r="A1284" s="4">
        <v>2.02106132290004E+17</v>
      </c>
      <c r="B1284" s="4">
        <v>6748601726</v>
      </c>
      <c r="C1284" s="4" t="s">
        <v>11829</v>
      </c>
      <c r="D1284" s="4">
        <v>13229</v>
      </c>
      <c r="E1284" s="4">
        <v>20210616</v>
      </c>
      <c r="F1284" s="4">
        <v>20210616</v>
      </c>
      <c r="G1284" s="4">
        <v>20240616</v>
      </c>
      <c r="H1284" s="4" t="s">
        <v>11828</v>
      </c>
      <c r="J1284" s="4" t="s">
        <v>115</v>
      </c>
    </row>
    <row r="1285" spans="1:10" hidden="1">
      <c r="A1285" s="4">
        <v>2.02106411120004E+17</v>
      </c>
      <c r="B1285" s="4">
        <v>3588600335</v>
      </c>
      <c r="C1285" s="4" t="s">
        <v>11827</v>
      </c>
      <c r="D1285" s="4">
        <v>41112</v>
      </c>
      <c r="E1285" s="4">
        <v>20210616</v>
      </c>
      <c r="F1285" s="4">
        <v>20210616</v>
      </c>
      <c r="G1285" s="4">
        <v>20230219</v>
      </c>
      <c r="H1285" s="4" t="s">
        <v>11826</v>
      </c>
      <c r="I1285" s="4" t="s">
        <v>142</v>
      </c>
      <c r="J1285" s="4" t="s">
        <v>11825</v>
      </c>
    </row>
    <row r="1286" spans="1:10" hidden="1">
      <c r="A1286" s="4">
        <v>2.02106468000004E+17</v>
      </c>
      <c r="B1286" s="4">
        <v>3078150230</v>
      </c>
      <c r="C1286" s="4" t="s">
        <v>11824</v>
      </c>
      <c r="D1286" s="4">
        <v>46800</v>
      </c>
      <c r="E1286" s="4">
        <v>20210615</v>
      </c>
      <c r="F1286" s="4">
        <v>20210615</v>
      </c>
      <c r="G1286" s="4">
        <v>20240615</v>
      </c>
      <c r="H1286" s="4" t="s">
        <v>11823</v>
      </c>
      <c r="I1286" s="4" t="s">
        <v>591</v>
      </c>
      <c r="J1286" s="4" t="s">
        <v>979</v>
      </c>
    </row>
    <row r="1287" spans="1:10" hidden="1">
      <c r="A1287" s="4">
        <v>2.02106582220004E+17</v>
      </c>
      <c r="B1287" s="4">
        <v>6408101499</v>
      </c>
      <c r="C1287" s="4" t="s">
        <v>11822</v>
      </c>
      <c r="D1287" s="4">
        <v>58222</v>
      </c>
      <c r="E1287" s="4">
        <v>20210615</v>
      </c>
      <c r="F1287" s="4">
        <v>20210615</v>
      </c>
      <c r="G1287" s="4">
        <v>20240615</v>
      </c>
      <c r="H1287" s="4" t="s">
        <v>11821</v>
      </c>
      <c r="I1287" s="4" t="s">
        <v>11820</v>
      </c>
      <c r="J1287" s="4" t="s">
        <v>94</v>
      </c>
    </row>
    <row r="1288" spans="1:10" hidden="1">
      <c r="A1288" s="4">
        <v>2.02106582220004E+17</v>
      </c>
      <c r="B1288" s="4">
        <v>3978800033</v>
      </c>
      <c r="C1288" s="4" t="s">
        <v>11819</v>
      </c>
      <c r="D1288" s="4">
        <v>58222</v>
      </c>
      <c r="E1288" s="4">
        <v>20210615</v>
      </c>
      <c r="F1288" s="4">
        <v>20210615</v>
      </c>
      <c r="G1288" s="4">
        <v>20220309</v>
      </c>
      <c r="H1288" s="4" t="s">
        <v>4685</v>
      </c>
      <c r="I1288" s="4" t="s">
        <v>11818</v>
      </c>
      <c r="J1288" s="4" t="s">
        <v>94</v>
      </c>
    </row>
    <row r="1289" spans="1:10" hidden="1">
      <c r="A1289" s="4">
        <v>2.02106272130004E+17</v>
      </c>
      <c r="B1289" s="4">
        <v>4228101552</v>
      </c>
      <c r="C1289" s="4" t="s">
        <v>11817</v>
      </c>
      <c r="D1289" s="4">
        <v>27213</v>
      </c>
      <c r="E1289" s="4">
        <v>20210615</v>
      </c>
      <c r="F1289" s="4">
        <v>20210615</v>
      </c>
      <c r="G1289" s="4">
        <v>20240615</v>
      </c>
      <c r="H1289" s="4" t="s">
        <v>5139</v>
      </c>
      <c r="I1289" s="4" t="s">
        <v>11816</v>
      </c>
      <c r="J1289" s="4" t="s">
        <v>264</v>
      </c>
    </row>
    <row r="1290" spans="1:10" hidden="1">
      <c r="A1290" s="4">
        <v>2.02106271120004E+17</v>
      </c>
      <c r="B1290" s="4">
        <v>4618101635</v>
      </c>
      <c r="C1290" s="4" t="s">
        <v>11815</v>
      </c>
      <c r="D1290" s="4">
        <v>27112</v>
      </c>
      <c r="E1290" s="4">
        <v>20210615</v>
      </c>
      <c r="F1290" s="4">
        <v>20210615</v>
      </c>
      <c r="G1290" s="4">
        <v>20240615</v>
      </c>
      <c r="H1290" s="4" t="s">
        <v>7077</v>
      </c>
      <c r="I1290" s="4" t="s">
        <v>11814</v>
      </c>
      <c r="J1290" s="4" t="s">
        <v>1254</v>
      </c>
    </row>
    <row r="1291" spans="1:10" hidden="1">
      <c r="A1291" s="4">
        <v>2.02106715310004E+17</v>
      </c>
      <c r="B1291" s="4">
        <v>4158157422</v>
      </c>
      <c r="C1291" s="4" t="s">
        <v>11813</v>
      </c>
      <c r="D1291" s="4">
        <v>71531</v>
      </c>
      <c r="E1291" s="4">
        <v>20210615</v>
      </c>
      <c r="F1291" s="4">
        <v>20210615</v>
      </c>
      <c r="G1291" s="4">
        <v>20240615</v>
      </c>
      <c r="H1291" s="4" t="s">
        <v>11812</v>
      </c>
      <c r="I1291" s="4" t="s">
        <v>11811</v>
      </c>
      <c r="J1291" s="4" t="s">
        <v>87</v>
      </c>
    </row>
    <row r="1292" spans="1:10" hidden="1">
      <c r="A1292" s="4">
        <v>2.02106582220004E+17</v>
      </c>
      <c r="B1292" s="4">
        <v>1358654558</v>
      </c>
      <c r="C1292" s="4" t="s">
        <v>11810</v>
      </c>
      <c r="D1292" s="4">
        <v>58222</v>
      </c>
      <c r="E1292" s="4">
        <v>20210615</v>
      </c>
      <c r="F1292" s="4">
        <v>20210615</v>
      </c>
      <c r="G1292" s="4">
        <v>20240615</v>
      </c>
      <c r="H1292" s="4" t="s">
        <v>9750</v>
      </c>
      <c r="I1292" s="4" t="s">
        <v>11809</v>
      </c>
      <c r="J1292" s="4" t="s">
        <v>94</v>
      </c>
    </row>
    <row r="1293" spans="1:10" hidden="1">
      <c r="A1293" s="4">
        <v>2.02106715310004E+17</v>
      </c>
      <c r="B1293" s="4">
        <v>2718701257</v>
      </c>
      <c r="C1293" s="4" t="s">
        <v>11808</v>
      </c>
      <c r="D1293" s="4">
        <v>71531</v>
      </c>
      <c r="E1293" s="4">
        <v>20210615</v>
      </c>
      <c r="F1293" s="4">
        <v>20210615</v>
      </c>
      <c r="G1293" s="4">
        <v>20240615</v>
      </c>
      <c r="H1293" s="4" t="s">
        <v>2884</v>
      </c>
      <c r="I1293" s="4" t="s">
        <v>11807</v>
      </c>
      <c r="J1293" s="4" t="s">
        <v>87</v>
      </c>
    </row>
    <row r="1294" spans="1:10" hidden="1">
      <c r="A1294" s="4">
        <v>2.02106468000004E+17</v>
      </c>
      <c r="B1294" s="4">
        <v>4928701515</v>
      </c>
      <c r="C1294" s="4" t="s">
        <v>11806</v>
      </c>
      <c r="D1294" s="4">
        <v>46800</v>
      </c>
      <c r="E1294" s="4">
        <v>20210615</v>
      </c>
      <c r="F1294" s="4">
        <v>20210615</v>
      </c>
      <c r="G1294" s="4">
        <v>20240615</v>
      </c>
      <c r="H1294" s="4" t="s">
        <v>11805</v>
      </c>
      <c r="I1294" s="4">
        <v>1202</v>
      </c>
      <c r="J1294" s="4" t="s">
        <v>979</v>
      </c>
    </row>
    <row r="1295" spans="1:10" hidden="1">
      <c r="A1295" s="4">
        <v>2.02106272130004E+17</v>
      </c>
      <c r="B1295" s="4">
        <v>4768602102</v>
      </c>
      <c r="C1295" s="4" t="s">
        <v>11804</v>
      </c>
      <c r="D1295" s="4">
        <v>27213</v>
      </c>
      <c r="E1295" s="4">
        <v>20210615</v>
      </c>
      <c r="F1295" s="4">
        <v>20210615</v>
      </c>
      <c r="G1295" s="4">
        <v>20240615</v>
      </c>
      <c r="H1295" s="4" t="s">
        <v>1948</v>
      </c>
      <c r="I1295" s="4" t="s">
        <v>11803</v>
      </c>
      <c r="J1295" s="4" t="s">
        <v>264</v>
      </c>
    </row>
    <row r="1296" spans="1:10" hidden="1">
      <c r="A1296" s="4">
        <v>2.02106261290004E+17</v>
      </c>
      <c r="B1296" s="4">
        <v>4018700015</v>
      </c>
      <c r="C1296" s="4" t="s">
        <v>11802</v>
      </c>
      <c r="D1296" s="4">
        <v>26129</v>
      </c>
      <c r="E1296" s="4">
        <v>20210615</v>
      </c>
      <c r="F1296" s="4">
        <v>20210615</v>
      </c>
      <c r="G1296" s="4">
        <v>20220224</v>
      </c>
      <c r="H1296" s="4" t="s">
        <v>3483</v>
      </c>
      <c r="I1296" s="4" t="s">
        <v>11801</v>
      </c>
      <c r="J1296" s="4" t="s">
        <v>403</v>
      </c>
    </row>
    <row r="1297" spans="1:10" hidden="1">
      <c r="A1297" s="4">
        <v>2.02106423210004E+17</v>
      </c>
      <c r="B1297" s="4">
        <v>3678101672</v>
      </c>
      <c r="C1297" s="4" t="s">
        <v>11800</v>
      </c>
      <c r="D1297" s="4">
        <v>42321</v>
      </c>
      <c r="E1297" s="4">
        <v>20210615</v>
      </c>
      <c r="F1297" s="4">
        <v>20210615</v>
      </c>
      <c r="G1297" s="4">
        <v>20240615</v>
      </c>
      <c r="H1297" s="4" t="s">
        <v>11799</v>
      </c>
      <c r="I1297" s="4" t="s">
        <v>11798</v>
      </c>
      <c r="J1297" s="4" t="s">
        <v>698</v>
      </c>
    </row>
    <row r="1298" spans="1:10" hidden="1">
      <c r="A1298" s="4">
        <v>2.02106291200004E+17</v>
      </c>
      <c r="B1298" s="4">
        <v>7348801018</v>
      </c>
      <c r="C1298" s="4" t="s">
        <v>11797</v>
      </c>
      <c r="D1298" s="4">
        <v>29120</v>
      </c>
      <c r="E1298" s="4">
        <v>20210615</v>
      </c>
      <c r="F1298" s="4">
        <v>20210615</v>
      </c>
      <c r="G1298" s="4">
        <v>20240615</v>
      </c>
      <c r="H1298" s="4" t="s">
        <v>11796</v>
      </c>
      <c r="J1298" s="4" t="s">
        <v>1188</v>
      </c>
    </row>
    <row r="1299" spans="1:10" hidden="1">
      <c r="A1299" s="4">
        <v>2.02106262990004E+17</v>
      </c>
      <c r="B1299" s="4">
        <v>6368700042</v>
      </c>
      <c r="C1299" s="4" t="s">
        <v>11795</v>
      </c>
      <c r="D1299" s="4">
        <v>26299</v>
      </c>
      <c r="E1299" s="4">
        <v>20210615</v>
      </c>
      <c r="F1299" s="4">
        <v>20210615</v>
      </c>
      <c r="G1299" s="4">
        <v>20220316</v>
      </c>
      <c r="H1299" s="4" t="s">
        <v>9258</v>
      </c>
      <c r="I1299" s="4" t="s">
        <v>11794</v>
      </c>
      <c r="J1299" s="4" t="s">
        <v>339</v>
      </c>
    </row>
    <row r="1300" spans="1:10" hidden="1">
      <c r="A1300" s="4">
        <v>2.02106222220004E+17</v>
      </c>
      <c r="B1300" s="4">
        <v>1758702152</v>
      </c>
      <c r="C1300" s="4" t="s">
        <v>11793</v>
      </c>
      <c r="D1300" s="4">
        <v>22222</v>
      </c>
      <c r="E1300" s="4">
        <v>20210615</v>
      </c>
      <c r="F1300" s="4">
        <v>20210615</v>
      </c>
      <c r="G1300" s="4">
        <v>20240615</v>
      </c>
      <c r="H1300" s="4" t="s">
        <v>11792</v>
      </c>
      <c r="I1300" s="4" t="s">
        <v>938</v>
      </c>
      <c r="J1300" s="4" t="s">
        <v>5939</v>
      </c>
    </row>
    <row r="1301" spans="1:10" hidden="1">
      <c r="A1301" s="4">
        <v>2.02106465990004E+17</v>
      </c>
      <c r="B1301" s="4">
        <v>5538800860</v>
      </c>
      <c r="C1301" s="4" t="s">
        <v>11791</v>
      </c>
      <c r="D1301" s="4">
        <v>46599</v>
      </c>
      <c r="E1301" s="4">
        <v>20210615</v>
      </c>
      <c r="F1301" s="4">
        <v>20210615</v>
      </c>
      <c r="G1301" s="4">
        <v>20240615</v>
      </c>
      <c r="H1301" s="4" t="s">
        <v>11790</v>
      </c>
      <c r="J1301" s="4" t="s">
        <v>2310</v>
      </c>
    </row>
    <row r="1302" spans="1:10" hidden="1">
      <c r="A1302" s="4">
        <v>2.02106582220004E+17</v>
      </c>
      <c r="B1302" s="4">
        <v>4358701623</v>
      </c>
      <c r="C1302" s="4" t="s">
        <v>11789</v>
      </c>
      <c r="D1302" s="4">
        <v>58222</v>
      </c>
      <c r="E1302" s="4">
        <v>20210615</v>
      </c>
      <c r="F1302" s="4">
        <v>20210615</v>
      </c>
      <c r="G1302" s="4">
        <v>20240615</v>
      </c>
      <c r="H1302" s="4" t="s">
        <v>2326</v>
      </c>
      <c r="I1302" s="4" t="s">
        <v>11788</v>
      </c>
      <c r="J1302" s="4" t="s">
        <v>94</v>
      </c>
    </row>
    <row r="1303" spans="1:10" hidden="1">
      <c r="A1303" s="4">
        <v>2.02106479120004E+17</v>
      </c>
      <c r="B1303" s="4">
        <v>5392501058</v>
      </c>
      <c r="C1303" s="4" t="s">
        <v>11787</v>
      </c>
      <c r="D1303" s="4">
        <v>47912</v>
      </c>
      <c r="E1303" s="4">
        <v>20210615</v>
      </c>
      <c r="F1303" s="4">
        <v>20210615</v>
      </c>
      <c r="G1303" s="4">
        <v>20240615</v>
      </c>
      <c r="H1303" s="4" t="s">
        <v>11786</v>
      </c>
      <c r="I1303" s="4" t="s">
        <v>11785</v>
      </c>
      <c r="J1303" s="4" t="s">
        <v>78</v>
      </c>
    </row>
    <row r="1304" spans="1:10" hidden="1">
      <c r="A1304" s="4">
        <v>2.02106464520004E+17</v>
      </c>
      <c r="B1304" s="4">
        <v>1563400967</v>
      </c>
      <c r="C1304" s="4" t="s">
        <v>11784</v>
      </c>
      <c r="D1304" s="4">
        <v>46452</v>
      </c>
      <c r="E1304" s="4">
        <v>20210615</v>
      </c>
      <c r="F1304" s="4">
        <v>20210615</v>
      </c>
      <c r="G1304" s="4">
        <v>20240615</v>
      </c>
      <c r="H1304" s="4" t="s">
        <v>11215</v>
      </c>
      <c r="I1304" s="4" t="s">
        <v>2225</v>
      </c>
      <c r="J1304" s="4" t="s">
        <v>516</v>
      </c>
    </row>
    <row r="1305" spans="1:10" hidden="1">
      <c r="A1305" s="4">
        <v>2.02106715310004E+17</v>
      </c>
      <c r="B1305" s="4">
        <v>4328801368</v>
      </c>
      <c r="C1305" s="4" t="s">
        <v>11783</v>
      </c>
      <c r="D1305" s="4">
        <v>71531</v>
      </c>
      <c r="E1305" s="4">
        <v>20210615</v>
      </c>
      <c r="F1305" s="4">
        <v>20210615</v>
      </c>
      <c r="G1305" s="4">
        <v>20240615</v>
      </c>
      <c r="H1305" s="4" t="s">
        <v>11782</v>
      </c>
      <c r="J1305" s="4" t="s">
        <v>87</v>
      </c>
    </row>
    <row r="1306" spans="1:10" hidden="1">
      <c r="A1306" s="4">
        <v>2.02106759920004E+17</v>
      </c>
      <c r="B1306" s="4">
        <v>8202601155</v>
      </c>
      <c r="C1306" s="4" t="s">
        <v>11781</v>
      </c>
      <c r="D1306" s="4">
        <v>75992</v>
      </c>
      <c r="E1306" s="4">
        <v>20210615</v>
      </c>
      <c r="F1306" s="4">
        <v>20210615</v>
      </c>
      <c r="G1306" s="4">
        <v>20240615</v>
      </c>
      <c r="H1306" s="4" t="s">
        <v>11780</v>
      </c>
      <c r="I1306" s="4" t="s">
        <v>11779</v>
      </c>
      <c r="J1306" s="4" t="s">
        <v>111</v>
      </c>
    </row>
    <row r="1307" spans="1:10" hidden="1">
      <c r="A1307" s="4">
        <v>2.02106582220004E+17</v>
      </c>
      <c r="B1307" s="4">
        <v>3075600489</v>
      </c>
      <c r="C1307" s="4" t="s">
        <v>11778</v>
      </c>
      <c r="D1307" s="4">
        <v>58222</v>
      </c>
      <c r="E1307" s="4">
        <v>20210615</v>
      </c>
      <c r="F1307" s="4">
        <v>20210615</v>
      </c>
      <c r="G1307" s="4">
        <v>20240615</v>
      </c>
      <c r="H1307" s="4" t="s">
        <v>11777</v>
      </c>
      <c r="I1307" s="4" t="s">
        <v>11776</v>
      </c>
      <c r="J1307" s="4" t="s">
        <v>94</v>
      </c>
    </row>
    <row r="1308" spans="1:10" hidden="1">
      <c r="A1308" s="4">
        <v>2.02106716000004E+17</v>
      </c>
      <c r="B1308" s="4">
        <v>3938601322</v>
      </c>
      <c r="C1308" s="4" t="s">
        <v>11775</v>
      </c>
      <c r="D1308" s="4">
        <v>71600</v>
      </c>
      <c r="E1308" s="4">
        <v>20210615</v>
      </c>
      <c r="F1308" s="4">
        <v>20210615</v>
      </c>
      <c r="G1308" s="4">
        <v>20240615</v>
      </c>
      <c r="H1308" s="4" t="s">
        <v>11774</v>
      </c>
      <c r="I1308" s="4" t="s">
        <v>149</v>
      </c>
      <c r="J1308" s="4" t="s">
        <v>1783</v>
      </c>
    </row>
    <row r="1309" spans="1:10">
      <c r="A1309" s="4">
        <v>2.02106181190004E+17</v>
      </c>
      <c r="B1309" s="4">
        <v>4718602198</v>
      </c>
      <c r="C1309" s="4" t="s">
        <v>10949</v>
      </c>
      <c r="D1309" s="4">
        <v>18119</v>
      </c>
      <c r="E1309" s="4">
        <v>20210608</v>
      </c>
      <c r="F1309" s="4">
        <v>20210608</v>
      </c>
      <c r="G1309" s="4">
        <v>20240608</v>
      </c>
      <c r="H1309" s="4" t="s">
        <v>10948</v>
      </c>
      <c r="I1309" s="4" t="s">
        <v>10947</v>
      </c>
      <c r="J1309" s="4" t="s">
        <v>707</v>
      </c>
    </row>
    <row r="1310" spans="1:10" hidden="1">
      <c r="A1310" s="4">
        <v>2.02106639910004E+17</v>
      </c>
      <c r="B1310" s="4">
        <v>5478102087</v>
      </c>
      <c r="C1310" s="4" t="s">
        <v>11771</v>
      </c>
      <c r="D1310" s="4">
        <v>63991</v>
      </c>
      <c r="E1310" s="4">
        <v>20210615</v>
      </c>
      <c r="F1310" s="4">
        <v>20210615</v>
      </c>
      <c r="G1310" s="4">
        <v>20240615</v>
      </c>
      <c r="H1310" s="4" t="s">
        <v>1714</v>
      </c>
      <c r="I1310" s="4" t="s">
        <v>11770</v>
      </c>
      <c r="J1310" s="4" t="s">
        <v>395</v>
      </c>
    </row>
    <row r="1311" spans="1:10" hidden="1">
      <c r="A1311" s="4">
        <v>2.02106639910004E+17</v>
      </c>
      <c r="B1311" s="4">
        <v>1178601693</v>
      </c>
      <c r="C1311" s="4" t="s">
        <v>11769</v>
      </c>
      <c r="D1311" s="4">
        <v>63991</v>
      </c>
      <c r="E1311" s="4">
        <v>20210615</v>
      </c>
      <c r="F1311" s="4">
        <v>20210615</v>
      </c>
      <c r="G1311" s="4">
        <v>20240615</v>
      </c>
      <c r="H1311" s="4" t="s">
        <v>11768</v>
      </c>
      <c r="I1311" s="4" t="s">
        <v>496</v>
      </c>
      <c r="J1311" s="4" t="s">
        <v>395</v>
      </c>
    </row>
    <row r="1312" spans="1:10" hidden="1">
      <c r="A1312" s="4">
        <v>2.02106713100004E+17</v>
      </c>
      <c r="B1312" s="4">
        <v>2513100602</v>
      </c>
      <c r="C1312" s="4" t="s">
        <v>11767</v>
      </c>
      <c r="D1312" s="4">
        <v>71310</v>
      </c>
      <c r="E1312" s="4">
        <v>20210615</v>
      </c>
      <c r="F1312" s="4">
        <v>20210615</v>
      </c>
      <c r="G1312" s="4">
        <v>20240615</v>
      </c>
      <c r="H1312" s="4" t="s">
        <v>11766</v>
      </c>
      <c r="I1312" s="4" t="s">
        <v>11765</v>
      </c>
      <c r="J1312" s="4" t="s">
        <v>426</v>
      </c>
    </row>
    <row r="1313" spans="1:10" hidden="1">
      <c r="A1313" s="4">
        <v>2.02106464310004E+17</v>
      </c>
      <c r="B1313" s="4">
        <v>5138189887</v>
      </c>
      <c r="C1313" s="4" t="s">
        <v>11764</v>
      </c>
      <c r="D1313" s="4">
        <v>46431</v>
      </c>
      <c r="E1313" s="4">
        <v>20210615</v>
      </c>
      <c r="F1313" s="4">
        <v>20210615</v>
      </c>
      <c r="G1313" s="4">
        <v>20230509</v>
      </c>
      <c r="H1313" s="4" t="s">
        <v>11763</v>
      </c>
      <c r="I1313" s="4" t="s">
        <v>11762</v>
      </c>
      <c r="J1313" s="4" t="s">
        <v>2911</v>
      </c>
    </row>
    <row r="1314" spans="1:10" hidden="1">
      <c r="A1314" s="4">
        <v>2.02106857090004E+17</v>
      </c>
      <c r="B1314" s="4">
        <v>2868700056</v>
      </c>
      <c r="C1314" s="4" t="s">
        <v>11761</v>
      </c>
      <c r="D1314" s="4">
        <v>85709</v>
      </c>
      <c r="E1314" s="4">
        <v>20210615</v>
      </c>
      <c r="F1314" s="4">
        <v>20210615</v>
      </c>
      <c r="G1314" s="4">
        <v>20220406</v>
      </c>
      <c r="H1314" s="4" t="s">
        <v>11760</v>
      </c>
      <c r="I1314" s="4" t="s">
        <v>11759</v>
      </c>
      <c r="J1314" s="4" t="s">
        <v>141</v>
      </c>
    </row>
    <row r="1315" spans="1:10" hidden="1">
      <c r="A1315" s="4">
        <v>2.02106721110004E+17</v>
      </c>
      <c r="B1315" s="4">
        <v>2996200457</v>
      </c>
      <c r="C1315" s="4" t="s">
        <v>11758</v>
      </c>
      <c r="D1315" s="4">
        <v>72111</v>
      </c>
      <c r="E1315" s="4">
        <v>20210615</v>
      </c>
      <c r="F1315" s="4">
        <v>20210615</v>
      </c>
      <c r="G1315" s="4">
        <v>20240615</v>
      </c>
      <c r="H1315" s="4" t="s">
        <v>11757</v>
      </c>
      <c r="I1315" s="4" t="s">
        <v>11756</v>
      </c>
      <c r="J1315" s="4" t="s">
        <v>3461</v>
      </c>
    </row>
    <row r="1316" spans="1:10" hidden="1">
      <c r="A1316" s="4">
        <v>2.02106222490004E+17</v>
      </c>
      <c r="B1316" s="4">
        <v>4644600556</v>
      </c>
      <c r="C1316" s="4" t="s">
        <v>11755</v>
      </c>
      <c r="D1316" s="4">
        <v>22249</v>
      </c>
      <c r="E1316" s="4">
        <v>20210615</v>
      </c>
      <c r="F1316" s="4">
        <v>20210615</v>
      </c>
      <c r="G1316" s="4">
        <v>20240615</v>
      </c>
      <c r="H1316" s="4" t="s">
        <v>11754</v>
      </c>
      <c r="J1316" s="4" t="s">
        <v>3931</v>
      </c>
    </row>
    <row r="1317" spans="1:10" hidden="1">
      <c r="A1317" s="4">
        <v>2.02106639910004E+17</v>
      </c>
      <c r="B1317" s="4">
        <v>2858101201</v>
      </c>
      <c r="C1317" s="4" t="s">
        <v>11753</v>
      </c>
      <c r="D1317" s="4">
        <v>63991</v>
      </c>
      <c r="E1317" s="4">
        <v>20210615</v>
      </c>
      <c r="F1317" s="4">
        <v>20210615</v>
      </c>
      <c r="G1317" s="4">
        <v>20240615</v>
      </c>
      <c r="H1317" s="4" t="s">
        <v>1525</v>
      </c>
      <c r="I1317" s="4" t="s">
        <v>11752</v>
      </c>
      <c r="J1317" s="4" t="s">
        <v>395</v>
      </c>
    </row>
    <row r="1318" spans="1:10" hidden="1">
      <c r="A1318" s="4">
        <v>2.02106339100004E+17</v>
      </c>
      <c r="B1318" s="4">
        <v>5576300419</v>
      </c>
      <c r="C1318" s="4" t="s">
        <v>11751</v>
      </c>
      <c r="D1318" s="4">
        <v>33910</v>
      </c>
      <c r="E1318" s="4">
        <v>20210615</v>
      </c>
      <c r="F1318" s="4">
        <v>20210615</v>
      </c>
      <c r="G1318" s="4">
        <v>20240615</v>
      </c>
      <c r="H1318" s="4" t="s">
        <v>6404</v>
      </c>
      <c r="I1318" s="4" t="s">
        <v>11750</v>
      </c>
      <c r="J1318" s="4" t="s">
        <v>310</v>
      </c>
    </row>
    <row r="1319" spans="1:10" hidden="1">
      <c r="A1319" s="4">
        <v>2.02106303990004E+17</v>
      </c>
      <c r="B1319" s="4">
        <v>7658101497</v>
      </c>
      <c r="C1319" s="4" t="s">
        <v>11749</v>
      </c>
      <c r="D1319" s="4">
        <v>30399</v>
      </c>
      <c r="E1319" s="4">
        <v>20210615</v>
      </c>
      <c r="F1319" s="4">
        <v>20210615</v>
      </c>
      <c r="G1319" s="4">
        <v>20240615</v>
      </c>
      <c r="H1319" s="4" t="s">
        <v>11748</v>
      </c>
      <c r="J1319" s="4" t="s">
        <v>1763</v>
      </c>
    </row>
    <row r="1320" spans="1:10" hidden="1">
      <c r="A1320" s="4">
        <v>2.02106857010004E+17</v>
      </c>
      <c r="B1320" s="4">
        <v>7768101352</v>
      </c>
      <c r="C1320" s="4" t="s">
        <v>11747</v>
      </c>
      <c r="D1320" s="4">
        <v>85701</v>
      </c>
      <c r="E1320" s="4">
        <v>20210615</v>
      </c>
      <c r="F1320" s="4">
        <v>20210615</v>
      </c>
      <c r="G1320" s="4">
        <v>20240615</v>
      </c>
      <c r="H1320" s="4" t="s">
        <v>11746</v>
      </c>
      <c r="J1320" s="4" t="s">
        <v>11745</v>
      </c>
    </row>
    <row r="1321" spans="1:10" hidden="1">
      <c r="A1321" s="4">
        <v>2.02106729190004E+17</v>
      </c>
      <c r="B1321" s="4">
        <v>7738701108</v>
      </c>
      <c r="C1321" s="4" t="s">
        <v>11744</v>
      </c>
      <c r="D1321" s="4">
        <v>72919</v>
      </c>
      <c r="E1321" s="4">
        <v>20210615</v>
      </c>
      <c r="F1321" s="4">
        <v>20210615</v>
      </c>
      <c r="G1321" s="4">
        <v>20240615</v>
      </c>
      <c r="H1321" s="4" t="s">
        <v>2607</v>
      </c>
      <c r="I1321" s="4" t="s">
        <v>11743</v>
      </c>
      <c r="J1321" s="4" t="s">
        <v>6865</v>
      </c>
    </row>
    <row r="1322" spans="1:10" hidden="1">
      <c r="A1322" s="4">
        <v>2.02106464430004E+17</v>
      </c>
      <c r="B1322" s="4">
        <v>7148702113</v>
      </c>
      <c r="C1322" s="4" t="s">
        <v>11742</v>
      </c>
      <c r="D1322" s="4">
        <v>46443</v>
      </c>
      <c r="E1322" s="4">
        <v>20210615</v>
      </c>
      <c r="F1322" s="4">
        <v>20210615</v>
      </c>
      <c r="G1322" s="4">
        <v>20240615</v>
      </c>
      <c r="H1322" s="4" t="s">
        <v>11741</v>
      </c>
      <c r="I1322" s="4" t="s">
        <v>175</v>
      </c>
      <c r="J1322" s="4" t="s">
        <v>1379</v>
      </c>
    </row>
    <row r="1323" spans="1:10" hidden="1">
      <c r="A1323" s="4">
        <v>2.02106292990004E+17</v>
      </c>
      <c r="B1323" s="4">
        <v>5914200791</v>
      </c>
      <c r="C1323" s="4" t="s">
        <v>11740</v>
      </c>
      <c r="D1323" s="4">
        <v>29299</v>
      </c>
      <c r="E1323" s="4">
        <v>20210615</v>
      </c>
      <c r="F1323" s="4">
        <v>20210615</v>
      </c>
      <c r="G1323" s="4">
        <v>20240615</v>
      </c>
      <c r="H1323" s="4" t="s">
        <v>11739</v>
      </c>
      <c r="I1323" s="4" t="s">
        <v>11738</v>
      </c>
      <c r="J1323" s="4" t="s">
        <v>137</v>
      </c>
    </row>
    <row r="1324" spans="1:10" hidden="1">
      <c r="A1324" s="4">
        <v>2.02106271940004E+17</v>
      </c>
      <c r="B1324" s="4">
        <v>7156500265</v>
      </c>
      <c r="C1324" s="4" t="s">
        <v>11737</v>
      </c>
      <c r="D1324" s="4">
        <v>27194</v>
      </c>
      <c r="E1324" s="4">
        <v>20210615</v>
      </c>
      <c r="F1324" s="4">
        <v>20210615</v>
      </c>
      <c r="G1324" s="4">
        <v>20240615</v>
      </c>
      <c r="H1324" s="4" t="s">
        <v>11736</v>
      </c>
      <c r="I1324" s="4" t="s">
        <v>938</v>
      </c>
      <c r="J1324" s="4" t="s">
        <v>11735</v>
      </c>
    </row>
    <row r="1325" spans="1:10" hidden="1">
      <c r="A1325" s="4">
        <v>2.02106701130004E+17</v>
      </c>
      <c r="B1325" s="4">
        <v>1658701568</v>
      </c>
      <c r="C1325" s="4" t="s">
        <v>11734</v>
      </c>
      <c r="D1325" s="4">
        <v>70113</v>
      </c>
      <c r="E1325" s="4">
        <v>20210615</v>
      </c>
      <c r="F1325" s="4">
        <v>20210615</v>
      </c>
      <c r="G1325" s="4">
        <v>20240615</v>
      </c>
      <c r="H1325" s="4" t="s">
        <v>8792</v>
      </c>
      <c r="I1325" s="4" t="s">
        <v>11733</v>
      </c>
      <c r="J1325" s="4" t="s">
        <v>1173</v>
      </c>
    </row>
    <row r="1326" spans="1:10" hidden="1">
      <c r="A1326" s="4">
        <v>2.02106212200004E+17</v>
      </c>
      <c r="B1326" s="4">
        <v>7606500251</v>
      </c>
      <c r="C1326" s="4" t="s">
        <v>11732</v>
      </c>
      <c r="D1326" s="4">
        <v>21220</v>
      </c>
      <c r="E1326" s="4">
        <v>20210615</v>
      </c>
      <c r="F1326" s="4">
        <v>20210615</v>
      </c>
      <c r="G1326" s="4">
        <v>20240615</v>
      </c>
      <c r="H1326" s="4" t="s">
        <v>11731</v>
      </c>
      <c r="I1326" s="4" t="s">
        <v>185</v>
      </c>
      <c r="J1326" s="4" t="s">
        <v>11730</v>
      </c>
    </row>
    <row r="1327" spans="1:10" hidden="1">
      <c r="A1327" s="4">
        <v>2.02106591130004E+17</v>
      </c>
      <c r="B1327" s="4">
        <v>2020872182</v>
      </c>
      <c r="C1327" s="4" t="s">
        <v>11729</v>
      </c>
      <c r="D1327" s="4">
        <v>59113</v>
      </c>
      <c r="E1327" s="4">
        <v>20210615</v>
      </c>
      <c r="F1327" s="4">
        <v>20210615</v>
      </c>
      <c r="G1327" s="4">
        <v>20240615</v>
      </c>
      <c r="H1327" s="4" t="s">
        <v>11728</v>
      </c>
      <c r="I1327" s="4" t="s">
        <v>11727</v>
      </c>
      <c r="J1327" s="4" t="s">
        <v>3651</v>
      </c>
    </row>
    <row r="1328" spans="1:10" hidden="1">
      <c r="A1328" s="4">
        <v>2.02106144910004E+17</v>
      </c>
      <c r="B1328" s="4">
        <v>1046600405</v>
      </c>
      <c r="C1328" s="4" t="s">
        <v>11726</v>
      </c>
      <c r="D1328" s="4">
        <v>14491</v>
      </c>
      <c r="E1328" s="4">
        <v>20210615</v>
      </c>
      <c r="F1328" s="4">
        <v>20210615</v>
      </c>
      <c r="G1328" s="4">
        <v>20240615</v>
      </c>
      <c r="H1328" s="4" t="s">
        <v>11725</v>
      </c>
      <c r="J1328" s="4" t="s">
        <v>11724</v>
      </c>
    </row>
    <row r="1329" spans="1:10" hidden="1">
      <c r="A1329" s="4">
        <v>2.02106204230004E+17</v>
      </c>
      <c r="B1329" s="4">
        <v>2888102266</v>
      </c>
      <c r="C1329" s="4" t="s">
        <v>11723</v>
      </c>
      <c r="D1329" s="4">
        <v>20423</v>
      </c>
      <c r="E1329" s="4">
        <v>20210615</v>
      </c>
      <c r="F1329" s="4">
        <v>20210615</v>
      </c>
      <c r="G1329" s="4">
        <v>20240615</v>
      </c>
      <c r="H1329" s="4" t="s">
        <v>623</v>
      </c>
      <c r="I1329" s="4" t="s">
        <v>11722</v>
      </c>
      <c r="J1329" s="4" t="s">
        <v>368</v>
      </c>
    </row>
    <row r="1330" spans="1:10" hidden="1">
      <c r="A1330" s="4">
        <v>2.02106464520004E+17</v>
      </c>
      <c r="B1330" s="4">
        <v>7651001615</v>
      </c>
      <c r="C1330" s="4" t="s">
        <v>11721</v>
      </c>
      <c r="D1330" s="4">
        <v>46452</v>
      </c>
      <c r="E1330" s="4">
        <v>20210615</v>
      </c>
      <c r="F1330" s="4">
        <v>20210615</v>
      </c>
      <c r="G1330" s="4">
        <v>20240615</v>
      </c>
      <c r="H1330" s="4" t="s">
        <v>11720</v>
      </c>
      <c r="I1330" s="4" t="s">
        <v>11719</v>
      </c>
      <c r="J1330" s="4" t="s">
        <v>516</v>
      </c>
    </row>
    <row r="1331" spans="1:10" hidden="1">
      <c r="A1331" s="4">
        <v>2.02106259990004E+17</v>
      </c>
      <c r="B1331" s="4">
        <v>8468800758</v>
      </c>
      <c r="C1331" s="4" t="s">
        <v>11718</v>
      </c>
      <c r="D1331" s="4">
        <v>25999</v>
      </c>
      <c r="E1331" s="4">
        <v>20210615</v>
      </c>
      <c r="F1331" s="4">
        <v>20210615</v>
      </c>
      <c r="G1331" s="4">
        <v>20240427</v>
      </c>
      <c r="H1331" s="4" t="s">
        <v>11717</v>
      </c>
      <c r="J1331" s="4" t="s">
        <v>301</v>
      </c>
    </row>
    <row r="1332" spans="1:10" hidden="1">
      <c r="A1332" s="4">
        <v>2.02106333090004E+17</v>
      </c>
      <c r="B1332" s="4">
        <v>3658101642</v>
      </c>
      <c r="C1332" s="4" t="s">
        <v>11716</v>
      </c>
      <c r="D1332" s="4">
        <v>33309</v>
      </c>
      <c r="E1332" s="4">
        <v>20210615</v>
      </c>
      <c r="F1332" s="4">
        <v>20210615</v>
      </c>
      <c r="G1332" s="4">
        <v>20230812</v>
      </c>
      <c r="H1332" s="4" t="s">
        <v>11715</v>
      </c>
      <c r="I1332" s="4" t="s">
        <v>91</v>
      </c>
      <c r="J1332" s="4" t="s">
        <v>238</v>
      </c>
    </row>
    <row r="1333" spans="1:10" hidden="1">
      <c r="A1333" s="4">
        <v>2.02106412290004E+17</v>
      </c>
      <c r="B1333" s="4">
        <v>3708801643</v>
      </c>
      <c r="C1333" s="4" t="s">
        <v>11714</v>
      </c>
      <c r="D1333" s="4">
        <v>41229</v>
      </c>
      <c r="E1333" s="4">
        <v>20210615</v>
      </c>
      <c r="F1333" s="4">
        <v>20210615</v>
      </c>
      <c r="G1333" s="4">
        <v>20240615</v>
      </c>
      <c r="H1333" s="4" t="s">
        <v>11713</v>
      </c>
      <c r="J1333" s="4" t="s">
        <v>5083</v>
      </c>
    </row>
    <row r="1334" spans="1:10" hidden="1">
      <c r="A1334" s="4">
        <v>2.02106582220004E+17</v>
      </c>
      <c r="B1334" s="4">
        <v>6928701416</v>
      </c>
      <c r="C1334" s="4" t="s">
        <v>11976</v>
      </c>
      <c r="D1334" s="4">
        <v>58222</v>
      </c>
      <c r="E1334" s="4">
        <v>20210617</v>
      </c>
      <c r="F1334" s="4">
        <v>20210617</v>
      </c>
      <c r="G1334" s="4">
        <v>20240617</v>
      </c>
      <c r="H1334" s="4" t="s">
        <v>5609</v>
      </c>
      <c r="I1334" s="4" t="s">
        <v>11975</v>
      </c>
      <c r="J1334" s="4" t="s">
        <v>94</v>
      </c>
    </row>
    <row r="1335" spans="1:10" hidden="1">
      <c r="A1335" s="4">
        <v>2.02106591120004E+17</v>
      </c>
      <c r="B1335" s="4">
        <v>2708701405</v>
      </c>
      <c r="C1335" s="4" t="s">
        <v>11710</v>
      </c>
      <c r="D1335" s="4">
        <v>59112</v>
      </c>
      <c r="E1335" s="4">
        <v>20210615</v>
      </c>
      <c r="F1335" s="4">
        <v>20210615</v>
      </c>
      <c r="G1335" s="4">
        <v>20240615</v>
      </c>
      <c r="H1335" s="4" t="s">
        <v>6873</v>
      </c>
      <c r="I1335" s="4" t="s">
        <v>11709</v>
      </c>
      <c r="J1335" s="4" t="s">
        <v>6095</v>
      </c>
    </row>
    <row r="1336" spans="1:10" hidden="1">
      <c r="A1336" s="4">
        <v>2.02106292990004E+17</v>
      </c>
      <c r="B1336" s="4">
        <v>5228701193</v>
      </c>
      <c r="C1336" s="4" t="s">
        <v>11708</v>
      </c>
      <c r="D1336" s="4">
        <v>29299</v>
      </c>
      <c r="E1336" s="4">
        <v>20210615</v>
      </c>
      <c r="F1336" s="4">
        <v>20210615</v>
      </c>
      <c r="G1336" s="4">
        <v>20240615</v>
      </c>
      <c r="H1336" s="4" t="s">
        <v>11707</v>
      </c>
      <c r="J1336" s="4" t="s">
        <v>137</v>
      </c>
    </row>
    <row r="1337" spans="1:10" hidden="1">
      <c r="A1337" s="4">
        <v>2.02106333010004E+17</v>
      </c>
      <c r="B1337" s="4">
        <v>6378700934</v>
      </c>
      <c r="C1337" s="4" t="s">
        <v>11706</v>
      </c>
      <c r="D1337" s="4">
        <v>33301</v>
      </c>
      <c r="E1337" s="4">
        <v>20210615</v>
      </c>
      <c r="F1337" s="4">
        <v>20210615</v>
      </c>
      <c r="G1337" s="4">
        <v>20240615</v>
      </c>
      <c r="H1337" s="4" t="s">
        <v>11705</v>
      </c>
      <c r="I1337" s="4" t="s">
        <v>11704</v>
      </c>
      <c r="J1337" s="4" t="s">
        <v>902</v>
      </c>
    </row>
    <row r="1338" spans="1:10" hidden="1">
      <c r="A1338" s="4">
        <v>2.02106475910004E+17</v>
      </c>
      <c r="B1338" s="4">
        <v>5048801227</v>
      </c>
      <c r="C1338" s="4" t="s">
        <v>11949</v>
      </c>
      <c r="D1338" s="4">
        <v>47591</v>
      </c>
      <c r="E1338" s="4">
        <v>20210617</v>
      </c>
      <c r="F1338" s="4">
        <v>20210617</v>
      </c>
      <c r="G1338" s="4">
        <v>20240617</v>
      </c>
      <c r="H1338" s="4" t="s">
        <v>11948</v>
      </c>
      <c r="J1338" s="4" t="s">
        <v>476</v>
      </c>
    </row>
    <row r="1339" spans="1:10" hidden="1">
      <c r="A1339" s="4">
        <v>2.02106213000004E+17</v>
      </c>
      <c r="B1339" s="4">
        <v>5828801585</v>
      </c>
      <c r="C1339" s="4" t="s">
        <v>11699</v>
      </c>
      <c r="D1339" s="4">
        <v>21300</v>
      </c>
      <c r="E1339" s="4">
        <v>20210615</v>
      </c>
      <c r="F1339" s="4">
        <v>20210615</v>
      </c>
      <c r="G1339" s="4">
        <v>20240615</v>
      </c>
      <c r="H1339" s="4" t="s">
        <v>3554</v>
      </c>
      <c r="I1339" s="4" t="s">
        <v>11698</v>
      </c>
      <c r="J1339" s="4" t="s">
        <v>530</v>
      </c>
    </row>
    <row r="1340" spans="1:10" hidden="1">
      <c r="A1340" s="4">
        <v>2.02106582220004E+17</v>
      </c>
      <c r="B1340" s="4">
        <v>8508800679</v>
      </c>
      <c r="C1340" s="4" t="s">
        <v>11697</v>
      </c>
      <c r="D1340" s="4">
        <v>58222</v>
      </c>
      <c r="E1340" s="4">
        <v>20210615</v>
      </c>
      <c r="F1340" s="4">
        <v>20210615</v>
      </c>
      <c r="G1340" s="4">
        <v>20240615</v>
      </c>
      <c r="H1340" s="4" t="s">
        <v>11696</v>
      </c>
      <c r="I1340" s="4" t="s">
        <v>11695</v>
      </c>
      <c r="J1340" s="4" t="s">
        <v>94</v>
      </c>
    </row>
    <row r="1341" spans="1:10" hidden="1">
      <c r="A1341" s="4">
        <v>2.02106333020004E+17</v>
      </c>
      <c r="B1341" s="4">
        <v>8138701916</v>
      </c>
      <c r="C1341" s="4" t="s">
        <v>11694</v>
      </c>
      <c r="D1341" s="4">
        <v>33302</v>
      </c>
      <c r="E1341" s="4">
        <v>20210615</v>
      </c>
      <c r="F1341" s="4">
        <v>20210615</v>
      </c>
      <c r="G1341" s="4">
        <v>20240615</v>
      </c>
      <c r="H1341" s="4" t="s">
        <v>11693</v>
      </c>
      <c r="J1341" s="4" t="s">
        <v>4679</v>
      </c>
    </row>
    <row r="1342" spans="1:10" hidden="1">
      <c r="A1342" s="4">
        <v>2.02106204230004E+17</v>
      </c>
      <c r="B1342" s="4">
        <v>6488801338</v>
      </c>
      <c r="C1342" s="4" t="s">
        <v>11692</v>
      </c>
      <c r="D1342" s="4">
        <v>20423</v>
      </c>
      <c r="E1342" s="4">
        <v>20210615</v>
      </c>
      <c r="F1342" s="4">
        <v>20210615</v>
      </c>
      <c r="G1342" s="4">
        <v>20240615</v>
      </c>
      <c r="H1342" s="4" t="s">
        <v>11691</v>
      </c>
      <c r="I1342" s="4" t="s">
        <v>11690</v>
      </c>
      <c r="J1342" s="4" t="s">
        <v>368</v>
      </c>
    </row>
    <row r="1343" spans="1:10" hidden="1">
      <c r="A1343" s="4">
        <v>2.02106259110004E+17</v>
      </c>
      <c r="B1343" s="4">
        <v>1508701983</v>
      </c>
      <c r="C1343" s="4" t="s">
        <v>11689</v>
      </c>
      <c r="D1343" s="4">
        <v>25911</v>
      </c>
      <c r="E1343" s="4">
        <v>20210615</v>
      </c>
      <c r="F1343" s="4">
        <v>20210615</v>
      </c>
      <c r="G1343" s="4">
        <v>20240615</v>
      </c>
      <c r="H1343" s="4" t="s">
        <v>11688</v>
      </c>
      <c r="J1343" s="4" t="s">
        <v>11687</v>
      </c>
    </row>
    <row r="1344" spans="1:10" hidden="1">
      <c r="A1344" s="4">
        <v>2.02106264210004E+17</v>
      </c>
      <c r="B1344" s="4">
        <v>7498601433</v>
      </c>
      <c r="C1344" s="4" t="s">
        <v>11686</v>
      </c>
      <c r="D1344" s="4">
        <v>26421</v>
      </c>
      <c r="E1344" s="4">
        <v>20210615</v>
      </c>
      <c r="F1344" s="4">
        <v>20210615</v>
      </c>
      <c r="G1344" s="4">
        <v>20240615</v>
      </c>
      <c r="H1344" s="4" t="s">
        <v>11685</v>
      </c>
      <c r="J1344" s="4" t="s">
        <v>1767</v>
      </c>
    </row>
    <row r="1345" spans="1:10" hidden="1">
      <c r="A1345" s="4">
        <v>2.02106289090004E+17</v>
      </c>
      <c r="B1345" s="4">
        <v>5818801466</v>
      </c>
      <c r="C1345" s="4" t="s">
        <v>11684</v>
      </c>
      <c r="D1345" s="4">
        <v>28909</v>
      </c>
      <c r="E1345" s="4">
        <v>20210615</v>
      </c>
      <c r="F1345" s="4">
        <v>20210615</v>
      </c>
      <c r="G1345" s="4">
        <v>20240615</v>
      </c>
      <c r="H1345" s="4" t="s">
        <v>11683</v>
      </c>
      <c r="I1345" s="4" t="s">
        <v>11682</v>
      </c>
      <c r="J1345" s="4" t="s">
        <v>253</v>
      </c>
    </row>
    <row r="1346" spans="1:10" hidden="1">
      <c r="A1346" s="4">
        <v>2.02106739090004E+17</v>
      </c>
      <c r="B1346" s="4">
        <v>5578701409</v>
      </c>
      <c r="C1346" s="4" t="s">
        <v>11681</v>
      </c>
      <c r="D1346" s="4">
        <v>73909</v>
      </c>
      <c r="E1346" s="4">
        <v>20210615</v>
      </c>
      <c r="F1346" s="4">
        <v>20210615</v>
      </c>
      <c r="G1346" s="4">
        <v>20240615</v>
      </c>
      <c r="H1346" s="4" t="s">
        <v>11680</v>
      </c>
      <c r="I1346" s="4" t="s">
        <v>11679</v>
      </c>
      <c r="J1346" s="4" t="s">
        <v>293</v>
      </c>
    </row>
    <row r="1347" spans="1:10" hidden="1">
      <c r="A1347" s="4">
        <v>2.02106478590004E+17</v>
      </c>
      <c r="B1347" s="4">
        <v>8268801772</v>
      </c>
      <c r="C1347" s="4" t="s">
        <v>11678</v>
      </c>
      <c r="D1347" s="4">
        <v>47859</v>
      </c>
      <c r="E1347" s="4">
        <v>20210615</v>
      </c>
      <c r="F1347" s="4">
        <v>20210615</v>
      </c>
      <c r="G1347" s="4">
        <v>20240615</v>
      </c>
      <c r="H1347" s="4" t="s">
        <v>11677</v>
      </c>
      <c r="I1347" s="4" t="s">
        <v>1156</v>
      </c>
      <c r="J1347" s="4" t="s">
        <v>5820</v>
      </c>
    </row>
    <row r="1348" spans="1:10" hidden="1">
      <c r="A1348" s="4">
        <v>2.02106251120004E+17</v>
      </c>
      <c r="B1348" s="4">
        <v>7938100284</v>
      </c>
      <c r="C1348" s="4" t="s">
        <v>11676</v>
      </c>
      <c r="D1348" s="4">
        <v>25112</v>
      </c>
      <c r="E1348" s="4">
        <v>20210615</v>
      </c>
      <c r="F1348" s="4">
        <v>20210615</v>
      </c>
      <c r="G1348" s="4">
        <v>20221127</v>
      </c>
      <c r="H1348" s="4" t="s">
        <v>11675</v>
      </c>
      <c r="I1348" s="4" t="s">
        <v>149</v>
      </c>
      <c r="J1348" s="4" t="s">
        <v>320</v>
      </c>
    </row>
    <row r="1349" spans="1:10" hidden="1">
      <c r="A1349" s="4">
        <v>2.02106259990004E+17</v>
      </c>
      <c r="B1349" s="4">
        <v>6668702245</v>
      </c>
      <c r="C1349" s="4" t="s">
        <v>11674</v>
      </c>
      <c r="D1349" s="4">
        <v>25999</v>
      </c>
      <c r="E1349" s="4">
        <v>20210615</v>
      </c>
      <c r="F1349" s="4">
        <v>20210615</v>
      </c>
      <c r="G1349" s="4">
        <v>20240615</v>
      </c>
      <c r="H1349" s="4" t="s">
        <v>11673</v>
      </c>
      <c r="J1349" s="4" t="s">
        <v>301</v>
      </c>
    </row>
    <row r="1350" spans="1:10" hidden="1">
      <c r="A1350" s="4">
        <v>2.02106620210004E+17</v>
      </c>
      <c r="B1350" s="4">
        <v>6408801009</v>
      </c>
      <c r="C1350" s="4" t="s">
        <v>11672</v>
      </c>
      <c r="D1350" s="4">
        <v>62021</v>
      </c>
      <c r="E1350" s="4">
        <v>20210615</v>
      </c>
      <c r="F1350" s="4">
        <v>20210615</v>
      </c>
      <c r="G1350" s="4">
        <v>20240615</v>
      </c>
      <c r="H1350" s="4" t="s">
        <v>2057</v>
      </c>
      <c r="I1350" s="4" t="s">
        <v>11671</v>
      </c>
      <c r="J1350" s="4" t="s">
        <v>1505</v>
      </c>
    </row>
    <row r="1351" spans="1:10" hidden="1">
      <c r="A1351" s="4">
        <v>2.02106264210004E+17</v>
      </c>
      <c r="B1351" s="4">
        <v>4268800874</v>
      </c>
      <c r="C1351" s="4" t="s">
        <v>11670</v>
      </c>
      <c r="D1351" s="4">
        <v>26421</v>
      </c>
      <c r="E1351" s="4">
        <v>20210615</v>
      </c>
      <c r="F1351" s="4">
        <v>20210615</v>
      </c>
      <c r="G1351" s="4">
        <v>20240515</v>
      </c>
      <c r="H1351" s="4" t="s">
        <v>1880</v>
      </c>
      <c r="I1351" s="4" t="s">
        <v>11669</v>
      </c>
      <c r="J1351" s="4" t="s">
        <v>1767</v>
      </c>
    </row>
    <row r="1352" spans="1:10" hidden="1">
      <c r="A1352" s="4">
        <v>2.02106715310004E+17</v>
      </c>
      <c r="B1352" s="4">
        <v>1788101922</v>
      </c>
      <c r="C1352" s="4" t="s">
        <v>11668</v>
      </c>
      <c r="D1352" s="4">
        <v>71531</v>
      </c>
      <c r="E1352" s="4">
        <v>20210615</v>
      </c>
      <c r="F1352" s="4">
        <v>20210615</v>
      </c>
      <c r="G1352" s="4">
        <v>20240615</v>
      </c>
      <c r="H1352" s="4" t="s">
        <v>1644</v>
      </c>
      <c r="I1352" s="4" t="s">
        <v>7973</v>
      </c>
      <c r="J1352" s="4" t="s">
        <v>87</v>
      </c>
    </row>
    <row r="1353" spans="1:10" hidden="1">
      <c r="A1353" s="4">
        <v>2.02106231910004E+17</v>
      </c>
      <c r="B1353" s="4">
        <v>2938101712</v>
      </c>
      <c r="C1353" s="4" t="s">
        <v>11667</v>
      </c>
      <c r="D1353" s="4">
        <v>23191</v>
      </c>
      <c r="E1353" s="4">
        <v>20210615</v>
      </c>
      <c r="F1353" s="4">
        <v>20210615</v>
      </c>
      <c r="G1353" s="4">
        <v>20240615</v>
      </c>
      <c r="H1353" s="4" t="s">
        <v>11666</v>
      </c>
      <c r="I1353" s="4" t="s">
        <v>11665</v>
      </c>
      <c r="J1353" s="4" t="s">
        <v>11664</v>
      </c>
    </row>
    <row r="1354" spans="1:10" hidden="1">
      <c r="A1354" s="4">
        <v>2.02106701290004E+17</v>
      </c>
      <c r="B1354" s="4">
        <v>7578101254</v>
      </c>
      <c r="C1354" s="4" t="s">
        <v>11663</v>
      </c>
      <c r="D1354" s="4">
        <v>70129</v>
      </c>
      <c r="E1354" s="4">
        <v>20210615</v>
      </c>
      <c r="F1354" s="4">
        <v>20210615</v>
      </c>
      <c r="G1354" s="4">
        <v>20240615</v>
      </c>
      <c r="H1354" s="4" t="s">
        <v>11662</v>
      </c>
      <c r="I1354" s="4" t="s">
        <v>1866</v>
      </c>
      <c r="J1354" s="4" t="s">
        <v>937</v>
      </c>
    </row>
    <row r="1355" spans="1:10" hidden="1">
      <c r="A1355" s="4">
        <v>2.02106264100004E+17</v>
      </c>
      <c r="B1355" s="4">
        <v>8338800975</v>
      </c>
      <c r="C1355" s="4" t="s">
        <v>11661</v>
      </c>
      <c r="D1355" s="4">
        <v>26410</v>
      </c>
      <c r="E1355" s="4">
        <v>20210615</v>
      </c>
      <c r="F1355" s="4">
        <v>20210615</v>
      </c>
      <c r="G1355" s="4">
        <v>20240615</v>
      </c>
      <c r="H1355" s="4" t="s">
        <v>11660</v>
      </c>
      <c r="I1355" s="4" t="s">
        <v>11659</v>
      </c>
      <c r="J1355" s="4" t="s">
        <v>1102</v>
      </c>
    </row>
    <row r="1356" spans="1:10" hidden="1">
      <c r="A1356" s="4">
        <v>2.02106582220004E+17</v>
      </c>
      <c r="B1356" s="4">
        <v>8768601695</v>
      </c>
      <c r="C1356" s="4" t="s">
        <v>11658</v>
      </c>
      <c r="D1356" s="4">
        <v>58222</v>
      </c>
      <c r="E1356" s="4">
        <v>20210615</v>
      </c>
      <c r="F1356" s="4">
        <v>20210615</v>
      </c>
      <c r="G1356" s="4">
        <v>20240615</v>
      </c>
      <c r="H1356" s="4" t="s">
        <v>11657</v>
      </c>
      <c r="J1356" s="4" t="s">
        <v>94</v>
      </c>
    </row>
    <row r="1357" spans="1:10" hidden="1">
      <c r="A1357" s="4">
        <v>2.02106582220004E+17</v>
      </c>
      <c r="B1357" s="4">
        <v>6868801873</v>
      </c>
      <c r="C1357" s="4" t="s">
        <v>11656</v>
      </c>
      <c r="D1357" s="4">
        <v>58222</v>
      </c>
      <c r="E1357" s="4">
        <v>20210615</v>
      </c>
      <c r="F1357" s="4">
        <v>20210615</v>
      </c>
      <c r="G1357" s="4">
        <v>20240615</v>
      </c>
      <c r="H1357" s="4" t="s">
        <v>11655</v>
      </c>
      <c r="I1357" s="4" t="s">
        <v>3923</v>
      </c>
      <c r="J1357" s="4" t="s">
        <v>94</v>
      </c>
    </row>
    <row r="1358" spans="1:10" hidden="1">
      <c r="A1358" s="4">
        <v>2.02106339990004E+17</v>
      </c>
      <c r="B1358" s="4">
        <v>2928601145</v>
      </c>
      <c r="C1358" s="4" t="s">
        <v>11654</v>
      </c>
      <c r="D1358" s="4">
        <v>33999</v>
      </c>
      <c r="E1358" s="4">
        <v>20210615</v>
      </c>
      <c r="F1358" s="4">
        <v>20210615</v>
      </c>
      <c r="G1358" s="4">
        <v>20240615</v>
      </c>
      <c r="H1358" s="4" t="s">
        <v>1968</v>
      </c>
      <c r="I1358" s="4" t="s">
        <v>11653</v>
      </c>
      <c r="J1358" s="4" t="s">
        <v>780</v>
      </c>
    </row>
    <row r="1359" spans="1:10" hidden="1">
      <c r="A1359" s="4">
        <v>2.02106715310004E+17</v>
      </c>
      <c r="B1359" s="4">
        <v>7178701622</v>
      </c>
      <c r="C1359" s="4" t="s">
        <v>11652</v>
      </c>
      <c r="D1359" s="4">
        <v>71531</v>
      </c>
      <c r="E1359" s="4">
        <v>20210615</v>
      </c>
      <c r="F1359" s="4">
        <v>20210615</v>
      </c>
      <c r="G1359" s="4">
        <v>20240615</v>
      </c>
      <c r="H1359" s="4" t="s">
        <v>11651</v>
      </c>
      <c r="I1359" s="4" t="s">
        <v>11650</v>
      </c>
      <c r="J1359" s="4" t="s">
        <v>87</v>
      </c>
    </row>
    <row r="1360" spans="1:10" hidden="1">
      <c r="A1360" s="4">
        <v>2.02106752100004E+17</v>
      </c>
      <c r="B1360" s="4">
        <v>6708600462</v>
      </c>
      <c r="C1360" s="4" t="s">
        <v>11649</v>
      </c>
      <c r="D1360" s="4">
        <v>75210</v>
      </c>
      <c r="E1360" s="4">
        <v>20210615</v>
      </c>
      <c r="F1360" s="4">
        <v>20210615</v>
      </c>
      <c r="G1360" s="4">
        <v>20230610</v>
      </c>
      <c r="H1360" s="4" t="s">
        <v>11648</v>
      </c>
      <c r="I1360" s="4" t="s">
        <v>2656</v>
      </c>
      <c r="J1360" s="4" t="s">
        <v>155</v>
      </c>
    </row>
    <row r="1361" spans="1:10" hidden="1">
      <c r="A1361" s="4">
        <v>2.02106465920004E+17</v>
      </c>
      <c r="B1361" s="4">
        <v>2898602100</v>
      </c>
      <c r="C1361" s="4" t="s">
        <v>11647</v>
      </c>
      <c r="D1361" s="4">
        <v>46592</v>
      </c>
      <c r="E1361" s="4">
        <v>20210615</v>
      </c>
      <c r="F1361" s="4">
        <v>20210615</v>
      </c>
      <c r="G1361" s="4">
        <v>20240615</v>
      </c>
      <c r="H1361" s="4" t="s">
        <v>11646</v>
      </c>
      <c r="I1361" s="4" t="s">
        <v>591</v>
      </c>
      <c r="J1361" s="4" t="s">
        <v>148</v>
      </c>
    </row>
    <row r="1362" spans="1:10" hidden="1">
      <c r="A1362" s="4">
        <v>2.02106132190004E+17</v>
      </c>
      <c r="B1362" s="4">
        <v>2918101545</v>
      </c>
      <c r="C1362" s="4" t="s">
        <v>11645</v>
      </c>
      <c r="D1362" s="4">
        <v>13219</v>
      </c>
      <c r="E1362" s="4">
        <v>20210615</v>
      </c>
      <c r="F1362" s="4">
        <v>20210615</v>
      </c>
      <c r="G1362" s="4">
        <v>20240615</v>
      </c>
      <c r="H1362" s="4" t="s">
        <v>11644</v>
      </c>
      <c r="I1362" s="4" t="s">
        <v>1403</v>
      </c>
      <c r="J1362" s="4" t="s">
        <v>2829</v>
      </c>
    </row>
    <row r="1363" spans="1:10" hidden="1">
      <c r="A1363" s="4">
        <v>2.02106263290004E+17</v>
      </c>
      <c r="B1363" s="4">
        <v>4638601669</v>
      </c>
      <c r="C1363" s="4" t="s">
        <v>11643</v>
      </c>
      <c r="D1363" s="4">
        <v>26329</v>
      </c>
      <c r="E1363" s="4">
        <v>20210615</v>
      </c>
      <c r="F1363" s="4">
        <v>20210615</v>
      </c>
      <c r="G1363" s="4">
        <v>20240615</v>
      </c>
      <c r="H1363" s="4" t="s">
        <v>11642</v>
      </c>
      <c r="I1363" s="4" t="s">
        <v>11641</v>
      </c>
      <c r="J1363" s="4" t="s">
        <v>565</v>
      </c>
    </row>
    <row r="1364" spans="1:10" hidden="1">
      <c r="A1364" s="4">
        <v>2.02106162910004E+17</v>
      </c>
      <c r="B1364" s="4">
        <v>7628101407</v>
      </c>
      <c r="C1364" s="4" t="s">
        <v>11640</v>
      </c>
      <c r="D1364" s="4">
        <v>16291</v>
      </c>
      <c r="E1364" s="4">
        <v>20210615</v>
      </c>
      <c r="F1364" s="4">
        <v>20210615</v>
      </c>
      <c r="G1364" s="4">
        <v>20240615</v>
      </c>
      <c r="H1364" s="4" t="s">
        <v>525</v>
      </c>
      <c r="I1364" s="4" t="s">
        <v>11639</v>
      </c>
      <c r="J1364" s="4" t="s">
        <v>4956</v>
      </c>
    </row>
    <row r="1365" spans="1:10" hidden="1">
      <c r="A1365" s="4">
        <v>2.02106291990004E+17</v>
      </c>
      <c r="B1365" s="4">
        <v>4628801277</v>
      </c>
      <c r="C1365" s="4" t="s">
        <v>11638</v>
      </c>
      <c r="D1365" s="4">
        <v>29199</v>
      </c>
      <c r="E1365" s="4">
        <v>20210615</v>
      </c>
      <c r="F1365" s="4">
        <v>20210615</v>
      </c>
      <c r="G1365" s="4">
        <v>20240615</v>
      </c>
      <c r="H1365" s="4" t="s">
        <v>11637</v>
      </c>
      <c r="J1365" s="4" t="s">
        <v>166</v>
      </c>
    </row>
    <row r="1366" spans="1:10" hidden="1">
      <c r="A1366" s="4">
        <v>2.02106291750004E+17</v>
      </c>
      <c r="B1366" s="4">
        <v>3888601072</v>
      </c>
      <c r="C1366" s="4" t="s">
        <v>11636</v>
      </c>
      <c r="D1366" s="4">
        <v>29175</v>
      </c>
      <c r="E1366" s="4">
        <v>20210615</v>
      </c>
      <c r="F1366" s="4">
        <v>20210615</v>
      </c>
      <c r="G1366" s="4">
        <v>20240615</v>
      </c>
      <c r="H1366" s="4" t="s">
        <v>1249</v>
      </c>
      <c r="I1366" s="4" t="s">
        <v>11635</v>
      </c>
      <c r="J1366" s="4" t="s">
        <v>232</v>
      </c>
    </row>
    <row r="1367" spans="1:10" hidden="1">
      <c r="A1367" s="4">
        <v>2.02106421380004E+17</v>
      </c>
      <c r="B1367" s="4">
        <v>2218801467</v>
      </c>
      <c r="C1367" s="4" t="s">
        <v>11634</v>
      </c>
      <c r="D1367" s="4">
        <v>42138</v>
      </c>
      <c r="E1367" s="4">
        <v>20210615</v>
      </c>
      <c r="F1367" s="4">
        <v>20210615</v>
      </c>
      <c r="G1367" s="4">
        <v>20240615</v>
      </c>
      <c r="H1367" s="4" t="s">
        <v>11633</v>
      </c>
      <c r="J1367" s="4" t="s">
        <v>11632</v>
      </c>
    </row>
    <row r="1368" spans="1:10" hidden="1">
      <c r="A1368" s="4">
        <v>2.02106465920004E+17</v>
      </c>
      <c r="B1368" s="4">
        <v>1391801199</v>
      </c>
      <c r="C1368" s="4" t="s">
        <v>11631</v>
      </c>
      <c r="D1368" s="4">
        <v>46592</v>
      </c>
      <c r="E1368" s="4">
        <v>20210615</v>
      </c>
      <c r="F1368" s="4">
        <v>20210615</v>
      </c>
      <c r="G1368" s="4">
        <v>20240615</v>
      </c>
      <c r="H1368" s="4" t="s">
        <v>11630</v>
      </c>
      <c r="J1368" s="4" t="s">
        <v>148</v>
      </c>
    </row>
    <row r="1369" spans="1:10" hidden="1">
      <c r="A1369" s="4">
        <v>2.02106468000004E+17</v>
      </c>
      <c r="B1369" s="4">
        <v>7341201804</v>
      </c>
      <c r="C1369" s="4" t="s">
        <v>11629</v>
      </c>
      <c r="D1369" s="4">
        <v>46800</v>
      </c>
      <c r="E1369" s="4">
        <v>20210615</v>
      </c>
      <c r="F1369" s="4">
        <v>20210615</v>
      </c>
      <c r="G1369" s="4">
        <v>20240615</v>
      </c>
      <c r="H1369" s="4" t="s">
        <v>11628</v>
      </c>
      <c r="I1369" s="4" t="s">
        <v>11627</v>
      </c>
      <c r="J1369" s="4" t="s">
        <v>979</v>
      </c>
    </row>
    <row r="1370" spans="1:10" hidden="1">
      <c r="A1370" s="4">
        <v>2.02106292710004E+17</v>
      </c>
      <c r="B1370" s="4">
        <v>1448601768</v>
      </c>
      <c r="C1370" s="4" t="s">
        <v>11626</v>
      </c>
      <c r="D1370" s="4">
        <v>29271</v>
      </c>
      <c r="E1370" s="4">
        <v>20210615</v>
      </c>
      <c r="F1370" s="4">
        <v>20210615</v>
      </c>
      <c r="G1370" s="4">
        <v>20240615</v>
      </c>
      <c r="H1370" s="4" t="s">
        <v>11625</v>
      </c>
      <c r="I1370" s="4" t="s">
        <v>457</v>
      </c>
      <c r="J1370" s="4" t="s">
        <v>285</v>
      </c>
    </row>
    <row r="1371" spans="1:10" hidden="1">
      <c r="A1371" s="4">
        <v>2.02106292720004E+17</v>
      </c>
      <c r="B1371" s="4">
        <v>8591700507</v>
      </c>
      <c r="C1371" s="4" t="s">
        <v>11624</v>
      </c>
      <c r="D1371" s="4">
        <v>29272</v>
      </c>
      <c r="E1371" s="4">
        <v>20210615</v>
      </c>
      <c r="F1371" s="4">
        <v>20210615</v>
      </c>
      <c r="G1371" s="4">
        <v>20240615</v>
      </c>
      <c r="H1371" s="4" t="s">
        <v>1948</v>
      </c>
      <c r="I1371" s="4" t="s">
        <v>11623</v>
      </c>
      <c r="J1371" s="4" t="s">
        <v>1124</v>
      </c>
    </row>
    <row r="1372" spans="1:10" hidden="1">
      <c r="A1372" s="4">
        <v>2.02106475190004E+17</v>
      </c>
      <c r="B1372" s="4">
        <v>2558701954</v>
      </c>
      <c r="C1372" s="4" t="s">
        <v>7948</v>
      </c>
      <c r="D1372" s="4">
        <v>47519</v>
      </c>
      <c r="E1372" s="4">
        <v>20210617</v>
      </c>
      <c r="F1372" s="4">
        <v>20210617</v>
      </c>
      <c r="G1372" s="4">
        <v>20240617</v>
      </c>
      <c r="H1372" s="4" t="s">
        <v>860</v>
      </c>
      <c r="I1372" s="4" t="s">
        <v>11896</v>
      </c>
      <c r="J1372" s="4" t="s">
        <v>4031</v>
      </c>
    </row>
    <row r="1373" spans="1:10" hidden="1">
      <c r="A1373" s="4">
        <v>2.02106582210004E+17</v>
      </c>
      <c r="B1373" s="4">
        <v>2548801230</v>
      </c>
      <c r="C1373" s="4" t="s">
        <v>11620</v>
      </c>
      <c r="D1373" s="4">
        <v>58221</v>
      </c>
      <c r="E1373" s="4">
        <v>20210614</v>
      </c>
      <c r="F1373" s="4">
        <v>20210614</v>
      </c>
      <c r="G1373" s="4">
        <v>20240614</v>
      </c>
      <c r="H1373" s="4" t="s">
        <v>11619</v>
      </c>
      <c r="J1373" s="4" t="s">
        <v>228</v>
      </c>
    </row>
    <row r="1374" spans="1:10" hidden="1">
      <c r="A1374" s="4">
        <v>2.02106620210004E+17</v>
      </c>
      <c r="B1374" s="4">
        <v>3528101078</v>
      </c>
      <c r="C1374" s="4" t="s">
        <v>11618</v>
      </c>
      <c r="D1374" s="4">
        <v>62021</v>
      </c>
      <c r="E1374" s="4">
        <v>20210614</v>
      </c>
      <c r="F1374" s="4">
        <v>20210614</v>
      </c>
      <c r="G1374" s="4">
        <v>20240614</v>
      </c>
      <c r="H1374" s="4" t="s">
        <v>1799</v>
      </c>
      <c r="I1374" s="4" t="s">
        <v>11617</v>
      </c>
      <c r="J1374" s="4" t="s">
        <v>1505</v>
      </c>
    </row>
    <row r="1375" spans="1:10" hidden="1">
      <c r="A1375" s="4">
        <v>2.02106582220004E+17</v>
      </c>
      <c r="B1375" s="4">
        <v>8928602148</v>
      </c>
      <c r="C1375" s="4" t="s">
        <v>11616</v>
      </c>
      <c r="D1375" s="4">
        <v>58222</v>
      </c>
      <c r="E1375" s="4">
        <v>20210614</v>
      </c>
      <c r="F1375" s="4">
        <v>20210614</v>
      </c>
      <c r="G1375" s="4">
        <v>20240614</v>
      </c>
      <c r="H1375" s="4" t="s">
        <v>11615</v>
      </c>
      <c r="I1375" s="4" t="s">
        <v>11614</v>
      </c>
      <c r="J1375" s="4" t="s">
        <v>94</v>
      </c>
    </row>
    <row r="1376" spans="1:10" hidden="1">
      <c r="A1376" s="4">
        <v>2.02106715310004E+17</v>
      </c>
      <c r="B1376" s="4">
        <v>5508101556</v>
      </c>
      <c r="C1376" s="4" t="s">
        <v>11613</v>
      </c>
      <c r="D1376" s="4">
        <v>71531</v>
      </c>
      <c r="E1376" s="4">
        <v>20210614</v>
      </c>
      <c r="F1376" s="4">
        <v>20210614</v>
      </c>
      <c r="G1376" s="4">
        <v>20240614</v>
      </c>
      <c r="H1376" s="4" t="s">
        <v>11612</v>
      </c>
      <c r="I1376" s="4" t="s">
        <v>149</v>
      </c>
      <c r="J1376" s="4" t="s">
        <v>87</v>
      </c>
    </row>
    <row r="1377" spans="1:10" hidden="1">
      <c r="A1377" s="4">
        <v>2.02106969950004E+17</v>
      </c>
      <c r="B1377" s="4">
        <v>6608602288</v>
      </c>
      <c r="C1377" s="4" t="s">
        <v>11611</v>
      </c>
      <c r="D1377" s="4">
        <v>96995</v>
      </c>
      <c r="E1377" s="4">
        <v>20210614</v>
      </c>
      <c r="F1377" s="4">
        <v>20210614</v>
      </c>
      <c r="G1377" s="4">
        <v>20240614</v>
      </c>
      <c r="H1377" s="4" t="s">
        <v>11610</v>
      </c>
      <c r="I1377" s="4" t="s">
        <v>11609</v>
      </c>
      <c r="J1377" s="4" t="s">
        <v>11608</v>
      </c>
    </row>
    <row r="1378" spans="1:10" hidden="1">
      <c r="A1378" s="4">
        <v>2.02106856990004E+17</v>
      </c>
      <c r="B1378" s="4">
        <v>2078600279</v>
      </c>
      <c r="C1378" s="4" t="s">
        <v>11607</v>
      </c>
      <c r="D1378" s="4">
        <v>85699</v>
      </c>
      <c r="E1378" s="4">
        <v>20210614</v>
      </c>
      <c r="F1378" s="4">
        <v>20210614</v>
      </c>
      <c r="G1378" s="4">
        <v>20230205</v>
      </c>
      <c r="H1378" s="4" t="s">
        <v>11606</v>
      </c>
      <c r="I1378" s="4" t="s">
        <v>91</v>
      </c>
      <c r="J1378" s="4" t="s">
        <v>2192</v>
      </c>
    </row>
    <row r="1379" spans="1:10" hidden="1">
      <c r="A1379" s="4">
        <v>2.02106291930004E+17</v>
      </c>
      <c r="B1379" s="4">
        <v>7188700096</v>
      </c>
      <c r="C1379" s="4" t="s">
        <v>11605</v>
      </c>
      <c r="D1379" s="4">
        <v>29193</v>
      </c>
      <c r="E1379" s="4">
        <v>20210614</v>
      </c>
      <c r="F1379" s="4">
        <v>20210614</v>
      </c>
      <c r="G1379" s="4">
        <v>20220603</v>
      </c>
      <c r="H1379" s="4" t="s">
        <v>11604</v>
      </c>
      <c r="I1379" s="4" t="s">
        <v>11603</v>
      </c>
      <c r="J1379" s="4" t="s">
        <v>721</v>
      </c>
    </row>
    <row r="1380" spans="1:10" hidden="1">
      <c r="A1380" s="4">
        <v>2.02106303990004E+17</v>
      </c>
      <c r="B1380" s="4">
        <v>4518801281</v>
      </c>
      <c r="C1380" s="4" t="s">
        <v>11602</v>
      </c>
      <c r="D1380" s="4">
        <v>30399</v>
      </c>
      <c r="E1380" s="4">
        <v>20210614</v>
      </c>
      <c r="F1380" s="4">
        <v>20210614</v>
      </c>
      <c r="G1380" s="4">
        <v>20240614</v>
      </c>
      <c r="H1380" s="4" t="s">
        <v>11601</v>
      </c>
      <c r="J1380" s="4" t="s">
        <v>1763</v>
      </c>
    </row>
    <row r="1381" spans="1:10" hidden="1">
      <c r="A1381" s="4">
        <v>2.02106272150004E+17</v>
      </c>
      <c r="B1381" s="4">
        <v>4568702070</v>
      </c>
      <c r="C1381" s="4" t="s">
        <v>11600</v>
      </c>
      <c r="D1381" s="4">
        <v>27215</v>
      </c>
      <c r="E1381" s="4">
        <v>20210614</v>
      </c>
      <c r="F1381" s="4">
        <v>20210614</v>
      </c>
      <c r="G1381" s="4">
        <v>20240614</v>
      </c>
      <c r="H1381" s="4" t="s">
        <v>11599</v>
      </c>
      <c r="I1381" s="4" t="s">
        <v>11598</v>
      </c>
      <c r="J1381" s="4" t="s">
        <v>734</v>
      </c>
    </row>
    <row r="1382" spans="1:10" hidden="1">
      <c r="A1382" s="4">
        <v>2.02106465100004E+17</v>
      </c>
      <c r="B1382" s="4">
        <v>4238801059</v>
      </c>
      <c r="C1382" s="4" t="s">
        <v>11597</v>
      </c>
      <c r="D1382" s="4">
        <v>46510</v>
      </c>
      <c r="E1382" s="4">
        <v>20210614</v>
      </c>
      <c r="F1382" s="4">
        <v>20210614</v>
      </c>
      <c r="G1382" s="4">
        <v>20240614</v>
      </c>
      <c r="H1382" s="4" t="s">
        <v>11596</v>
      </c>
      <c r="I1382" s="4" t="s">
        <v>6226</v>
      </c>
      <c r="J1382" s="4" t="s">
        <v>126</v>
      </c>
    </row>
    <row r="1383" spans="1:10" hidden="1">
      <c r="A1383" s="4">
        <v>2.02106581130004E+17</v>
      </c>
      <c r="B1383" s="4">
        <v>8020501550</v>
      </c>
      <c r="C1383" s="4" t="s">
        <v>11595</v>
      </c>
      <c r="D1383" s="4">
        <v>58113</v>
      </c>
      <c r="E1383" s="4">
        <v>20210614</v>
      </c>
      <c r="F1383" s="4">
        <v>20210614</v>
      </c>
      <c r="G1383" s="4">
        <v>20240614</v>
      </c>
      <c r="H1383" s="4" t="s">
        <v>11594</v>
      </c>
      <c r="I1383" s="4" t="s">
        <v>11593</v>
      </c>
      <c r="J1383" s="4" t="s">
        <v>512</v>
      </c>
    </row>
    <row r="1384" spans="1:10" hidden="1">
      <c r="A1384" s="4">
        <v>2.02106466910004E+17</v>
      </c>
      <c r="B1384" s="4">
        <v>2353200626</v>
      </c>
      <c r="C1384" s="4" t="s">
        <v>11592</v>
      </c>
      <c r="D1384" s="4">
        <v>46691</v>
      </c>
      <c r="E1384" s="4">
        <v>20210614</v>
      </c>
      <c r="F1384" s="4">
        <v>20210614</v>
      </c>
      <c r="G1384" s="4">
        <v>20240614</v>
      </c>
      <c r="H1384" s="4" t="s">
        <v>11591</v>
      </c>
      <c r="I1384" s="4" t="s">
        <v>11590</v>
      </c>
      <c r="J1384" s="4" t="s">
        <v>11589</v>
      </c>
    </row>
    <row r="1385" spans="1:10" hidden="1">
      <c r="A1385" s="4">
        <v>2.02106620900004E+17</v>
      </c>
      <c r="B1385" s="4">
        <v>1020891744</v>
      </c>
      <c r="C1385" s="4" t="s">
        <v>10876</v>
      </c>
      <c r="D1385" s="4">
        <v>62090</v>
      </c>
      <c r="E1385" s="4">
        <v>20210614</v>
      </c>
      <c r="F1385" s="4">
        <v>20210614</v>
      </c>
      <c r="G1385" s="4">
        <v>20240614</v>
      </c>
      <c r="H1385" s="4" t="s">
        <v>10875</v>
      </c>
      <c r="I1385" s="4" t="s">
        <v>10874</v>
      </c>
      <c r="J1385" s="4" t="s">
        <v>2030</v>
      </c>
    </row>
    <row r="1386" spans="1:10" hidden="1">
      <c r="A1386" s="4">
        <v>2.02106721110004E+17</v>
      </c>
      <c r="B1386" s="4">
        <v>4941201357</v>
      </c>
      <c r="C1386" s="4" t="s">
        <v>11588</v>
      </c>
      <c r="D1386" s="4">
        <v>72111</v>
      </c>
      <c r="E1386" s="4">
        <v>20210614</v>
      </c>
      <c r="F1386" s="4">
        <v>20210614</v>
      </c>
      <c r="G1386" s="4">
        <v>20240614</v>
      </c>
      <c r="H1386" s="4" t="s">
        <v>11587</v>
      </c>
      <c r="I1386" s="4" t="s">
        <v>11586</v>
      </c>
      <c r="J1386" s="4" t="s">
        <v>3461</v>
      </c>
    </row>
    <row r="1387" spans="1:10" hidden="1">
      <c r="A1387" s="4">
        <v>2.02106582220004E+17</v>
      </c>
      <c r="B1387" s="4">
        <v>6291600909</v>
      </c>
      <c r="C1387" s="4" t="s">
        <v>11585</v>
      </c>
      <c r="D1387" s="4">
        <v>58222</v>
      </c>
      <c r="E1387" s="4">
        <v>20210614</v>
      </c>
      <c r="F1387" s="4">
        <v>20210614</v>
      </c>
      <c r="G1387" s="4">
        <v>20240614</v>
      </c>
      <c r="H1387" s="4" t="s">
        <v>11584</v>
      </c>
      <c r="I1387" s="4" t="s">
        <v>11583</v>
      </c>
      <c r="J1387" s="4" t="s">
        <v>94</v>
      </c>
    </row>
    <row r="1388" spans="1:10" hidden="1">
      <c r="A1388" s="4">
        <v>2.02106201290004E+17</v>
      </c>
      <c r="B1388" s="4">
        <v>3958101298</v>
      </c>
      <c r="C1388" s="4" t="s">
        <v>11581</v>
      </c>
      <c r="D1388" s="4">
        <v>20129</v>
      </c>
      <c r="E1388" s="4">
        <v>20210614</v>
      </c>
      <c r="F1388" s="4">
        <v>20210614</v>
      </c>
      <c r="G1388" s="4">
        <v>20240614</v>
      </c>
      <c r="H1388" s="4" t="s">
        <v>11582</v>
      </c>
      <c r="I1388" s="4" t="s">
        <v>11581</v>
      </c>
      <c r="J1388" s="4" t="s">
        <v>1770</v>
      </c>
    </row>
    <row r="1389" spans="1:10" hidden="1">
      <c r="A1389" s="4">
        <v>2.02106582220004E+17</v>
      </c>
      <c r="B1389" s="4">
        <v>4358101373</v>
      </c>
      <c r="C1389" s="4" t="s">
        <v>11580</v>
      </c>
      <c r="D1389" s="4">
        <v>58222</v>
      </c>
      <c r="E1389" s="4">
        <v>20210614</v>
      </c>
      <c r="F1389" s="4">
        <v>20210614</v>
      </c>
      <c r="G1389" s="4">
        <v>20240614</v>
      </c>
      <c r="H1389" s="4" t="s">
        <v>11579</v>
      </c>
      <c r="I1389" s="4" t="s">
        <v>11578</v>
      </c>
      <c r="J1389" s="4" t="s">
        <v>94</v>
      </c>
    </row>
    <row r="1390" spans="1:10" hidden="1">
      <c r="A1390" s="4">
        <v>2.02106856690004E+17</v>
      </c>
      <c r="B1390" s="4">
        <v>3698701817</v>
      </c>
      <c r="C1390" s="4" t="s">
        <v>11577</v>
      </c>
      <c r="D1390" s="4">
        <v>85669</v>
      </c>
      <c r="E1390" s="4">
        <v>20210614</v>
      </c>
      <c r="F1390" s="4">
        <v>20210614</v>
      </c>
      <c r="G1390" s="4">
        <v>20240614</v>
      </c>
      <c r="H1390" s="4" t="s">
        <v>11576</v>
      </c>
      <c r="I1390" s="4" t="s">
        <v>185</v>
      </c>
      <c r="J1390" s="4" t="s">
        <v>3833</v>
      </c>
    </row>
    <row r="1391" spans="1:10" hidden="1">
      <c r="A1391" s="4">
        <v>2.02106132290004E+17</v>
      </c>
      <c r="B1391" s="4">
        <v>6014229722</v>
      </c>
      <c r="C1391" s="4" t="s">
        <v>11575</v>
      </c>
      <c r="D1391" s="4">
        <v>13229</v>
      </c>
      <c r="E1391" s="4">
        <v>20210614</v>
      </c>
      <c r="F1391" s="4">
        <v>20210614</v>
      </c>
      <c r="G1391" s="4">
        <v>20240614</v>
      </c>
      <c r="H1391" s="4" t="s">
        <v>11574</v>
      </c>
      <c r="J1391" s="4" t="s">
        <v>115</v>
      </c>
    </row>
    <row r="1392" spans="1:10" hidden="1">
      <c r="A1392" s="4">
        <v>2.02106465930004E+17</v>
      </c>
      <c r="B1392" s="4">
        <v>3620201560</v>
      </c>
      <c r="C1392" s="4" t="s">
        <v>11573</v>
      </c>
      <c r="D1392" s="4">
        <v>46593</v>
      </c>
      <c r="E1392" s="4">
        <v>20210614</v>
      </c>
      <c r="F1392" s="4">
        <v>20210614</v>
      </c>
      <c r="G1392" s="4">
        <v>20240614</v>
      </c>
      <c r="H1392" s="4" t="s">
        <v>10037</v>
      </c>
      <c r="I1392" s="4" t="s">
        <v>11572</v>
      </c>
      <c r="J1392" s="4" t="s">
        <v>1469</v>
      </c>
    </row>
    <row r="1393" spans="1:10" hidden="1">
      <c r="A1393" s="4">
        <v>2.02106204230004E+17</v>
      </c>
      <c r="B1393" s="4">
        <v>1897500126</v>
      </c>
      <c r="C1393" s="4" t="s">
        <v>11571</v>
      </c>
      <c r="D1393" s="4">
        <v>20423</v>
      </c>
      <c r="E1393" s="4">
        <v>20210614</v>
      </c>
      <c r="F1393" s="4">
        <v>20210614</v>
      </c>
      <c r="G1393" s="4">
        <v>20240614</v>
      </c>
      <c r="H1393" s="4" t="s">
        <v>11570</v>
      </c>
      <c r="I1393" s="4" t="s">
        <v>11569</v>
      </c>
      <c r="J1393" s="4" t="s">
        <v>368</v>
      </c>
    </row>
    <row r="1394" spans="1:10" hidden="1">
      <c r="A1394" s="4">
        <v>2.02106423210004E+17</v>
      </c>
      <c r="B1394" s="4">
        <v>7728101971</v>
      </c>
      <c r="C1394" s="4" t="s">
        <v>11568</v>
      </c>
      <c r="D1394" s="4">
        <v>42321</v>
      </c>
      <c r="E1394" s="4">
        <v>20210614</v>
      </c>
      <c r="F1394" s="4">
        <v>20210614</v>
      </c>
      <c r="G1394" s="4">
        <v>20240614</v>
      </c>
      <c r="H1394" s="4" t="s">
        <v>11567</v>
      </c>
      <c r="I1394" s="4" t="s">
        <v>149</v>
      </c>
      <c r="J1394" s="4" t="s">
        <v>698</v>
      </c>
    </row>
    <row r="1395" spans="1:10" hidden="1">
      <c r="A1395" s="4">
        <v>2.02106465930004E+17</v>
      </c>
      <c r="B1395" s="4">
        <v>3456500197</v>
      </c>
      <c r="C1395" s="4" t="s">
        <v>11566</v>
      </c>
      <c r="D1395" s="4">
        <v>46593</v>
      </c>
      <c r="E1395" s="4">
        <v>20210614</v>
      </c>
      <c r="F1395" s="4">
        <v>20210614</v>
      </c>
      <c r="G1395" s="4">
        <v>20240614</v>
      </c>
      <c r="H1395" s="4" t="s">
        <v>11565</v>
      </c>
      <c r="J1395" s="4" t="s">
        <v>1469</v>
      </c>
    </row>
    <row r="1396" spans="1:10" hidden="1">
      <c r="A1396" s="4">
        <v>2.02106639990004E+17</v>
      </c>
      <c r="B1396" s="4">
        <v>6860501701</v>
      </c>
      <c r="C1396" s="4" t="s">
        <v>11564</v>
      </c>
      <c r="D1396" s="4">
        <v>63999</v>
      </c>
      <c r="E1396" s="4">
        <v>20210614</v>
      </c>
      <c r="F1396" s="4">
        <v>20210614</v>
      </c>
      <c r="G1396" s="4">
        <v>20240614</v>
      </c>
      <c r="H1396" s="4" t="s">
        <v>11128</v>
      </c>
      <c r="J1396" s="4" t="s">
        <v>643</v>
      </c>
    </row>
    <row r="1397" spans="1:10" hidden="1">
      <c r="A1397" s="4">
        <v>2.02106284220004E+17</v>
      </c>
      <c r="B1397" s="4">
        <v>8028701935</v>
      </c>
      <c r="C1397" s="4" t="s">
        <v>11563</v>
      </c>
      <c r="D1397" s="4">
        <v>28422</v>
      </c>
      <c r="E1397" s="4">
        <v>20210614</v>
      </c>
      <c r="F1397" s="4">
        <v>20210614</v>
      </c>
      <c r="G1397" s="4">
        <v>20240614</v>
      </c>
      <c r="H1397" s="4" t="s">
        <v>11562</v>
      </c>
      <c r="J1397" s="4" t="s">
        <v>188</v>
      </c>
    </row>
    <row r="1398" spans="1:10" hidden="1">
      <c r="A1398" s="4">
        <v>2.02106320910004E+17</v>
      </c>
      <c r="B1398" s="4">
        <v>6098800824</v>
      </c>
      <c r="C1398" s="4" t="s">
        <v>11561</v>
      </c>
      <c r="D1398" s="4">
        <v>32091</v>
      </c>
      <c r="E1398" s="4">
        <v>20210614</v>
      </c>
      <c r="F1398" s="4">
        <v>20210614</v>
      </c>
      <c r="G1398" s="4">
        <v>20240614</v>
      </c>
      <c r="H1398" s="4" t="s">
        <v>11560</v>
      </c>
      <c r="J1398" s="4" t="s">
        <v>908</v>
      </c>
    </row>
    <row r="1399" spans="1:10" hidden="1">
      <c r="A1399" s="4">
        <v>2.02106721210004E+17</v>
      </c>
      <c r="B1399" s="4">
        <v>8718801563</v>
      </c>
      <c r="C1399" s="4" t="s">
        <v>11559</v>
      </c>
      <c r="D1399" s="4">
        <v>72121</v>
      </c>
      <c r="E1399" s="4">
        <v>20210614</v>
      </c>
      <c r="F1399" s="4">
        <v>20210614</v>
      </c>
      <c r="G1399" s="4">
        <v>20240614</v>
      </c>
      <c r="H1399" s="4" t="s">
        <v>11558</v>
      </c>
      <c r="I1399" s="4" t="s">
        <v>1680</v>
      </c>
      <c r="J1399" s="4" t="s">
        <v>2243</v>
      </c>
    </row>
    <row r="1400" spans="1:10" hidden="1">
      <c r="A1400" s="4">
        <v>2.02106272110004E+17</v>
      </c>
      <c r="B1400" s="4">
        <v>3838801810</v>
      </c>
      <c r="C1400" s="4" t="s">
        <v>11557</v>
      </c>
      <c r="D1400" s="4">
        <v>27211</v>
      </c>
      <c r="E1400" s="4">
        <v>20210614</v>
      </c>
      <c r="F1400" s="4">
        <v>20210614</v>
      </c>
      <c r="G1400" s="4">
        <v>20240614</v>
      </c>
      <c r="H1400" s="4" t="s">
        <v>11556</v>
      </c>
      <c r="I1400" s="4" t="s">
        <v>11555</v>
      </c>
      <c r="J1400" s="4" t="s">
        <v>1585</v>
      </c>
    </row>
    <row r="1401" spans="1:10" hidden="1">
      <c r="A1401" s="4">
        <v>2.02106639990004E+17</v>
      </c>
      <c r="B1401" s="4">
        <v>4688100729</v>
      </c>
      <c r="C1401" s="4" t="s">
        <v>11554</v>
      </c>
      <c r="D1401" s="4">
        <v>63999</v>
      </c>
      <c r="E1401" s="4">
        <v>20210614</v>
      </c>
      <c r="F1401" s="4">
        <v>20210614</v>
      </c>
      <c r="G1401" s="4">
        <v>20240227</v>
      </c>
      <c r="H1401" s="4" t="s">
        <v>11553</v>
      </c>
      <c r="I1401" s="4" t="s">
        <v>11552</v>
      </c>
      <c r="J1401" s="4" t="s">
        <v>643</v>
      </c>
    </row>
    <row r="1402" spans="1:10" hidden="1">
      <c r="A1402" s="4">
        <v>2.02106701210004E+17</v>
      </c>
      <c r="B1402" s="4">
        <v>4778802055</v>
      </c>
      <c r="C1402" s="4" t="s">
        <v>11551</v>
      </c>
      <c r="D1402" s="4">
        <v>70121</v>
      </c>
      <c r="E1402" s="4">
        <v>20210614</v>
      </c>
      <c r="F1402" s="4">
        <v>20210614</v>
      </c>
      <c r="G1402" s="4">
        <v>20240614</v>
      </c>
      <c r="H1402" s="4" t="s">
        <v>2238</v>
      </c>
      <c r="I1402" s="4" t="s">
        <v>11550</v>
      </c>
      <c r="J1402" s="4" t="s">
        <v>1267</v>
      </c>
    </row>
    <row r="1403" spans="1:10" hidden="1">
      <c r="A1403" s="4">
        <v>2.02106259320004E+17</v>
      </c>
      <c r="B1403" s="4">
        <v>4098653125</v>
      </c>
      <c r="C1403" s="4" t="s">
        <v>11549</v>
      </c>
      <c r="D1403" s="4">
        <v>25932</v>
      </c>
      <c r="E1403" s="4">
        <v>20210614</v>
      </c>
      <c r="F1403" s="4">
        <v>20210614</v>
      </c>
      <c r="G1403" s="4">
        <v>20220205</v>
      </c>
      <c r="H1403" s="4" t="s">
        <v>11548</v>
      </c>
      <c r="J1403" s="4" t="s">
        <v>246</v>
      </c>
    </row>
    <row r="1404" spans="1:10" hidden="1">
      <c r="A1404" s="4">
        <v>2.02106132240004E+17</v>
      </c>
      <c r="B1404" s="4">
        <v>7618101200</v>
      </c>
      <c r="C1404" s="4" t="s">
        <v>11712</v>
      </c>
      <c r="D1404" s="4">
        <v>13224</v>
      </c>
      <c r="E1404" s="4">
        <v>20210615</v>
      </c>
      <c r="F1404" s="4">
        <v>20210615</v>
      </c>
      <c r="G1404" s="4">
        <v>20240615</v>
      </c>
      <c r="H1404" s="4" t="s">
        <v>11711</v>
      </c>
      <c r="J1404" s="4" t="s">
        <v>672</v>
      </c>
    </row>
    <row r="1405" spans="1:10" hidden="1">
      <c r="A1405" s="4">
        <v>2.02106591110004E+17</v>
      </c>
      <c r="B1405" s="4">
        <v>4568601981</v>
      </c>
      <c r="C1405" s="4" t="s">
        <v>11545</v>
      </c>
      <c r="D1405" s="4">
        <v>59111</v>
      </c>
      <c r="E1405" s="4">
        <v>20210614</v>
      </c>
      <c r="F1405" s="4">
        <v>20210614</v>
      </c>
      <c r="G1405" s="4">
        <v>20240614</v>
      </c>
      <c r="H1405" s="4" t="s">
        <v>11544</v>
      </c>
      <c r="I1405" s="4" t="s">
        <v>11543</v>
      </c>
      <c r="J1405" s="4" t="s">
        <v>1857</v>
      </c>
    </row>
    <row r="1406" spans="1:10" hidden="1">
      <c r="A1406" s="4">
        <v>2.02106263100004E+17</v>
      </c>
      <c r="B1406" s="4">
        <v>5548700658</v>
      </c>
      <c r="C1406" s="4" t="s">
        <v>11542</v>
      </c>
      <c r="D1406" s="4">
        <v>26310</v>
      </c>
      <c r="E1406" s="4">
        <v>20210614</v>
      </c>
      <c r="F1406" s="4">
        <v>20210614</v>
      </c>
      <c r="G1406" s="4">
        <v>20240124</v>
      </c>
      <c r="H1406" s="4" t="s">
        <v>2259</v>
      </c>
      <c r="I1406" s="4" t="s">
        <v>11541</v>
      </c>
      <c r="J1406" s="4" t="s">
        <v>372</v>
      </c>
    </row>
    <row r="1407" spans="1:10" hidden="1">
      <c r="A1407" s="4">
        <v>2.02106139930004E+17</v>
      </c>
      <c r="B1407" s="4">
        <v>8698700962</v>
      </c>
      <c r="C1407" s="4" t="s">
        <v>11540</v>
      </c>
      <c r="D1407" s="4">
        <v>13993</v>
      </c>
      <c r="E1407" s="4">
        <v>20210614</v>
      </c>
      <c r="F1407" s="4">
        <v>20210614</v>
      </c>
      <c r="G1407" s="4">
        <v>20240614</v>
      </c>
      <c r="H1407" s="4" t="s">
        <v>1464</v>
      </c>
      <c r="I1407" s="4" t="s">
        <v>11539</v>
      </c>
      <c r="J1407" s="4" t="s">
        <v>11538</v>
      </c>
    </row>
    <row r="1408" spans="1:10" hidden="1">
      <c r="A1408" s="4">
        <v>2.02106289090004E+17</v>
      </c>
      <c r="B1408" s="4">
        <v>6258802047</v>
      </c>
      <c r="C1408" s="4" t="s">
        <v>11537</v>
      </c>
      <c r="D1408" s="4">
        <v>28909</v>
      </c>
      <c r="E1408" s="4">
        <v>20210614</v>
      </c>
      <c r="F1408" s="4">
        <v>20210614</v>
      </c>
      <c r="G1408" s="4">
        <v>20240614</v>
      </c>
      <c r="H1408" s="4" t="s">
        <v>4959</v>
      </c>
      <c r="I1408" s="4" t="s">
        <v>11536</v>
      </c>
      <c r="J1408" s="4" t="s">
        <v>253</v>
      </c>
    </row>
    <row r="1409" spans="1:10" hidden="1">
      <c r="A1409" s="4">
        <v>2.02106465920004E+17</v>
      </c>
      <c r="B1409" s="4">
        <v>6918600192</v>
      </c>
      <c r="C1409" s="4" t="s">
        <v>11535</v>
      </c>
      <c r="D1409" s="4">
        <v>46592</v>
      </c>
      <c r="E1409" s="4">
        <v>20210614</v>
      </c>
      <c r="F1409" s="4">
        <v>20210614</v>
      </c>
      <c r="G1409" s="4">
        <v>20220831</v>
      </c>
      <c r="H1409" s="4" t="s">
        <v>2769</v>
      </c>
      <c r="I1409" s="4" t="s">
        <v>11534</v>
      </c>
      <c r="J1409" s="4" t="s">
        <v>148</v>
      </c>
    </row>
    <row r="1410" spans="1:10" hidden="1">
      <c r="A1410" s="4">
        <v>2.02106739020004E+17</v>
      </c>
      <c r="B1410" s="4">
        <v>8348600668</v>
      </c>
      <c r="C1410" s="4" t="s">
        <v>11533</v>
      </c>
      <c r="D1410" s="4">
        <v>73902</v>
      </c>
      <c r="E1410" s="4">
        <v>20210614</v>
      </c>
      <c r="F1410" s="4">
        <v>20210614</v>
      </c>
      <c r="G1410" s="4">
        <v>20240308</v>
      </c>
      <c r="H1410" s="4" t="s">
        <v>11133</v>
      </c>
      <c r="I1410" s="4" t="s">
        <v>11532</v>
      </c>
      <c r="J1410" s="4" t="s">
        <v>1540</v>
      </c>
    </row>
    <row r="1411" spans="1:10" hidden="1">
      <c r="A1411" s="4">
        <v>2.02106620210004E+17</v>
      </c>
      <c r="B1411" s="4">
        <v>5638801599</v>
      </c>
      <c r="C1411" s="4" t="s">
        <v>11531</v>
      </c>
      <c r="D1411" s="4">
        <v>62021</v>
      </c>
      <c r="E1411" s="4">
        <v>20210614</v>
      </c>
      <c r="F1411" s="4">
        <v>20210614</v>
      </c>
      <c r="G1411" s="4">
        <v>20240614</v>
      </c>
      <c r="H1411" s="4" t="s">
        <v>11530</v>
      </c>
      <c r="J1411" s="4" t="s">
        <v>1505</v>
      </c>
    </row>
    <row r="1412" spans="1:10" hidden="1">
      <c r="A1412" s="4">
        <v>2.02106291990004E+17</v>
      </c>
      <c r="B1412" s="4">
        <v>3088600887</v>
      </c>
      <c r="C1412" s="4" t="s">
        <v>11529</v>
      </c>
      <c r="D1412" s="4">
        <v>29199</v>
      </c>
      <c r="E1412" s="4">
        <v>20210614</v>
      </c>
      <c r="F1412" s="4">
        <v>20210614</v>
      </c>
      <c r="G1412" s="4">
        <v>20240614</v>
      </c>
      <c r="H1412" s="4" t="s">
        <v>10760</v>
      </c>
      <c r="I1412" s="4" t="s">
        <v>11528</v>
      </c>
      <c r="J1412" s="4" t="s">
        <v>166</v>
      </c>
    </row>
    <row r="1413" spans="1:10" hidden="1">
      <c r="A1413" s="4">
        <v>2.02106729230004E+17</v>
      </c>
      <c r="B1413" s="4">
        <v>3178601712</v>
      </c>
      <c r="C1413" s="4" t="s">
        <v>11527</v>
      </c>
      <c r="D1413" s="4">
        <v>72923</v>
      </c>
      <c r="E1413" s="4">
        <v>20210614</v>
      </c>
      <c r="F1413" s="4">
        <v>20210614</v>
      </c>
      <c r="G1413" s="4">
        <v>20240614</v>
      </c>
      <c r="H1413" s="4" t="s">
        <v>1044</v>
      </c>
      <c r="I1413" s="4" t="s">
        <v>11526</v>
      </c>
      <c r="J1413" s="4" t="s">
        <v>3305</v>
      </c>
    </row>
    <row r="1414" spans="1:10" hidden="1">
      <c r="A1414" s="4">
        <v>2.02106412260004E+17</v>
      </c>
      <c r="B1414" s="4">
        <v>5898601957</v>
      </c>
      <c r="C1414" s="4" t="s">
        <v>11525</v>
      </c>
      <c r="D1414" s="4">
        <v>41226</v>
      </c>
      <c r="E1414" s="4">
        <v>20210614</v>
      </c>
      <c r="F1414" s="4">
        <v>20210614</v>
      </c>
      <c r="G1414" s="4">
        <v>20240614</v>
      </c>
      <c r="H1414" s="4" t="s">
        <v>11524</v>
      </c>
      <c r="I1414" s="4" t="s">
        <v>11523</v>
      </c>
      <c r="J1414" s="4" t="s">
        <v>1063</v>
      </c>
    </row>
    <row r="1415" spans="1:10" hidden="1">
      <c r="A1415" s="4">
        <v>2.02106424120004E+17</v>
      </c>
      <c r="B1415" s="4">
        <v>1068713615</v>
      </c>
      <c r="C1415" s="4" t="s">
        <v>11522</v>
      </c>
      <c r="D1415" s="4">
        <v>42412</v>
      </c>
      <c r="E1415" s="4">
        <v>20210614</v>
      </c>
      <c r="F1415" s="4">
        <v>20210614</v>
      </c>
      <c r="G1415" s="4">
        <v>20240614</v>
      </c>
      <c r="H1415" s="4" t="s">
        <v>11521</v>
      </c>
      <c r="I1415" s="4">
        <v>208</v>
      </c>
      <c r="J1415" s="4" t="s">
        <v>281</v>
      </c>
    </row>
    <row r="1416" spans="1:10" hidden="1">
      <c r="A1416" s="4">
        <v>2.02106303320004E+17</v>
      </c>
      <c r="B1416" s="4">
        <v>3128801685</v>
      </c>
      <c r="C1416" s="4" t="s">
        <v>11520</v>
      </c>
      <c r="D1416" s="4">
        <v>30332</v>
      </c>
      <c r="E1416" s="4">
        <v>20210614</v>
      </c>
      <c r="F1416" s="4">
        <v>20210614</v>
      </c>
      <c r="G1416" s="4">
        <v>20240614</v>
      </c>
      <c r="H1416" s="4" t="s">
        <v>11519</v>
      </c>
      <c r="I1416" s="4" t="s">
        <v>11518</v>
      </c>
      <c r="J1416" s="4" t="s">
        <v>4701</v>
      </c>
    </row>
    <row r="1417" spans="1:10" hidden="1">
      <c r="A1417" s="4">
        <v>2.02106291760004E+17</v>
      </c>
      <c r="B1417" s="4">
        <v>6648701861</v>
      </c>
      <c r="C1417" s="4" t="s">
        <v>11517</v>
      </c>
      <c r="D1417" s="4">
        <v>29176</v>
      </c>
      <c r="E1417" s="4">
        <v>20210614</v>
      </c>
      <c r="F1417" s="4">
        <v>20210614</v>
      </c>
      <c r="G1417" s="4">
        <v>20240614</v>
      </c>
      <c r="H1417" s="4" t="s">
        <v>11516</v>
      </c>
      <c r="I1417" s="4" t="s">
        <v>11515</v>
      </c>
      <c r="J1417" s="4" t="s">
        <v>9770</v>
      </c>
    </row>
    <row r="1418" spans="1:10" hidden="1">
      <c r="A1418" s="4">
        <v>2.02106461070004E+17</v>
      </c>
      <c r="B1418" s="4">
        <v>1498101278</v>
      </c>
      <c r="C1418" s="4" t="s">
        <v>11514</v>
      </c>
      <c r="D1418" s="4">
        <v>46107</v>
      </c>
      <c r="E1418" s="4">
        <v>20210614</v>
      </c>
      <c r="F1418" s="4">
        <v>20210614</v>
      </c>
      <c r="G1418" s="4">
        <v>20240614</v>
      </c>
      <c r="H1418" s="4" t="s">
        <v>1041</v>
      </c>
      <c r="I1418" s="4" t="s">
        <v>9096</v>
      </c>
      <c r="J1418" s="4" t="s">
        <v>11513</v>
      </c>
    </row>
    <row r="1419" spans="1:10" hidden="1">
      <c r="A1419" s="4">
        <v>2.02106333090004E+17</v>
      </c>
      <c r="B1419" s="4">
        <v>2270908143</v>
      </c>
      <c r="C1419" s="4" t="s">
        <v>11512</v>
      </c>
      <c r="D1419" s="4">
        <v>33309</v>
      </c>
      <c r="E1419" s="4">
        <v>20210614</v>
      </c>
      <c r="F1419" s="4">
        <v>20210614</v>
      </c>
      <c r="G1419" s="4">
        <v>20240614</v>
      </c>
      <c r="H1419" s="4" t="s">
        <v>11511</v>
      </c>
      <c r="J1419" s="4" t="s">
        <v>238</v>
      </c>
    </row>
    <row r="1420" spans="1:10" hidden="1">
      <c r="A1420" s="4">
        <v>2.02106320290004E+17</v>
      </c>
      <c r="B1420" s="4">
        <v>5331201201</v>
      </c>
      <c r="C1420" s="4" t="s">
        <v>11510</v>
      </c>
      <c r="D1420" s="4">
        <v>32029</v>
      </c>
      <c r="E1420" s="4">
        <v>20210614</v>
      </c>
      <c r="F1420" s="4">
        <v>20210614</v>
      </c>
      <c r="G1420" s="4">
        <v>20240614</v>
      </c>
      <c r="H1420" s="4" t="s">
        <v>11509</v>
      </c>
      <c r="I1420" s="4" t="s">
        <v>149</v>
      </c>
      <c r="J1420" s="4" t="s">
        <v>637</v>
      </c>
    </row>
    <row r="1421" spans="1:10" hidden="1">
      <c r="A1421" s="4">
        <v>2.02106639990004E+17</v>
      </c>
      <c r="B1421" s="4">
        <v>2658601968</v>
      </c>
      <c r="C1421" s="4" t="s">
        <v>11508</v>
      </c>
      <c r="D1421" s="4">
        <v>63999</v>
      </c>
      <c r="E1421" s="4">
        <v>20210614</v>
      </c>
      <c r="F1421" s="4">
        <v>20210614</v>
      </c>
      <c r="G1421" s="4">
        <v>20240614</v>
      </c>
      <c r="H1421" s="4" t="s">
        <v>1525</v>
      </c>
      <c r="I1421" s="4" t="s">
        <v>11507</v>
      </c>
      <c r="J1421" s="4" t="s">
        <v>643</v>
      </c>
    </row>
    <row r="1422" spans="1:10" hidden="1">
      <c r="A1422" s="4">
        <v>2.02106479120004E+17</v>
      </c>
      <c r="B1422" s="4">
        <v>4371101279</v>
      </c>
      <c r="C1422" s="4" t="s">
        <v>11506</v>
      </c>
      <c r="D1422" s="4">
        <v>47912</v>
      </c>
      <c r="E1422" s="4">
        <v>20210614</v>
      </c>
      <c r="F1422" s="4">
        <v>20210614</v>
      </c>
      <c r="G1422" s="4">
        <v>20240614</v>
      </c>
      <c r="H1422" s="4" t="s">
        <v>11505</v>
      </c>
      <c r="I1422" s="4" t="s">
        <v>146</v>
      </c>
      <c r="J1422" s="4" t="s">
        <v>78</v>
      </c>
    </row>
    <row r="1423" spans="1:10" hidden="1">
      <c r="A1423" s="4">
        <v>2.02106292100004E+17</v>
      </c>
      <c r="B1423" s="4">
        <v>1214451101</v>
      </c>
      <c r="C1423" s="4" t="s">
        <v>11208</v>
      </c>
      <c r="D1423" s="4">
        <v>29210</v>
      </c>
      <c r="E1423" s="4">
        <v>20210614</v>
      </c>
      <c r="F1423" s="4">
        <v>20210614</v>
      </c>
      <c r="G1423" s="4">
        <v>20240614</v>
      </c>
      <c r="H1423" s="4" t="s">
        <v>11504</v>
      </c>
      <c r="I1423" s="4" t="s">
        <v>11208</v>
      </c>
      <c r="J1423" s="4" t="s">
        <v>1274</v>
      </c>
    </row>
    <row r="1424" spans="1:10" hidden="1">
      <c r="A1424" s="4">
        <v>2.02106478210004E+17</v>
      </c>
      <c r="B1424" s="4">
        <v>3032055907</v>
      </c>
      <c r="C1424" s="4" t="s">
        <v>11503</v>
      </c>
      <c r="D1424" s="4">
        <v>47821</v>
      </c>
      <c r="E1424" s="4">
        <v>20210614</v>
      </c>
      <c r="F1424" s="4">
        <v>20210614</v>
      </c>
      <c r="G1424" s="4">
        <v>20240614</v>
      </c>
      <c r="H1424" s="4" t="s">
        <v>11502</v>
      </c>
      <c r="J1424" s="4" t="s">
        <v>4207</v>
      </c>
    </row>
    <row r="1425" spans="1:10" hidden="1">
      <c r="A1425" s="4">
        <v>2.02106639910004E+17</v>
      </c>
      <c r="B1425" s="4">
        <v>3108602011</v>
      </c>
      <c r="C1425" s="4" t="s">
        <v>11501</v>
      </c>
      <c r="D1425" s="4">
        <v>63991</v>
      </c>
      <c r="E1425" s="4">
        <v>20210614</v>
      </c>
      <c r="F1425" s="4">
        <v>20210614</v>
      </c>
      <c r="G1425" s="4">
        <v>20240614</v>
      </c>
      <c r="H1425" s="4" t="s">
        <v>11133</v>
      </c>
      <c r="I1425" s="4" t="s">
        <v>1519</v>
      </c>
      <c r="J1425" s="4" t="s">
        <v>395</v>
      </c>
    </row>
    <row r="1426" spans="1:10" hidden="1">
      <c r="A1426" s="4">
        <v>2.02106712010004E+17</v>
      </c>
      <c r="B1426" s="4">
        <v>1638601963</v>
      </c>
      <c r="C1426" s="4" t="s">
        <v>11500</v>
      </c>
      <c r="D1426" s="4">
        <v>71201</v>
      </c>
      <c r="E1426" s="4">
        <v>20210614</v>
      </c>
      <c r="F1426" s="4">
        <v>20210614</v>
      </c>
      <c r="G1426" s="4">
        <v>20240614</v>
      </c>
      <c r="H1426" s="4" t="s">
        <v>11499</v>
      </c>
      <c r="J1426" s="4" t="s">
        <v>6940</v>
      </c>
    </row>
    <row r="1427" spans="1:10" hidden="1">
      <c r="A1427" s="4">
        <v>2.02106479120004E+17</v>
      </c>
      <c r="B1427" s="4">
        <v>3611801364</v>
      </c>
      <c r="C1427" s="4" t="s">
        <v>11498</v>
      </c>
      <c r="D1427" s="4">
        <v>47912</v>
      </c>
      <c r="E1427" s="4">
        <v>20210612</v>
      </c>
      <c r="F1427" s="4">
        <v>20210612</v>
      </c>
      <c r="G1427" s="4">
        <v>20240612</v>
      </c>
      <c r="H1427" s="4" t="s">
        <v>11497</v>
      </c>
      <c r="I1427" s="4" t="s">
        <v>11496</v>
      </c>
      <c r="J1427" s="4" t="s">
        <v>78</v>
      </c>
    </row>
    <row r="1428" spans="1:10" hidden="1">
      <c r="A1428" s="4">
        <v>2.02106582220004E+17</v>
      </c>
      <c r="B1428" s="4">
        <v>8068601226</v>
      </c>
      <c r="C1428" s="4" t="s">
        <v>11495</v>
      </c>
      <c r="D1428" s="4">
        <v>58222</v>
      </c>
      <c r="E1428" s="4">
        <v>20210612</v>
      </c>
      <c r="F1428" s="4">
        <v>20210612</v>
      </c>
      <c r="G1428" s="4">
        <v>20240612</v>
      </c>
      <c r="H1428" s="4" t="s">
        <v>11494</v>
      </c>
      <c r="I1428" s="4" t="s">
        <v>11493</v>
      </c>
      <c r="J1428" s="4" t="s">
        <v>94</v>
      </c>
    </row>
    <row r="1429" spans="1:10" hidden="1">
      <c r="A1429" s="4">
        <v>2.02106620100004E+17</v>
      </c>
      <c r="B1429" s="4">
        <v>4790401329</v>
      </c>
      <c r="C1429" s="4" t="s">
        <v>11492</v>
      </c>
      <c r="D1429" s="4">
        <v>62010</v>
      </c>
      <c r="E1429" s="4">
        <v>20210612</v>
      </c>
      <c r="F1429" s="4">
        <v>20210612</v>
      </c>
      <c r="G1429" s="4">
        <v>20240612</v>
      </c>
      <c r="H1429" s="4" t="s">
        <v>1449</v>
      </c>
      <c r="J1429" s="4" t="s">
        <v>118</v>
      </c>
    </row>
    <row r="1430" spans="1:10" hidden="1">
      <c r="A1430" s="4">
        <v>2.02106411290004E+17</v>
      </c>
      <c r="B1430" s="4">
        <v>2538801071</v>
      </c>
      <c r="C1430" s="4" t="s">
        <v>11491</v>
      </c>
      <c r="D1430" s="4">
        <v>41129</v>
      </c>
      <c r="E1430" s="4">
        <v>20210612</v>
      </c>
      <c r="F1430" s="4">
        <v>20210612</v>
      </c>
      <c r="G1430" s="4">
        <v>20240612</v>
      </c>
      <c r="H1430" s="4" t="s">
        <v>11490</v>
      </c>
      <c r="I1430" s="4" t="s">
        <v>134</v>
      </c>
      <c r="J1430" s="4" t="s">
        <v>4352</v>
      </c>
    </row>
    <row r="1431" spans="1:10" hidden="1">
      <c r="A1431" s="4">
        <v>2.02106320290004E+17</v>
      </c>
      <c r="B1431" s="4">
        <v>1345800599</v>
      </c>
      <c r="C1431" s="4" t="s">
        <v>11489</v>
      </c>
      <c r="D1431" s="4">
        <v>32029</v>
      </c>
      <c r="E1431" s="4">
        <v>20210612</v>
      </c>
      <c r="F1431" s="4">
        <v>20210612</v>
      </c>
      <c r="G1431" s="4">
        <v>20240612</v>
      </c>
      <c r="H1431" s="4" t="s">
        <v>8986</v>
      </c>
      <c r="I1431" s="4" t="s">
        <v>8985</v>
      </c>
      <c r="J1431" s="4" t="s">
        <v>637</v>
      </c>
    </row>
    <row r="1432" spans="1:10" hidden="1">
      <c r="A1432" s="4">
        <v>2.02106103090004E+17</v>
      </c>
      <c r="B1432" s="4">
        <v>6408602299</v>
      </c>
      <c r="C1432" s="4" t="s">
        <v>11488</v>
      </c>
      <c r="D1432" s="4">
        <v>10309</v>
      </c>
      <c r="E1432" s="4">
        <v>20210612</v>
      </c>
      <c r="F1432" s="4">
        <v>20210612</v>
      </c>
      <c r="G1432" s="4">
        <v>20240612</v>
      </c>
      <c r="H1432" s="4" t="s">
        <v>11487</v>
      </c>
      <c r="I1432" s="4" t="s">
        <v>159</v>
      </c>
      <c r="J1432" s="4" t="s">
        <v>519</v>
      </c>
    </row>
    <row r="1433" spans="1:10" hidden="1">
      <c r="A1433" s="4">
        <v>2.02106465950004E+17</v>
      </c>
      <c r="B1433" s="4">
        <v>7818102144</v>
      </c>
      <c r="C1433" s="4" t="s">
        <v>11486</v>
      </c>
      <c r="D1433" s="4">
        <v>46595</v>
      </c>
      <c r="E1433" s="4">
        <v>20210612</v>
      </c>
      <c r="F1433" s="4">
        <v>20210612</v>
      </c>
      <c r="G1433" s="4">
        <v>20240612</v>
      </c>
      <c r="H1433" s="4" t="s">
        <v>11485</v>
      </c>
      <c r="I1433" s="4" t="s">
        <v>11484</v>
      </c>
      <c r="J1433" s="4" t="s">
        <v>960</v>
      </c>
    </row>
    <row r="1434" spans="1:10" hidden="1">
      <c r="A1434" s="4">
        <v>2.02106285190004E+17</v>
      </c>
      <c r="B1434" s="4">
        <v>8238101828</v>
      </c>
      <c r="C1434" s="4" t="s">
        <v>11483</v>
      </c>
      <c r="D1434" s="4">
        <v>28519</v>
      </c>
      <c r="E1434" s="4">
        <v>20210612</v>
      </c>
      <c r="F1434" s="4">
        <v>20210612</v>
      </c>
      <c r="G1434" s="4">
        <v>20240612</v>
      </c>
      <c r="H1434" s="4" t="s">
        <v>11482</v>
      </c>
      <c r="I1434" s="4" t="s">
        <v>11481</v>
      </c>
      <c r="J1434" s="4" t="s">
        <v>1412</v>
      </c>
    </row>
    <row r="1435" spans="1:10" s="5" customFormat="1">
      <c r="A1435" s="4">
        <v>2.0210446453000301E+17</v>
      </c>
      <c r="B1435" s="4">
        <v>4025113659</v>
      </c>
      <c r="C1435" s="4" t="s">
        <v>7648</v>
      </c>
      <c r="D1435" s="4">
        <v>46453</v>
      </c>
      <c r="E1435" s="4">
        <v>20210426</v>
      </c>
      <c r="F1435" s="4">
        <v>20210426</v>
      </c>
      <c r="G1435" s="4">
        <v>20240426</v>
      </c>
      <c r="H1435" s="4" t="s">
        <v>7647</v>
      </c>
      <c r="I1435" s="4" t="s">
        <v>7646</v>
      </c>
      <c r="J1435" s="4" t="s">
        <v>816</v>
      </c>
    </row>
    <row r="1436" spans="1:10" hidden="1">
      <c r="A1436" s="4">
        <v>2.02106262990004E+17</v>
      </c>
      <c r="B1436" s="4">
        <v>7508102024</v>
      </c>
      <c r="C1436" s="4" t="s">
        <v>11478</v>
      </c>
      <c r="D1436" s="4">
        <v>26299</v>
      </c>
      <c r="E1436" s="4">
        <v>20210612</v>
      </c>
      <c r="F1436" s="4">
        <v>20210612</v>
      </c>
      <c r="G1436" s="4">
        <v>20240612</v>
      </c>
      <c r="H1436" s="4" t="s">
        <v>750</v>
      </c>
      <c r="I1436" s="4" t="s">
        <v>11477</v>
      </c>
      <c r="J1436" s="4" t="s">
        <v>339</v>
      </c>
    </row>
    <row r="1437" spans="1:10" hidden="1">
      <c r="A1437" s="4">
        <v>2.02106264290004E+17</v>
      </c>
      <c r="B1437" s="4">
        <v>8868600295</v>
      </c>
      <c r="C1437" s="4" t="s">
        <v>11476</v>
      </c>
      <c r="D1437" s="4">
        <v>26429</v>
      </c>
      <c r="E1437" s="4">
        <v>20210612</v>
      </c>
      <c r="F1437" s="4">
        <v>20210612</v>
      </c>
      <c r="G1437" s="4">
        <v>20230205</v>
      </c>
      <c r="H1437" s="4" t="s">
        <v>11475</v>
      </c>
      <c r="I1437" s="4" t="s">
        <v>4360</v>
      </c>
      <c r="J1437" s="4" t="s">
        <v>422</v>
      </c>
    </row>
    <row r="1438" spans="1:10" hidden="1">
      <c r="A1438" s="4">
        <v>2.02106582220004E+17</v>
      </c>
      <c r="B1438" s="4">
        <v>1198801882</v>
      </c>
      <c r="C1438" s="4" t="s">
        <v>11474</v>
      </c>
      <c r="D1438" s="4">
        <v>58222</v>
      </c>
      <c r="E1438" s="4">
        <v>20210612</v>
      </c>
      <c r="F1438" s="4">
        <v>20210612</v>
      </c>
      <c r="G1438" s="4">
        <v>20240612</v>
      </c>
      <c r="H1438" s="4" t="s">
        <v>11473</v>
      </c>
      <c r="I1438" s="4" t="s">
        <v>185</v>
      </c>
      <c r="J1438" s="4" t="s">
        <v>94</v>
      </c>
    </row>
    <row r="1439" spans="1:10" hidden="1">
      <c r="A1439" s="4">
        <v>2.02106713100004E+17</v>
      </c>
      <c r="B1439" s="4">
        <v>3738601672</v>
      </c>
      <c r="C1439" s="4" t="s">
        <v>11472</v>
      </c>
      <c r="D1439" s="4">
        <v>71310</v>
      </c>
      <c r="E1439" s="4">
        <v>20210612</v>
      </c>
      <c r="F1439" s="4">
        <v>20210612</v>
      </c>
      <c r="G1439" s="4">
        <v>20240612</v>
      </c>
      <c r="H1439" s="4" t="s">
        <v>318</v>
      </c>
      <c r="I1439" s="4" t="s">
        <v>11432</v>
      </c>
      <c r="J1439" s="4" t="s">
        <v>426</v>
      </c>
    </row>
    <row r="1440" spans="1:10" hidden="1">
      <c r="A1440" s="4">
        <v>2.02106591110004E+17</v>
      </c>
      <c r="B1440" s="4">
        <v>3268101671</v>
      </c>
      <c r="C1440" s="4" t="s">
        <v>11471</v>
      </c>
      <c r="D1440" s="4">
        <v>59111</v>
      </c>
      <c r="E1440" s="4">
        <v>20210612</v>
      </c>
      <c r="F1440" s="4">
        <v>20210612</v>
      </c>
      <c r="G1440" s="4">
        <v>20240612</v>
      </c>
      <c r="H1440" s="4" t="s">
        <v>11470</v>
      </c>
      <c r="I1440" s="4" t="s">
        <v>11469</v>
      </c>
      <c r="J1440" s="4" t="s">
        <v>1857</v>
      </c>
    </row>
    <row r="1441" spans="1:10" hidden="1">
      <c r="A1441" s="4">
        <v>2.02106701130004E+17</v>
      </c>
      <c r="B1441" s="4">
        <v>5718801362</v>
      </c>
      <c r="C1441" s="4" t="s">
        <v>11468</v>
      </c>
      <c r="D1441" s="4">
        <v>70113</v>
      </c>
      <c r="E1441" s="4">
        <v>20210612</v>
      </c>
      <c r="F1441" s="4">
        <v>20210612</v>
      </c>
      <c r="G1441" s="4">
        <v>20240612</v>
      </c>
      <c r="H1441" s="4" t="s">
        <v>11467</v>
      </c>
      <c r="I1441" s="4" t="s">
        <v>11466</v>
      </c>
      <c r="J1441" s="4" t="s">
        <v>1173</v>
      </c>
    </row>
    <row r="1442" spans="1:10" hidden="1">
      <c r="A1442" s="4">
        <v>2.02106759990004E+17</v>
      </c>
      <c r="B1442" s="4">
        <v>4738800996</v>
      </c>
      <c r="C1442" s="4" t="s">
        <v>11465</v>
      </c>
      <c r="D1442" s="4">
        <v>75999</v>
      </c>
      <c r="E1442" s="4">
        <v>20210612</v>
      </c>
      <c r="F1442" s="4">
        <v>20210612</v>
      </c>
      <c r="G1442" s="4">
        <v>20240612</v>
      </c>
      <c r="H1442" s="4" t="s">
        <v>11464</v>
      </c>
      <c r="I1442" s="4" t="s">
        <v>91</v>
      </c>
      <c r="J1442" s="4" t="s">
        <v>158</v>
      </c>
    </row>
    <row r="1443" spans="1:10" hidden="1">
      <c r="A1443" s="4">
        <v>2.02106204230004E+17</v>
      </c>
      <c r="B1443" s="4">
        <v>5158152275</v>
      </c>
      <c r="C1443" s="4" t="s">
        <v>11463</v>
      </c>
      <c r="D1443" s="4">
        <v>20423</v>
      </c>
      <c r="E1443" s="4">
        <v>20210611</v>
      </c>
      <c r="F1443" s="4">
        <v>20210611</v>
      </c>
      <c r="G1443" s="4">
        <v>20210716</v>
      </c>
      <c r="H1443" s="4" t="s">
        <v>1578</v>
      </c>
      <c r="I1443" s="4" t="s">
        <v>11462</v>
      </c>
      <c r="J1443" s="4" t="s">
        <v>368</v>
      </c>
    </row>
    <row r="1444" spans="1:10" hidden="1">
      <c r="A1444" s="4">
        <v>2.02106271990004E+17</v>
      </c>
      <c r="B1444" s="4">
        <v>8108601491</v>
      </c>
      <c r="C1444" s="4" t="s">
        <v>11461</v>
      </c>
      <c r="D1444" s="4">
        <v>27199</v>
      </c>
      <c r="E1444" s="4">
        <v>20210611</v>
      </c>
      <c r="F1444" s="4">
        <v>20210611</v>
      </c>
      <c r="G1444" s="4">
        <v>20240611</v>
      </c>
      <c r="H1444" s="4" t="s">
        <v>8075</v>
      </c>
      <c r="I1444" s="4" t="s">
        <v>11460</v>
      </c>
      <c r="J1444" s="4" t="s">
        <v>418</v>
      </c>
    </row>
    <row r="1445" spans="1:10" hidden="1">
      <c r="A1445" s="4">
        <v>2.02106264290004E+17</v>
      </c>
      <c r="B1445" s="4">
        <v>3138701264</v>
      </c>
      <c r="C1445" s="4" t="s">
        <v>11459</v>
      </c>
      <c r="D1445" s="4">
        <v>26429</v>
      </c>
      <c r="E1445" s="4">
        <v>20210611</v>
      </c>
      <c r="F1445" s="4">
        <v>20210611</v>
      </c>
      <c r="G1445" s="4">
        <v>20240611</v>
      </c>
      <c r="H1445" s="4" t="s">
        <v>1825</v>
      </c>
      <c r="I1445" s="4" t="s">
        <v>11458</v>
      </c>
      <c r="J1445" s="4" t="s">
        <v>422</v>
      </c>
    </row>
    <row r="1446" spans="1:10" hidden="1">
      <c r="A1446" s="4">
        <v>2.02106421100004E+17</v>
      </c>
      <c r="B1446" s="4">
        <v>2298701770</v>
      </c>
      <c r="C1446" s="4" t="s">
        <v>11457</v>
      </c>
      <c r="D1446" s="4">
        <v>42110</v>
      </c>
      <c r="E1446" s="4">
        <v>20210611</v>
      </c>
      <c r="F1446" s="4">
        <v>20210611</v>
      </c>
      <c r="G1446" s="4">
        <v>20240611</v>
      </c>
      <c r="H1446" s="4" t="s">
        <v>11456</v>
      </c>
      <c r="I1446" s="4" t="s">
        <v>1633</v>
      </c>
      <c r="J1446" s="4" t="s">
        <v>8525</v>
      </c>
    </row>
    <row r="1447" spans="1:10" hidden="1">
      <c r="A1447" s="4">
        <v>2.02106582220004E+17</v>
      </c>
      <c r="B1447" s="4">
        <v>4228801717</v>
      </c>
      <c r="C1447" s="4" t="s">
        <v>11455</v>
      </c>
      <c r="D1447" s="4">
        <v>58222</v>
      </c>
      <c r="E1447" s="4">
        <v>20210611</v>
      </c>
      <c r="F1447" s="4">
        <v>20210611</v>
      </c>
      <c r="G1447" s="4">
        <v>20240611</v>
      </c>
      <c r="H1447" s="4" t="s">
        <v>2318</v>
      </c>
      <c r="I1447" s="4" t="s">
        <v>11454</v>
      </c>
      <c r="J1447" s="4" t="s">
        <v>94</v>
      </c>
    </row>
    <row r="1448" spans="1:10" hidden="1">
      <c r="A1448" s="4">
        <v>2.02106713100004E+17</v>
      </c>
      <c r="B1448" s="4">
        <v>6728601981</v>
      </c>
      <c r="C1448" s="4" t="s">
        <v>11453</v>
      </c>
      <c r="D1448" s="4">
        <v>71310</v>
      </c>
      <c r="E1448" s="4">
        <v>20210611</v>
      </c>
      <c r="F1448" s="4">
        <v>20210611</v>
      </c>
      <c r="G1448" s="4">
        <v>20240611</v>
      </c>
      <c r="H1448" s="4" t="s">
        <v>11452</v>
      </c>
      <c r="J1448" s="4" t="s">
        <v>426</v>
      </c>
    </row>
    <row r="1449" spans="1:10" hidden="1">
      <c r="A1449" s="4">
        <v>2.02106473120004E+17</v>
      </c>
      <c r="B1449" s="4">
        <v>4698700990</v>
      </c>
      <c r="C1449" s="4" t="s">
        <v>11703</v>
      </c>
      <c r="D1449" s="4">
        <v>47312</v>
      </c>
      <c r="E1449" s="4">
        <v>20210615</v>
      </c>
      <c r="F1449" s="4">
        <v>20210615</v>
      </c>
      <c r="G1449" s="4">
        <v>20240615</v>
      </c>
      <c r="H1449" s="4" t="s">
        <v>11702</v>
      </c>
      <c r="I1449" s="4" t="s">
        <v>11701</v>
      </c>
      <c r="J1449" s="4" t="s">
        <v>11700</v>
      </c>
    </row>
    <row r="1450" spans="1:10" hidden="1">
      <c r="A1450" s="4">
        <v>2.02106201190004E+17</v>
      </c>
      <c r="B1450" s="4">
        <v>6568700726</v>
      </c>
      <c r="C1450" s="4" t="s">
        <v>11449</v>
      </c>
      <c r="D1450" s="4">
        <v>20119</v>
      </c>
      <c r="E1450" s="4">
        <v>20210611</v>
      </c>
      <c r="F1450" s="4">
        <v>20210611</v>
      </c>
      <c r="G1450" s="4">
        <v>20240611</v>
      </c>
      <c r="H1450" s="4" t="s">
        <v>11448</v>
      </c>
      <c r="J1450" s="4" t="s">
        <v>858</v>
      </c>
    </row>
    <row r="1451" spans="1:10" hidden="1">
      <c r="A1451" s="4">
        <v>2.02106713990004E+17</v>
      </c>
      <c r="B1451" s="4">
        <v>1148722245</v>
      </c>
      <c r="C1451" s="4" t="s">
        <v>11447</v>
      </c>
      <c r="D1451" s="4">
        <v>71399</v>
      </c>
      <c r="E1451" s="4">
        <v>20210611</v>
      </c>
      <c r="F1451" s="4">
        <v>20210611</v>
      </c>
      <c r="G1451" s="4">
        <v>20211128</v>
      </c>
      <c r="H1451" s="4" t="s">
        <v>4747</v>
      </c>
      <c r="I1451" s="4" t="s">
        <v>11446</v>
      </c>
      <c r="J1451" s="4" t="s">
        <v>217</v>
      </c>
    </row>
    <row r="1452" spans="1:10" hidden="1">
      <c r="A1452" s="4">
        <v>2.02106313120004E+17</v>
      </c>
      <c r="B1452" s="4">
        <v>6718701802</v>
      </c>
      <c r="C1452" s="4" t="s">
        <v>11445</v>
      </c>
      <c r="D1452" s="4">
        <v>31312</v>
      </c>
      <c r="E1452" s="4">
        <v>20210611</v>
      </c>
      <c r="F1452" s="4">
        <v>20210611</v>
      </c>
      <c r="G1452" s="4">
        <v>20240611</v>
      </c>
      <c r="H1452" s="4" t="s">
        <v>1587</v>
      </c>
      <c r="I1452" s="4" t="s">
        <v>11444</v>
      </c>
      <c r="J1452" s="4" t="s">
        <v>748</v>
      </c>
    </row>
    <row r="1453" spans="1:10" hidden="1">
      <c r="A1453" s="4">
        <v>2.02106285190004E+17</v>
      </c>
      <c r="B1453" s="4">
        <v>7058800520</v>
      </c>
      <c r="C1453" s="4" t="s">
        <v>11443</v>
      </c>
      <c r="D1453" s="4">
        <v>28519</v>
      </c>
      <c r="E1453" s="4">
        <v>20210611</v>
      </c>
      <c r="F1453" s="4">
        <v>20210611</v>
      </c>
      <c r="G1453" s="4">
        <v>20230714</v>
      </c>
      <c r="H1453" s="4" t="s">
        <v>3263</v>
      </c>
      <c r="I1453" s="4" t="s">
        <v>11442</v>
      </c>
      <c r="J1453" s="4" t="s">
        <v>1412</v>
      </c>
    </row>
    <row r="1454" spans="1:10" hidden="1">
      <c r="A1454" s="4">
        <v>2.02106582220004E+17</v>
      </c>
      <c r="B1454" s="4">
        <v>6858600969</v>
      </c>
      <c r="C1454" s="4" t="s">
        <v>11441</v>
      </c>
      <c r="D1454" s="4">
        <v>58222</v>
      </c>
      <c r="E1454" s="4">
        <v>20210611</v>
      </c>
      <c r="F1454" s="4">
        <v>20210611</v>
      </c>
      <c r="G1454" s="4">
        <v>20240301</v>
      </c>
      <c r="H1454" s="4" t="s">
        <v>11440</v>
      </c>
      <c r="I1454" s="4" t="s">
        <v>11439</v>
      </c>
      <c r="J1454" s="4" t="s">
        <v>94</v>
      </c>
    </row>
    <row r="1455" spans="1:10" hidden="1">
      <c r="A1455" s="4">
        <v>2.02106272130004E+17</v>
      </c>
      <c r="B1455" s="4">
        <v>5308801245</v>
      </c>
      <c r="C1455" s="4" t="s">
        <v>11438</v>
      </c>
      <c r="D1455" s="4">
        <v>27213</v>
      </c>
      <c r="E1455" s="4">
        <v>20210611</v>
      </c>
      <c r="F1455" s="4">
        <v>20210611</v>
      </c>
      <c r="G1455" s="4">
        <v>20240611</v>
      </c>
      <c r="H1455" s="4" t="s">
        <v>1597</v>
      </c>
      <c r="I1455" s="4" t="s">
        <v>11437</v>
      </c>
      <c r="J1455" s="4" t="s">
        <v>264</v>
      </c>
    </row>
    <row r="1456" spans="1:10" hidden="1">
      <c r="A1456" s="4">
        <v>2.02106620100004E+17</v>
      </c>
      <c r="B1456" s="4">
        <v>7348101912</v>
      </c>
      <c r="C1456" s="4" t="s">
        <v>11436</v>
      </c>
      <c r="D1456" s="4">
        <v>62010</v>
      </c>
      <c r="E1456" s="4">
        <v>20210611</v>
      </c>
      <c r="F1456" s="4">
        <v>20210611</v>
      </c>
      <c r="G1456" s="4">
        <v>20240611</v>
      </c>
      <c r="H1456" s="4" t="s">
        <v>1081</v>
      </c>
      <c r="I1456" s="4" t="s">
        <v>11435</v>
      </c>
      <c r="J1456" s="4" t="s">
        <v>118</v>
      </c>
    </row>
    <row r="1457" spans="1:10" hidden="1">
      <c r="A1457" s="4">
        <v>2.02106639910004E+17</v>
      </c>
      <c r="B1457" s="4">
        <v>7548800411</v>
      </c>
      <c r="C1457" s="4" t="s">
        <v>11434</v>
      </c>
      <c r="D1457" s="4">
        <v>63991</v>
      </c>
      <c r="E1457" s="4">
        <v>20210611</v>
      </c>
      <c r="F1457" s="4">
        <v>20210611</v>
      </c>
      <c r="G1457" s="4">
        <v>20230624</v>
      </c>
      <c r="H1457" s="4" t="s">
        <v>11433</v>
      </c>
      <c r="I1457" s="4" t="s">
        <v>11432</v>
      </c>
      <c r="J1457" s="4" t="s">
        <v>395</v>
      </c>
    </row>
    <row r="1458" spans="1:10" hidden="1">
      <c r="A1458" s="4">
        <v>2.02106101290004E+17</v>
      </c>
      <c r="B1458" s="4">
        <v>2258702103</v>
      </c>
      <c r="C1458" s="4" t="s">
        <v>11431</v>
      </c>
      <c r="D1458" s="4">
        <v>10129</v>
      </c>
      <c r="E1458" s="4">
        <v>20210611</v>
      </c>
      <c r="F1458" s="4">
        <v>20210611</v>
      </c>
      <c r="G1458" s="4">
        <v>20240611</v>
      </c>
      <c r="H1458" s="4" t="s">
        <v>1880</v>
      </c>
      <c r="I1458" s="4" t="s">
        <v>11430</v>
      </c>
      <c r="J1458" s="4" t="s">
        <v>2842</v>
      </c>
    </row>
    <row r="1459" spans="1:10" hidden="1">
      <c r="A1459" s="4">
        <v>2.02106179030004E+17</v>
      </c>
      <c r="B1459" s="4">
        <v>4548102316</v>
      </c>
      <c r="C1459" s="4" t="s">
        <v>11429</v>
      </c>
      <c r="D1459" s="4">
        <v>17903</v>
      </c>
      <c r="E1459" s="4">
        <v>20210611</v>
      </c>
      <c r="F1459" s="4">
        <v>20210611</v>
      </c>
      <c r="G1459" s="4">
        <v>20240611</v>
      </c>
      <c r="H1459" s="4" t="s">
        <v>11428</v>
      </c>
      <c r="I1459" s="4" t="s">
        <v>11427</v>
      </c>
      <c r="J1459" s="4" t="s">
        <v>8929</v>
      </c>
    </row>
    <row r="1460" spans="1:10" hidden="1">
      <c r="A1460" s="4">
        <v>2.02106582210004E+17</v>
      </c>
      <c r="B1460" s="4">
        <v>6658700133</v>
      </c>
      <c r="C1460" s="4" t="s">
        <v>11426</v>
      </c>
      <c r="D1460" s="4">
        <v>58221</v>
      </c>
      <c r="E1460" s="4">
        <v>20210611</v>
      </c>
      <c r="F1460" s="4">
        <v>20210611</v>
      </c>
      <c r="G1460" s="4">
        <v>20220618</v>
      </c>
      <c r="H1460" s="4" t="s">
        <v>11425</v>
      </c>
      <c r="I1460" s="4" t="s">
        <v>11424</v>
      </c>
      <c r="J1460" s="4" t="s">
        <v>228</v>
      </c>
    </row>
    <row r="1461" spans="1:10" hidden="1">
      <c r="A1461" s="4">
        <v>2.02106721110004E+17</v>
      </c>
      <c r="B1461" s="4">
        <v>7271100469</v>
      </c>
      <c r="C1461" s="4" t="s">
        <v>11423</v>
      </c>
      <c r="D1461" s="4">
        <v>72111</v>
      </c>
      <c r="E1461" s="4">
        <v>20210611</v>
      </c>
      <c r="F1461" s="4">
        <v>20210611</v>
      </c>
      <c r="G1461" s="4">
        <v>20240112</v>
      </c>
      <c r="H1461" s="4" t="s">
        <v>11422</v>
      </c>
      <c r="J1461" s="4" t="s">
        <v>3461</v>
      </c>
    </row>
    <row r="1462" spans="1:10" hidden="1">
      <c r="A1462" s="4">
        <v>2.02106591410004E+17</v>
      </c>
      <c r="B1462" s="4">
        <v>3358101506</v>
      </c>
      <c r="C1462" s="4" t="s">
        <v>11421</v>
      </c>
      <c r="D1462" s="4">
        <v>59141</v>
      </c>
      <c r="E1462" s="4">
        <v>20210611</v>
      </c>
      <c r="F1462" s="4">
        <v>20210611</v>
      </c>
      <c r="G1462" s="4">
        <v>20240611</v>
      </c>
      <c r="H1462" s="4" t="s">
        <v>11420</v>
      </c>
      <c r="I1462" s="4" t="s">
        <v>91</v>
      </c>
      <c r="J1462" s="4" t="s">
        <v>11419</v>
      </c>
    </row>
    <row r="1463" spans="1:10" hidden="1">
      <c r="A1463" s="4">
        <v>2.02106262990004E+17</v>
      </c>
      <c r="B1463" s="4">
        <v>1098701665</v>
      </c>
      <c r="C1463" s="4" t="s">
        <v>11622</v>
      </c>
      <c r="D1463" s="4">
        <v>26299</v>
      </c>
      <c r="E1463" s="4">
        <v>20210615</v>
      </c>
      <c r="F1463" s="4">
        <v>20210615</v>
      </c>
      <c r="G1463" s="4">
        <v>20240615</v>
      </c>
      <c r="H1463" s="4" t="s">
        <v>3581</v>
      </c>
      <c r="I1463" s="4" t="s">
        <v>11621</v>
      </c>
      <c r="J1463" s="4" t="s">
        <v>339</v>
      </c>
    </row>
    <row r="1464" spans="1:10" hidden="1">
      <c r="A1464" s="4">
        <v>2.02106291310004E+17</v>
      </c>
      <c r="B1464" s="4">
        <v>2038702044</v>
      </c>
      <c r="C1464" s="4" t="s">
        <v>11547</v>
      </c>
      <c r="D1464" s="4">
        <v>29131</v>
      </c>
      <c r="E1464" s="4">
        <v>20210614</v>
      </c>
      <c r="F1464" s="4">
        <v>20210614</v>
      </c>
      <c r="G1464" s="4">
        <v>20240614</v>
      </c>
      <c r="H1464" s="4" t="s">
        <v>11546</v>
      </c>
      <c r="J1464" s="4" t="s">
        <v>4077</v>
      </c>
    </row>
    <row r="1465" spans="1:10" hidden="1">
      <c r="A1465" s="4">
        <v>2.02106011100004E+17</v>
      </c>
      <c r="B1465" s="4">
        <v>1718600932</v>
      </c>
      <c r="C1465" s="4" t="s">
        <v>11414</v>
      </c>
      <c r="D1465" s="4">
        <v>1110</v>
      </c>
      <c r="E1465" s="4">
        <v>20210611</v>
      </c>
      <c r="F1465" s="4">
        <v>20210611</v>
      </c>
      <c r="G1465" s="4">
        <v>20240611</v>
      </c>
      <c r="H1465" s="4" t="s">
        <v>11413</v>
      </c>
      <c r="I1465" s="4" t="s">
        <v>11412</v>
      </c>
      <c r="J1465" s="4" t="s">
        <v>8361</v>
      </c>
    </row>
    <row r="1466" spans="1:10" hidden="1">
      <c r="A1466" s="4">
        <v>2.02106291750004E+17</v>
      </c>
      <c r="B1466" s="4">
        <v>3968701707</v>
      </c>
      <c r="C1466" s="4" t="s">
        <v>11451</v>
      </c>
      <c r="D1466" s="4">
        <v>29175</v>
      </c>
      <c r="E1466" s="4">
        <v>20210611</v>
      </c>
      <c r="F1466" s="4">
        <v>20210611</v>
      </c>
      <c r="G1466" s="4">
        <v>20240611</v>
      </c>
      <c r="H1466" s="4" t="s">
        <v>11450</v>
      </c>
      <c r="J1466" s="4" t="s">
        <v>232</v>
      </c>
    </row>
    <row r="1467" spans="1:10" hidden="1">
      <c r="A1467" s="4">
        <v>2.02106721210004E+17</v>
      </c>
      <c r="B1467" s="4">
        <v>1421700942</v>
      </c>
      <c r="C1467" s="4" t="s">
        <v>11409</v>
      </c>
      <c r="D1467" s="4">
        <v>72121</v>
      </c>
      <c r="E1467" s="4">
        <v>20210611</v>
      </c>
      <c r="F1467" s="4">
        <v>20210611</v>
      </c>
      <c r="G1467" s="4">
        <v>20240611</v>
      </c>
      <c r="H1467" s="4" t="s">
        <v>11408</v>
      </c>
      <c r="J1467" s="4" t="s">
        <v>2243</v>
      </c>
    </row>
    <row r="1468" spans="1:10" hidden="1">
      <c r="A1468" s="4">
        <v>2.02106721210004E+17</v>
      </c>
      <c r="B1468" s="4">
        <v>4288800924</v>
      </c>
      <c r="C1468" s="4" t="s">
        <v>11407</v>
      </c>
      <c r="D1468" s="4">
        <v>72121</v>
      </c>
      <c r="E1468" s="4">
        <v>20210611</v>
      </c>
      <c r="F1468" s="4">
        <v>20210611</v>
      </c>
      <c r="G1468" s="4">
        <v>20240611</v>
      </c>
      <c r="H1468" s="4" t="s">
        <v>11406</v>
      </c>
      <c r="I1468" s="4" t="s">
        <v>11405</v>
      </c>
      <c r="J1468" s="4" t="s">
        <v>2243</v>
      </c>
    </row>
    <row r="1469" spans="1:10" hidden="1">
      <c r="A1469" s="4">
        <v>2.02106291990004E+17</v>
      </c>
      <c r="B1469" s="4">
        <v>3808601331</v>
      </c>
      <c r="C1469" s="4" t="s">
        <v>11404</v>
      </c>
      <c r="D1469" s="4">
        <v>29199</v>
      </c>
      <c r="E1469" s="4">
        <v>20210611</v>
      </c>
      <c r="F1469" s="4">
        <v>20210611</v>
      </c>
      <c r="G1469" s="4">
        <v>20240611</v>
      </c>
      <c r="H1469" s="4" t="s">
        <v>11403</v>
      </c>
      <c r="J1469" s="4" t="s">
        <v>166</v>
      </c>
    </row>
    <row r="1470" spans="1:10" hidden="1">
      <c r="A1470" s="4">
        <v>2.02106339100004E+17</v>
      </c>
      <c r="B1470" s="4">
        <v>5105106895</v>
      </c>
      <c r="C1470" s="4" t="s">
        <v>11402</v>
      </c>
      <c r="D1470" s="4">
        <v>33910</v>
      </c>
      <c r="E1470" s="4">
        <v>20210611</v>
      </c>
      <c r="F1470" s="4">
        <v>20210611</v>
      </c>
      <c r="G1470" s="4">
        <v>20240611</v>
      </c>
      <c r="H1470" s="4" t="s">
        <v>11401</v>
      </c>
      <c r="I1470" s="4" t="s">
        <v>11400</v>
      </c>
      <c r="J1470" s="4" t="s">
        <v>310</v>
      </c>
    </row>
    <row r="1471" spans="1:10" s="5" customFormat="1">
      <c r="A1471" s="4">
        <v>2.0210318112000198E+17</v>
      </c>
      <c r="B1471" s="4">
        <v>6628700100</v>
      </c>
      <c r="C1471" s="4" t="s">
        <v>5247</v>
      </c>
      <c r="D1471" s="4">
        <v>18112</v>
      </c>
      <c r="E1471" s="4">
        <v>20210325</v>
      </c>
      <c r="F1471" s="4">
        <v>20210325</v>
      </c>
      <c r="G1471" s="4">
        <v>20220720</v>
      </c>
      <c r="H1471" s="4" t="s">
        <v>5246</v>
      </c>
      <c r="I1471" s="4" t="s">
        <v>91</v>
      </c>
      <c r="J1471" s="4" t="s">
        <v>4249</v>
      </c>
    </row>
    <row r="1472" spans="1:10">
      <c r="A1472" s="4">
        <v>2.0210718129000499E+17</v>
      </c>
      <c r="B1472" s="4">
        <v>6408101446</v>
      </c>
      <c r="C1472" s="4" t="s">
        <v>13917</v>
      </c>
      <c r="D1472" s="4">
        <v>18129</v>
      </c>
      <c r="E1472" s="4">
        <v>20210702</v>
      </c>
      <c r="F1472" s="4">
        <v>20210702</v>
      </c>
      <c r="G1472" s="4">
        <v>20240702</v>
      </c>
      <c r="H1472" s="4" t="s">
        <v>13916</v>
      </c>
      <c r="I1472" s="4" t="s">
        <v>13915</v>
      </c>
      <c r="J1472" s="4" t="s">
        <v>2546</v>
      </c>
    </row>
    <row r="1473" spans="1:10" hidden="1">
      <c r="A1473" s="4">
        <v>2.02106263230004E+17</v>
      </c>
      <c r="B1473" s="4">
        <v>2840500618</v>
      </c>
      <c r="C1473" s="4" t="s">
        <v>11394</v>
      </c>
      <c r="D1473" s="4">
        <v>26323</v>
      </c>
      <c r="E1473" s="4">
        <v>20210611</v>
      </c>
      <c r="F1473" s="4">
        <v>20210611</v>
      </c>
      <c r="G1473" s="4">
        <v>20240522</v>
      </c>
      <c r="H1473" s="4" t="s">
        <v>6779</v>
      </c>
      <c r="I1473" s="4" t="s">
        <v>11393</v>
      </c>
      <c r="J1473" s="4" t="s">
        <v>2186</v>
      </c>
    </row>
    <row r="1474" spans="1:10" hidden="1">
      <c r="A1474" s="4">
        <v>2.02106465100004E+17</v>
      </c>
      <c r="B1474" s="4">
        <v>8568601745</v>
      </c>
      <c r="C1474" s="4" t="s">
        <v>11392</v>
      </c>
      <c r="D1474" s="4">
        <v>46510</v>
      </c>
      <c r="E1474" s="4">
        <v>20210611</v>
      </c>
      <c r="F1474" s="4">
        <v>20210611</v>
      </c>
      <c r="G1474" s="4">
        <v>20240611</v>
      </c>
      <c r="H1474" s="4" t="s">
        <v>11391</v>
      </c>
      <c r="I1474" s="4" t="s">
        <v>11390</v>
      </c>
      <c r="J1474" s="4" t="s">
        <v>126</v>
      </c>
    </row>
    <row r="1475" spans="1:10" hidden="1">
      <c r="A1475" s="4">
        <v>2.02106856690004E+17</v>
      </c>
      <c r="B1475" s="4">
        <v>4445400334</v>
      </c>
      <c r="C1475" s="4" t="s">
        <v>11389</v>
      </c>
      <c r="D1475" s="4">
        <v>85669</v>
      </c>
      <c r="E1475" s="4">
        <v>20210611</v>
      </c>
      <c r="F1475" s="4">
        <v>20210611</v>
      </c>
      <c r="G1475" s="4">
        <v>20240611</v>
      </c>
      <c r="H1475" s="4" t="s">
        <v>11388</v>
      </c>
      <c r="I1475" s="4" t="s">
        <v>11387</v>
      </c>
      <c r="J1475" s="4" t="s">
        <v>3833</v>
      </c>
    </row>
    <row r="1476" spans="1:10" hidden="1">
      <c r="A1476" s="4">
        <v>2.02106412290004E+17</v>
      </c>
      <c r="B1476" s="4">
        <v>8633900624</v>
      </c>
      <c r="C1476" s="4" t="s">
        <v>11386</v>
      </c>
      <c r="D1476" s="4">
        <v>41229</v>
      </c>
      <c r="E1476" s="4">
        <v>20210611</v>
      </c>
      <c r="F1476" s="4">
        <v>20210611</v>
      </c>
      <c r="G1476" s="4">
        <v>20240611</v>
      </c>
      <c r="H1476" s="4" t="s">
        <v>11385</v>
      </c>
      <c r="J1476" s="4" t="s">
        <v>5083</v>
      </c>
    </row>
    <row r="1477" spans="1:10" hidden="1">
      <c r="A1477" s="4">
        <v>2.02106620210004E+17</v>
      </c>
      <c r="B1477" s="4">
        <v>2288602046</v>
      </c>
      <c r="C1477" s="4" t="s">
        <v>11384</v>
      </c>
      <c r="D1477" s="4">
        <v>62021</v>
      </c>
      <c r="E1477" s="4">
        <v>20210611</v>
      </c>
      <c r="F1477" s="4">
        <v>20210611</v>
      </c>
      <c r="G1477" s="4">
        <v>20240611</v>
      </c>
      <c r="H1477" s="4" t="s">
        <v>11383</v>
      </c>
      <c r="I1477" s="4" t="s">
        <v>11382</v>
      </c>
      <c r="J1477" s="4" t="s">
        <v>1505</v>
      </c>
    </row>
    <row r="1478" spans="1:10" hidden="1">
      <c r="A1478" s="4">
        <v>2.02106479110004E+17</v>
      </c>
      <c r="B1478" s="4">
        <v>6533600711</v>
      </c>
      <c r="C1478" s="4" t="s">
        <v>11381</v>
      </c>
      <c r="D1478" s="4">
        <v>47911</v>
      </c>
      <c r="E1478" s="4">
        <v>20210611</v>
      </c>
      <c r="F1478" s="4">
        <v>20210611</v>
      </c>
      <c r="G1478" s="4">
        <v>20240611</v>
      </c>
      <c r="H1478" s="4" t="s">
        <v>8349</v>
      </c>
      <c r="J1478" s="4" t="s">
        <v>440</v>
      </c>
    </row>
    <row r="1479" spans="1:10" hidden="1">
      <c r="A1479" s="4">
        <v>2.02106263100004E+17</v>
      </c>
      <c r="B1479" s="4">
        <v>7170701483</v>
      </c>
      <c r="C1479" s="4" t="s">
        <v>11380</v>
      </c>
      <c r="D1479" s="4">
        <v>26310</v>
      </c>
      <c r="E1479" s="4">
        <v>20210611</v>
      </c>
      <c r="F1479" s="4">
        <v>20210611</v>
      </c>
      <c r="G1479" s="4">
        <v>20240611</v>
      </c>
      <c r="H1479" s="4" t="s">
        <v>11379</v>
      </c>
      <c r="I1479" s="4" t="s">
        <v>11378</v>
      </c>
      <c r="J1479" s="4" t="s">
        <v>372</v>
      </c>
    </row>
    <row r="1480" spans="1:10" hidden="1">
      <c r="A1480" s="4">
        <v>2.02106582220004E+17</v>
      </c>
      <c r="B1480" s="4">
        <v>3628800963</v>
      </c>
      <c r="C1480" s="4" t="s">
        <v>11377</v>
      </c>
      <c r="D1480" s="4">
        <v>58222</v>
      </c>
      <c r="E1480" s="4">
        <v>20210611</v>
      </c>
      <c r="F1480" s="4">
        <v>20210611</v>
      </c>
      <c r="G1480" s="4">
        <v>20240611</v>
      </c>
      <c r="H1480" s="4" t="s">
        <v>1515</v>
      </c>
      <c r="I1480" s="4" t="s">
        <v>11376</v>
      </c>
      <c r="J1480" s="4" t="s">
        <v>94</v>
      </c>
    </row>
    <row r="1481" spans="1:10" hidden="1">
      <c r="A1481" s="4">
        <v>2.02106732030004E+17</v>
      </c>
      <c r="B1481" s="4">
        <v>3478200093</v>
      </c>
      <c r="C1481" s="4" t="s">
        <v>11375</v>
      </c>
      <c r="D1481" s="4">
        <v>73203</v>
      </c>
      <c r="E1481" s="4">
        <v>20210611</v>
      </c>
      <c r="F1481" s="4">
        <v>20210611</v>
      </c>
      <c r="G1481" s="4">
        <v>20231109</v>
      </c>
      <c r="H1481" s="4" t="s">
        <v>11374</v>
      </c>
      <c r="I1481" s="4" t="s">
        <v>142</v>
      </c>
      <c r="J1481" s="4" t="s">
        <v>260</v>
      </c>
    </row>
    <row r="1482" spans="1:10" hidden="1">
      <c r="A1482" s="4">
        <v>2.02106479120004E+17</v>
      </c>
      <c r="B1482" s="4">
        <v>3143000721</v>
      </c>
      <c r="C1482" s="4" t="s">
        <v>11373</v>
      </c>
      <c r="D1482" s="4">
        <v>47912</v>
      </c>
      <c r="E1482" s="4">
        <v>20210611</v>
      </c>
      <c r="F1482" s="4">
        <v>20210611</v>
      </c>
      <c r="G1482" s="4">
        <v>20240611</v>
      </c>
      <c r="H1482" s="4" t="s">
        <v>11372</v>
      </c>
      <c r="J1482" s="4" t="s">
        <v>78</v>
      </c>
    </row>
    <row r="1483" spans="1:10" hidden="1">
      <c r="A1483" s="4">
        <v>2.02106291990004E+17</v>
      </c>
      <c r="B1483" s="4">
        <v>3373201033</v>
      </c>
      <c r="C1483" s="4" t="s">
        <v>11371</v>
      </c>
      <c r="D1483" s="4">
        <v>29199</v>
      </c>
      <c r="E1483" s="4">
        <v>20210611</v>
      </c>
      <c r="F1483" s="4">
        <v>20210611</v>
      </c>
      <c r="G1483" s="4">
        <v>20240611</v>
      </c>
      <c r="H1483" s="4" t="s">
        <v>11370</v>
      </c>
      <c r="I1483" s="4" t="s">
        <v>11369</v>
      </c>
      <c r="J1483" s="4" t="s">
        <v>166</v>
      </c>
    </row>
    <row r="1484" spans="1:10" hidden="1">
      <c r="A1484" s="4">
        <v>2.02106465330004E+17</v>
      </c>
      <c r="B1484" s="4">
        <v>8550301322</v>
      </c>
      <c r="C1484" s="4" t="s">
        <v>11368</v>
      </c>
      <c r="D1484" s="4">
        <v>46533</v>
      </c>
      <c r="E1484" s="4">
        <v>20210611</v>
      </c>
      <c r="F1484" s="4">
        <v>20210611</v>
      </c>
      <c r="G1484" s="4">
        <v>20240611</v>
      </c>
      <c r="H1484" s="4" t="s">
        <v>11367</v>
      </c>
      <c r="I1484" s="4" t="s">
        <v>1553</v>
      </c>
      <c r="J1484" s="4" t="s">
        <v>8837</v>
      </c>
    </row>
    <row r="1485" spans="1:10" hidden="1">
      <c r="A1485" s="4">
        <v>2.02106631200004E+17</v>
      </c>
      <c r="B1485" s="4">
        <v>6338801281</v>
      </c>
      <c r="C1485" s="4" t="s">
        <v>11366</v>
      </c>
      <c r="D1485" s="4">
        <v>63120</v>
      </c>
      <c r="E1485" s="4">
        <v>20210611</v>
      </c>
      <c r="F1485" s="4">
        <v>20210611</v>
      </c>
      <c r="G1485" s="4">
        <v>20240611</v>
      </c>
      <c r="H1485" s="4" t="s">
        <v>11365</v>
      </c>
      <c r="I1485" s="4" t="s">
        <v>11364</v>
      </c>
      <c r="J1485" s="4" t="s">
        <v>632</v>
      </c>
    </row>
    <row r="1486" spans="1:10" hidden="1">
      <c r="A1486" s="4">
        <v>2.02106106120004E+17</v>
      </c>
      <c r="B1486" s="4">
        <v>3171101072</v>
      </c>
      <c r="C1486" s="4" t="s">
        <v>11363</v>
      </c>
      <c r="D1486" s="4">
        <v>10612</v>
      </c>
      <c r="E1486" s="4">
        <v>20210611</v>
      </c>
      <c r="F1486" s="4">
        <v>20210611</v>
      </c>
      <c r="G1486" s="4">
        <v>20240611</v>
      </c>
      <c r="H1486" s="4" t="s">
        <v>11362</v>
      </c>
      <c r="J1486" s="4" t="s">
        <v>11361</v>
      </c>
    </row>
    <row r="1487" spans="1:10" hidden="1">
      <c r="A1487" s="4">
        <v>2.02106732010004E+17</v>
      </c>
      <c r="B1487" s="4">
        <v>5693101123</v>
      </c>
      <c r="C1487" s="4" t="s">
        <v>11360</v>
      </c>
      <c r="D1487" s="4">
        <v>73201</v>
      </c>
      <c r="E1487" s="4">
        <v>20210611</v>
      </c>
      <c r="F1487" s="4">
        <v>20210611</v>
      </c>
      <c r="G1487" s="4">
        <v>20240611</v>
      </c>
      <c r="H1487" s="4" t="s">
        <v>11359</v>
      </c>
      <c r="I1487" s="4" t="s">
        <v>11358</v>
      </c>
      <c r="J1487" s="4" t="s">
        <v>569</v>
      </c>
    </row>
    <row r="1488" spans="1:10" hidden="1">
      <c r="A1488" s="4">
        <v>2.02106713990004E+17</v>
      </c>
      <c r="B1488" s="4">
        <v>7278800404</v>
      </c>
      <c r="C1488" s="4" t="s">
        <v>11357</v>
      </c>
      <c r="D1488" s="4">
        <v>71399</v>
      </c>
      <c r="E1488" s="4">
        <v>20210611</v>
      </c>
      <c r="F1488" s="4">
        <v>20210611</v>
      </c>
      <c r="G1488" s="4">
        <v>20230504</v>
      </c>
      <c r="H1488" s="4" t="s">
        <v>11356</v>
      </c>
      <c r="I1488" s="4" t="s">
        <v>11355</v>
      </c>
      <c r="J1488" s="4" t="s">
        <v>217</v>
      </c>
    </row>
    <row r="1489" spans="1:10" hidden="1">
      <c r="A1489" s="4">
        <v>2.02106739090004E+17</v>
      </c>
      <c r="B1489" s="4">
        <v>1148802101</v>
      </c>
      <c r="C1489" s="4" t="s">
        <v>11354</v>
      </c>
      <c r="D1489" s="4">
        <v>73909</v>
      </c>
      <c r="E1489" s="4">
        <v>20210611</v>
      </c>
      <c r="F1489" s="4">
        <v>20210611</v>
      </c>
      <c r="G1489" s="4">
        <v>20240611</v>
      </c>
      <c r="H1489" s="4" t="s">
        <v>8255</v>
      </c>
      <c r="I1489" s="4" t="s">
        <v>11353</v>
      </c>
      <c r="J1489" s="4" t="s">
        <v>293</v>
      </c>
    </row>
    <row r="1490" spans="1:10" hidden="1">
      <c r="A1490" s="4">
        <v>2.02106284290004E+17</v>
      </c>
      <c r="B1490" s="4">
        <v>8480200143</v>
      </c>
      <c r="C1490" s="4" t="s">
        <v>11352</v>
      </c>
      <c r="D1490" s="4">
        <v>28429</v>
      </c>
      <c r="E1490" s="4">
        <v>20210611</v>
      </c>
      <c r="F1490" s="4">
        <v>20210611</v>
      </c>
      <c r="G1490" s="4">
        <v>20220615</v>
      </c>
      <c r="H1490" s="4" t="s">
        <v>11351</v>
      </c>
      <c r="I1490" s="4" t="s">
        <v>11350</v>
      </c>
      <c r="J1490" s="4" t="s">
        <v>765</v>
      </c>
    </row>
    <row r="1491" spans="1:10" hidden="1">
      <c r="A1491" s="4">
        <v>2.02106467320004E+17</v>
      </c>
      <c r="B1491" s="4">
        <v>5803500890</v>
      </c>
      <c r="C1491" s="4" t="s">
        <v>11418</v>
      </c>
      <c r="D1491" s="4">
        <v>46732</v>
      </c>
      <c r="E1491" s="4">
        <v>20210611</v>
      </c>
      <c r="F1491" s="4">
        <v>20210611</v>
      </c>
      <c r="G1491" s="4">
        <v>20240611</v>
      </c>
      <c r="H1491" s="4" t="s">
        <v>11417</v>
      </c>
      <c r="J1491" s="4" t="s">
        <v>4074</v>
      </c>
    </row>
    <row r="1492" spans="1:10" hidden="1">
      <c r="A1492" s="4">
        <v>2.02106479120004E+17</v>
      </c>
      <c r="B1492" s="4">
        <v>4308101801</v>
      </c>
      <c r="C1492" s="4" t="s">
        <v>11346</v>
      </c>
      <c r="D1492" s="4">
        <v>47912</v>
      </c>
      <c r="E1492" s="4">
        <v>20210611</v>
      </c>
      <c r="F1492" s="4">
        <v>20210611</v>
      </c>
      <c r="G1492" s="4">
        <v>20240611</v>
      </c>
      <c r="H1492" s="4" t="s">
        <v>11345</v>
      </c>
      <c r="I1492" s="4" t="s">
        <v>11344</v>
      </c>
      <c r="J1492" s="4" t="s">
        <v>78</v>
      </c>
    </row>
    <row r="1493" spans="1:10" hidden="1">
      <c r="A1493" s="4">
        <v>2.02106331100004E+17</v>
      </c>
      <c r="B1493" s="4">
        <v>7240801983</v>
      </c>
      <c r="C1493" s="4" t="s">
        <v>11343</v>
      </c>
      <c r="D1493" s="4">
        <v>33110</v>
      </c>
      <c r="E1493" s="4">
        <v>20210611</v>
      </c>
      <c r="F1493" s="4">
        <v>20210611</v>
      </c>
      <c r="G1493" s="4">
        <v>20240611</v>
      </c>
      <c r="H1493" s="4" t="s">
        <v>11342</v>
      </c>
      <c r="I1493" s="4" t="s">
        <v>11341</v>
      </c>
      <c r="J1493" s="4" t="s">
        <v>3703</v>
      </c>
    </row>
    <row r="1494" spans="1:10" hidden="1">
      <c r="A1494" s="4">
        <v>2.02106423220004E+17</v>
      </c>
      <c r="B1494" s="4">
        <v>6878600567</v>
      </c>
      <c r="C1494" s="4" t="s">
        <v>11340</v>
      </c>
      <c r="D1494" s="4">
        <v>42322</v>
      </c>
      <c r="E1494" s="4">
        <v>20210611</v>
      </c>
      <c r="F1494" s="4">
        <v>20210611</v>
      </c>
      <c r="G1494" s="4">
        <v>20240315</v>
      </c>
      <c r="H1494" s="4" t="s">
        <v>11339</v>
      </c>
      <c r="I1494" s="4" t="s">
        <v>1174</v>
      </c>
      <c r="J1494" s="4" t="s">
        <v>2524</v>
      </c>
    </row>
    <row r="1495" spans="1:10" hidden="1">
      <c r="A1495" s="4">
        <v>2.02106468000004E+17</v>
      </c>
      <c r="B1495" s="4">
        <v>4332601039</v>
      </c>
      <c r="C1495" s="4" t="s">
        <v>11338</v>
      </c>
      <c r="D1495" s="4">
        <v>46800</v>
      </c>
      <c r="E1495" s="4">
        <v>20210611</v>
      </c>
      <c r="F1495" s="4">
        <v>20210611</v>
      </c>
      <c r="G1495" s="4">
        <v>20240611</v>
      </c>
      <c r="H1495" s="4" t="s">
        <v>11337</v>
      </c>
      <c r="I1495" s="4" t="s">
        <v>3923</v>
      </c>
      <c r="J1495" s="4" t="s">
        <v>979</v>
      </c>
    </row>
    <row r="1496" spans="1:10" hidden="1">
      <c r="A1496" s="4">
        <v>2.02106292710004E+17</v>
      </c>
      <c r="B1496" s="4">
        <v>5798601455</v>
      </c>
      <c r="C1496" s="4" t="s">
        <v>11336</v>
      </c>
      <c r="D1496" s="4">
        <v>29271</v>
      </c>
      <c r="E1496" s="4">
        <v>20210611</v>
      </c>
      <c r="F1496" s="4">
        <v>20210611</v>
      </c>
      <c r="G1496" s="4">
        <v>20240611</v>
      </c>
      <c r="H1496" s="4" t="s">
        <v>11335</v>
      </c>
      <c r="I1496" s="4" t="s">
        <v>3530</v>
      </c>
      <c r="J1496" s="4" t="s">
        <v>285</v>
      </c>
    </row>
    <row r="1497" spans="1:10" hidden="1">
      <c r="A1497" s="4">
        <v>2.02106759920004E+17</v>
      </c>
      <c r="B1497" s="4">
        <v>4668601479</v>
      </c>
      <c r="C1497" s="4" t="s">
        <v>11334</v>
      </c>
      <c r="D1497" s="4">
        <v>75992</v>
      </c>
      <c r="E1497" s="4">
        <v>20210611</v>
      </c>
      <c r="F1497" s="4">
        <v>20210611</v>
      </c>
      <c r="G1497" s="4">
        <v>20240611</v>
      </c>
      <c r="H1497" s="4" t="s">
        <v>11333</v>
      </c>
      <c r="I1497" s="4" t="s">
        <v>11332</v>
      </c>
      <c r="J1497" s="4" t="s">
        <v>111</v>
      </c>
    </row>
    <row r="1498" spans="1:10" hidden="1">
      <c r="A1498" s="4">
        <v>2.02106465930004E+17</v>
      </c>
      <c r="B1498" s="4">
        <v>2580201543</v>
      </c>
      <c r="C1498" s="4" t="s">
        <v>11331</v>
      </c>
      <c r="D1498" s="4">
        <v>46593</v>
      </c>
      <c r="E1498" s="4">
        <v>20210611</v>
      </c>
      <c r="F1498" s="4">
        <v>20210611</v>
      </c>
      <c r="G1498" s="4">
        <v>20240611</v>
      </c>
      <c r="H1498" s="4" t="s">
        <v>11330</v>
      </c>
      <c r="J1498" s="4" t="s">
        <v>1469</v>
      </c>
    </row>
    <row r="1499" spans="1:10" hidden="1">
      <c r="A1499" s="4">
        <v>2.02106291720004E+17</v>
      </c>
      <c r="B1499" s="4">
        <v>2178600261</v>
      </c>
      <c r="C1499" s="4" t="s">
        <v>11329</v>
      </c>
      <c r="D1499" s="4">
        <v>29172</v>
      </c>
      <c r="E1499" s="4">
        <v>20210611</v>
      </c>
      <c r="F1499" s="4">
        <v>20210611</v>
      </c>
      <c r="G1499" s="4">
        <v>20220625</v>
      </c>
      <c r="H1499" s="4" t="s">
        <v>11328</v>
      </c>
      <c r="J1499" s="4" t="s">
        <v>1204</v>
      </c>
    </row>
    <row r="1500" spans="1:10" hidden="1">
      <c r="A1500" s="4">
        <v>2.02106721210004E+17</v>
      </c>
      <c r="B1500" s="4">
        <v>1708101326</v>
      </c>
      <c r="C1500" s="4" t="s">
        <v>11327</v>
      </c>
      <c r="D1500" s="4">
        <v>72121</v>
      </c>
      <c r="E1500" s="4">
        <v>20210611</v>
      </c>
      <c r="F1500" s="4">
        <v>20210611</v>
      </c>
      <c r="G1500" s="4">
        <v>20240611</v>
      </c>
      <c r="H1500" s="4" t="s">
        <v>2108</v>
      </c>
      <c r="I1500" s="4" t="s">
        <v>11326</v>
      </c>
      <c r="J1500" s="4" t="s">
        <v>2243</v>
      </c>
    </row>
    <row r="1501" spans="1:10" hidden="1">
      <c r="A1501" s="4">
        <v>2.02106265190004E+17</v>
      </c>
      <c r="B1501" s="4">
        <v>8293700765</v>
      </c>
      <c r="C1501" s="4" t="s">
        <v>11325</v>
      </c>
      <c r="D1501" s="4">
        <v>26519</v>
      </c>
      <c r="E1501" s="4">
        <v>20210611</v>
      </c>
      <c r="F1501" s="4">
        <v>20210611</v>
      </c>
      <c r="G1501" s="4">
        <v>20240611</v>
      </c>
      <c r="H1501" s="4" t="s">
        <v>3303</v>
      </c>
      <c r="I1501" s="4" t="s">
        <v>11324</v>
      </c>
      <c r="J1501" s="4" t="s">
        <v>668</v>
      </c>
    </row>
    <row r="1502" spans="1:10" hidden="1">
      <c r="A1502" s="4">
        <v>2.02106465210004E+17</v>
      </c>
      <c r="B1502" s="4">
        <v>6740501334</v>
      </c>
      <c r="C1502" s="4" t="s">
        <v>11323</v>
      </c>
      <c r="D1502" s="4">
        <v>46521</v>
      </c>
      <c r="E1502" s="4">
        <v>20210611</v>
      </c>
      <c r="F1502" s="4">
        <v>20210611</v>
      </c>
      <c r="G1502" s="4">
        <v>20240611</v>
      </c>
      <c r="H1502" s="4" t="s">
        <v>11322</v>
      </c>
      <c r="I1502" s="4" t="s">
        <v>91</v>
      </c>
      <c r="J1502" s="4" t="s">
        <v>6178</v>
      </c>
    </row>
    <row r="1503" spans="1:10" hidden="1">
      <c r="A1503" s="4">
        <v>2.02106591110004E+17</v>
      </c>
      <c r="B1503" s="4">
        <v>3491901056</v>
      </c>
      <c r="C1503" s="4" t="s">
        <v>11321</v>
      </c>
      <c r="D1503" s="4">
        <v>59111</v>
      </c>
      <c r="E1503" s="4">
        <v>20210611</v>
      </c>
      <c r="F1503" s="4">
        <v>20210611</v>
      </c>
      <c r="G1503" s="4">
        <v>20240611</v>
      </c>
      <c r="H1503" s="4" t="s">
        <v>11320</v>
      </c>
      <c r="J1503" s="4" t="s">
        <v>1857</v>
      </c>
    </row>
    <row r="1504" spans="1:10" hidden="1">
      <c r="A1504" s="4">
        <v>2.02106464330004E+17</v>
      </c>
      <c r="B1504" s="4">
        <v>5344400564</v>
      </c>
      <c r="C1504" s="4" t="s">
        <v>11319</v>
      </c>
      <c r="D1504" s="4">
        <v>46433</v>
      </c>
      <c r="E1504" s="4">
        <v>20210611</v>
      </c>
      <c r="F1504" s="4">
        <v>20210611</v>
      </c>
      <c r="G1504" s="4">
        <v>20240611</v>
      </c>
      <c r="H1504" s="4" t="s">
        <v>11215</v>
      </c>
      <c r="I1504" s="4" t="s">
        <v>11318</v>
      </c>
      <c r="J1504" s="4" t="s">
        <v>4201</v>
      </c>
    </row>
    <row r="1505" spans="1:10" hidden="1">
      <c r="A1505" s="4">
        <v>2.02106468000004E+17</v>
      </c>
      <c r="B1505" s="4">
        <v>5932301252</v>
      </c>
      <c r="C1505" s="4" t="s">
        <v>11317</v>
      </c>
      <c r="D1505" s="4">
        <v>46800</v>
      </c>
      <c r="E1505" s="4">
        <v>20210611</v>
      </c>
      <c r="F1505" s="4">
        <v>20210611</v>
      </c>
      <c r="G1505" s="4">
        <v>20240611</v>
      </c>
      <c r="H1505" s="4" t="s">
        <v>11316</v>
      </c>
      <c r="I1505" s="4" t="s">
        <v>11315</v>
      </c>
      <c r="J1505" s="4" t="s">
        <v>979</v>
      </c>
    </row>
    <row r="1506" spans="1:10" hidden="1">
      <c r="A1506" s="4">
        <v>2.02106291200004E+17</v>
      </c>
      <c r="B1506" s="4">
        <v>7267500279</v>
      </c>
      <c r="C1506" s="4" t="s">
        <v>11314</v>
      </c>
      <c r="D1506" s="4">
        <v>29120</v>
      </c>
      <c r="E1506" s="4">
        <v>20210611</v>
      </c>
      <c r="F1506" s="4">
        <v>20210611</v>
      </c>
      <c r="G1506" s="4">
        <v>20240611</v>
      </c>
      <c r="H1506" s="4" t="s">
        <v>11313</v>
      </c>
      <c r="I1506" s="4" t="s">
        <v>11312</v>
      </c>
      <c r="J1506" s="4" t="s">
        <v>1188</v>
      </c>
    </row>
    <row r="1507" spans="1:10" hidden="1">
      <c r="A1507" s="4">
        <v>2.02106304000004E+17</v>
      </c>
      <c r="B1507" s="4">
        <v>5728102195</v>
      </c>
      <c r="C1507" s="4" t="s">
        <v>11311</v>
      </c>
      <c r="D1507" s="4">
        <v>30400</v>
      </c>
      <c r="E1507" s="4">
        <v>20210611</v>
      </c>
      <c r="F1507" s="4">
        <v>20210611</v>
      </c>
      <c r="G1507" s="4">
        <v>20240611</v>
      </c>
      <c r="H1507" s="4" t="s">
        <v>11310</v>
      </c>
      <c r="J1507" s="4" t="s">
        <v>11309</v>
      </c>
    </row>
    <row r="1508" spans="1:10" hidden="1">
      <c r="A1508" s="4">
        <v>2.02106582220004E+17</v>
      </c>
      <c r="B1508" s="4">
        <v>4458600963</v>
      </c>
      <c r="C1508" s="4" t="s">
        <v>11308</v>
      </c>
      <c r="D1508" s="4">
        <v>58222</v>
      </c>
      <c r="E1508" s="4">
        <v>20210611</v>
      </c>
      <c r="F1508" s="4">
        <v>20210611</v>
      </c>
      <c r="G1508" s="4">
        <v>20230901</v>
      </c>
      <c r="H1508" s="4" t="s">
        <v>1041</v>
      </c>
      <c r="I1508" s="4" t="s">
        <v>11307</v>
      </c>
      <c r="J1508" s="4" t="s">
        <v>94</v>
      </c>
    </row>
    <row r="1509" spans="1:10" hidden="1">
      <c r="A1509" s="4">
        <v>2.02106591140004E+17</v>
      </c>
      <c r="B1509" s="4">
        <v>5818700209</v>
      </c>
      <c r="C1509" s="4" t="s">
        <v>11306</v>
      </c>
      <c r="D1509" s="4">
        <v>59114</v>
      </c>
      <c r="E1509" s="4">
        <v>20210611</v>
      </c>
      <c r="F1509" s="4">
        <v>20210611</v>
      </c>
      <c r="G1509" s="4">
        <v>20221005</v>
      </c>
      <c r="H1509" s="4" t="s">
        <v>11305</v>
      </c>
      <c r="I1509" s="4" t="s">
        <v>11304</v>
      </c>
      <c r="J1509" s="4" t="s">
        <v>9971</v>
      </c>
    </row>
    <row r="1510" spans="1:10" hidden="1">
      <c r="A1510" s="4">
        <v>2.02106721290004E+17</v>
      </c>
      <c r="B1510" s="4">
        <v>8898600940</v>
      </c>
      <c r="C1510" s="4" t="s">
        <v>11303</v>
      </c>
      <c r="D1510" s="4">
        <v>72129</v>
      </c>
      <c r="E1510" s="4">
        <v>20210611</v>
      </c>
      <c r="F1510" s="4">
        <v>20210611</v>
      </c>
      <c r="G1510" s="4">
        <v>20240611</v>
      </c>
      <c r="H1510" s="4" t="s">
        <v>563</v>
      </c>
      <c r="I1510" s="4" t="s">
        <v>11302</v>
      </c>
      <c r="J1510" s="4" t="s">
        <v>1679</v>
      </c>
    </row>
    <row r="1511" spans="1:10" hidden="1">
      <c r="A1511" s="4">
        <v>2.02106422040004E+17</v>
      </c>
      <c r="B1511" s="4">
        <v>5838601376</v>
      </c>
      <c r="C1511" s="4" t="s">
        <v>11301</v>
      </c>
      <c r="D1511" s="4">
        <v>42204</v>
      </c>
      <c r="E1511" s="4">
        <v>20210611</v>
      </c>
      <c r="F1511" s="4">
        <v>20210611</v>
      </c>
      <c r="G1511" s="4">
        <v>20240611</v>
      </c>
      <c r="H1511" s="4" t="s">
        <v>11300</v>
      </c>
      <c r="I1511" s="4" t="s">
        <v>11299</v>
      </c>
      <c r="J1511" s="4" t="s">
        <v>7487</v>
      </c>
    </row>
    <row r="1512" spans="1:10" hidden="1">
      <c r="A1512" s="4">
        <v>2.02106591110004E+17</v>
      </c>
      <c r="B1512" s="4">
        <v>5038801490</v>
      </c>
      <c r="C1512" s="4" t="s">
        <v>11298</v>
      </c>
      <c r="D1512" s="4">
        <v>59111</v>
      </c>
      <c r="E1512" s="4">
        <v>20210611</v>
      </c>
      <c r="F1512" s="4">
        <v>20210611</v>
      </c>
      <c r="G1512" s="4">
        <v>20240611</v>
      </c>
      <c r="H1512" s="4" t="s">
        <v>11297</v>
      </c>
      <c r="I1512" s="4" t="s">
        <v>11296</v>
      </c>
      <c r="J1512" s="4" t="s">
        <v>1857</v>
      </c>
    </row>
    <row r="1513" spans="1:10" hidden="1">
      <c r="A1513" s="4">
        <v>2.02106716000004E+17</v>
      </c>
      <c r="B1513" s="4">
        <v>1458702199</v>
      </c>
      <c r="C1513" s="4" t="s">
        <v>11295</v>
      </c>
      <c r="D1513" s="4">
        <v>71600</v>
      </c>
      <c r="E1513" s="4">
        <v>20210611</v>
      </c>
      <c r="F1513" s="4">
        <v>20210611</v>
      </c>
      <c r="G1513" s="4">
        <v>20240611</v>
      </c>
      <c r="H1513" s="4" t="s">
        <v>11294</v>
      </c>
      <c r="I1513" s="4" t="s">
        <v>11293</v>
      </c>
      <c r="J1513" s="4" t="s">
        <v>1783</v>
      </c>
    </row>
    <row r="1514" spans="1:10" hidden="1">
      <c r="A1514" s="4">
        <v>2.02106701130004E+17</v>
      </c>
      <c r="B1514" s="4">
        <v>1808601522</v>
      </c>
      <c r="C1514" s="4" t="s">
        <v>11292</v>
      </c>
      <c r="D1514" s="4">
        <v>70113</v>
      </c>
      <c r="E1514" s="4">
        <v>20210611</v>
      </c>
      <c r="F1514" s="4">
        <v>20210611</v>
      </c>
      <c r="G1514" s="4">
        <v>20240611</v>
      </c>
      <c r="H1514" s="4" t="s">
        <v>11291</v>
      </c>
      <c r="I1514" s="4" t="s">
        <v>185</v>
      </c>
      <c r="J1514" s="4" t="s">
        <v>1173</v>
      </c>
    </row>
    <row r="1515" spans="1:10" hidden="1">
      <c r="A1515" s="4">
        <v>2.02106713100004E+17</v>
      </c>
      <c r="B1515" s="4">
        <v>3318100048</v>
      </c>
      <c r="C1515" s="4" t="s">
        <v>11290</v>
      </c>
      <c r="D1515" s="4">
        <v>71310</v>
      </c>
      <c r="E1515" s="4">
        <v>20210611</v>
      </c>
      <c r="F1515" s="4">
        <v>20210611</v>
      </c>
      <c r="G1515" s="4">
        <v>20220413</v>
      </c>
      <c r="H1515" s="4" t="s">
        <v>11289</v>
      </c>
      <c r="I1515" s="4" t="s">
        <v>11288</v>
      </c>
      <c r="J1515" s="4" t="s">
        <v>426</v>
      </c>
    </row>
    <row r="1516" spans="1:10" hidden="1">
      <c r="A1516" s="4">
        <v>2.02106582190004E+17</v>
      </c>
      <c r="B1516" s="4">
        <v>5088700413</v>
      </c>
      <c r="C1516" s="4" t="s">
        <v>11287</v>
      </c>
      <c r="D1516" s="4">
        <v>58219</v>
      </c>
      <c r="E1516" s="4">
        <v>20210611</v>
      </c>
      <c r="F1516" s="4">
        <v>20210611</v>
      </c>
      <c r="G1516" s="4">
        <v>20230729</v>
      </c>
      <c r="H1516" s="4" t="s">
        <v>11286</v>
      </c>
      <c r="I1516" s="4" t="s">
        <v>11285</v>
      </c>
      <c r="J1516" s="4" t="s">
        <v>7679</v>
      </c>
    </row>
    <row r="1517" spans="1:10" hidden="1">
      <c r="A1517" s="4">
        <v>2.02106468000004E+17</v>
      </c>
      <c r="B1517" s="4">
        <v>8258600252</v>
      </c>
      <c r="C1517" s="4" t="s">
        <v>11284</v>
      </c>
      <c r="D1517" s="4">
        <v>46800</v>
      </c>
      <c r="E1517" s="4">
        <v>20210611</v>
      </c>
      <c r="F1517" s="4">
        <v>20210611</v>
      </c>
      <c r="G1517" s="4">
        <v>20221002</v>
      </c>
      <c r="H1517" s="4" t="s">
        <v>11283</v>
      </c>
      <c r="J1517" s="4" t="s">
        <v>979</v>
      </c>
    </row>
    <row r="1518" spans="1:10" hidden="1">
      <c r="A1518" s="4">
        <v>2.02106582220004E+17</v>
      </c>
      <c r="B1518" s="4">
        <v>8898601672</v>
      </c>
      <c r="C1518" s="4" t="s">
        <v>11282</v>
      </c>
      <c r="D1518" s="4">
        <v>58222</v>
      </c>
      <c r="E1518" s="4">
        <v>20210611</v>
      </c>
      <c r="F1518" s="4">
        <v>20210611</v>
      </c>
      <c r="G1518" s="4">
        <v>20240611</v>
      </c>
      <c r="H1518" s="4" t="s">
        <v>3755</v>
      </c>
      <c r="I1518" s="4" t="s">
        <v>2500</v>
      </c>
      <c r="J1518" s="4" t="s">
        <v>94</v>
      </c>
    </row>
    <row r="1519" spans="1:10" hidden="1">
      <c r="A1519" s="4">
        <v>2.02106479110004E+17</v>
      </c>
      <c r="B1519" s="4">
        <v>3438100605</v>
      </c>
      <c r="C1519" s="4" t="s">
        <v>11281</v>
      </c>
      <c r="D1519" s="4">
        <v>47911</v>
      </c>
      <c r="E1519" s="4">
        <v>20210611</v>
      </c>
      <c r="F1519" s="4">
        <v>20210611</v>
      </c>
      <c r="G1519" s="4">
        <v>20240111</v>
      </c>
      <c r="H1519" s="4" t="s">
        <v>11280</v>
      </c>
      <c r="I1519" s="4" t="s">
        <v>11279</v>
      </c>
      <c r="J1519" s="4" t="s">
        <v>440</v>
      </c>
    </row>
    <row r="1520" spans="1:10" hidden="1">
      <c r="A1520" s="4">
        <v>2.02106292410004E+17</v>
      </c>
      <c r="B1520" s="4">
        <v>1038801913</v>
      </c>
      <c r="C1520" s="4" t="s">
        <v>11278</v>
      </c>
      <c r="D1520" s="4">
        <v>29241</v>
      </c>
      <c r="E1520" s="4">
        <v>20210611</v>
      </c>
      <c r="F1520" s="4">
        <v>20210611</v>
      </c>
      <c r="G1520" s="4">
        <v>20240611</v>
      </c>
      <c r="H1520" s="4" t="s">
        <v>11277</v>
      </c>
      <c r="J1520" s="4" t="s">
        <v>8208</v>
      </c>
    </row>
    <row r="1521" spans="1:10" hidden="1">
      <c r="A1521" s="4">
        <v>2.02106423110004E+17</v>
      </c>
      <c r="B1521" s="4">
        <v>5058601584</v>
      </c>
      <c r="C1521" s="4" t="s">
        <v>11276</v>
      </c>
      <c r="D1521" s="4">
        <v>42311</v>
      </c>
      <c r="E1521" s="4">
        <v>20210611</v>
      </c>
      <c r="F1521" s="4">
        <v>20210611</v>
      </c>
      <c r="G1521" s="4">
        <v>20240611</v>
      </c>
      <c r="H1521" s="4" t="s">
        <v>11275</v>
      </c>
      <c r="I1521" s="4">
        <v>0</v>
      </c>
      <c r="J1521" s="4" t="s">
        <v>718</v>
      </c>
    </row>
    <row r="1522" spans="1:10" hidden="1">
      <c r="A1522" s="4">
        <v>2.02106262110004E+17</v>
      </c>
      <c r="B1522" s="4">
        <v>6568601994</v>
      </c>
      <c r="C1522" s="4" t="s">
        <v>11274</v>
      </c>
      <c r="D1522" s="4">
        <v>26211</v>
      </c>
      <c r="E1522" s="4">
        <v>20210611</v>
      </c>
      <c r="F1522" s="4">
        <v>20210611</v>
      </c>
      <c r="G1522" s="4">
        <v>20240611</v>
      </c>
      <c r="H1522" s="4" t="s">
        <v>10274</v>
      </c>
      <c r="I1522" s="4" t="s">
        <v>11273</v>
      </c>
      <c r="J1522" s="4" t="s">
        <v>4480</v>
      </c>
    </row>
    <row r="1523" spans="1:10" hidden="1">
      <c r="A1523" s="4">
        <v>2.02106620210004E+17</v>
      </c>
      <c r="B1523" s="4">
        <v>1048657148</v>
      </c>
      <c r="C1523" s="4" t="s">
        <v>11272</v>
      </c>
      <c r="D1523" s="4">
        <v>62021</v>
      </c>
      <c r="E1523" s="4">
        <v>20210611</v>
      </c>
      <c r="F1523" s="4">
        <v>20210611</v>
      </c>
      <c r="G1523" s="4">
        <v>20211007</v>
      </c>
      <c r="H1523" s="4" t="s">
        <v>11271</v>
      </c>
      <c r="I1523" s="4" t="s">
        <v>3119</v>
      </c>
      <c r="J1523" s="4" t="s">
        <v>1505</v>
      </c>
    </row>
    <row r="1524" spans="1:10" hidden="1">
      <c r="A1524" s="4">
        <v>2.02106582220004E+17</v>
      </c>
      <c r="B1524" s="4">
        <v>6468101411</v>
      </c>
      <c r="C1524" s="4" t="s">
        <v>11270</v>
      </c>
      <c r="D1524" s="4">
        <v>58222</v>
      </c>
      <c r="E1524" s="4">
        <v>20210611</v>
      </c>
      <c r="F1524" s="4">
        <v>20210611</v>
      </c>
      <c r="G1524" s="4">
        <v>20240611</v>
      </c>
      <c r="H1524" s="4" t="s">
        <v>1269</v>
      </c>
      <c r="I1524" s="4" t="s">
        <v>11269</v>
      </c>
      <c r="J1524" s="4" t="s">
        <v>94</v>
      </c>
    </row>
    <row r="1525" spans="1:10" hidden="1">
      <c r="A1525" s="4">
        <v>2.02106172120004E+17</v>
      </c>
      <c r="B1525" s="4">
        <v>8188701357</v>
      </c>
      <c r="C1525" s="4" t="s">
        <v>11268</v>
      </c>
      <c r="D1525" s="4">
        <v>17212</v>
      </c>
      <c r="E1525" s="4">
        <v>20210611</v>
      </c>
      <c r="F1525" s="4">
        <v>20210611</v>
      </c>
      <c r="G1525" s="4">
        <v>20240611</v>
      </c>
      <c r="H1525" s="4" t="s">
        <v>5529</v>
      </c>
      <c r="I1525" s="4" t="s">
        <v>11267</v>
      </c>
      <c r="J1525" s="4" t="s">
        <v>11266</v>
      </c>
    </row>
    <row r="1526" spans="1:10" hidden="1">
      <c r="A1526" s="4">
        <v>2.02106701290004E+17</v>
      </c>
      <c r="B1526" s="4">
        <v>2598800522</v>
      </c>
      <c r="C1526" s="4" t="s">
        <v>11265</v>
      </c>
      <c r="D1526" s="4">
        <v>70129</v>
      </c>
      <c r="E1526" s="4">
        <v>20210611</v>
      </c>
      <c r="F1526" s="4">
        <v>20210611</v>
      </c>
      <c r="G1526" s="4">
        <v>20230906</v>
      </c>
      <c r="H1526" s="4" t="s">
        <v>11264</v>
      </c>
      <c r="I1526" s="4" t="s">
        <v>146</v>
      </c>
      <c r="J1526" s="4" t="s">
        <v>937</v>
      </c>
    </row>
    <row r="1527" spans="1:10" hidden="1">
      <c r="A1527" s="4">
        <v>2.02106620210004E+17</v>
      </c>
      <c r="B1527" s="4">
        <v>3218702186</v>
      </c>
      <c r="C1527" s="4" t="s">
        <v>11263</v>
      </c>
      <c r="D1527" s="4">
        <v>62021</v>
      </c>
      <c r="E1527" s="4">
        <v>20210611</v>
      </c>
      <c r="F1527" s="4">
        <v>20210611</v>
      </c>
      <c r="G1527" s="4">
        <v>20240611</v>
      </c>
      <c r="H1527" s="4" t="s">
        <v>1661</v>
      </c>
      <c r="I1527" s="4" t="s">
        <v>11262</v>
      </c>
      <c r="J1527" s="4" t="s">
        <v>1505</v>
      </c>
    </row>
    <row r="1528" spans="1:10" hidden="1">
      <c r="A1528" s="4">
        <v>2.02106422010004E+17</v>
      </c>
      <c r="B1528" s="4">
        <v>5708601405</v>
      </c>
      <c r="C1528" s="4" t="s">
        <v>11261</v>
      </c>
      <c r="D1528" s="4">
        <v>42201</v>
      </c>
      <c r="E1528" s="4">
        <v>20210611</v>
      </c>
      <c r="F1528" s="4">
        <v>20210611</v>
      </c>
      <c r="G1528" s="4">
        <v>20240611</v>
      </c>
      <c r="H1528" s="4" t="s">
        <v>11260</v>
      </c>
      <c r="I1528" s="4" t="s">
        <v>11259</v>
      </c>
      <c r="J1528" s="4" t="s">
        <v>1710</v>
      </c>
    </row>
    <row r="1529" spans="1:10">
      <c r="A1529" s="4">
        <v>2.0210118111E+17</v>
      </c>
      <c r="B1529" s="4">
        <v>1658701122</v>
      </c>
      <c r="C1529" s="4" t="s">
        <v>729</v>
      </c>
      <c r="D1529" s="4">
        <v>18111</v>
      </c>
      <c r="E1529" s="4">
        <v>20210126</v>
      </c>
      <c r="F1529" s="4">
        <v>20210126</v>
      </c>
      <c r="G1529" s="4">
        <v>20240126</v>
      </c>
      <c r="H1529" s="4" t="s">
        <v>728</v>
      </c>
      <c r="I1529" s="4" t="s">
        <v>727</v>
      </c>
      <c r="J1529" s="4" t="s">
        <v>662</v>
      </c>
    </row>
    <row r="1530" spans="1:10" hidden="1">
      <c r="A1530" s="4">
        <v>2.02106292940004E+17</v>
      </c>
      <c r="B1530" s="4">
        <v>4368600085</v>
      </c>
      <c r="C1530" s="4" t="s">
        <v>11255</v>
      </c>
      <c r="D1530" s="4">
        <v>29294</v>
      </c>
      <c r="E1530" s="4">
        <v>20210611</v>
      </c>
      <c r="F1530" s="4">
        <v>20210611</v>
      </c>
      <c r="G1530" s="4">
        <v>20221015</v>
      </c>
      <c r="H1530" s="4" t="s">
        <v>11254</v>
      </c>
      <c r="J1530" s="4" t="s">
        <v>1848</v>
      </c>
    </row>
    <row r="1531" spans="1:10" hidden="1">
      <c r="A1531" s="4">
        <v>2.02106591130004E+17</v>
      </c>
      <c r="B1531" s="4">
        <v>2178700967</v>
      </c>
      <c r="C1531" s="4" t="s">
        <v>11253</v>
      </c>
      <c r="D1531" s="4">
        <v>59113</v>
      </c>
      <c r="E1531" s="4">
        <v>20210611</v>
      </c>
      <c r="F1531" s="4">
        <v>20210611</v>
      </c>
      <c r="G1531" s="4">
        <v>20240611</v>
      </c>
      <c r="H1531" s="4" t="s">
        <v>11252</v>
      </c>
      <c r="I1531" s="4" t="s">
        <v>591</v>
      </c>
      <c r="J1531" s="4" t="s">
        <v>3651</v>
      </c>
    </row>
    <row r="1532" spans="1:10" hidden="1">
      <c r="A1532" s="4">
        <v>2.02106202020004E+17</v>
      </c>
      <c r="B1532" s="4">
        <v>8178101634</v>
      </c>
      <c r="C1532" s="4" t="s">
        <v>11251</v>
      </c>
      <c r="D1532" s="4">
        <v>20202</v>
      </c>
      <c r="E1532" s="4">
        <v>20210611</v>
      </c>
      <c r="F1532" s="4">
        <v>20210611</v>
      </c>
      <c r="G1532" s="4">
        <v>20240611</v>
      </c>
      <c r="H1532" s="4" t="s">
        <v>206</v>
      </c>
      <c r="I1532" s="4" t="s">
        <v>11250</v>
      </c>
      <c r="J1532" s="4" t="s">
        <v>224</v>
      </c>
    </row>
    <row r="1533" spans="1:10" hidden="1">
      <c r="A1533" s="4">
        <v>2.02106143000004E+17</v>
      </c>
      <c r="B1533" s="4">
        <v>6768701428</v>
      </c>
      <c r="C1533" s="4" t="s">
        <v>11249</v>
      </c>
      <c r="D1533" s="4">
        <v>14300</v>
      </c>
      <c r="E1533" s="4">
        <v>20210611</v>
      </c>
      <c r="F1533" s="4">
        <v>20210611</v>
      </c>
      <c r="G1533" s="4">
        <v>20240611</v>
      </c>
      <c r="H1533" s="4" t="s">
        <v>1525</v>
      </c>
      <c r="I1533" s="4" t="s">
        <v>11248</v>
      </c>
      <c r="J1533" s="4" t="s">
        <v>3381</v>
      </c>
    </row>
    <row r="1534" spans="1:10" hidden="1">
      <c r="A1534" s="4">
        <v>2.02106203220004E+17</v>
      </c>
      <c r="B1534" s="4">
        <v>3048601680</v>
      </c>
      <c r="C1534" s="4" t="s">
        <v>11247</v>
      </c>
      <c r="D1534" s="4">
        <v>20322</v>
      </c>
      <c r="E1534" s="4">
        <v>20210611</v>
      </c>
      <c r="F1534" s="4">
        <v>20210611</v>
      </c>
      <c r="G1534" s="4">
        <v>20240611</v>
      </c>
      <c r="H1534" s="4" t="s">
        <v>194</v>
      </c>
      <c r="I1534" s="4" t="s">
        <v>11246</v>
      </c>
      <c r="J1534" s="4" t="s">
        <v>105</v>
      </c>
    </row>
    <row r="1535" spans="1:10" hidden="1">
      <c r="A1535" s="4">
        <v>2.02106759990004E+17</v>
      </c>
      <c r="B1535" s="4">
        <v>1368801271</v>
      </c>
      <c r="C1535" s="4" t="s">
        <v>11245</v>
      </c>
      <c r="D1535" s="4">
        <v>75999</v>
      </c>
      <c r="E1535" s="4">
        <v>20210611</v>
      </c>
      <c r="F1535" s="4">
        <v>20210611</v>
      </c>
      <c r="G1535" s="4">
        <v>20240611</v>
      </c>
      <c r="H1535" s="4" t="s">
        <v>11244</v>
      </c>
      <c r="J1535" s="4" t="s">
        <v>158</v>
      </c>
    </row>
    <row r="1536" spans="1:10" hidden="1">
      <c r="A1536" s="4">
        <v>2.02106620210004E+17</v>
      </c>
      <c r="B1536" s="4">
        <v>3018701145</v>
      </c>
      <c r="C1536" s="4" t="s">
        <v>11243</v>
      </c>
      <c r="D1536" s="4">
        <v>62021</v>
      </c>
      <c r="E1536" s="4">
        <v>20210611</v>
      </c>
      <c r="F1536" s="4">
        <v>20210611</v>
      </c>
      <c r="G1536" s="4">
        <v>20240611</v>
      </c>
      <c r="H1536" s="4" t="s">
        <v>11242</v>
      </c>
      <c r="J1536" s="4" t="s">
        <v>1505</v>
      </c>
    </row>
    <row r="1537" spans="1:10" hidden="1">
      <c r="A1537" s="4">
        <v>2.02106251110004E+17</v>
      </c>
      <c r="B1537" s="4">
        <v>1438126854</v>
      </c>
      <c r="C1537" s="4" t="s">
        <v>11241</v>
      </c>
      <c r="D1537" s="4">
        <v>25111</v>
      </c>
      <c r="E1537" s="4">
        <v>20210611</v>
      </c>
      <c r="F1537" s="4">
        <v>20210611</v>
      </c>
      <c r="G1537" s="4">
        <v>20210922</v>
      </c>
      <c r="H1537" s="4" t="s">
        <v>11240</v>
      </c>
      <c r="J1537" s="4" t="s">
        <v>82</v>
      </c>
    </row>
    <row r="1538" spans="1:10" hidden="1">
      <c r="A1538" s="4">
        <v>2.02106582220004E+17</v>
      </c>
      <c r="B1538" s="4">
        <v>3548600594</v>
      </c>
      <c r="C1538" s="4" t="s">
        <v>11239</v>
      </c>
      <c r="D1538" s="4">
        <v>58222</v>
      </c>
      <c r="E1538" s="4">
        <v>20210611</v>
      </c>
      <c r="F1538" s="4">
        <v>20210611</v>
      </c>
      <c r="G1538" s="4">
        <v>20240508</v>
      </c>
      <c r="H1538" s="4" t="s">
        <v>11238</v>
      </c>
      <c r="I1538" s="4" t="s">
        <v>11237</v>
      </c>
      <c r="J1538" s="4" t="s">
        <v>94</v>
      </c>
    </row>
    <row r="1539" spans="1:10" hidden="1">
      <c r="A1539" s="4">
        <v>2.02106291750004E+17</v>
      </c>
      <c r="B1539" s="4">
        <v>2243300851</v>
      </c>
      <c r="C1539" s="4" t="s">
        <v>11416</v>
      </c>
      <c r="D1539" s="4">
        <v>29175</v>
      </c>
      <c r="E1539" s="4">
        <v>20210611</v>
      </c>
      <c r="F1539" s="4">
        <v>20210611</v>
      </c>
      <c r="G1539" s="4">
        <v>20240611</v>
      </c>
      <c r="H1539" s="4" t="s">
        <v>11415</v>
      </c>
      <c r="I1539" s="4" t="s">
        <v>5182</v>
      </c>
      <c r="J1539" s="4" t="s">
        <v>232</v>
      </c>
    </row>
    <row r="1540" spans="1:10" hidden="1">
      <c r="A1540" s="4">
        <v>2.02106423210004E+17</v>
      </c>
      <c r="B1540" s="4">
        <v>3268801194</v>
      </c>
      <c r="C1540" s="4" t="s">
        <v>11234</v>
      </c>
      <c r="D1540" s="4">
        <v>42321</v>
      </c>
      <c r="E1540" s="4">
        <v>20210611</v>
      </c>
      <c r="F1540" s="4">
        <v>20210611</v>
      </c>
      <c r="G1540" s="4">
        <v>20240611</v>
      </c>
      <c r="H1540" s="4" t="s">
        <v>11233</v>
      </c>
      <c r="J1540" s="4" t="s">
        <v>698</v>
      </c>
    </row>
    <row r="1541" spans="1:10" hidden="1">
      <c r="A1541" s="4">
        <v>2.02106262990004E+17</v>
      </c>
      <c r="B1541" s="4">
        <v>6718801473</v>
      </c>
      <c r="C1541" s="4" t="s">
        <v>11232</v>
      </c>
      <c r="D1541" s="4">
        <v>26299</v>
      </c>
      <c r="E1541" s="4">
        <v>20210611</v>
      </c>
      <c r="F1541" s="4">
        <v>20210611</v>
      </c>
      <c r="G1541" s="4">
        <v>20240611</v>
      </c>
      <c r="H1541" s="4" t="s">
        <v>1347</v>
      </c>
      <c r="I1541" s="4" t="s">
        <v>11231</v>
      </c>
      <c r="J1541" s="4" t="s">
        <v>339</v>
      </c>
    </row>
    <row r="1542" spans="1:10" hidden="1">
      <c r="A1542" s="4">
        <v>2.02106107930004E+17</v>
      </c>
      <c r="B1542" s="4">
        <v>8518601186</v>
      </c>
      <c r="C1542" s="4" t="s">
        <v>11230</v>
      </c>
      <c r="D1542" s="4">
        <v>10793</v>
      </c>
      <c r="E1542" s="4">
        <v>20210611</v>
      </c>
      <c r="F1542" s="4">
        <v>20210611</v>
      </c>
      <c r="G1542" s="4">
        <v>20240611</v>
      </c>
      <c r="H1542" s="4" t="s">
        <v>11229</v>
      </c>
      <c r="J1542" s="4" t="s">
        <v>11228</v>
      </c>
    </row>
    <row r="1543" spans="1:10" hidden="1">
      <c r="A1543" s="4">
        <v>2.02106465100004E+17</v>
      </c>
      <c r="B1543" s="4">
        <v>3858102024</v>
      </c>
      <c r="C1543" s="4" t="s">
        <v>11227</v>
      </c>
      <c r="D1543" s="4">
        <v>46510</v>
      </c>
      <c r="E1543" s="4">
        <v>20210611</v>
      </c>
      <c r="F1543" s="4">
        <v>20210611</v>
      </c>
      <c r="G1543" s="4">
        <v>20240611</v>
      </c>
      <c r="H1543" s="4" t="s">
        <v>11226</v>
      </c>
      <c r="I1543" s="4" t="s">
        <v>11225</v>
      </c>
      <c r="J1543" s="4" t="s">
        <v>126</v>
      </c>
    </row>
    <row r="1544" spans="1:10">
      <c r="A1544" s="4">
        <v>2.0210718111000499E+17</v>
      </c>
      <c r="B1544" s="4">
        <v>1668801914</v>
      </c>
      <c r="C1544" s="4" t="s">
        <v>13720</v>
      </c>
      <c r="D1544" s="4">
        <v>18111</v>
      </c>
      <c r="E1544" s="4">
        <v>20210702</v>
      </c>
      <c r="F1544" s="4">
        <v>20210702</v>
      </c>
      <c r="G1544" s="4">
        <v>20240702</v>
      </c>
      <c r="H1544" s="4" t="s">
        <v>13719</v>
      </c>
      <c r="I1544" s="4" t="s">
        <v>13718</v>
      </c>
      <c r="J1544" s="4" t="s">
        <v>662</v>
      </c>
    </row>
    <row r="1545" spans="1:10" hidden="1">
      <c r="A1545" s="4">
        <v>2.02106259990004E+17</v>
      </c>
      <c r="B1545" s="4">
        <v>6368800506</v>
      </c>
      <c r="C1545" s="4" t="s">
        <v>11222</v>
      </c>
      <c r="D1545" s="4">
        <v>25999</v>
      </c>
      <c r="E1545" s="4">
        <v>20210611</v>
      </c>
      <c r="F1545" s="4">
        <v>20210611</v>
      </c>
      <c r="G1545" s="4">
        <v>20240321</v>
      </c>
      <c r="H1545" s="4" t="s">
        <v>11221</v>
      </c>
      <c r="I1545" s="4" t="s">
        <v>11220</v>
      </c>
      <c r="J1545" s="4" t="s">
        <v>301</v>
      </c>
    </row>
    <row r="1546" spans="1:10" hidden="1">
      <c r="A1546" s="4">
        <v>2.02106582220004E+17</v>
      </c>
      <c r="B1546" s="4">
        <v>1048801046</v>
      </c>
      <c r="C1546" s="4" t="s">
        <v>11219</v>
      </c>
      <c r="D1546" s="4">
        <v>58222</v>
      </c>
      <c r="E1546" s="4">
        <v>20210611</v>
      </c>
      <c r="F1546" s="4">
        <v>20210611</v>
      </c>
      <c r="G1546" s="4">
        <v>20240611</v>
      </c>
      <c r="H1546" s="4" t="s">
        <v>7381</v>
      </c>
      <c r="I1546" s="4" t="s">
        <v>11218</v>
      </c>
      <c r="J1546" s="4" t="s">
        <v>94</v>
      </c>
    </row>
    <row r="1547" spans="1:10" hidden="1">
      <c r="A1547" s="4">
        <v>2.02106291990004E+17</v>
      </c>
      <c r="B1547" s="4">
        <v>4031599948</v>
      </c>
      <c r="C1547" s="4" t="s">
        <v>11216</v>
      </c>
      <c r="D1547" s="4">
        <v>29199</v>
      </c>
      <c r="E1547" s="4">
        <v>20210611</v>
      </c>
      <c r="F1547" s="4">
        <v>20210611</v>
      </c>
      <c r="G1547" s="4">
        <v>20220216</v>
      </c>
      <c r="H1547" s="4" t="s">
        <v>11217</v>
      </c>
      <c r="I1547" s="4" t="s">
        <v>11216</v>
      </c>
      <c r="J1547" s="4" t="s">
        <v>166</v>
      </c>
    </row>
    <row r="1548" spans="1:10" hidden="1">
      <c r="A1548" s="4">
        <v>2.02106464520004E+17</v>
      </c>
      <c r="B1548" s="4">
        <v>8271101768</v>
      </c>
      <c r="C1548" s="4" t="s">
        <v>957</v>
      </c>
      <c r="D1548" s="4">
        <v>46452</v>
      </c>
      <c r="E1548" s="4">
        <v>20210611</v>
      </c>
      <c r="F1548" s="4">
        <v>20210611</v>
      </c>
      <c r="G1548" s="4">
        <v>20240611</v>
      </c>
      <c r="H1548" s="4" t="s">
        <v>11215</v>
      </c>
      <c r="I1548" s="4" t="s">
        <v>11214</v>
      </c>
      <c r="J1548" s="4" t="s">
        <v>516</v>
      </c>
    </row>
    <row r="1549" spans="1:10" hidden="1">
      <c r="A1549" s="4">
        <v>2.02106732030004E+17</v>
      </c>
      <c r="B1549" s="4">
        <v>1740501440</v>
      </c>
      <c r="C1549" s="4" t="s">
        <v>11213</v>
      </c>
      <c r="D1549" s="4">
        <v>73203</v>
      </c>
      <c r="E1549" s="4">
        <v>20210611</v>
      </c>
      <c r="F1549" s="4">
        <v>20210611</v>
      </c>
      <c r="G1549" s="4">
        <v>20240611</v>
      </c>
      <c r="H1549" s="4" t="s">
        <v>11212</v>
      </c>
      <c r="I1549" s="4" t="s">
        <v>1866</v>
      </c>
      <c r="J1549" s="4" t="s">
        <v>260</v>
      </c>
    </row>
    <row r="1550" spans="1:10" hidden="1">
      <c r="A1550" s="4">
        <v>2.02106107990004E+17</v>
      </c>
      <c r="B1550" s="4">
        <v>7528101360</v>
      </c>
      <c r="C1550" s="4" t="s">
        <v>11410</v>
      </c>
      <c r="D1550" s="4">
        <v>10799</v>
      </c>
      <c r="E1550" s="4">
        <v>20210611</v>
      </c>
      <c r="F1550" s="4">
        <v>20210611</v>
      </c>
      <c r="G1550" s="4">
        <v>20240611</v>
      </c>
      <c r="H1550" s="4" t="s">
        <v>11411</v>
      </c>
      <c r="I1550" s="4" t="s">
        <v>11410</v>
      </c>
      <c r="J1550" s="4" t="s">
        <v>2973</v>
      </c>
    </row>
    <row r="1551" spans="1:10" hidden="1">
      <c r="A1551" s="4">
        <v>2.02106479120004E+17</v>
      </c>
      <c r="B1551" s="4">
        <v>3061493253</v>
      </c>
      <c r="C1551" s="4" t="s">
        <v>11208</v>
      </c>
      <c r="D1551" s="4">
        <v>47912</v>
      </c>
      <c r="E1551" s="4">
        <v>20210611</v>
      </c>
      <c r="F1551" s="4">
        <v>20210611</v>
      </c>
      <c r="G1551" s="4">
        <v>20240611</v>
      </c>
      <c r="H1551" s="4" t="s">
        <v>11207</v>
      </c>
      <c r="I1551" s="4" t="s">
        <v>11206</v>
      </c>
      <c r="J1551" s="4" t="s">
        <v>78</v>
      </c>
    </row>
    <row r="1552" spans="1:10" hidden="1">
      <c r="A1552" s="4">
        <v>2.02106291800004E+17</v>
      </c>
      <c r="B1552" s="4">
        <v>7881101221</v>
      </c>
      <c r="C1552" s="4" t="s">
        <v>11205</v>
      </c>
      <c r="D1552" s="4">
        <v>29180</v>
      </c>
      <c r="E1552" s="4">
        <v>20210611</v>
      </c>
      <c r="F1552" s="4">
        <v>20210611</v>
      </c>
      <c r="G1552" s="4">
        <v>20240611</v>
      </c>
      <c r="H1552" s="4" t="s">
        <v>4561</v>
      </c>
      <c r="I1552" s="4" t="s">
        <v>549</v>
      </c>
      <c r="J1552" s="4" t="s">
        <v>609</v>
      </c>
    </row>
    <row r="1553" spans="1:10" hidden="1">
      <c r="A1553" s="4">
        <v>2.02106582220004E+17</v>
      </c>
      <c r="B1553" s="4">
        <v>5748701423</v>
      </c>
      <c r="C1553" s="4" t="s">
        <v>11204</v>
      </c>
      <c r="D1553" s="4">
        <v>58222</v>
      </c>
      <c r="E1553" s="4">
        <v>20210611</v>
      </c>
      <c r="F1553" s="4">
        <v>20210611</v>
      </c>
      <c r="G1553" s="4">
        <v>20240611</v>
      </c>
      <c r="H1553" s="4" t="s">
        <v>11203</v>
      </c>
      <c r="I1553" s="4" t="s">
        <v>185</v>
      </c>
      <c r="J1553" s="4" t="s">
        <v>94</v>
      </c>
    </row>
    <row r="1554" spans="1:10" hidden="1">
      <c r="A1554" s="4">
        <v>2.02106204110004E+17</v>
      </c>
      <c r="B1554" s="4">
        <v>8928701146</v>
      </c>
      <c r="C1554" s="4" t="s">
        <v>11202</v>
      </c>
      <c r="D1554" s="4">
        <v>20411</v>
      </c>
      <c r="E1554" s="4">
        <v>20210611</v>
      </c>
      <c r="F1554" s="4">
        <v>20210611</v>
      </c>
      <c r="G1554" s="4">
        <v>20240611</v>
      </c>
      <c r="H1554" s="4" t="s">
        <v>11201</v>
      </c>
      <c r="J1554" s="4" t="s">
        <v>694</v>
      </c>
    </row>
    <row r="1555" spans="1:10" hidden="1">
      <c r="A1555" s="4">
        <v>2.02106716000004E+17</v>
      </c>
      <c r="B1555" s="4">
        <v>3558601387</v>
      </c>
      <c r="C1555" s="4" t="s">
        <v>11200</v>
      </c>
      <c r="D1555" s="4">
        <v>71600</v>
      </c>
      <c r="E1555" s="4">
        <v>20210611</v>
      </c>
      <c r="F1555" s="4">
        <v>20210611</v>
      </c>
      <c r="G1555" s="4">
        <v>20240611</v>
      </c>
      <c r="H1555" s="4" t="s">
        <v>11199</v>
      </c>
      <c r="I1555" s="4" t="s">
        <v>11198</v>
      </c>
      <c r="J1555" s="4" t="s">
        <v>1783</v>
      </c>
    </row>
    <row r="1556" spans="1:10" hidden="1">
      <c r="A1556" s="4">
        <v>2.02106739090004E+17</v>
      </c>
      <c r="B1556" s="4">
        <v>5247900287</v>
      </c>
      <c r="C1556" s="4" t="s">
        <v>11196</v>
      </c>
      <c r="D1556" s="4">
        <v>73909</v>
      </c>
      <c r="E1556" s="4">
        <v>20210611</v>
      </c>
      <c r="F1556" s="4">
        <v>20210611</v>
      </c>
      <c r="G1556" s="4">
        <v>20240611</v>
      </c>
      <c r="H1556" s="4" t="s">
        <v>11197</v>
      </c>
      <c r="I1556" s="4" t="s">
        <v>11196</v>
      </c>
      <c r="J1556" s="4" t="s">
        <v>293</v>
      </c>
    </row>
    <row r="1557" spans="1:10" hidden="1">
      <c r="A1557" s="4">
        <v>2.02106284290004E+17</v>
      </c>
      <c r="B1557" s="4">
        <v>1908800688</v>
      </c>
      <c r="C1557" s="4" t="s">
        <v>11195</v>
      </c>
      <c r="D1557" s="4">
        <v>28429</v>
      </c>
      <c r="E1557" s="4">
        <v>20210610</v>
      </c>
      <c r="F1557" s="4">
        <v>20210610</v>
      </c>
      <c r="G1557" s="4">
        <v>20240511</v>
      </c>
      <c r="H1557" s="4" t="s">
        <v>11194</v>
      </c>
      <c r="I1557" s="4" t="s">
        <v>11193</v>
      </c>
      <c r="J1557" s="4" t="s">
        <v>765</v>
      </c>
    </row>
    <row r="1558" spans="1:10" hidden="1">
      <c r="A1558" s="4">
        <v>2.02106752100004E+17</v>
      </c>
      <c r="B1558" s="4">
        <v>8268701469</v>
      </c>
      <c r="C1558" s="4" t="s">
        <v>11192</v>
      </c>
      <c r="D1558" s="4">
        <v>75210</v>
      </c>
      <c r="E1558" s="4">
        <v>20210610</v>
      </c>
      <c r="F1558" s="4">
        <v>20210610</v>
      </c>
      <c r="G1558" s="4">
        <v>20240610</v>
      </c>
      <c r="H1558" s="4" t="s">
        <v>11191</v>
      </c>
      <c r="I1558" s="4" t="s">
        <v>7973</v>
      </c>
      <c r="J1558" s="4" t="s">
        <v>155</v>
      </c>
    </row>
    <row r="1559" spans="1:10" hidden="1">
      <c r="A1559" s="4">
        <v>2.02106582220004E+17</v>
      </c>
      <c r="B1559" s="4">
        <v>3778701083</v>
      </c>
      <c r="C1559" s="4" t="s">
        <v>11190</v>
      </c>
      <c r="D1559" s="4">
        <v>58222</v>
      </c>
      <c r="E1559" s="4">
        <v>20210610</v>
      </c>
      <c r="F1559" s="4">
        <v>20210610</v>
      </c>
      <c r="G1559" s="4">
        <v>20240610</v>
      </c>
      <c r="H1559" s="4" t="s">
        <v>11189</v>
      </c>
      <c r="I1559" s="4" t="s">
        <v>11188</v>
      </c>
      <c r="J1559" s="4" t="s">
        <v>94</v>
      </c>
    </row>
    <row r="1560" spans="1:10" hidden="1">
      <c r="A1560" s="4">
        <v>2.02106423210004E+17</v>
      </c>
      <c r="B1560" s="4">
        <v>4528101820</v>
      </c>
      <c r="C1560" s="4" t="s">
        <v>11187</v>
      </c>
      <c r="D1560" s="4">
        <v>42321</v>
      </c>
      <c r="E1560" s="4">
        <v>20210610</v>
      </c>
      <c r="F1560" s="4">
        <v>20210610</v>
      </c>
      <c r="G1560" s="4">
        <v>20240610</v>
      </c>
      <c r="H1560" s="4" t="s">
        <v>11186</v>
      </c>
      <c r="I1560" s="4" t="s">
        <v>11185</v>
      </c>
      <c r="J1560" s="4" t="s">
        <v>698</v>
      </c>
    </row>
    <row r="1561" spans="1:10" hidden="1">
      <c r="A1561" s="4">
        <v>2.02106701210004E+17</v>
      </c>
      <c r="B1561" s="4">
        <v>8608601235</v>
      </c>
      <c r="C1561" s="4" t="s">
        <v>11184</v>
      </c>
      <c r="D1561" s="4">
        <v>70121</v>
      </c>
      <c r="E1561" s="4">
        <v>20210610</v>
      </c>
      <c r="F1561" s="4">
        <v>20210610</v>
      </c>
      <c r="G1561" s="4">
        <v>20240110</v>
      </c>
      <c r="H1561" s="4" t="s">
        <v>341</v>
      </c>
      <c r="I1561" s="4" t="s">
        <v>11183</v>
      </c>
      <c r="J1561" s="4" t="s">
        <v>1267</v>
      </c>
    </row>
    <row r="1562" spans="1:10" hidden="1">
      <c r="A1562" s="4">
        <v>2.02106262990004E+17</v>
      </c>
      <c r="B1562" s="4">
        <v>7158601556</v>
      </c>
      <c r="C1562" s="4" t="s">
        <v>11182</v>
      </c>
      <c r="D1562" s="4">
        <v>26299</v>
      </c>
      <c r="E1562" s="4">
        <v>20210610</v>
      </c>
      <c r="F1562" s="4">
        <v>20210610</v>
      </c>
      <c r="G1562" s="4">
        <v>20240610</v>
      </c>
      <c r="H1562" s="4" t="s">
        <v>11181</v>
      </c>
      <c r="J1562" s="4" t="s">
        <v>339</v>
      </c>
    </row>
    <row r="1563" spans="1:10" hidden="1">
      <c r="A1563" s="4">
        <v>2.02106333090004E+17</v>
      </c>
      <c r="B1563" s="4">
        <v>8118101470</v>
      </c>
      <c r="C1563" s="4" t="s">
        <v>11180</v>
      </c>
      <c r="D1563" s="4">
        <v>33309</v>
      </c>
      <c r="E1563" s="4">
        <v>20210610</v>
      </c>
      <c r="F1563" s="4">
        <v>20210610</v>
      </c>
      <c r="G1563" s="4">
        <v>20240610</v>
      </c>
      <c r="H1563" s="4" t="s">
        <v>5417</v>
      </c>
      <c r="I1563" s="4" t="s">
        <v>11179</v>
      </c>
      <c r="J1563" s="4" t="s">
        <v>238</v>
      </c>
    </row>
    <row r="1564" spans="1:10" hidden="1">
      <c r="A1564" s="4">
        <v>2.02106204240004E+17</v>
      </c>
      <c r="B1564" s="4">
        <v>2998600055</v>
      </c>
      <c r="C1564" s="4" t="s">
        <v>11178</v>
      </c>
      <c r="D1564" s="4">
        <v>20424</v>
      </c>
      <c r="E1564" s="4">
        <v>20210610</v>
      </c>
      <c r="F1564" s="4">
        <v>20210610</v>
      </c>
      <c r="G1564" s="4">
        <v>20220514</v>
      </c>
      <c r="H1564" s="4" t="s">
        <v>11177</v>
      </c>
      <c r="I1564" s="4" t="s">
        <v>6814</v>
      </c>
      <c r="J1564" s="4" t="s">
        <v>2964</v>
      </c>
    </row>
    <row r="1565" spans="1:10" hidden="1">
      <c r="A1565" s="4">
        <v>2.02106856500004E+17</v>
      </c>
      <c r="B1565" s="4">
        <v>7448801674</v>
      </c>
      <c r="C1565" s="4" t="s">
        <v>11176</v>
      </c>
      <c r="D1565" s="4">
        <v>85650</v>
      </c>
      <c r="E1565" s="4">
        <v>20210610</v>
      </c>
      <c r="F1565" s="4">
        <v>20210610</v>
      </c>
      <c r="G1565" s="4">
        <v>20240610</v>
      </c>
      <c r="H1565" s="4" t="s">
        <v>4546</v>
      </c>
      <c r="I1565" s="4" t="s">
        <v>11175</v>
      </c>
      <c r="J1565" s="4" t="s">
        <v>3107</v>
      </c>
    </row>
    <row r="1566" spans="1:10" hidden="1">
      <c r="A1566" s="4">
        <v>2.02106742110004E+17</v>
      </c>
      <c r="B1566" s="4">
        <v>6928100512</v>
      </c>
      <c r="C1566" s="4" t="s">
        <v>11174</v>
      </c>
      <c r="D1566" s="4">
        <v>74211</v>
      </c>
      <c r="E1566" s="4">
        <v>20210610</v>
      </c>
      <c r="F1566" s="4">
        <v>20210610</v>
      </c>
      <c r="G1566" s="4">
        <v>20231021</v>
      </c>
      <c r="H1566" s="4" t="s">
        <v>11173</v>
      </c>
      <c r="I1566" s="4" t="s">
        <v>149</v>
      </c>
      <c r="J1566" s="4" t="s">
        <v>5576</v>
      </c>
    </row>
    <row r="1567" spans="1:10" hidden="1">
      <c r="A1567" s="4">
        <v>2.02106761100004E+17</v>
      </c>
      <c r="B1567" s="4">
        <v>1108701893</v>
      </c>
      <c r="C1567" s="4" t="s">
        <v>11172</v>
      </c>
      <c r="D1567" s="4">
        <v>76110</v>
      </c>
      <c r="E1567" s="4">
        <v>20210610</v>
      </c>
      <c r="F1567" s="4">
        <v>20210610</v>
      </c>
      <c r="G1567" s="4">
        <v>20240610</v>
      </c>
      <c r="H1567" s="4" t="s">
        <v>11171</v>
      </c>
      <c r="I1567" s="4" t="s">
        <v>11170</v>
      </c>
      <c r="J1567" s="4" t="s">
        <v>11125</v>
      </c>
    </row>
    <row r="1568" spans="1:10" hidden="1">
      <c r="A1568" s="4">
        <v>2.02106251120004E+17</v>
      </c>
      <c r="B1568" s="4">
        <v>6788600603</v>
      </c>
      <c r="C1568" s="4" t="s">
        <v>11169</v>
      </c>
      <c r="D1568" s="4">
        <v>25112</v>
      </c>
      <c r="E1568" s="4">
        <v>20210610</v>
      </c>
      <c r="F1568" s="4">
        <v>20210610</v>
      </c>
      <c r="G1568" s="4">
        <v>20240303</v>
      </c>
      <c r="H1568" s="4" t="s">
        <v>11168</v>
      </c>
      <c r="J1568" s="4" t="s">
        <v>320</v>
      </c>
    </row>
    <row r="1569" spans="1:10" hidden="1">
      <c r="A1569" s="4">
        <v>2.02106473110004E+17</v>
      </c>
      <c r="B1569" s="4">
        <v>1041307251</v>
      </c>
      <c r="C1569" s="4" t="s">
        <v>11167</v>
      </c>
      <c r="D1569" s="4">
        <v>47311</v>
      </c>
      <c r="E1569" s="4">
        <v>20210610</v>
      </c>
      <c r="F1569" s="4">
        <v>20210610</v>
      </c>
      <c r="G1569" s="4">
        <v>20240610</v>
      </c>
      <c r="H1569" s="4" t="s">
        <v>11166</v>
      </c>
      <c r="I1569" s="4" t="s">
        <v>185</v>
      </c>
      <c r="J1569" s="4" t="s">
        <v>588</v>
      </c>
    </row>
    <row r="1570" spans="1:10" hidden="1">
      <c r="A1570" s="4">
        <v>2.02106742200004E+17</v>
      </c>
      <c r="B1570" s="4">
        <v>6208155894</v>
      </c>
      <c r="C1570" s="4" t="s">
        <v>11165</v>
      </c>
      <c r="D1570" s="4">
        <v>74220</v>
      </c>
      <c r="E1570" s="4">
        <v>20210610</v>
      </c>
      <c r="F1570" s="4">
        <v>20210610</v>
      </c>
      <c r="G1570" s="4">
        <v>20211124</v>
      </c>
      <c r="H1570" s="4" t="s">
        <v>11164</v>
      </c>
      <c r="I1570" s="4" t="s">
        <v>8911</v>
      </c>
      <c r="J1570" s="4" t="s">
        <v>2988</v>
      </c>
    </row>
    <row r="1571" spans="1:10" hidden="1">
      <c r="A1571" s="4">
        <v>2.02106339100004E+17</v>
      </c>
      <c r="B1571" s="4">
        <v>3266900286</v>
      </c>
      <c r="C1571" s="4" t="s">
        <v>9367</v>
      </c>
      <c r="D1571" s="4">
        <v>33910</v>
      </c>
      <c r="E1571" s="4">
        <v>20210610</v>
      </c>
      <c r="F1571" s="4">
        <v>20210610</v>
      </c>
      <c r="G1571" s="4">
        <v>20240610</v>
      </c>
      <c r="H1571" s="4" t="s">
        <v>11163</v>
      </c>
      <c r="J1571" s="4" t="s">
        <v>310</v>
      </c>
    </row>
    <row r="1572" spans="1:10" hidden="1">
      <c r="A1572" s="4">
        <v>2.02106464330004E+17</v>
      </c>
      <c r="B1572" s="4">
        <v>1742300692</v>
      </c>
      <c r="C1572" s="4" t="s">
        <v>11162</v>
      </c>
      <c r="D1572" s="4">
        <v>46433</v>
      </c>
      <c r="E1572" s="4">
        <v>20210610</v>
      </c>
      <c r="F1572" s="4">
        <v>20210610</v>
      </c>
      <c r="G1572" s="4">
        <v>20240610</v>
      </c>
      <c r="H1572" s="4" t="s">
        <v>11161</v>
      </c>
      <c r="I1572" s="4" t="s">
        <v>11160</v>
      </c>
      <c r="J1572" s="4" t="s">
        <v>4201</v>
      </c>
    </row>
    <row r="1573" spans="1:10" hidden="1">
      <c r="A1573" s="4">
        <v>2.02106759990004E+17</v>
      </c>
      <c r="B1573" s="4">
        <v>5168601696</v>
      </c>
      <c r="C1573" s="4" t="s">
        <v>11159</v>
      </c>
      <c r="D1573" s="4">
        <v>75999</v>
      </c>
      <c r="E1573" s="4">
        <v>20210610</v>
      </c>
      <c r="F1573" s="4">
        <v>20210610</v>
      </c>
      <c r="G1573" s="4">
        <v>20240610</v>
      </c>
      <c r="H1573" s="4" t="s">
        <v>11158</v>
      </c>
      <c r="I1573" s="4" t="s">
        <v>11157</v>
      </c>
      <c r="J1573" s="4" t="s">
        <v>158</v>
      </c>
    </row>
    <row r="1574" spans="1:10" hidden="1">
      <c r="A1574" s="4">
        <v>2.02106464420004E+17</v>
      </c>
      <c r="B1574" s="4">
        <v>3293800433</v>
      </c>
      <c r="C1574" s="4" t="s">
        <v>11156</v>
      </c>
      <c r="D1574" s="4">
        <v>46442</v>
      </c>
      <c r="E1574" s="4">
        <v>20210610</v>
      </c>
      <c r="F1574" s="4">
        <v>20210610</v>
      </c>
      <c r="G1574" s="4">
        <v>20240610</v>
      </c>
      <c r="H1574" s="4" t="s">
        <v>11155</v>
      </c>
      <c r="I1574" s="4" t="s">
        <v>9096</v>
      </c>
      <c r="J1574" s="4" t="s">
        <v>3282</v>
      </c>
    </row>
    <row r="1575" spans="1:10" s="5" customFormat="1">
      <c r="A1575" s="4">
        <v>2.0210546453000301E+17</v>
      </c>
      <c r="B1575" s="4">
        <v>5583201004</v>
      </c>
      <c r="C1575" s="4" t="s">
        <v>9177</v>
      </c>
      <c r="D1575" s="4">
        <v>46453</v>
      </c>
      <c r="E1575" s="4">
        <v>20210518</v>
      </c>
      <c r="F1575" s="4">
        <v>20210518</v>
      </c>
      <c r="G1575" s="4">
        <v>20240518</v>
      </c>
      <c r="H1575" s="4" t="s">
        <v>9176</v>
      </c>
      <c r="I1575" s="4"/>
      <c r="J1575" s="4" t="s">
        <v>816</v>
      </c>
    </row>
    <row r="1576" spans="1:10" hidden="1">
      <c r="A1576" s="4">
        <v>2.02106591130004E+17</v>
      </c>
      <c r="B1576" s="4">
        <v>1961001255</v>
      </c>
      <c r="C1576" s="4" t="s">
        <v>11152</v>
      </c>
      <c r="D1576" s="4">
        <v>59113</v>
      </c>
      <c r="E1576" s="4">
        <v>20210610</v>
      </c>
      <c r="F1576" s="4">
        <v>20210610</v>
      </c>
      <c r="G1576" s="4">
        <v>20240610</v>
      </c>
      <c r="H1576" s="4" t="s">
        <v>11151</v>
      </c>
      <c r="J1576" s="4" t="s">
        <v>3651</v>
      </c>
    </row>
    <row r="1577" spans="1:10" hidden="1">
      <c r="A1577" s="4">
        <v>2.02106273090004E+17</v>
      </c>
      <c r="B1577" s="4">
        <v>3188107539</v>
      </c>
      <c r="C1577" s="4" t="s">
        <v>11150</v>
      </c>
      <c r="D1577" s="4">
        <v>27309</v>
      </c>
      <c r="E1577" s="4">
        <v>20210610</v>
      </c>
      <c r="F1577" s="4">
        <v>20210610</v>
      </c>
      <c r="G1577" s="4">
        <v>20220115</v>
      </c>
      <c r="H1577" s="4" t="s">
        <v>767</v>
      </c>
      <c r="I1577" s="4" t="s">
        <v>11149</v>
      </c>
      <c r="J1577" s="4" t="s">
        <v>268</v>
      </c>
    </row>
    <row r="1578" spans="1:10" hidden="1">
      <c r="A1578" s="4">
        <v>2.02106464510004E+17</v>
      </c>
      <c r="B1578" s="4">
        <v>7974900535</v>
      </c>
      <c r="C1578" s="4" t="s">
        <v>11349</v>
      </c>
      <c r="D1578" s="4">
        <v>46451</v>
      </c>
      <c r="E1578" s="4">
        <v>20210611</v>
      </c>
      <c r="F1578" s="4">
        <v>20210611</v>
      </c>
      <c r="G1578" s="4">
        <v>20240611</v>
      </c>
      <c r="H1578" s="4" t="s">
        <v>11348</v>
      </c>
      <c r="I1578" s="4" t="s">
        <v>11347</v>
      </c>
      <c r="J1578" s="4" t="s">
        <v>6607</v>
      </c>
    </row>
    <row r="1579" spans="1:10" hidden="1">
      <c r="A1579" s="4">
        <v>2.02106412260004E+17</v>
      </c>
      <c r="B1579" s="4">
        <v>3768601856</v>
      </c>
      <c r="C1579" s="4" t="s">
        <v>11146</v>
      </c>
      <c r="D1579" s="4">
        <v>41226</v>
      </c>
      <c r="E1579" s="4">
        <v>20210610</v>
      </c>
      <c r="F1579" s="4">
        <v>20210610</v>
      </c>
      <c r="G1579" s="4">
        <v>20240610</v>
      </c>
      <c r="H1579" s="4" t="s">
        <v>11145</v>
      </c>
      <c r="I1579" s="4" t="s">
        <v>11144</v>
      </c>
      <c r="J1579" s="4" t="s">
        <v>1063</v>
      </c>
    </row>
    <row r="1580" spans="1:10" hidden="1">
      <c r="A1580" s="4">
        <v>2.02106479120004E+17</v>
      </c>
      <c r="B1580" s="4">
        <v>8477800204</v>
      </c>
      <c r="C1580" s="4" t="s">
        <v>11143</v>
      </c>
      <c r="D1580" s="4">
        <v>47912</v>
      </c>
      <c r="E1580" s="4">
        <v>20210610</v>
      </c>
      <c r="F1580" s="4">
        <v>20210610</v>
      </c>
      <c r="G1580" s="4">
        <v>20240610</v>
      </c>
      <c r="H1580" s="4" t="s">
        <v>11142</v>
      </c>
      <c r="J1580" s="4" t="s">
        <v>78</v>
      </c>
    </row>
    <row r="1581" spans="1:10" hidden="1">
      <c r="A1581" s="4">
        <v>2.02106251110004E+17</v>
      </c>
      <c r="B1581" s="4">
        <v>7368200347</v>
      </c>
      <c r="C1581" s="4" t="s">
        <v>11141</v>
      </c>
      <c r="D1581" s="4">
        <v>25111</v>
      </c>
      <c r="E1581" s="4">
        <v>20210610</v>
      </c>
      <c r="F1581" s="4">
        <v>20210610</v>
      </c>
      <c r="G1581" s="4">
        <v>20240610</v>
      </c>
      <c r="H1581" s="4" t="s">
        <v>11140</v>
      </c>
      <c r="I1581" s="4" t="s">
        <v>6253</v>
      </c>
      <c r="J1581" s="4" t="s">
        <v>82</v>
      </c>
    </row>
    <row r="1582" spans="1:10" hidden="1">
      <c r="A1582" s="4">
        <v>2.02106721290004E+17</v>
      </c>
      <c r="B1582" s="4">
        <v>5291801432</v>
      </c>
      <c r="C1582" s="4" t="s">
        <v>11139</v>
      </c>
      <c r="D1582" s="4">
        <v>72129</v>
      </c>
      <c r="E1582" s="4">
        <v>20210610</v>
      </c>
      <c r="F1582" s="4">
        <v>20210610</v>
      </c>
      <c r="G1582" s="4">
        <v>20240610</v>
      </c>
      <c r="H1582" s="4" t="s">
        <v>11138</v>
      </c>
      <c r="I1582" s="4" t="s">
        <v>11137</v>
      </c>
      <c r="J1582" s="4" t="s">
        <v>1679</v>
      </c>
    </row>
    <row r="1583" spans="1:10" hidden="1">
      <c r="A1583" s="4">
        <v>2.02106479120004E+17</v>
      </c>
      <c r="B1583" s="4">
        <v>3164500376</v>
      </c>
      <c r="C1583" s="4" t="s">
        <v>11136</v>
      </c>
      <c r="D1583" s="4">
        <v>47912</v>
      </c>
      <c r="E1583" s="4">
        <v>20210610</v>
      </c>
      <c r="F1583" s="4">
        <v>20210610</v>
      </c>
      <c r="G1583" s="4">
        <v>20240610</v>
      </c>
      <c r="H1583" s="4" t="s">
        <v>11135</v>
      </c>
      <c r="J1583" s="4" t="s">
        <v>78</v>
      </c>
    </row>
    <row r="1584" spans="1:10" hidden="1">
      <c r="A1584" s="4">
        <v>2.02106713100004E+17</v>
      </c>
      <c r="B1584" s="4">
        <v>8063700312</v>
      </c>
      <c r="C1584" s="4" t="s">
        <v>11134</v>
      </c>
      <c r="D1584" s="4">
        <v>71310</v>
      </c>
      <c r="E1584" s="4">
        <v>20210610</v>
      </c>
      <c r="F1584" s="4">
        <v>20210610</v>
      </c>
      <c r="G1584" s="4">
        <v>20240610</v>
      </c>
      <c r="H1584" s="4" t="s">
        <v>11133</v>
      </c>
      <c r="I1584" s="4" t="s">
        <v>11132</v>
      </c>
      <c r="J1584" s="4" t="s">
        <v>426</v>
      </c>
    </row>
    <row r="1585" spans="1:10" hidden="1">
      <c r="A1585" s="4">
        <v>2.02106582220004E+17</v>
      </c>
      <c r="B1585" s="4">
        <v>7898600825</v>
      </c>
      <c r="C1585" s="4" t="s">
        <v>11236</v>
      </c>
      <c r="D1585" s="4">
        <v>58222</v>
      </c>
      <c r="E1585" s="4">
        <v>20210611</v>
      </c>
      <c r="F1585" s="4">
        <v>20210611</v>
      </c>
      <c r="G1585" s="4">
        <v>20240611</v>
      </c>
      <c r="H1585" s="4" t="s">
        <v>8018</v>
      </c>
      <c r="I1585" s="4" t="s">
        <v>11235</v>
      </c>
      <c r="J1585" s="4" t="s">
        <v>94</v>
      </c>
    </row>
    <row r="1586" spans="1:10" hidden="1">
      <c r="A1586" s="4">
        <v>2.02106620210004E+17</v>
      </c>
      <c r="B1586" s="4">
        <v>4162451466</v>
      </c>
      <c r="C1586" s="4" t="s">
        <v>11129</v>
      </c>
      <c r="D1586" s="4">
        <v>62021</v>
      </c>
      <c r="E1586" s="4">
        <v>20210610</v>
      </c>
      <c r="F1586" s="4">
        <v>20210610</v>
      </c>
      <c r="G1586" s="4">
        <v>20240610</v>
      </c>
      <c r="H1586" s="4" t="s">
        <v>11128</v>
      </c>
      <c r="I1586" s="4" t="s">
        <v>149</v>
      </c>
      <c r="J1586" s="4" t="s">
        <v>1505</v>
      </c>
    </row>
    <row r="1587" spans="1:10" hidden="1">
      <c r="A1587" s="4">
        <v>2.02106761100004E+17</v>
      </c>
      <c r="B1587" s="4">
        <v>3458600926</v>
      </c>
      <c r="C1587" s="4" t="s">
        <v>11127</v>
      </c>
      <c r="D1587" s="4">
        <v>76110</v>
      </c>
      <c r="E1587" s="4">
        <v>20210610</v>
      </c>
      <c r="F1587" s="4">
        <v>20210610</v>
      </c>
      <c r="G1587" s="4">
        <v>20240610</v>
      </c>
      <c r="H1587" s="4" t="s">
        <v>3731</v>
      </c>
      <c r="I1587" s="4" t="s">
        <v>11126</v>
      </c>
      <c r="J1587" s="4" t="s">
        <v>11125</v>
      </c>
    </row>
    <row r="1588" spans="1:10" hidden="1">
      <c r="A1588" s="4">
        <v>2.02106465930004E+17</v>
      </c>
      <c r="B1588" s="4">
        <v>1116800256</v>
      </c>
      <c r="C1588" s="4" t="s">
        <v>11124</v>
      </c>
      <c r="D1588" s="4">
        <v>46593</v>
      </c>
      <c r="E1588" s="4">
        <v>20210610</v>
      </c>
      <c r="F1588" s="4">
        <v>20210610</v>
      </c>
      <c r="G1588" s="4">
        <v>20240610</v>
      </c>
      <c r="H1588" s="4" t="s">
        <v>4876</v>
      </c>
      <c r="I1588" s="4" t="s">
        <v>11123</v>
      </c>
      <c r="J1588" s="4" t="s">
        <v>1469</v>
      </c>
    </row>
    <row r="1589" spans="1:10" hidden="1">
      <c r="A1589" s="4">
        <v>2.02106729210004E+17</v>
      </c>
      <c r="B1589" s="4">
        <v>3058700639</v>
      </c>
      <c r="C1589" s="4" t="s">
        <v>11122</v>
      </c>
      <c r="D1589" s="4">
        <v>72921</v>
      </c>
      <c r="E1589" s="4">
        <v>20210610</v>
      </c>
      <c r="F1589" s="4">
        <v>20210610</v>
      </c>
      <c r="G1589" s="4">
        <v>20240314</v>
      </c>
      <c r="H1589" s="4" t="s">
        <v>11121</v>
      </c>
      <c r="I1589" s="4" t="s">
        <v>1156</v>
      </c>
      <c r="J1589" s="4" t="s">
        <v>2880</v>
      </c>
    </row>
    <row r="1590" spans="1:10" hidden="1">
      <c r="A1590" s="4">
        <v>2.02106281230004E+17</v>
      </c>
      <c r="B1590" s="4">
        <v>5848701492</v>
      </c>
      <c r="C1590" s="4" t="s">
        <v>11120</v>
      </c>
      <c r="D1590" s="4">
        <v>28123</v>
      </c>
      <c r="E1590" s="4">
        <v>20210610</v>
      </c>
      <c r="F1590" s="4">
        <v>20210610</v>
      </c>
      <c r="G1590" s="4">
        <v>20240610</v>
      </c>
      <c r="H1590" s="4" t="s">
        <v>11119</v>
      </c>
      <c r="I1590" s="4" t="s">
        <v>1742</v>
      </c>
      <c r="J1590" s="4" t="s">
        <v>640</v>
      </c>
    </row>
    <row r="1591" spans="1:10" hidden="1">
      <c r="A1591" s="4">
        <v>2.02106222990004E+17</v>
      </c>
      <c r="B1591" s="4">
        <v>6068802046</v>
      </c>
      <c r="C1591" s="4" t="s">
        <v>11117</v>
      </c>
      <c r="D1591" s="4">
        <v>22299</v>
      </c>
      <c r="E1591" s="4">
        <v>20210610</v>
      </c>
      <c r="F1591" s="4">
        <v>20210610</v>
      </c>
      <c r="G1591" s="4">
        <v>20240610</v>
      </c>
      <c r="H1591" s="4" t="s">
        <v>11118</v>
      </c>
      <c r="I1591" s="4" t="s">
        <v>11117</v>
      </c>
      <c r="J1591" s="4" t="s">
        <v>384</v>
      </c>
    </row>
    <row r="1592" spans="1:10" hidden="1">
      <c r="A1592" s="4">
        <v>2.02106582220004E+17</v>
      </c>
      <c r="B1592" s="4">
        <v>7928801300</v>
      </c>
      <c r="C1592" s="4" t="s">
        <v>11116</v>
      </c>
      <c r="D1592" s="4">
        <v>58222</v>
      </c>
      <c r="E1592" s="4">
        <v>20210610</v>
      </c>
      <c r="F1592" s="4">
        <v>20210610</v>
      </c>
      <c r="G1592" s="4">
        <v>20240610</v>
      </c>
      <c r="H1592" s="4" t="s">
        <v>11115</v>
      </c>
      <c r="I1592" s="4" t="s">
        <v>7973</v>
      </c>
      <c r="J1592" s="4" t="s">
        <v>94</v>
      </c>
    </row>
    <row r="1593" spans="1:10" hidden="1">
      <c r="A1593" s="4">
        <v>2.02106273010004E+17</v>
      </c>
      <c r="B1593" s="4">
        <v>4848100527</v>
      </c>
      <c r="C1593" s="4" t="s">
        <v>11114</v>
      </c>
      <c r="D1593" s="4">
        <v>27301</v>
      </c>
      <c r="E1593" s="4">
        <v>20210610</v>
      </c>
      <c r="F1593" s="4">
        <v>20210610</v>
      </c>
      <c r="G1593" s="4">
        <v>20230831</v>
      </c>
      <c r="H1593" s="4" t="s">
        <v>1154</v>
      </c>
      <c r="I1593" s="4" t="s">
        <v>11113</v>
      </c>
      <c r="J1593" s="4" t="s">
        <v>1321</v>
      </c>
    </row>
    <row r="1594" spans="1:10" hidden="1">
      <c r="A1594" s="4">
        <v>2.02106265190004E+17</v>
      </c>
      <c r="B1594" s="4">
        <v>4348700989</v>
      </c>
      <c r="C1594" s="4" t="s">
        <v>11112</v>
      </c>
      <c r="D1594" s="4">
        <v>26519</v>
      </c>
      <c r="E1594" s="4">
        <v>20210610</v>
      </c>
      <c r="F1594" s="4">
        <v>20210610</v>
      </c>
      <c r="G1594" s="4">
        <v>20240610</v>
      </c>
      <c r="H1594" s="4" t="s">
        <v>397</v>
      </c>
      <c r="I1594" s="4" t="s">
        <v>11111</v>
      </c>
      <c r="J1594" s="4" t="s">
        <v>668</v>
      </c>
    </row>
    <row r="1595" spans="1:10" hidden="1">
      <c r="A1595" s="4">
        <v>2.02106264210004E+17</v>
      </c>
      <c r="B1595" s="4">
        <v>6828801658</v>
      </c>
      <c r="C1595" s="4" t="s">
        <v>11110</v>
      </c>
      <c r="D1595" s="4">
        <v>26421</v>
      </c>
      <c r="E1595" s="4">
        <v>20210610</v>
      </c>
      <c r="F1595" s="4">
        <v>20210610</v>
      </c>
      <c r="G1595" s="4">
        <v>20240610</v>
      </c>
      <c r="H1595" s="4" t="s">
        <v>1880</v>
      </c>
      <c r="I1595" s="4" t="s">
        <v>11109</v>
      </c>
      <c r="J1595" s="4" t="s">
        <v>1767</v>
      </c>
    </row>
    <row r="1596" spans="1:10" hidden="1">
      <c r="A1596" s="4">
        <v>2.02106639990004E+17</v>
      </c>
      <c r="B1596" s="4">
        <v>4258800599</v>
      </c>
      <c r="C1596" s="4" t="s">
        <v>11108</v>
      </c>
      <c r="D1596" s="4">
        <v>63999</v>
      </c>
      <c r="E1596" s="4">
        <v>20210610</v>
      </c>
      <c r="F1596" s="4">
        <v>20210610</v>
      </c>
      <c r="G1596" s="4">
        <v>20240610</v>
      </c>
      <c r="H1596" s="4" t="s">
        <v>11107</v>
      </c>
      <c r="I1596" s="4" t="s">
        <v>11106</v>
      </c>
      <c r="J1596" s="4" t="s">
        <v>643</v>
      </c>
    </row>
    <row r="1597" spans="1:10" hidden="1">
      <c r="A1597" s="4">
        <v>2.02106289010004E+17</v>
      </c>
      <c r="B1597" s="4">
        <v>8058701176</v>
      </c>
      <c r="C1597" s="4" t="s">
        <v>11105</v>
      </c>
      <c r="D1597" s="4">
        <v>28901</v>
      </c>
      <c r="E1597" s="4">
        <v>20210610</v>
      </c>
      <c r="F1597" s="4">
        <v>20210610</v>
      </c>
      <c r="G1597" s="4">
        <v>20240610</v>
      </c>
      <c r="H1597" s="4" t="s">
        <v>11104</v>
      </c>
      <c r="I1597" s="4" t="s">
        <v>11103</v>
      </c>
      <c r="J1597" s="4" t="s">
        <v>4186</v>
      </c>
    </row>
    <row r="1598" spans="1:10" hidden="1">
      <c r="A1598" s="4">
        <v>2.02106265190004E+17</v>
      </c>
      <c r="B1598" s="4">
        <v>4408700742</v>
      </c>
      <c r="C1598" s="4" t="s">
        <v>11102</v>
      </c>
      <c r="D1598" s="4">
        <v>26519</v>
      </c>
      <c r="E1598" s="4">
        <v>20210610</v>
      </c>
      <c r="F1598" s="4">
        <v>20210610</v>
      </c>
      <c r="G1598" s="4">
        <v>20240418</v>
      </c>
      <c r="H1598" s="4" t="s">
        <v>6873</v>
      </c>
      <c r="I1598" s="4" t="s">
        <v>11101</v>
      </c>
      <c r="J1598" s="4" t="s">
        <v>668</v>
      </c>
    </row>
    <row r="1599" spans="1:10" hidden="1">
      <c r="A1599" s="4">
        <v>2.02106901910004E+17</v>
      </c>
      <c r="B1599" s="4">
        <v>3488601792</v>
      </c>
      <c r="C1599" s="4" t="s">
        <v>11100</v>
      </c>
      <c r="D1599" s="4">
        <v>90191</v>
      </c>
      <c r="E1599" s="4">
        <v>20210610</v>
      </c>
      <c r="F1599" s="4">
        <v>20210610</v>
      </c>
      <c r="G1599" s="4">
        <v>20240610</v>
      </c>
      <c r="H1599" s="4" t="s">
        <v>11099</v>
      </c>
      <c r="I1599" s="4" t="s">
        <v>11098</v>
      </c>
      <c r="J1599" s="4" t="s">
        <v>3866</v>
      </c>
    </row>
    <row r="1600" spans="1:10" hidden="1">
      <c r="A1600" s="4">
        <v>2.02106901990004E+17</v>
      </c>
      <c r="B1600" s="4">
        <v>8368100882</v>
      </c>
      <c r="C1600" s="4" t="s">
        <v>11097</v>
      </c>
      <c r="D1600" s="4">
        <v>90199</v>
      </c>
      <c r="E1600" s="4">
        <v>20210610</v>
      </c>
      <c r="F1600" s="4">
        <v>20210610</v>
      </c>
      <c r="G1600" s="4">
        <v>20220416</v>
      </c>
      <c r="H1600" s="4" t="s">
        <v>11096</v>
      </c>
      <c r="I1600" s="4" t="s">
        <v>1611</v>
      </c>
      <c r="J1600" s="4" t="s">
        <v>7732</v>
      </c>
    </row>
    <row r="1601" spans="1:10" hidden="1">
      <c r="A1601" s="4">
        <v>2.02106264210004E+17</v>
      </c>
      <c r="B1601" s="4">
        <v>1318672006</v>
      </c>
      <c r="C1601" s="4" t="s">
        <v>11095</v>
      </c>
      <c r="D1601" s="4">
        <v>26421</v>
      </c>
      <c r="E1601" s="4">
        <v>20210610</v>
      </c>
      <c r="F1601" s="4">
        <v>20210610</v>
      </c>
      <c r="G1601" s="4">
        <v>20240610</v>
      </c>
      <c r="H1601" s="4" t="s">
        <v>11094</v>
      </c>
      <c r="I1601" s="4" t="s">
        <v>1455</v>
      </c>
      <c r="J1601" s="4" t="s">
        <v>1767</v>
      </c>
    </row>
    <row r="1602" spans="1:10" hidden="1">
      <c r="A1602" s="4">
        <v>2.02106284220004E+17</v>
      </c>
      <c r="B1602" s="4">
        <v>6898801076</v>
      </c>
      <c r="C1602" s="4" t="s">
        <v>11093</v>
      </c>
      <c r="D1602" s="4">
        <v>28422</v>
      </c>
      <c r="E1602" s="4">
        <v>20210610</v>
      </c>
      <c r="F1602" s="4">
        <v>20210610</v>
      </c>
      <c r="G1602" s="4">
        <v>20240610</v>
      </c>
      <c r="H1602" s="4" t="s">
        <v>11092</v>
      </c>
      <c r="I1602" s="4" t="s">
        <v>11091</v>
      </c>
      <c r="J1602" s="4" t="s">
        <v>188</v>
      </c>
    </row>
    <row r="1603" spans="1:10" hidden="1">
      <c r="A1603" s="4">
        <v>2.02106582220004E+17</v>
      </c>
      <c r="B1603" s="4">
        <v>4468700755</v>
      </c>
      <c r="C1603" s="4" t="s">
        <v>11090</v>
      </c>
      <c r="D1603" s="4">
        <v>58222</v>
      </c>
      <c r="E1603" s="4">
        <v>20210610</v>
      </c>
      <c r="F1603" s="4">
        <v>20210610</v>
      </c>
      <c r="G1603" s="4">
        <v>20240610</v>
      </c>
      <c r="H1603" s="4" t="s">
        <v>11089</v>
      </c>
      <c r="J1603" s="4" t="s">
        <v>94</v>
      </c>
    </row>
    <row r="1604" spans="1:10" hidden="1">
      <c r="A1604" s="4">
        <v>2.02106381100004E+17</v>
      </c>
      <c r="B1604" s="4">
        <v>8308601762</v>
      </c>
      <c r="C1604" s="4" t="s">
        <v>11088</v>
      </c>
      <c r="D1604" s="4">
        <v>38110</v>
      </c>
      <c r="E1604" s="4">
        <v>20210610</v>
      </c>
      <c r="F1604" s="4">
        <v>20210610</v>
      </c>
      <c r="G1604" s="4">
        <v>20240610</v>
      </c>
      <c r="H1604" s="4" t="s">
        <v>11087</v>
      </c>
      <c r="I1604" s="4" t="s">
        <v>11086</v>
      </c>
      <c r="J1604" s="4" t="s">
        <v>3177</v>
      </c>
    </row>
    <row r="1605" spans="1:10" hidden="1">
      <c r="A1605" s="4">
        <v>2.02106259990004E+17</v>
      </c>
      <c r="B1605" s="4">
        <v>1798700632</v>
      </c>
      <c r="C1605" s="4" t="s">
        <v>11085</v>
      </c>
      <c r="D1605" s="4">
        <v>25999</v>
      </c>
      <c r="E1605" s="4">
        <v>20210610</v>
      </c>
      <c r="F1605" s="4">
        <v>20210610</v>
      </c>
      <c r="G1605" s="4">
        <v>20240112</v>
      </c>
      <c r="H1605" s="4" t="s">
        <v>11084</v>
      </c>
      <c r="I1605" s="4" t="s">
        <v>11083</v>
      </c>
      <c r="J1605" s="4" t="s">
        <v>301</v>
      </c>
    </row>
    <row r="1606" spans="1:10" hidden="1">
      <c r="A1606" s="4">
        <v>2.02106582220004E+17</v>
      </c>
      <c r="B1606" s="4">
        <v>2798701834</v>
      </c>
      <c r="C1606" s="4" t="s">
        <v>11082</v>
      </c>
      <c r="D1606" s="4">
        <v>58222</v>
      </c>
      <c r="E1606" s="4">
        <v>20210610</v>
      </c>
      <c r="F1606" s="4">
        <v>20210610</v>
      </c>
      <c r="G1606" s="4">
        <v>20240610</v>
      </c>
      <c r="H1606" s="4" t="s">
        <v>11081</v>
      </c>
      <c r="I1606" s="4" t="s">
        <v>11080</v>
      </c>
      <c r="J1606" s="4" t="s">
        <v>94</v>
      </c>
    </row>
    <row r="1607" spans="1:10" hidden="1">
      <c r="A1607" s="4">
        <v>2.02106582220004E+17</v>
      </c>
      <c r="B1607" s="4">
        <v>1098800585</v>
      </c>
      <c r="C1607" s="4" t="s">
        <v>11079</v>
      </c>
      <c r="D1607" s="4">
        <v>58222</v>
      </c>
      <c r="E1607" s="4">
        <v>20210610</v>
      </c>
      <c r="F1607" s="4">
        <v>20210610</v>
      </c>
      <c r="G1607" s="4">
        <v>20231209</v>
      </c>
      <c r="H1607" s="4" t="s">
        <v>11078</v>
      </c>
      <c r="I1607" s="4" t="s">
        <v>185</v>
      </c>
      <c r="J1607" s="4" t="s">
        <v>94</v>
      </c>
    </row>
    <row r="1608" spans="1:10" hidden="1">
      <c r="A1608" s="4">
        <v>2.02106582220004E+17</v>
      </c>
      <c r="B1608" s="4">
        <v>4568800763</v>
      </c>
      <c r="C1608" s="4" t="s">
        <v>11077</v>
      </c>
      <c r="D1608" s="4">
        <v>58222</v>
      </c>
      <c r="E1608" s="4">
        <v>20210610</v>
      </c>
      <c r="F1608" s="4">
        <v>20210610</v>
      </c>
      <c r="G1608" s="4">
        <v>20240610</v>
      </c>
      <c r="H1608" s="4" t="s">
        <v>11076</v>
      </c>
      <c r="I1608" s="4" t="s">
        <v>3000</v>
      </c>
      <c r="J1608" s="4" t="s">
        <v>94</v>
      </c>
    </row>
    <row r="1609" spans="1:10" hidden="1">
      <c r="A1609" s="4">
        <v>2.02106475190004E+17</v>
      </c>
      <c r="B1609" s="4">
        <v>7308801689</v>
      </c>
      <c r="C1609" s="4" t="s">
        <v>11075</v>
      </c>
      <c r="D1609" s="4">
        <v>47519</v>
      </c>
      <c r="E1609" s="4">
        <v>20210610</v>
      </c>
      <c r="F1609" s="4">
        <v>20210610</v>
      </c>
      <c r="G1609" s="4">
        <v>20240610</v>
      </c>
      <c r="H1609" s="4" t="s">
        <v>11074</v>
      </c>
      <c r="I1609" s="4" t="s">
        <v>91</v>
      </c>
      <c r="J1609" s="4" t="s">
        <v>4031</v>
      </c>
    </row>
    <row r="1610" spans="1:10" hidden="1">
      <c r="A1610" s="4">
        <v>2.02106262990004E+17</v>
      </c>
      <c r="B1610" s="4">
        <v>4378102155</v>
      </c>
      <c r="C1610" s="4" t="s">
        <v>11073</v>
      </c>
      <c r="D1610" s="4">
        <v>26299</v>
      </c>
      <c r="E1610" s="4">
        <v>20210610</v>
      </c>
      <c r="F1610" s="4">
        <v>20210610</v>
      </c>
      <c r="G1610" s="4">
        <v>20240610</v>
      </c>
      <c r="H1610" s="4" t="s">
        <v>11072</v>
      </c>
      <c r="I1610" s="4" t="s">
        <v>11071</v>
      </c>
      <c r="J1610" s="4" t="s">
        <v>339</v>
      </c>
    </row>
    <row r="1611" spans="1:10" hidden="1">
      <c r="A1611" s="4">
        <v>2.02106741000004E+17</v>
      </c>
      <c r="B1611" s="4">
        <v>6478600443</v>
      </c>
      <c r="C1611" s="4" t="s">
        <v>11070</v>
      </c>
      <c r="D1611" s="4">
        <v>74100</v>
      </c>
      <c r="E1611" s="4">
        <v>20210610</v>
      </c>
      <c r="F1611" s="4">
        <v>20210610</v>
      </c>
      <c r="G1611" s="4">
        <v>20240124</v>
      </c>
      <c r="H1611" s="4" t="s">
        <v>11069</v>
      </c>
      <c r="I1611" s="4" t="s">
        <v>91</v>
      </c>
      <c r="J1611" s="4" t="s">
        <v>2207</v>
      </c>
    </row>
    <row r="1612" spans="1:10" hidden="1">
      <c r="A1612" s="4">
        <v>2.02106213000004E+17</v>
      </c>
      <c r="B1612" s="4">
        <v>6918101819</v>
      </c>
      <c r="C1612" s="4" t="s">
        <v>11068</v>
      </c>
      <c r="D1612" s="4">
        <v>21300</v>
      </c>
      <c r="E1612" s="4">
        <v>20210610</v>
      </c>
      <c r="F1612" s="4">
        <v>20210610</v>
      </c>
      <c r="G1612" s="4">
        <v>20240610</v>
      </c>
      <c r="H1612" s="4" t="s">
        <v>11067</v>
      </c>
      <c r="I1612" s="4" t="s">
        <v>11066</v>
      </c>
      <c r="J1612" s="4" t="s">
        <v>530</v>
      </c>
    </row>
    <row r="1613" spans="1:10" hidden="1">
      <c r="A1613" s="4">
        <v>2.02106291200004E+17</v>
      </c>
      <c r="B1613" s="4">
        <v>8568101075</v>
      </c>
      <c r="C1613" s="4" t="s">
        <v>11065</v>
      </c>
      <c r="D1613" s="4">
        <v>29120</v>
      </c>
      <c r="E1613" s="4">
        <v>20210610</v>
      </c>
      <c r="F1613" s="4">
        <v>20210610</v>
      </c>
      <c r="G1613" s="4">
        <v>20240610</v>
      </c>
      <c r="H1613" s="4" t="s">
        <v>5537</v>
      </c>
      <c r="I1613" s="4" t="s">
        <v>11064</v>
      </c>
      <c r="J1613" s="4" t="s">
        <v>1188</v>
      </c>
    </row>
    <row r="1614" spans="1:10" hidden="1">
      <c r="A1614" s="4">
        <v>2.02106721110004E+17</v>
      </c>
      <c r="B1614" s="4">
        <v>7278701411</v>
      </c>
      <c r="C1614" s="4" t="s">
        <v>11063</v>
      </c>
      <c r="D1614" s="4">
        <v>72111</v>
      </c>
      <c r="E1614" s="4">
        <v>20210610</v>
      </c>
      <c r="F1614" s="4">
        <v>20210610</v>
      </c>
      <c r="G1614" s="4">
        <v>20240610</v>
      </c>
      <c r="H1614" s="4" t="s">
        <v>11062</v>
      </c>
      <c r="I1614" s="4" t="s">
        <v>185</v>
      </c>
      <c r="J1614" s="4" t="s">
        <v>3461</v>
      </c>
    </row>
    <row r="1615" spans="1:10" hidden="1">
      <c r="A1615" s="4">
        <v>2.02106702090004E+17</v>
      </c>
      <c r="B1615" s="4">
        <v>7724800539</v>
      </c>
      <c r="C1615" s="4" t="s">
        <v>11061</v>
      </c>
      <c r="D1615" s="4">
        <v>70209</v>
      </c>
      <c r="E1615" s="4">
        <v>20210610</v>
      </c>
      <c r="F1615" s="4">
        <v>20210610</v>
      </c>
      <c r="G1615" s="4">
        <v>20240610</v>
      </c>
      <c r="H1615" s="4" t="s">
        <v>11060</v>
      </c>
      <c r="I1615" s="4" t="s">
        <v>11059</v>
      </c>
      <c r="J1615" s="4" t="s">
        <v>242</v>
      </c>
    </row>
    <row r="1616" spans="1:10" hidden="1">
      <c r="A1616" s="4">
        <v>2.02106620210004E+17</v>
      </c>
      <c r="B1616" s="4">
        <v>6092498438</v>
      </c>
      <c r="C1616" s="4" t="s">
        <v>11211</v>
      </c>
      <c r="D1616" s="4">
        <v>62021</v>
      </c>
      <c r="E1616" s="4">
        <v>20210611</v>
      </c>
      <c r="F1616" s="4">
        <v>20210611</v>
      </c>
      <c r="G1616" s="4">
        <v>20220223</v>
      </c>
      <c r="H1616" s="4" t="s">
        <v>11210</v>
      </c>
      <c r="I1616" s="4" t="s">
        <v>11209</v>
      </c>
      <c r="J1616" s="4" t="s">
        <v>1505</v>
      </c>
    </row>
    <row r="1617" spans="1:10" hidden="1">
      <c r="A1617" s="4">
        <v>2.02106204990004E+17</v>
      </c>
      <c r="B1617" s="4">
        <v>1174500653</v>
      </c>
      <c r="C1617" s="4" t="s">
        <v>11056</v>
      </c>
      <c r="D1617" s="4">
        <v>20499</v>
      </c>
      <c r="E1617" s="4">
        <v>20210610</v>
      </c>
      <c r="F1617" s="4">
        <v>20210610</v>
      </c>
      <c r="G1617" s="4">
        <v>20240610</v>
      </c>
      <c r="H1617" s="4" t="s">
        <v>11055</v>
      </c>
      <c r="J1617" s="4" t="s">
        <v>406</v>
      </c>
    </row>
    <row r="1618" spans="1:10" hidden="1">
      <c r="A1618" s="4">
        <v>2.02106732010004E+17</v>
      </c>
      <c r="B1618" s="4">
        <v>6911200454</v>
      </c>
      <c r="C1618" s="4" t="s">
        <v>11054</v>
      </c>
      <c r="D1618" s="4">
        <v>73201</v>
      </c>
      <c r="E1618" s="4">
        <v>20210610</v>
      </c>
      <c r="F1618" s="4">
        <v>20210610</v>
      </c>
      <c r="G1618" s="4">
        <v>20240220</v>
      </c>
      <c r="H1618" s="4" t="s">
        <v>1481</v>
      </c>
      <c r="J1618" s="4" t="s">
        <v>569</v>
      </c>
    </row>
    <row r="1619" spans="1:10" hidden="1">
      <c r="A1619" s="4">
        <v>2.02106468000004E+17</v>
      </c>
      <c r="B1619" s="4">
        <v>8481401427</v>
      </c>
      <c r="C1619" s="4" t="s">
        <v>11053</v>
      </c>
      <c r="D1619" s="4">
        <v>46800</v>
      </c>
      <c r="E1619" s="4">
        <v>20210610</v>
      </c>
      <c r="F1619" s="4">
        <v>20210610</v>
      </c>
      <c r="G1619" s="4">
        <v>20240610</v>
      </c>
      <c r="H1619" s="4" t="s">
        <v>11052</v>
      </c>
      <c r="I1619" s="4" t="s">
        <v>11051</v>
      </c>
      <c r="J1619" s="4" t="s">
        <v>979</v>
      </c>
    </row>
    <row r="1620" spans="1:10" hidden="1">
      <c r="A1620" s="4">
        <v>2.02106291750004E+17</v>
      </c>
      <c r="B1620" s="4">
        <v>6063270469</v>
      </c>
      <c r="C1620" s="4" t="s">
        <v>11050</v>
      </c>
      <c r="D1620" s="4">
        <v>29175</v>
      </c>
      <c r="E1620" s="4">
        <v>20210610</v>
      </c>
      <c r="F1620" s="4">
        <v>20210610</v>
      </c>
      <c r="G1620" s="4">
        <v>20220101</v>
      </c>
      <c r="H1620" s="4" t="s">
        <v>11049</v>
      </c>
      <c r="J1620" s="4" t="s">
        <v>232</v>
      </c>
    </row>
    <row r="1621" spans="1:10" hidden="1">
      <c r="A1621" s="4">
        <v>2.02106712010004E+17</v>
      </c>
      <c r="B1621" s="4">
        <v>8028600787</v>
      </c>
      <c r="C1621" s="4" t="s">
        <v>11048</v>
      </c>
      <c r="D1621" s="4">
        <v>71201</v>
      </c>
      <c r="E1621" s="4">
        <v>20210610</v>
      </c>
      <c r="F1621" s="4">
        <v>20210610</v>
      </c>
      <c r="G1621" s="4">
        <v>20240217</v>
      </c>
      <c r="H1621" s="4" t="s">
        <v>11047</v>
      </c>
      <c r="I1621" s="4" t="s">
        <v>11046</v>
      </c>
      <c r="J1621" s="4" t="s">
        <v>6940</v>
      </c>
    </row>
    <row r="1622" spans="1:10" hidden="1">
      <c r="A1622" s="4">
        <v>2.02106857090004E+17</v>
      </c>
      <c r="B1622" s="4">
        <v>2828801308</v>
      </c>
      <c r="C1622" s="4" t="s">
        <v>11148</v>
      </c>
      <c r="D1622" s="4">
        <v>85709</v>
      </c>
      <c r="E1622" s="4">
        <v>20210610</v>
      </c>
      <c r="F1622" s="4">
        <v>20210610</v>
      </c>
      <c r="G1622" s="4">
        <v>20240610</v>
      </c>
      <c r="H1622" s="4" t="s">
        <v>11147</v>
      </c>
      <c r="I1622" s="4" t="s">
        <v>6814</v>
      </c>
      <c r="J1622" s="4" t="s">
        <v>141</v>
      </c>
    </row>
    <row r="1623" spans="1:10" hidden="1">
      <c r="A1623" s="4">
        <v>2.02106639910004E+17</v>
      </c>
      <c r="B1623" s="4">
        <v>6868700988</v>
      </c>
      <c r="C1623" s="4" t="s">
        <v>11043</v>
      </c>
      <c r="D1623" s="4">
        <v>63991</v>
      </c>
      <c r="E1623" s="4">
        <v>20210609</v>
      </c>
      <c r="F1623" s="4">
        <v>20210609</v>
      </c>
      <c r="G1623" s="4">
        <v>20240609</v>
      </c>
      <c r="H1623" s="4" t="s">
        <v>497</v>
      </c>
      <c r="I1623" s="4" t="s">
        <v>11042</v>
      </c>
      <c r="J1623" s="4" t="s">
        <v>395</v>
      </c>
    </row>
    <row r="1624" spans="1:10" hidden="1">
      <c r="A1624" s="4">
        <v>2.02106261210004E+17</v>
      </c>
      <c r="B1624" s="4">
        <v>5798801269</v>
      </c>
      <c r="C1624" s="4" t="s">
        <v>11041</v>
      </c>
      <c r="D1624" s="4">
        <v>26121</v>
      </c>
      <c r="E1624" s="4">
        <v>20210609</v>
      </c>
      <c r="F1624" s="4">
        <v>20210609</v>
      </c>
      <c r="G1624" s="4">
        <v>20240609</v>
      </c>
      <c r="H1624" s="4" t="s">
        <v>1132</v>
      </c>
      <c r="I1624" s="4" t="s">
        <v>11040</v>
      </c>
      <c r="J1624" s="4" t="s">
        <v>1271</v>
      </c>
    </row>
    <row r="1625" spans="1:10" hidden="1">
      <c r="A1625" s="4">
        <v>2.02106320290004E+17</v>
      </c>
      <c r="B1625" s="4">
        <v>7218100969</v>
      </c>
      <c r="C1625" s="4" t="s">
        <v>11039</v>
      </c>
      <c r="D1625" s="4">
        <v>32029</v>
      </c>
      <c r="E1625" s="4">
        <v>20210609</v>
      </c>
      <c r="F1625" s="4">
        <v>20210609</v>
      </c>
      <c r="G1625" s="4">
        <v>20240609</v>
      </c>
      <c r="H1625" s="4" t="s">
        <v>11038</v>
      </c>
      <c r="J1625" s="4" t="s">
        <v>637</v>
      </c>
    </row>
    <row r="1626" spans="1:10" hidden="1">
      <c r="A1626" s="4">
        <v>2.02106714000004E+17</v>
      </c>
      <c r="B1626" s="4">
        <v>3248801602</v>
      </c>
      <c r="C1626" s="4" t="s">
        <v>11037</v>
      </c>
      <c r="D1626" s="4">
        <v>71400</v>
      </c>
      <c r="E1626" s="4">
        <v>20210609</v>
      </c>
      <c r="F1626" s="4">
        <v>20210609</v>
      </c>
      <c r="G1626" s="4">
        <v>20240609</v>
      </c>
      <c r="H1626" s="4" t="s">
        <v>11036</v>
      </c>
      <c r="J1626" s="4" t="s">
        <v>1629</v>
      </c>
    </row>
    <row r="1627" spans="1:10" hidden="1">
      <c r="A1627" s="4">
        <v>2.02106179020004E+17</v>
      </c>
      <c r="B1627" s="4">
        <v>3628700137</v>
      </c>
      <c r="C1627" s="4" t="s">
        <v>11035</v>
      </c>
      <c r="D1627" s="4">
        <v>17902</v>
      </c>
      <c r="E1627" s="4">
        <v>20210609</v>
      </c>
      <c r="F1627" s="4">
        <v>20210609</v>
      </c>
      <c r="G1627" s="4">
        <v>20220821</v>
      </c>
      <c r="H1627" s="4" t="s">
        <v>11034</v>
      </c>
      <c r="I1627" s="4" t="s">
        <v>657</v>
      </c>
      <c r="J1627" s="4" t="s">
        <v>6653</v>
      </c>
    </row>
    <row r="1628" spans="1:10" hidden="1">
      <c r="A1628" s="4">
        <v>2.02106303310004E+17</v>
      </c>
      <c r="B1628" s="4">
        <v>4348601642</v>
      </c>
      <c r="C1628" s="4" t="s">
        <v>11033</v>
      </c>
      <c r="D1628" s="4">
        <v>30331</v>
      </c>
      <c r="E1628" s="4">
        <v>20210609</v>
      </c>
      <c r="F1628" s="4">
        <v>20210609</v>
      </c>
      <c r="G1628" s="4">
        <v>20240609</v>
      </c>
      <c r="H1628" s="4" t="s">
        <v>11032</v>
      </c>
      <c r="I1628" s="4" t="s">
        <v>11031</v>
      </c>
      <c r="J1628" s="4" t="s">
        <v>11030</v>
      </c>
    </row>
    <row r="1629" spans="1:10" hidden="1">
      <c r="A1629" s="4">
        <v>2.02106339990004E+17</v>
      </c>
      <c r="B1629" s="4">
        <v>8618601714</v>
      </c>
      <c r="C1629" s="4" t="s">
        <v>11029</v>
      </c>
      <c r="D1629" s="4">
        <v>33999</v>
      </c>
      <c r="E1629" s="4">
        <v>20210609</v>
      </c>
      <c r="F1629" s="4">
        <v>20210609</v>
      </c>
      <c r="G1629" s="4">
        <v>20240609</v>
      </c>
      <c r="H1629" s="4" t="s">
        <v>3605</v>
      </c>
      <c r="I1629" s="4" t="s">
        <v>11028</v>
      </c>
      <c r="J1629" s="4" t="s">
        <v>780</v>
      </c>
    </row>
    <row r="1630" spans="1:10" hidden="1">
      <c r="A1630" s="4">
        <v>2.02106132290004E+17</v>
      </c>
      <c r="B1630" s="4">
        <v>6938601601</v>
      </c>
      <c r="C1630" s="4" t="s">
        <v>11027</v>
      </c>
      <c r="D1630" s="4">
        <v>13229</v>
      </c>
      <c r="E1630" s="4">
        <v>20210609</v>
      </c>
      <c r="F1630" s="4">
        <v>20210609</v>
      </c>
      <c r="G1630" s="4">
        <v>20240609</v>
      </c>
      <c r="H1630" s="4" t="s">
        <v>11026</v>
      </c>
      <c r="J1630" s="4" t="s">
        <v>115</v>
      </c>
    </row>
    <row r="1631" spans="1:10" hidden="1">
      <c r="A1631" s="4">
        <v>2.02106339100004E+17</v>
      </c>
      <c r="B1631" s="4">
        <v>3168801241</v>
      </c>
      <c r="C1631" s="4" t="s">
        <v>11025</v>
      </c>
      <c r="D1631" s="4">
        <v>33910</v>
      </c>
      <c r="E1631" s="4">
        <v>20210609</v>
      </c>
      <c r="F1631" s="4">
        <v>20210609</v>
      </c>
      <c r="G1631" s="4">
        <v>20240609</v>
      </c>
      <c r="H1631" s="4" t="s">
        <v>11024</v>
      </c>
      <c r="J1631" s="4" t="s">
        <v>310</v>
      </c>
    </row>
    <row r="1632" spans="1:10" hidden="1">
      <c r="A1632" s="4">
        <v>2.02106281140004E+17</v>
      </c>
      <c r="B1632" s="4">
        <v>3558801983</v>
      </c>
      <c r="C1632" s="4" t="s">
        <v>11023</v>
      </c>
      <c r="D1632" s="4">
        <v>28114</v>
      </c>
      <c r="E1632" s="4">
        <v>20210609</v>
      </c>
      <c r="F1632" s="4">
        <v>20210609</v>
      </c>
      <c r="G1632" s="4">
        <v>20240609</v>
      </c>
      <c r="H1632" s="4" t="s">
        <v>11022</v>
      </c>
      <c r="I1632" s="4" t="s">
        <v>11021</v>
      </c>
      <c r="J1632" s="4" t="s">
        <v>2367</v>
      </c>
    </row>
    <row r="1633" spans="1:10" hidden="1">
      <c r="A1633" s="4">
        <v>2.02106423210004E+17</v>
      </c>
      <c r="B1633" s="4">
        <v>1798100834</v>
      </c>
      <c r="C1633" s="4" t="s">
        <v>11020</v>
      </c>
      <c r="D1633" s="4">
        <v>42321</v>
      </c>
      <c r="E1633" s="4">
        <v>20210609</v>
      </c>
      <c r="F1633" s="4">
        <v>20210609</v>
      </c>
      <c r="G1633" s="4">
        <v>20240529</v>
      </c>
      <c r="H1633" s="4" t="s">
        <v>11019</v>
      </c>
      <c r="I1633" s="4" t="s">
        <v>91</v>
      </c>
      <c r="J1633" s="4" t="s">
        <v>698</v>
      </c>
    </row>
    <row r="1634" spans="1:10" hidden="1">
      <c r="A1634" s="4">
        <v>2.02106107420004E+17</v>
      </c>
      <c r="B1634" s="4">
        <v>5258700460</v>
      </c>
      <c r="C1634" s="4" t="s">
        <v>11018</v>
      </c>
      <c r="D1634" s="4">
        <v>10742</v>
      </c>
      <c r="E1634" s="4">
        <v>20210609</v>
      </c>
      <c r="F1634" s="4">
        <v>20210609</v>
      </c>
      <c r="G1634" s="4">
        <v>20230810</v>
      </c>
      <c r="H1634" s="4" t="s">
        <v>11017</v>
      </c>
      <c r="J1634" s="4" t="s">
        <v>2876</v>
      </c>
    </row>
    <row r="1635" spans="1:10" hidden="1">
      <c r="A1635" s="4">
        <v>2.02106732030004E+17</v>
      </c>
      <c r="B1635" s="4">
        <v>6303500588</v>
      </c>
      <c r="C1635" s="4" t="s">
        <v>11016</v>
      </c>
      <c r="D1635" s="4">
        <v>73203</v>
      </c>
      <c r="E1635" s="4">
        <v>20210609</v>
      </c>
      <c r="F1635" s="4">
        <v>20210609</v>
      </c>
      <c r="G1635" s="4">
        <v>20240609</v>
      </c>
      <c r="H1635" s="4" t="s">
        <v>3817</v>
      </c>
      <c r="I1635" s="4" t="s">
        <v>7462</v>
      </c>
      <c r="J1635" s="4" t="s">
        <v>260</v>
      </c>
    </row>
    <row r="1636" spans="1:10" hidden="1">
      <c r="A1636" s="4">
        <v>2.02106702090004E+17</v>
      </c>
      <c r="B1636" s="4">
        <v>5702401182</v>
      </c>
      <c r="C1636" s="4" t="s">
        <v>11015</v>
      </c>
      <c r="D1636" s="4">
        <v>70209</v>
      </c>
      <c r="E1636" s="4">
        <v>20210609</v>
      </c>
      <c r="F1636" s="4">
        <v>20210609</v>
      </c>
      <c r="G1636" s="4">
        <v>20240609</v>
      </c>
      <c r="H1636" s="4" t="s">
        <v>3953</v>
      </c>
      <c r="I1636" s="4" t="s">
        <v>11014</v>
      </c>
      <c r="J1636" s="4" t="s">
        <v>242</v>
      </c>
    </row>
    <row r="1637" spans="1:10" hidden="1">
      <c r="A1637" s="4">
        <v>2.02106857090004E+17</v>
      </c>
      <c r="B1637" s="4">
        <v>7328701581</v>
      </c>
      <c r="C1637" s="4" t="s">
        <v>11013</v>
      </c>
      <c r="D1637" s="4">
        <v>85709</v>
      </c>
      <c r="E1637" s="4">
        <v>20210609</v>
      </c>
      <c r="F1637" s="4">
        <v>20210609</v>
      </c>
      <c r="G1637" s="4">
        <v>20240609</v>
      </c>
      <c r="H1637" s="4" t="s">
        <v>2193</v>
      </c>
      <c r="J1637" s="4" t="s">
        <v>141</v>
      </c>
    </row>
    <row r="1638" spans="1:10" hidden="1">
      <c r="A1638" s="4">
        <v>2.02106259990004E+17</v>
      </c>
      <c r="B1638" s="4">
        <v>6738100582</v>
      </c>
      <c r="C1638" s="4" t="s">
        <v>11012</v>
      </c>
      <c r="D1638" s="4">
        <v>25999</v>
      </c>
      <c r="E1638" s="4">
        <v>20210609</v>
      </c>
      <c r="F1638" s="4">
        <v>20210609</v>
      </c>
      <c r="G1638" s="4">
        <v>20240321</v>
      </c>
      <c r="H1638" s="4" t="s">
        <v>11011</v>
      </c>
      <c r="J1638" s="4" t="s">
        <v>301</v>
      </c>
    </row>
    <row r="1639" spans="1:10" hidden="1">
      <c r="A1639" s="4">
        <v>2.02106465920004E+17</v>
      </c>
      <c r="B1639" s="4">
        <v>3151900995</v>
      </c>
      <c r="C1639" s="4" t="s">
        <v>11010</v>
      </c>
      <c r="D1639" s="4">
        <v>46592</v>
      </c>
      <c r="E1639" s="4">
        <v>20210609</v>
      </c>
      <c r="F1639" s="4">
        <v>20210609</v>
      </c>
      <c r="G1639" s="4">
        <v>20230615</v>
      </c>
      <c r="H1639" s="4" t="s">
        <v>1068</v>
      </c>
      <c r="I1639" s="4" t="s">
        <v>11009</v>
      </c>
      <c r="J1639" s="4" t="s">
        <v>148</v>
      </c>
    </row>
    <row r="1640" spans="1:10" hidden="1">
      <c r="A1640" s="4">
        <v>2.02106281230004E+17</v>
      </c>
      <c r="B1640" s="4">
        <v>7053300947</v>
      </c>
      <c r="C1640" s="4" t="s">
        <v>11008</v>
      </c>
      <c r="D1640" s="4">
        <v>28123</v>
      </c>
      <c r="E1640" s="4">
        <v>20210609</v>
      </c>
      <c r="F1640" s="4">
        <v>20210609</v>
      </c>
      <c r="G1640" s="4">
        <v>20240609</v>
      </c>
      <c r="H1640" s="4" t="s">
        <v>11007</v>
      </c>
      <c r="J1640" s="4" t="s">
        <v>640</v>
      </c>
    </row>
    <row r="1641" spans="1:10" hidden="1">
      <c r="A1641" s="4">
        <v>2.02106464520004E+17</v>
      </c>
      <c r="B1641" s="4">
        <v>5700401210</v>
      </c>
      <c r="C1641" s="4" t="s">
        <v>11006</v>
      </c>
      <c r="D1641" s="4">
        <v>46452</v>
      </c>
      <c r="E1641" s="4">
        <v>20210609</v>
      </c>
      <c r="F1641" s="4">
        <v>20210609</v>
      </c>
      <c r="G1641" s="4">
        <v>20240609</v>
      </c>
      <c r="H1641" s="4" t="s">
        <v>11005</v>
      </c>
      <c r="I1641" s="4" t="s">
        <v>11004</v>
      </c>
      <c r="J1641" s="4" t="s">
        <v>516</v>
      </c>
    </row>
    <row r="1642" spans="1:10" hidden="1">
      <c r="A1642" s="4">
        <v>2.02106251110004E+17</v>
      </c>
      <c r="B1642" s="4">
        <v>2108176222</v>
      </c>
      <c r="C1642" s="4" t="s">
        <v>11003</v>
      </c>
      <c r="D1642" s="4">
        <v>25111</v>
      </c>
      <c r="E1642" s="4">
        <v>20210609</v>
      </c>
      <c r="F1642" s="4">
        <v>20210609</v>
      </c>
      <c r="G1642" s="4">
        <v>20211001</v>
      </c>
      <c r="H1642" s="4" t="s">
        <v>11002</v>
      </c>
      <c r="J1642" s="4" t="s">
        <v>82</v>
      </c>
    </row>
    <row r="1643" spans="1:10" hidden="1">
      <c r="A1643" s="4">
        <v>2.02106479120004E+17</v>
      </c>
      <c r="B1643" s="4">
        <v>2064261304</v>
      </c>
      <c r="C1643" s="4" t="s">
        <v>11001</v>
      </c>
      <c r="D1643" s="4">
        <v>47912</v>
      </c>
      <c r="E1643" s="4">
        <v>20210609</v>
      </c>
      <c r="F1643" s="4">
        <v>20210609</v>
      </c>
      <c r="G1643" s="4">
        <v>20240609</v>
      </c>
      <c r="H1643" s="4" t="s">
        <v>11000</v>
      </c>
      <c r="J1643" s="4" t="s">
        <v>78</v>
      </c>
    </row>
    <row r="1644" spans="1:10" hidden="1">
      <c r="A1644" s="4">
        <v>2.02106283010004E+17</v>
      </c>
      <c r="B1644" s="4">
        <v>6808600945</v>
      </c>
      <c r="C1644" s="4" t="s">
        <v>10999</v>
      </c>
      <c r="D1644" s="4">
        <v>28301</v>
      </c>
      <c r="E1644" s="4">
        <v>20210609</v>
      </c>
      <c r="F1644" s="4">
        <v>20210609</v>
      </c>
      <c r="G1644" s="4">
        <v>20240609</v>
      </c>
      <c r="H1644" s="4" t="s">
        <v>10998</v>
      </c>
      <c r="I1644" s="4" t="s">
        <v>947</v>
      </c>
      <c r="J1644" s="4" t="s">
        <v>10997</v>
      </c>
    </row>
    <row r="1645" spans="1:10" hidden="1">
      <c r="A1645" s="4">
        <v>2.02106467990004E+17</v>
      </c>
      <c r="B1645" s="4">
        <v>1991100984</v>
      </c>
      <c r="C1645" s="4" t="s">
        <v>10996</v>
      </c>
      <c r="D1645" s="4">
        <v>46799</v>
      </c>
      <c r="E1645" s="4">
        <v>20210609</v>
      </c>
      <c r="F1645" s="4">
        <v>20210609</v>
      </c>
      <c r="G1645" s="4">
        <v>20240609</v>
      </c>
      <c r="H1645" s="4" t="s">
        <v>10616</v>
      </c>
      <c r="I1645" s="4" t="s">
        <v>175</v>
      </c>
      <c r="J1645" s="4" t="s">
        <v>2181</v>
      </c>
    </row>
    <row r="1646" spans="1:10" hidden="1">
      <c r="A1646" s="4">
        <v>2.02106411210004E+17</v>
      </c>
      <c r="B1646" s="4">
        <v>3408101094</v>
      </c>
      <c r="C1646" s="4" t="s">
        <v>10995</v>
      </c>
      <c r="D1646" s="4">
        <v>41121</v>
      </c>
      <c r="E1646" s="4">
        <v>20210609</v>
      </c>
      <c r="F1646" s="4">
        <v>20210609</v>
      </c>
      <c r="G1646" s="4">
        <v>20240609</v>
      </c>
      <c r="H1646" s="4" t="s">
        <v>10994</v>
      </c>
      <c r="J1646" s="4" t="s">
        <v>2302</v>
      </c>
    </row>
    <row r="1647" spans="1:10" hidden="1">
      <c r="A1647" s="4">
        <v>2.02106582220004E+17</v>
      </c>
      <c r="B1647" s="4">
        <v>7488700175</v>
      </c>
      <c r="C1647" s="4" t="s">
        <v>10993</v>
      </c>
      <c r="D1647" s="4">
        <v>58222</v>
      </c>
      <c r="E1647" s="4">
        <v>20210609</v>
      </c>
      <c r="F1647" s="4">
        <v>20210609</v>
      </c>
      <c r="G1647" s="4">
        <v>20220807</v>
      </c>
      <c r="H1647" s="4" t="s">
        <v>2566</v>
      </c>
      <c r="I1647" s="4" t="s">
        <v>10992</v>
      </c>
      <c r="J1647" s="4" t="s">
        <v>94</v>
      </c>
    </row>
    <row r="1648" spans="1:10" hidden="1">
      <c r="A1648" s="4">
        <v>2.02106141920004E+17</v>
      </c>
      <c r="B1648" s="4">
        <v>3568800105</v>
      </c>
      <c r="C1648" s="4" t="s">
        <v>10991</v>
      </c>
      <c r="D1648" s="4">
        <v>14192</v>
      </c>
      <c r="E1648" s="4">
        <v>20210609</v>
      </c>
      <c r="F1648" s="4">
        <v>20210609</v>
      </c>
      <c r="G1648" s="4">
        <v>20220415</v>
      </c>
      <c r="H1648" s="4" t="s">
        <v>4281</v>
      </c>
      <c r="I1648" s="4" t="s">
        <v>10990</v>
      </c>
      <c r="J1648" s="4" t="s">
        <v>4910</v>
      </c>
    </row>
    <row r="1649" spans="1:10" hidden="1">
      <c r="A1649" s="4">
        <v>2.02106233240004E+17</v>
      </c>
      <c r="B1649" s="4">
        <v>7868600578</v>
      </c>
      <c r="C1649" s="4" t="s">
        <v>10989</v>
      </c>
      <c r="D1649" s="4">
        <v>23324</v>
      </c>
      <c r="E1649" s="4">
        <v>20210609</v>
      </c>
      <c r="F1649" s="4">
        <v>20210609</v>
      </c>
      <c r="G1649" s="4">
        <v>20230912</v>
      </c>
      <c r="H1649" s="4" t="s">
        <v>10988</v>
      </c>
      <c r="I1649" s="4" t="s">
        <v>10987</v>
      </c>
      <c r="J1649" s="4" t="s">
        <v>3323</v>
      </c>
    </row>
    <row r="1650" spans="1:10" hidden="1">
      <c r="A1650" s="4">
        <v>2.02106265290004E+17</v>
      </c>
      <c r="B1650" s="4">
        <v>3928100567</v>
      </c>
      <c r="C1650" s="4" t="s">
        <v>10986</v>
      </c>
      <c r="D1650" s="4">
        <v>26529</v>
      </c>
      <c r="E1650" s="4">
        <v>20210609</v>
      </c>
      <c r="F1650" s="4">
        <v>20210609</v>
      </c>
      <c r="G1650" s="4">
        <v>20240124</v>
      </c>
      <c r="H1650" s="4" t="s">
        <v>10985</v>
      </c>
      <c r="I1650" s="4" t="s">
        <v>10984</v>
      </c>
      <c r="J1650" s="4" t="s">
        <v>1207</v>
      </c>
    </row>
    <row r="1651" spans="1:10" hidden="1">
      <c r="A1651" s="4">
        <v>2.02106271920004E+17</v>
      </c>
      <c r="B1651" s="4">
        <v>5018601184</v>
      </c>
      <c r="C1651" s="4" t="s">
        <v>10983</v>
      </c>
      <c r="D1651" s="4">
        <v>27192</v>
      </c>
      <c r="E1651" s="4">
        <v>20210609</v>
      </c>
      <c r="F1651" s="4">
        <v>20210609</v>
      </c>
      <c r="G1651" s="4">
        <v>20240609</v>
      </c>
      <c r="H1651" s="4" t="s">
        <v>10982</v>
      </c>
      <c r="I1651" s="4" t="s">
        <v>1695</v>
      </c>
      <c r="J1651" s="4" t="s">
        <v>1033</v>
      </c>
    </row>
    <row r="1652" spans="1:10" hidden="1">
      <c r="A1652" s="4">
        <v>2.02106739090004E+17</v>
      </c>
      <c r="B1652" s="4">
        <v>4658702040</v>
      </c>
      <c r="C1652" s="4" t="s">
        <v>10981</v>
      </c>
      <c r="D1652" s="4">
        <v>73909</v>
      </c>
      <c r="E1652" s="4">
        <v>20210609</v>
      </c>
      <c r="F1652" s="4">
        <v>20210609</v>
      </c>
      <c r="G1652" s="4">
        <v>20240609</v>
      </c>
      <c r="H1652" s="4" t="s">
        <v>10980</v>
      </c>
      <c r="I1652" s="4" t="s">
        <v>10979</v>
      </c>
      <c r="J1652" s="4" t="s">
        <v>293</v>
      </c>
    </row>
    <row r="1653" spans="1:10" hidden="1">
      <c r="A1653" s="4">
        <v>2.02106222990004E+17</v>
      </c>
      <c r="B1653" s="4">
        <v>3338702103</v>
      </c>
      <c r="C1653" s="4" t="s">
        <v>10978</v>
      </c>
      <c r="D1653" s="4">
        <v>22299</v>
      </c>
      <c r="E1653" s="4">
        <v>20210609</v>
      </c>
      <c r="F1653" s="4">
        <v>20210609</v>
      </c>
      <c r="G1653" s="4">
        <v>20240609</v>
      </c>
      <c r="H1653" s="4" t="s">
        <v>8601</v>
      </c>
      <c r="I1653" s="4" t="s">
        <v>10977</v>
      </c>
      <c r="J1653" s="4" t="s">
        <v>384</v>
      </c>
    </row>
    <row r="1654" spans="1:10" hidden="1">
      <c r="A1654" s="4">
        <v>2.02106242900004E+17</v>
      </c>
      <c r="B1654" s="4">
        <v>6078620096</v>
      </c>
      <c r="C1654" s="4" t="s">
        <v>10976</v>
      </c>
      <c r="D1654" s="4">
        <v>24290</v>
      </c>
      <c r="E1654" s="4">
        <v>20210609</v>
      </c>
      <c r="F1654" s="4">
        <v>20210609</v>
      </c>
      <c r="G1654" s="4">
        <v>20240609</v>
      </c>
      <c r="H1654" s="4" t="s">
        <v>10975</v>
      </c>
      <c r="I1654" s="4" t="s">
        <v>2340</v>
      </c>
      <c r="J1654" s="4" t="s">
        <v>325</v>
      </c>
    </row>
    <row r="1655" spans="1:10" hidden="1">
      <c r="A1655" s="4">
        <v>2.02106721210004E+17</v>
      </c>
      <c r="B1655" s="4">
        <v>1398700798</v>
      </c>
      <c r="C1655" s="4" t="s">
        <v>10974</v>
      </c>
      <c r="D1655" s="4">
        <v>72121</v>
      </c>
      <c r="E1655" s="4">
        <v>20210609</v>
      </c>
      <c r="F1655" s="4">
        <v>20210609</v>
      </c>
      <c r="G1655" s="4">
        <v>20240418</v>
      </c>
      <c r="H1655" s="4" t="s">
        <v>10973</v>
      </c>
      <c r="I1655" s="4" t="s">
        <v>10972</v>
      </c>
      <c r="J1655" s="4" t="s">
        <v>2243</v>
      </c>
    </row>
    <row r="1656" spans="1:10" hidden="1">
      <c r="A1656" s="4">
        <v>2.02106759920004E+17</v>
      </c>
      <c r="B1656" s="4">
        <v>1428601103</v>
      </c>
      <c r="C1656" s="4" t="s">
        <v>10971</v>
      </c>
      <c r="D1656" s="4">
        <v>75992</v>
      </c>
      <c r="E1656" s="4">
        <v>20210609</v>
      </c>
      <c r="F1656" s="4">
        <v>20210609</v>
      </c>
      <c r="G1656" s="4">
        <v>20240609</v>
      </c>
      <c r="H1656" s="4" t="s">
        <v>10970</v>
      </c>
      <c r="I1656" s="4" t="s">
        <v>1695</v>
      </c>
      <c r="J1656" s="4" t="s">
        <v>111</v>
      </c>
    </row>
    <row r="1657" spans="1:10" hidden="1">
      <c r="A1657" s="4">
        <v>2.02106713100004E+17</v>
      </c>
      <c r="B1657" s="4">
        <v>7138701988</v>
      </c>
      <c r="C1657" s="4" t="s">
        <v>10969</v>
      </c>
      <c r="D1657" s="4">
        <v>71310</v>
      </c>
      <c r="E1657" s="4">
        <v>20210609</v>
      </c>
      <c r="F1657" s="4">
        <v>20210609</v>
      </c>
      <c r="G1657" s="4">
        <v>20240609</v>
      </c>
      <c r="H1657" s="4" t="s">
        <v>10968</v>
      </c>
      <c r="I1657" s="4" t="s">
        <v>1695</v>
      </c>
      <c r="J1657" s="4" t="s">
        <v>426</v>
      </c>
    </row>
    <row r="1658" spans="1:10" hidden="1">
      <c r="A1658" s="4">
        <v>2.02106759910004E+17</v>
      </c>
      <c r="B1658" s="4">
        <v>1768602202</v>
      </c>
      <c r="C1658" s="4" t="s">
        <v>10967</v>
      </c>
      <c r="D1658" s="4">
        <v>75991</v>
      </c>
      <c r="E1658" s="4">
        <v>20210609</v>
      </c>
      <c r="F1658" s="4">
        <v>20210609</v>
      </c>
      <c r="G1658" s="4">
        <v>20240609</v>
      </c>
      <c r="H1658" s="4" t="s">
        <v>10966</v>
      </c>
      <c r="I1658" s="4" t="s">
        <v>10965</v>
      </c>
      <c r="J1658" s="4" t="s">
        <v>3112</v>
      </c>
    </row>
    <row r="1659" spans="1:10" hidden="1">
      <c r="A1659" s="4">
        <v>2.02106320290004E+17</v>
      </c>
      <c r="B1659" s="4">
        <v>3248602121</v>
      </c>
      <c r="C1659" s="4" t="s">
        <v>10964</v>
      </c>
      <c r="D1659" s="4">
        <v>32029</v>
      </c>
      <c r="E1659" s="4">
        <v>20210609</v>
      </c>
      <c r="F1659" s="4">
        <v>20210609</v>
      </c>
      <c r="G1659" s="4">
        <v>20240609</v>
      </c>
      <c r="H1659" s="4" t="s">
        <v>10794</v>
      </c>
      <c r="J1659" s="4" t="s">
        <v>637</v>
      </c>
    </row>
    <row r="1660" spans="1:10" hidden="1">
      <c r="A1660" s="4">
        <v>2.02106424920004E+17</v>
      </c>
      <c r="B1660" s="4">
        <v>6638701117</v>
      </c>
      <c r="C1660" s="4" t="s">
        <v>10963</v>
      </c>
      <c r="D1660" s="4">
        <v>42492</v>
      </c>
      <c r="E1660" s="4">
        <v>20210609</v>
      </c>
      <c r="F1660" s="4">
        <v>20210609</v>
      </c>
      <c r="G1660" s="4">
        <v>20240609</v>
      </c>
      <c r="H1660" s="4" t="s">
        <v>10962</v>
      </c>
      <c r="J1660" s="4" t="s">
        <v>3977</v>
      </c>
    </row>
    <row r="1661" spans="1:10" hidden="1">
      <c r="A1661" s="4">
        <v>2.02106681120004E+17</v>
      </c>
      <c r="B1661" s="4">
        <v>8296700350</v>
      </c>
      <c r="C1661" s="4" t="s">
        <v>10961</v>
      </c>
      <c r="D1661" s="4">
        <v>68112</v>
      </c>
      <c r="E1661" s="4">
        <v>20210609</v>
      </c>
      <c r="F1661" s="4">
        <v>20210609</v>
      </c>
      <c r="G1661" s="4">
        <v>20240609</v>
      </c>
      <c r="H1661" s="4" t="s">
        <v>10960</v>
      </c>
      <c r="I1661" s="4" t="s">
        <v>657</v>
      </c>
      <c r="J1661" s="4" t="s">
        <v>10959</v>
      </c>
    </row>
    <row r="1662" spans="1:10" hidden="1">
      <c r="A1662" s="4">
        <v>2.02106639910004E+17</v>
      </c>
      <c r="B1662" s="4">
        <v>7642101409</v>
      </c>
      <c r="C1662" s="4" t="s">
        <v>10958</v>
      </c>
      <c r="D1662" s="4">
        <v>63991</v>
      </c>
      <c r="E1662" s="4">
        <v>20210609</v>
      </c>
      <c r="F1662" s="4">
        <v>20210609</v>
      </c>
      <c r="G1662" s="4">
        <v>20240609</v>
      </c>
      <c r="H1662" s="4" t="s">
        <v>10957</v>
      </c>
      <c r="I1662" s="4" t="s">
        <v>146</v>
      </c>
      <c r="J1662" s="4" t="s">
        <v>395</v>
      </c>
    </row>
    <row r="1663" spans="1:10" hidden="1">
      <c r="A1663" s="4">
        <v>2.02106259290004E+17</v>
      </c>
      <c r="B1663" s="4">
        <v>8478800504</v>
      </c>
      <c r="C1663" s="4" t="s">
        <v>10956</v>
      </c>
      <c r="D1663" s="4">
        <v>25929</v>
      </c>
      <c r="E1663" s="4">
        <v>20210608</v>
      </c>
      <c r="F1663" s="4">
        <v>20210608</v>
      </c>
      <c r="G1663" s="4">
        <v>20230809</v>
      </c>
      <c r="H1663" s="4" t="s">
        <v>10955</v>
      </c>
      <c r="I1663" s="4" t="s">
        <v>10954</v>
      </c>
      <c r="J1663" s="4" t="s">
        <v>701</v>
      </c>
    </row>
    <row r="1664" spans="1:10" hidden="1">
      <c r="A1664" s="4">
        <v>2.02106252000004E+17</v>
      </c>
      <c r="B1664" s="4">
        <v>6058631938</v>
      </c>
      <c r="C1664" s="4" t="s">
        <v>10953</v>
      </c>
      <c r="D1664" s="4">
        <v>25200</v>
      </c>
      <c r="E1664" s="4">
        <v>20210608</v>
      </c>
      <c r="F1664" s="4">
        <v>20210608</v>
      </c>
      <c r="G1664" s="4">
        <v>20211104</v>
      </c>
      <c r="H1664" s="4" t="s">
        <v>10952</v>
      </c>
      <c r="I1664" s="4" t="s">
        <v>10951</v>
      </c>
      <c r="J1664" s="4" t="s">
        <v>10950</v>
      </c>
    </row>
    <row r="1665" spans="1:10">
      <c r="A1665" s="4">
        <v>2.0210446453000198E+17</v>
      </c>
      <c r="B1665" s="4">
        <v>6702100750</v>
      </c>
      <c r="C1665" s="4" t="s">
        <v>7608</v>
      </c>
      <c r="D1665" s="4">
        <v>46453</v>
      </c>
      <c r="E1665" s="4">
        <v>20210426</v>
      </c>
      <c r="F1665" s="4">
        <v>20210426</v>
      </c>
      <c r="G1665" s="4">
        <v>20240426</v>
      </c>
      <c r="H1665" s="4" t="s">
        <v>7607</v>
      </c>
      <c r="I1665" s="4" t="s">
        <v>7606</v>
      </c>
      <c r="J1665" s="4" t="s">
        <v>816</v>
      </c>
    </row>
    <row r="1666" spans="1:10" hidden="1">
      <c r="A1666" s="4">
        <v>2.02106162920004E+17</v>
      </c>
      <c r="B1666" s="4">
        <v>5578100918</v>
      </c>
      <c r="C1666" s="4" t="s">
        <v>10946</v>
      </c>
      <c r="D1666" s="4">
        <v>16292</v>
      </c>
      <c r="E1666" s="4">
        <v>20210608</v>
      </c>
      <c r="F1666" s="4">
        <v>20210608</v>
      </c>
      <c r="G1666" s="4">
        <v>20240608</v>
      </c>
      <c r="H1666" s="4" t="s">
        <v>10945</v>
      </c>
      <c r="I1666" s="4" t="s">
        <v>149</v>
      </c>
      <c r="J1666" s="4" t="s">
        <v>9108</v>
      </c>
    </row>
    <row r="1667" spans="1:10" hidden="1">
      <c r="A1667" s="4">
        <v>2.02106732030004E+17</v>
      </c>
      <c r="B1667" s="4">
        <v>4158700654</v>
      </c>
      <c r="C1667" s="4" t="s">
        <v>10944</v>
      </c>
      <c r="D1667" s="4">
        <v>73203</v>
      </c>
      <c r="E1667" s="4">
        <v>20210608</v>
      </c>
      <c r="F1667" s="4">
        <v>20210608</v>
      </c>
      <c r="G1667" s="4">
        <v>20240403</v>
      </c>
      <c r="H1667" s="4" t="s">
        <v>10347</v>
      </c>
      <c r="I1667" s="4" t="s">
        <v>10943</v>
      </c>
      <c r="J1667" s="4" t="s">
        <v>260</v>
      </c>
    </row>
    <row r="1668" spans="1:10" hidden="1">
      <c r="A1668" s="4">
        <v>2.02106464430004E+17</v>
      </c>
      <c r="B1668" s="4">
        <v>2578800171</v>
      </c>
      <c r="C1668" s="4" t="s">
        <v>10942</v>
      </c>
      <c r="D1668" s="4">
        <v>46443</v>
      </c>
      <c r="E1668" s="4">
        <v>20210608</v>
      </c>
      <c r="F1668" s="4">
        <v>20210608</v>
      </c>
      <c r="G1668" s="4">
        <v>20220831</v>
      </c>
      <c r="H1668" s="4" t="s">
        <v>10941</v>
      </c>
      <c r="J1668" s="4" t="s">
        <v>1379</v>
      </c>
    </row>
    <row r="1669" spans="1:10" hidden="1">
      <c r="A1669" s="4">
        <v>2.02106273020004E+17</v>
      </c>
      <c r="B1669" s="4">
        <v>6098700924</v>
      </c>
      <c r="C1669" s="4" t="s">
        <v>10940</v>
      </c>
      <c r="D1669" s="4">
        <v>27302</v>
      </c>
      <c r="E1669" s="4">
        <v>20210608</v>
      </c>
      <c r="F1669" s="4">
        <v>20210608</v>
      </c>
      <c r="G1669" s="4">
        <v>20240608</v>
      </c>
      <c r="H1669" s="4" t="s">
        <v>10939</v>
      </c>
      <c r="I1669" s="4" t="s">
        <v>3000</v>
      </c>
      <c r="J1669" s="4" t="s">
        <v>2148</v>
      </c>
    </row>
    <row r="1670" spans="1:10" hidden="1">
      <c r="A1670" s="4">
        <v>2.02106620210004E+17</v>
      </c>
      <c r="B1670" s="4">
        <v>1408196929</v>
      </c>
      <c r="C1670" s="4" t="s">
        <v>10938</v>
      </c>
      <c r="D1670" s="4">
        <v>62021</v>
      </c>
      <c r="E1670" s="4">
        <v>20210608</v>
      </c>
      <c r="F1670" s="4">
        <v>20210608</v>
      </c>
      <c r="G1670" s="4">
        <v>20240608</v>
      </c>
      <c r="H1670" s="4" t="s">
        <v>10937</v>
      </c>
      <c r="I1670" s="4" t="s">
        <v>10936</v>
      </c>
      <c r="J1670" s="4" t="s">
        <v>1505</v>
      </c>
    </row>
    <row r="1671" spans="1:10" hidden="1">
      <c r="A1671" s="4">
        <v>2.02106259990004E+17</v>
      </c>
      <c r="B1671" s="4">
        <v>7508601530</v>
      </c>
      <c r="C1671" s="4" t="s">
        <v>11131</v>
      </c>
      <c r="D1671" s="4">
        <v>25999</v>
      </c>
      <c r="E1671" s="4">
        <v>20210610</v>
      </c>
      <c r="F1671" s="4">
        <v>20210610</v>
      </c>
      <c r="G1671" s="4">
        <v>20240610</v>
      </c>
      <c r="H1671" s="4" t="s">
        <v>11130</v>
      </c>
      <c r="I1671" s="4" t="s">
        <v>1695</v>
      </c>
      <c r="J1671" s="4" t="s">
        <v>301</v>
      </c>
    </row>
    <row r="1672" spans="1:10" hidden="1">
      <c r="A1672" s="4">
        <v>2.02106281110004E+17</v>
      </c>
      <c r="B1672" s="4">
        <v>2288601367</v>
      </c>
      <c r="C1672" s="4" t="s">
        <v>10933</v>
      </c>
      <c r="D1672" s="4">
        <v>28111</v>
      </c>
      <c r="E1672" s="4">
        <v>20210608</v>
      </c>
      <c r="F1672" s="4">
        <v>20210608</v>
      </c>
      <c r="G1672" s="4">
        <v>20240608</v>
      </c>
      <c r="H1672" s="4" t="s">
        <v>10932</v>
      </c>
      <c r="I1672" s="4" t="s">
        <v>149</v>
      </c>
      <c r="J1672" s="4" t="s">
        <v>1614</v>
      </c>
    </row>
    <row r="1673" spans="1:10" hidden="1">
      <c r="A1673" s="4">
        <v>2.02106582220004E+17</v>
      </c>
      <c r="B1673" s="4">
        <v>8418601724</v>
      </c>
      <c r="C1673" s="4" t="s">
        <v>10931</v>
      </c>
      <c r="D1673" s="4">
        <v>58222</v>
      </c>
      <c r="E1673" s="4">
        <v>20210608</v>
      </c>
      <c r="F1673" s="4">
        <v>20210608</v>
      </c>
      <c r="G1673" s="4">
        <v>20240608</v>
      </c>
      <c r="H1673" s="4" t="s">
        <v>10930</v>
      </c>
      <c r="I1673" s="4" t="s">
        <v>10929</v>
      </c>
      <c r="J1673" s="4" t="s">
        <v>94</v>
      </c>
    </row>
    <row r="1674" spans="1:10" hidden="1">
      <c r="A1674" s="4">
        <v>2.02106493020004E+17</v>
      </c>
      <c r="B1674" s="4">
        <v>1148725451</v>
      </c>
      <c r="C1674" s="4" t="s">
        <v>10928</v>
      </c>
      <c r="D1674" s="4">
        <v>49302</v>
      </c>
      <c r="E1674" s="4">
        <v>20210608</v>
      </c>
      <c r="F1674" s="4">
        <v>20210608</v>
      </c>
      <c r="G1674" s="4">
        <v>20240608</v>
      </c>
      <c r="H1674" s="4" t="s">
        <v>10927</v>
      </c>
      <c r="I1674" s="4" t="s">
        <v>10926</v>
      </c>
      <c r="J1674" s="4" t="s">
        <v>10925</v>
      </c>
    </row>
    <row r="1675" spans="1:10" hidden="1">
      <c r="A1675" s="4">
        <v>2.02106302010004E+17</v>
      </c>
      <c r="B1675" s="4">
        <v>1748600474</v>
      </c>
      <c r="C1675" s="4" t="s">
        <v>10924</v>
      </c>
      <c r="D1675" s="4">
        <v>30201</v>
      </c>
      <c r="E1675" s="4">
        <v>20210608</v>
      </c>
      <c r="F1675" s="4">
        <v>20210608</v>
      </c>
      <c r="G1675" s="4">
        <v>20230901</v>
      </c>
      <c r="H1675" s="4" t="s">
        <v>10923</v>
      </c>
      <c r="J1675" s="4" t="s">
        <v>1218</v>
      </c>
    </row>
    <row r="1676" spans="1:10" hidden="1">
      <c r="A1676" s="4">
        <v>2.02106739090004E+17</v>
      </c>
      <c r="B1676" s="4">
        <v>1078843268</v>
      </c>
      <c r="C1676" s="4" t="s">
        <v>10922</v>
      </c>
      <c r="D1676" s="4">
        <v>73909</v>
      </c>
      <c r="E1676" s="4">
        <v>20210608</v>
      </c>
      <c r="F1676" s="4">
        <v>20210608</v>
      </c>
      <c r="G1676" s="4">
        <v>20240608</v>
      </c>
      <c r="H1676" s="4" t="s">
        <v>1711</v>
      </c>
      <c r="I1676" s="4" t="s">
        <v>10921</v>
      </c>
      <c r="J1676" s="4" t="s">
        <v>293</v>
      </c>
    </row>
    <row r="1677" spans="1:10" hidden="1">
      <c r="A1677" s="4">
        <v>2.02106251110004E+17</v>
      </c>
      <c r="B1677" s="4">
        <v>7528600124</v>
      </c>
      <c r="C1677" s="4" t="s">
        <v>10919</v>
      </c>
      <c r="D1677" s="4">
        <v>25111</v>
      </c>
      <c r="E1677" s="4">
        <v>20210608</v>
      </c>
      <c r="F1677" s="4">
        <v>20210608</v>
      </c>
      <c r="G1677" s="4">
        <v>20220917</v>
      </c>
      <c r="H1677" s="4" t="s">
        <v>10920</v>
      </c>
      <c r="I1677" s="4" t="s">
        <v>10919</v>
      </c>
      <c r="J1677" s="4" t="s">
        <v>82</v>
      </c>
    </row>
    <row r="1678" spans="1:10" hidden="1">
      <c r="A1678" s="4">
        <v>2.02106465100004E+17</v>
      </c>
      <c r="B1678" s="4">
        <v>8228701958</v>
      </c>
      <c r="C1678" s="4" t="s">
        <v>10918</v>
      </c>
      <c r="D1678" s="4">
        <v>46510</v>
      </c>
      <c r="E1678" s="4">
        <v>20210608</v>
      </c>
      <c r="F1678" s="4">
        <v>20210608</v>
      </c>
      <c r="G1678" s="4">
        <v>20240608</v>
      </c>
      <c r="H1678" s="4" t="s">
        <v>2754</v>
      </c>
      <c r="I1678" s="4" t="s">
        <v>10917</v>
      </c>
      <c r="J1678" s="4" t="s">
        <v>126</v>
      </c>
    </row>
    <row r="1679" spans="1:10" hidden="1">
      <c r="A1679" s="4">
        <v>2.02106721220004E+17</v>
      </c>
      <c r="B1679" s="4">
        <v>1368701819</v>
      </c>
      <c r="C1679" s="4" t="s">
        <v>10916</v>
      </c>
      <c r="D1679" s="4">
        <v>72122</v>
      </c>
      <c r="E1679" s="4">
        <v>20210608</v>
      </c>
      <c r="F1679" s="4">
        <v>20210608</v>
      </c>
      <c r="G1679" s="4">
        <v>20240608</v>
      </c>
      <c r="H1679" s="4" t="s">
        <v>10915</v>
      </c>
      <c r="J1679" s="4" t="s">
        <v>2484</v>
      </c>
    </row>
    <row r="1680" spans="1:10" hidden="1">
      <c r="A1680" s="4">
        <v>2.02106292690004E+17</v>
      </c>
      <c r="B1680" s="4">
        <v>4408100416</v>
      </c>
      <c r="C1680" s="4" t="s">
        <v>10914</v>
      </c>
      <c r="D1680" s="4">
        <v>29269</v>
      </c>
      <c r="E1680" s="4">
        <v>20210608</v>
      </c>
      <c r="F1680" s="4">
        <v>20210608</v>
      </c>
      <c r="G1680" s="4">
        <v>20230517</v>
      </c>
      <c r="H1680" s="4" t="s">
        <v>825</v>
      </c>
      <c r="I1680" s="4" t="s">
        <v>10913</v>
      </c>
      <c r="J1680" s="4" t="s">
        <v>10912</v>
      </c>
    </row>
    <row r="1681" spans="1:10" hidden="1">
      <c r="A1681" s="4">
        <v>2.02106620900004E+17</v>
      </c>
      <c r="B1681" s="4">
        <v>4338801487</v>
      </c>
      <c r="C1681" s="4" t="s">
        <v>10911</v>
      </c>
      <c r="D1681" s="4">
        <v>62090</v>
      </c>
      <c r="E1681" s="4">
        <v>20210608</v>
      </c>
      <c r="F1681" s="4">
        <v>20210608</v>
      </c>
      <c r="G1681" s="4">
        <v>20240608</v>
      </c>
      <c r="H1681" s="4" t="s">
        <v>1096</v>
      </c>
      <c r="I1681" s="4" t="s">
        <v>10910</v>
      </c>
      <c r="J1681" s="4" t="s">
        <v>2030</v>
      </c>
    </row>
    <row r="1682" spans="1:10" hidden="1">
      <c r="A1682" s="4">
        <v>2.02106291190004E+17</v>
      </c>
      <c r="B1682" s="4">
        <v>3558102023</v>
      </c>
      <c r="C1682" s="4" t="s">
        <v>10909</v>
      </c>
      <c r="D1682" s="4">
        <v>29119</v>
      </c>
      <c r="E1682" s="4">
        <v>20210608</v>
      </c>
      <c r="F1682" s="4">
        <v>20210608</v>
      </c>
      <c r="G1682" s="4">
        <v>20240608</v>
      </c>
      <c r="H1682" s="4" t="s">
        <v>10908</v>
      </c>
      <c r="J1682" s="4" t="s">
        <v>10907</v>
      </c>
    </row>
    <row r="1683" spans="1:10" hidden="1">
      <c r="A1683" s="4">
        <v>2.02106222990004E+17</v>
      </c>
      <c r="B1683" s="4">
        <v>3048801059</v>
      </c>
      <c r="C1683" s="4" t="s">
        <v>10906</v>
      </c>
      <c r="D1683" s="4">
        <v>22299</v>
      </c>
      <c r="E1683" s="4">
        <v>20210608</v>
      </c>
      <c r="F1683" s="4">
        <v>20210608</v>
      </c>
      <c r="G1683" s="4">
        <v>20240608</v>
      </c>
      <c r="H1683" s="4" t="s">
        <v>10905</v>
      </c>
      <c r="J1683" s="4" t="s">
        <v>384</v>
      </c>
    </row>
    <row r="1684" spans="1:10" hidden="1">
      <c r="A1684" s="4">
        <v>2.02106423210004E+17</v>
      </c>
      <c r="B1684" s="4">
        <v>6738700207</v>
      </c>
      <c r="C1684" s="4" t="s">
        <v>10904</v>
      </c>
      <c r="D1684" s="4">
        <v>42321</v>
      </c>
      <c r="E1684" s="4">
        <v>20210608</v>
      </c>
      <c r="F1684" s="4">
        <v>20210608</v>
      </c>
      <c r="G1684" s="4">
        <v>20220730</v>
      </c>
      <c r="H1684" s="4" t="s">
        <v>10903</v>
      </c>
      <c r="I1684" s="4" t="s">
        <v>1064</v>
      </c>
      <c r="J1684" s="4" t="s">
        <v>698</v>
      </c>
    </row>
    <row r="1685" spans="1:10" hidden="1">
      <c r="A1685" s="4">
        <v>2.02106465100004E+17</v>
      </c>
      <c r="B1685" s="4">
        <v>7928702068</v>
      </c>
      <c r="C1685" s="4" t="s">
        <v>10902</v>
      </c>
      <c r="D1685" s="4">
        <v>46510</v>
      </c>
      <c r="E1685" s="4">
        <v>20210608</v>
      </c>
      <c r="F1685" s="4">
        <v>20210608</v>
      </c>
      <c r="G1685" s="4">
        <v>20240608</v>
      </c>
      <c r="H1685" s="4" t="s">
        <v>10901</v>
      </c>
      <c r="I1685" s="4" t="s">
        <v>10900</v>
      </c>
      <c r="J1685" s="4" t="s">
        <v>126</v>
      </c>
    </row>
    <row r="1686" spans="1:10" hidden="1">
      <c r="A1686" s="4">
        <v>2.02106141110004E+17</v>
      </c>
      <c r="B1686" s="4">
        <v>5068600841</v>
      </c>
      <c r="C1686" s="4" t="s">
        <v>10899</v>
      </c>
      <c r="D1686" s="4">
        <v>14111</v>
      </c>
      <c r="E1686" s="4">
        <v>20210608</v>
      </c>
      <c r="F1686" s="4">
        <v>20210608</v>
      </c>
      <c r="G1686" s="4">
        <v>20240608</v>
      </c>
      <c r="H1686" s="4" t="s">
        <v>10898</v>
      </c>
      <c r="I1686" s="4" t="s">
        <v>1553</v>
      </c>
      <c r="J1686" s="4" t="s">
        <v>2462</v>
      </c>
    </row>
    <row r="1687" spans="1:10" hidden="1">
      <c r="A1687" s="4">
        <v>2.02106702010004E+17</v>
      </c>
      <c r="B1687" s="4">
        <v>5448101871</v>
      </c>
      <c r="C1687" s="4" t="s">
        <v>10897</v>
      </c>
      <c r="D1687" s="4">
        <v>70201</v>
      </c>
      <c r="E1687" s="4">
        <v>20210608</v>
      </c>
      <c r="F1687" s="4">
        <v>20210608</v>
      </c>
      <c r="G1687" s="4">
        <v>20240608</v>
      </c>
      <c r="H1687" s="4" t="s">
        <v>10896</v>
      </c>
      <c r="I1687" s="4" t="s">
        <v>10895</v>
      </c>
      <c r="J1687" s="4" t="s">
        <v>1904</v>
      </c>
    </row>
    <row r="1688" spans="1:10" hidden="1">
      <c r="A1688" s="4">
        <v>2.02106291320004E+17</v>
      </c>
      <c r="B1688" s="4">
        <v>2615500546</v>
      </c>
      <c r="C1688" s="4" t="s">
        <v>10894</v>
      </c>
      <c r="D1688" s="4">
        <v>29132</v>
      </c>
      <c r="E1688" s="4">
        <v>20210608</v>
      </c>
      <c r="F1688" s="4">
        <v>20210608</v>
      </c>
      <c r="G1688" s="4">
        <v>20240608</v>
      </c>
      <c r="H1688" s="4" t="s">
        <v>10893</v>
      </c>
      <c r="J1688" s="4" t="s">
        <v>1083</v>
      </c>
    </row>
    <row r="1689" spans="1:10" hidden="1">
      <c r="A1689" s="4">
        <v>2.02106713100004E+17</v>
      </c>
      <c r="B1689" s="4">
        <v>7855500080</v>
      </c>
      <c r="C1689" s="4" t="s">
        <v>10892</v>
      </c>
      <c r="D1689" s="4">
        <v>71310</v>
      </c>
      <c r="E1689" s="4">
        <v>20210608</v>
      </c>
      <c r="F1689" s="4">
        <v>20210608</v>
      </c>
      <c r="G1689" s="4">
        <v>20230406</v>
      </c>
      <c r="H1689" s="4" t="s">
        <v>10891</v>
      </c>
      <c r="I1689" s="4" t="s">
        <v>10890</v>
      </c>
      <c r="J1689" s="4" t="s">
        <v>426</v>
      </c>
    </row>
    <row r="1690" spans="1:10" hidden="1">
      <c r="A1690" s="4">
        <v>2.02106213000004E+17</v>
      </c>
      <c r="B1690" s="4">
        <v>2748701799</v>
      </c>
      <c r="C1690" s="4" t="s">
        <v>10889</v>
      </c>
      <c r="D1690" s="4">
        <v>21300</v>
      </c>
      <c r="E1690" s="4">
        <v>20210608</v>
      </c>
      <c r="F1690" s="4">
        <v>20210608</v>
      </c>
      <c r="G1690" s="4">
        <v>20240608</v>
      </c>
      <c r="H1690" s="4" t="s">
        <v>10888</v>
      </c>
      <c r="I1690" s="4" t="s">
        <v>10887</v>
      </c>
      <c r="J1690" s="4" t="s">
        <v>530</v>
      </c>
    </row>
    <row r="1691" spans="1:10" hidden="1">
      <c r="A1691" s="4">
        <v>2.02106313120004E+17</v>
      </c>
      <c r="B1691" s="4">
        <v>3053891525</v>
      </c>
      <c r="C1691" s="4" t="s">
        <v>10886</v>
      </c>
      <c r="D1691" s="4">
        <v>31312</v>
      </c>
      <c r="E1691" s="4">
        <v>20210608</v>
      </c>
      <c r="F1691" s="4">
        <v>20210608</v>
      </c>
      <c r="G1691" s="4">
        <v>20240608</v>
      </c>
      <c r="H1691" s="4" t="s">
        <v>2220</v>
      </c>
      <c r="I1691" s="4" t="s">
        <v>10885</v>
      </c>
      <c r="J1691" s="4" t="s">
        <v>748</v>
      </c>
    </row>
    <row r="1692" spans="1:10" hidden="1">
      <c r="A1692" s="4">
        <v>2.02106204240004E+17</v>
      </c>
      <c r="B1692" s="4">
        <v>6390301389</v>
      </c>
      <c r="C1692" s="4" t="s">
        <v>10884</v>
      </c>
      <c r="D1692" s="4">
        <v>20424</v>
      </c>
      <c r="E1692" s="4">
        <v>20210608</v>
      </c>
      <c r="F1692" s="4">
        <v>20210608</v>
      </c>
      <c r="G1692" s="4">
        <v>20240608</v>
      </c>
      <c r="H1692" s="4" t="s">
        <v>10883</v>
      </c>
      <c r="I1692" s="4" t="s">
        <v>6735</v>
      </c>
      <c r="J1692" s="4" t="s">
        <v>2964</v>
      </c>
    </row>
    <row r="1693" spans="1:10" hidden="1">
      <c r="A1693" s="4">
        <v>2.02106464410004E+17</v>
      </c>
      <c r="B1693" s="4">
        <v>1436300355</v>
      </c>
      <c r="C1693" s="4" t="s">
        <v>10882</v>
      </c>
      <c r="D1693" s="4">
        <v>46441</v>
      </c>
      <c r="E1693" s="4">
        <v>20210608</v>
      </c>
      <c r="F1693" s="4">
        <v>20210608</v>
      </c>
      <c r="G1693" s="4">
        <v>20240608</v>
      </c>
      <c r="H1693" s="4" t="s">
        <v>10881</v>
      </c>
      <c r="J1693" s="4" t="s">
        <v>9801</v>
      </c>
    </row>
    <row r="1694" spans="1:10" hidden="1">
      <c r="A1694" s="4">
        <v>2.02106478590004E+17</v>
      </c>
      <c r="B1694" s="4">
        <v>2608600590</v>
      </c>
      <c r="C1694" s="4" t="s">
        <v>10880</v>
      </c>
      <c r="D1694" s="4">
        <v>47859</v>
      </c>
      <c r="E1694" s="4">
        <v>20210608</v>
      </c>
      <c r="F1694" s="4">
        <v>20210608</v>
      </c>
      <c r="G1694" s="4">
        <v>20231121</v>
      </c>
      <c r="H1694" s="4" t="s">
        <v>10879</v>
      </c>
      <c r="J1694" s="4" t="s">
        <v>5820</v>
      </c>
    </row>
    <row r="1695" spans="1:10" hidden="1">
      <c r="A1695" s="4">
        <v>2.02106292800004E+17</v>
      </c>
      <c r="B1695" s="4">
        <v>5478802223</v>
      </c>
      <c r="C1695" s="4" t="s">
        <v>10878</v>
      </c>
      <c r="D1695" s="4">
        <v>29280</v>
      </c>
      <c r="E1695" s="4">
        <v>20210608</v>
      </c>
      <c r="F1695" s="4">
        <v>20210608</v>
      </c>
      <c r="G1695" s="4">
        <v>20240608</v>
      </c>
      <c r="H1695" s="4" t="s">
        <v>8975</v>
      </c>
      <c r="I1695" s="4" t="s">
        <v>10877</v>
      </c>
      <c r="J1695" s="4" t="s">
        <v>533</v>
      </c>
    </row>
    <row r="1696" spans="1:10" hidden="1">
      <c r="A1696" s="4">
        <v>2.02106620900004E+17</v>
      </c>
      <c r="B1696" s="4">
        <v>1020891744</v>
      </c>
      <c r="C1696" s="4" t="s">
        <v>10876</v>
      </c>
      <c r="D1696" s="4">
        <v>62090</v>
      </c>
      <c r="E1696" s="4">
        <v>20210608</v>
      </c>
      <c r="F1696" s="4">
        <v>20210608</v>
      </c>
      <c r="G1696" s="4">
        <v>20240608</v>
      </c>
      <c r="H1696" s="4" t="s">
        <v>10875</v>
      </c>
      <c r="I1696" s="4" t="s">
        <v>10874</v>
      </c>
      <c r="J1696" s="4" t="s">
        <v>2030</v>
      </c>
    </row>
    <row r="1697" spans="1:10" hidden="1">
      <c r="A1697" s="4">
        <v>2.02106202020004E+17</v>
      </c>
      <c r="B1697" s="4">
        <v>4421900604</v>
      </c>
      <c r="C1697" s="4" t="s">
        <v>10873</v>
      </c>
      <c r="D1697" s="4">
        <v>20202</v>
      </c>
      <c r="E1697" s="4">
        <v>20210608</v>
      </c>
      <c r="F1697" s="4">
        <v>20210608</v>
      </c>
      <c r="G1697" s="4">
        <v>20240608</v>
      </c>
      <c r="H1697" s="4" t="s">
        <v>10872</v>
      </c>
      <c r="J1697" s="4" t="s">
        <v>224</v>
      </c>
    </row>
    <row r="1698" spans="1:10" hidden="1">
      <c r="A1698" s="4">
        <v>2.02106313120004E+17</v>
      </c>
      <c r="B1698" s="4">
        <v>5828801168</v>
      </c>
      <c r="C1698" s="4" t="s">
        <v>10871</v>
      </c>
      <c r="D1698" s="4">
        <v>31312</v>
      </c>
      <c r="E1698" s="4">
        <v>20210608</v>
      </c>
      <c r="F1698" s="4">
        <v>20210608</v>
      </c>
      <c r="G1698" s="4">
        <v>20240608</v>
      </c>
      <c r="H1698" s="4" t="s">
        <v>8211</v>
      </c>
      <c r="I1698" s="4" t="s">
        <v>10870</v>
      </c>
      <c r="J1698" s="4" t="s">
        <v>748</v>
      </c>
    </row>
    <row r="1699" spans="1:10" hidden="1">
      <c r="A1699" s="4">
        <v>2.02106468000004E+17</v>
      </c>
      <c r="B1699" s="4">
        <v>3550401421</v>
      </c>
      <c r="C1699" s="4" t="s">
        <v>10869</v>
      </c>
      <c r="D1699" s="4">
        <v>46800</v>
      </c>
      <c r="E1699" s="4">
        <v>20210608</v>
      </c>
      <c r="F1699" s="4">
        <v>20210608</v>
      </c>
      <c r="G1699" s="4">
        <v>20240608</v>
      </c>
      <c r="H1699" s="4" t="s">
        <v>10868</v>
      </c>
      <c r="I1699" s="4" t="s">
        <v>4725</v>
      </c>
      <c r="J1699" s="4" t="s">
        <v>979</v>
      </c>
    </row>
    <row r="1700" spans="1:10" hidden="1">
      <c r="A1700" s="4">
        <v>2.02106465920004E+17</v>
      </c>
      <c r="B1700" s="4">
        <v>4284000499</v>
      </c>
      <c r="C1700" s="4" t="s">
        <v>10867</v>
      </c>
      <c r="D1700" s="4">
        <v>46592</v>
      </c>
      <c r="E1700" s="4">
        <v>20210608</v>
      </c>
      <c r="F1700" s="4">
        <v>20210608</v>
      </c>
      <c r="G1700" s="4">
        <v>20240608</v>
      </c>
      <c r="H1700" s="4" t="s">
        <v>10866</v>
      </c>
      <c r="I1700" s="4" t="s">
        <v>91</v>
      </c>
      <c r="J1700" s="4" t="s">
        <v>148</v>
      </c>
    </row>
    <row r="1701" spans="1:10" hidden="1">
      <c r="A1701" s="4">
        <v>2.02106423210004E+17</v>
      </c>
      <c r="B1701" s="4">
        <v>6478101447</v>
      </c>
      <c r="C1701" s="4" t="s">
        <v>10865</v>
      </c>
      <c r="D1701" s="4">
        <v>42321</v>
      </c>
      <c r="E1701" s="4">
        <v>20210608</v>
      </c>
      <c r="F1701" s="4">
        <v>20210608</v>
      </c>
      <c r="G1701" s="4">
        <v>20240608</v>
      </c>
      <c r="H1701" s="4" t="s">
        <v>4162</v>
      </c>
      <c r="I1701" s="4" t="s">
        <v>10864</v>
      </c>
      <c r="J1701" s="4" t="s">
        <v>698</v>
      </c>
    </row>
    <row r="1702" spans="1:10" hidden="1">
      <c r="A1702" s="4">
        <v>2.02106582210004E+17</v>
      </c>
      <c r="B1702" s="4">
        <v>7198101290</v>
      </c>
      <c r="C1702" s="4" t="s">
        <v>10863</v>
      </c>
      <c r="D1702" s="4">
        <v>58221</v>
      </c>
      <c r="E1702" s="4">
        <v>20210608</v>
      </c>
      <c r="F1702" s="4">
        <v>20210608</v>
      </c>
      <c r="G1702" s="4">
        <v>20240608</v>
      </c>
      <c r="H1702" s="4" t="s">
        <v>10862</v>
      </c>
      <c r="I1702" s="4" t="s">
        <v>591</v>
      </c>
      <c r="J1702" s="4" t="s">
        <v>228</v>
      </c>
    </row>
    <row r="1703" spans="1:10" hidden="1">
      <c r="A1703" s="4">
        <v>2.02106701190004E+17</v>
      </c>
      <c r="B1703" s="4">
        <v>4592800958</v>
      </c>
      <c r="C1703" s="4" t="s">
        <v>10861</v>
      </c>
      <c r="D1703" s="4">
        <v>70119</v>
      </c>
      <c r="E1703" s="4">
        <v>20210608</v>
      </c>
      <c r="F1703" s="4">
        <v>20210608</v>
      </c>
      <c r="G1703" s="4">
        <v>20240608</v>
      </c>
      <c r="H1703" s="4" t="s">
        <v>10860</v>
      </c>
      <c r="I1703" s="4" t="s">
        <v>10859</v>
      </c>
      <c r="J1703" s="4" t="s">
        <v>2978</v>
      </c>
    </row>
    <row r="1704" spans="1:10" hidden="1">
      <c r="A1704" s="4">
        <v>2.02106701300004E+17</v>
      </c>
      <c r="B1704" s="4">
        <v>2740201185</v>
      </c>
      <c r="C1704" s="4" t="s">
        <v>10858</v>
      </c>
      <c r="D1704" s="4">
        <v>70130</v>
      </c>
      <c r="E1704" s="4">
        <v>20210608</v>
      </c>
      <c r="F1704" s="4">
        <v>20210608</v>
      </c>
      <c r="G1704" s="4">
        <v>20240608</v>
      </c>
      <c r="H1704" s="4" t="s">
        <v>10857</v>
      </c>
      <c r="J1704" s="4" t="s">
        <v>170</v>
      </c>
    </row>
    <row r="1705" spans="1:10" hidden="1">
      <c r="A1705" s="4">
        <v>2.02106222230004E+17</v>
      </c>
      <c r="B1705" s="4">
        <v>7432401062</v>
      </c>
      <c r="C1705" s="4" t="s">
        <v>10856</v>
      </c>
      <c r="D1705" s="4">
        <v>22223</v>
      </c>
      <c r="E1705" s="4">
        <v>20210608</v>
      </c>
      <c r="F1705" s="4">
        <v>20210608</v>
      </c>
      <c r="G1705" s="4">
        <v>20240608</v>
      </c>
      <c r="H1705" s="4" t="s">
        <v>10855</v>
      </c>
      <c r="I1705" s="4" t="s">
        <v>10854</v>
      </c>
      <c r="J1705" s="4" t="s">
        <v>1618</v>
      </c>
    </row>
    <row r="1706" spans="1:10" hidden="1">
      <c r="A1706" s="4">
        <v>2.02106969120004E+17</v>
      </c>
      <c r="B1706" s="4">
        <v>8182200854</v>
      </c>
      <c r="C1706" s="4" t="s">
        <v>10853</v>
      </c>
      <c r="D1706" s="4">
        <v>96912</v>
      </c>
      <c r="E1706" s="4">
        <v>20210608</v>
      </c>
      <c r="F1706" s="4">
        <v>20210608</v>
      </c>
      <c r="G1706" s="4">
        <v>20240608</v>
      </c>
      <c r="H1706" s="4" t="s">
        <v>10852</v>
      </c>
      <c r="J1706" s="4" t="s">
        <v>10851</v>
      </c>
    </row>
    <row r="1707" spans="1:10" hidden="1">
      <c r="A1707" s="4">
        <v>2.02106292220004E+17</v>
      </c>
      <c r="B1707" s="4">
        <v>2860801856</v>
      </c>
      <c r="C1707" s="4" t="s">
        <v>10850</v>
      </c>
      <c r="D1707" s="4">
        <v>29222</v>
      </c>
      <c r="E1707" s="4">
        <v>20210608</v>
      </c>
      <c r="F1707" s="4">
        <v>20210608</v>
      </c>
      <c r="G1707" s="4">
        <v>20240608</v>
      </c>
      <c r="H1707" s="4" t="s">
        <v>10849</v>
      </c>
      <c r="I1707" s="4" t="s">
        <v>10848</v>
      </c>
      <c r="J1707" s="4" t="s">
        <v>4276</v>
      </c>
    </row>
    <row r="1708" spans="1:10" hidden="1">
      <c r="A1708" s="4">
        <v>2.02106465100004E+17</v>
      </c>
      <c r="B1708" s="4">
        <v>7558702069</v>
      </c>
      <c r="C1708" s="4" t="s">
        <v>10847</v>
      </c>
      <c r="D1708" s="4">
        <v>46510</v>
      </c>
      <c r="E1708" s="4">
        <v>20210608</v>
      </c>
      <c r="F1708" s="4">
        <v>20210608</v>
      </c>
      <c r="G1708" s="4">
        <v>20240608</v>
      </c>
      <c r="H1708" s="4" t="s">
        <v>1825</v>
      </c>
      <c r="I1708" s="4" t="s">
        <v>10846</v>
      </c>
      <c r="J1708" s="4" t="s">
        <v>126</v>
      </c>
    </row>
    <row r="1709" spans="1:10" hidden="1">
      <c r="A1709" s="4">
        <v>2.02106721290004E+17</v>
      </c>
      <c r="B1709" s="4">
        <v>7388601485</v>
      </c>
      <c r="C1709" s="4" t="s">
        <v>10845</v>
      </c>
      <c r="D1709" s="4">
        <v>72129</v>
      </c>
      <c r="E1709" s="4">
        <v>20210608</v>
      </c>
      <c r="F1709" s="4">
        <v>20210608</v>
      </c>
      <c r="G1709" s="4">
        <v>20240608</v>
      </c>
      <c r="H1709" s="4" t="s">
        <v>2108</v>
      </c>
      <c r="I1709" s="4" t="s">
        <v>6385</v>
      </c>
      <c r="J1709" s="4" t="s">
        <v>1679</v>
      </c>
    </row>
    <row r="1710" spans="1:10" hidden="1">
      <c r="A1710" s="4">
        <v>2.02106292500004E+17</v>
      </c>
      <c r="B1710" s="4">
        <v>2242190855</v>
      </c>
      <c r="C1710" s="4" t="s">
        <v>10844</v>
      </c>
      <c r="D1710" s="4">
        <v>29250</v>
      </c>
      <c r="E1710" s="4">
        <v>20210608</v>
      </c>
      <c r="F1710" s="4">
        <v>20210608</v>
      </c>
      <c r="G1710" s="4">
        <v>20240608</v>
      </c>
      <c r="H1710" s="4" t="s">
        <v>8706</v>
      </c>
      <c r="J1710" s="4" t="s">
        <v>3333</v>
      </c>
    </row>
    <row r="1711" spans="1:10" hidden="1">
      <c r="A1711" s="4">
        <v>2.02106271920004E+17</v>
      </c>
      <c r="B1711" s="4">
        <v>4078131509</v>
      </c>
      <c r="C1711" s="4" t="s">
        <v>10843</v>
      </c>
      <c r="D1711" s="4">
        <v>27192</v>
      </c>
      <c r="E1711" s="4">
        <v>20210608</v>
      </c>
      <c r="F1711" s="4">
        <v>20210608</v>
      </c>
      <c r="G1711" s="4">
        <v>20240608</v>
      </c>
      <c r="H1711" s="4" t="s">
        <v>3831</v>
      </c>
      <c r="I1711" s="4" t="s">
        <v>10842</v>
      </c>
      <c r="J1711" s="4" t="s">
        <v>1033</v>
      </c>
    </row>
    <row r="1712" spans="1:10" hidden="1">
      <c r="A1712" s="4">
        <v>2.02106272190004E+17</v>
      </c>
      <c r="B1712" s="4">
        <v>2321401001</v>
      </c>
      <c r="C1712" s="4" t="s">
        <v>10841</v>
      </c>
      <c r="D1712" s="4">
        <v>27219</v>
      </c>
      <c r="E1712" s="4">
        <v>20210608</v>
      </c>
      <c r="F1712" s="4">
        <v>20210608</v>
      </c>
      <c r="G1712" s="4">
        <v>20240608</v>
      </c>
      <c r="H1712" s="4" t="s">
        <v>10840</v>
      </c>
      <c r="I1712" s="4" t="s">
        <v>10839</v>
      </c>
      <c r="J1712" s="4" t="s">
        <v>1454</v>
      </c>
    </row>
    <row r="1713" spans="1:10" hidden="1">
      <c r="A1713" s="4">
        <v>2.02106721110004E+17</v>
      </c>
      <c r="B1713" s="4">
        <v>6526000407</v>
      </c>
      <c r="C1713" s="4" t="s">
        <v>10838</v>
      </c>
      <c r="D1713" s="4">
        <v>72111</v>
      </c>
      <c r="E1713" s="4">
        <v>20210608</v>
      </c>
      <c r="F1713" s="4">
        <v>20210608</v>
      </c>
      <c r="G1713" s="4">
        <v>20240608</v>
      </c>
      <c r="H1713" s="4" t="s">
        <v>10837</v>
      </c>
      <c r="I1713" s="4" t="s">
        <v>142</v>
      </c>
      <c r="J1713" s="4" t="s">
        <v>3461</v>
      </c>
    </row>
    <row r="1714" spans="1:10" hidden="1">
      <c r="A1714" s="4">
        <v>2.02106465100004E+17</v>
      </c>
      <c r="B1714" s="4">
        <v>7651200885</v>
      </c>
      <c r="C1714" s="4" t="s">
        <v>10836</v>
      </c>
      <c r="D1714" s="4">
        <v>46510</v>
      </c>
      <c r="E1714" s="4">
        <v>20210608</v>
      </c>
      <c r="F1714" s="4">
        <v>20210608</v>
      </c>
      <c r="G1714" s="4">
        <v>20240608</v>
      </c>
      <c r="H1714" s="4" t="s">
        <v>10835</v>
      </c>
      <c r="I1714" s="4" t="s">
        <v>10834</v>
      </c>
      <c r="J1714" s="4" t="s">
        <v>126</v>
      </c>
    </row>
    <row r="1715" spans="1:10" hidden="1">
      <c r="A1715" s="4">
        <v>2.02106302010004E+17</v>
      </c>
      <c r="B1715" s="4">
        <v>3158137903</v>
      </c>
      <c r="C1715" s="4" t="s">
        <v>10833</v>
      </c>
      <c r="D1715" s="4">
        <v>30201</v>
      </c>
      <c r="E1715" s="4">
        <v>20210608</v>
      </c>
      <c r="F1715" s="4">
        <v>20210608</v>
      </c>
      <c r="G1715" s="4">
        <v>20240608</v>
      </c>
      <c r="H1715" s="4" t="s">
        <v>10832</v>
      </c>
      <c r="J1715" s="4" t="s">
        <v>1218</v>
      </c>
    </row>
    <row r="1716" spans="1:10" hidden="1">
      <c r="A1716" s="4">
        <v>2.02106465100004E+17</v>
      </c>
      <c r="B1716" s="4">
        <v>5496100393</v>
      </c>
      <c r="C1716" s="4" t="s">
        <v>10831</v>
      </c>
      <c r="D1716" s="4">
        <v>46510</v>
      </c>
      <c r="E1716" s="4">
        <v>20210608</v>
      </c>
      <c r="F1716" s="4">
        <v>20210608</v>
      </c>
      <c r="G1716" s="4">
        <v>20240608</v>
      </c>
      <c r="H1716" s="4" t="s">
        <v>7842</v>
      </c>
      <c r="I1716" s="4" t="s">
        <v>10830</v>
      </c>
      <c r="J1716" s="4" t="s">
        <v>126</v>
      </c>
    </row>
    <row r="1717" spans="1:10" hidden="1">
      <c r="A1717" s="4">
        <v>2.02106139990004E+17</v>
      </c>
      <c r="B1717" s="4">
        <v>3723700459</v>
      </c>
      <c r="C1717" s="4" t="s">
        <v>10829</v>
      </c>
      <c r="D1717" s="4">
        <v>13999</v>
      </c>
      <c r="E1717" s="4">
        <v>20210608</v>
      </c>
      <c r="F1717" s="4">
        <v>20210608</v>
      </c>
      <c r="G1717" s="4">
        <v>20240608</v>
      </c>
      <c r="H1717" s="4" t="s">
        <v>10828</v>
      </c>
      <c r="I1717" s="4" t="s">
        <v>10827</v>
      </c>
      <c r="J1717" s="4" t="s">
        <v>130</v>
      </c>
    </row>
    <row r="1718" spans="1:10" hidden="1">
      <c r="A1718" s="4">
        <v>2.02106582220004E+17</v>
      </c>
      <c r="B1718" s="4">
        <v>6693400648</v>
      </c>
      <c r="C1718" s="4" t="s">
        <v>10826</v>
      </c>
      <c r="D1718" s="4">
        <v>58222</v>
      </c>
      <c r="E1718" s="4">
        <v>20210608</v>
      </c>
      <c r="F1718" s="4">
        <v>20210608</v>
      </c>
      <c r="G1718" s="4">
        <v>20240608</v>
      </c>
      <c r="H1718" s="4" t="s">
        <v>3020</v>
      </c>
      <c r="I1718" s="4" t="s">
        <v>10825</v>
      </c>
      <c r="J1718" s="4" t="s">
        <v>94</v>
      </c>
    </row>
    <row r="1719" spans="1:10" hidden="1">
      <c r="A1719" s="4">
        <v>2.02106143000004E+17</v>
      </c>
      <c r="B1719" s="4">
        <v>7628101197</v>
      </c>
      <c r="C1719" s="4" t="s">
        <v>10824</v>
      </c>
      <c r="D1719" s="4">
        <v>14300</v>
      </c>
      <c r="E1719" s="4">
        <v>20210608</v>
      </c>
      <c r="F1719" s="4">
        <v>20210608</v>
      </c>
      <c r="G1719" s="4">
        <v>20240608</v>
      </c>
      <c r="H1719" s="4" t="s">
        <v>10823</v>
      </c>
      <c r="I1719" s="4" t="s">
        <v>10822</v>
      </c>
      <c r="J1719" s="4" t="s">
        <v>3381</v>
      </c>
    </row>
    <row r="1720" spans="1:10" hidden="1">
      <c r="A1720" s="4">
        <v>2.02106857090004E+17</v>
      </c>
      <c r="B1720" s="4">
        <v>1528102220</v>
      </c>
      <c r="C1720" s="4" t="s">
        <v>10821</v>
      </c>
      <c r="D1720" s="4">
        <v>85709</v>
      </c>
      <c r="E1720" s="4">
        <v>20210608</v>
      </c>
      <c r="F1720" s="4">
        <v>20210608</v>
      </c>
      <c r="G1720" s="4">
        <v>20240608</v>
      </c>
      <c r="H1720" s="4" t="s">
        <v>10820</v>
      </c>
      <c r="I1720" s="4" t="s">
        <v>185</v>
      </c>
      <c r="J1720" s="4" t="s">
        <v>141</v>
      </c>
    </row>
    <row r="1721" spans="1:10" hidden="1">
      <c r="A1721" s="4">
        <v>2.02106732030004E+17</v>
      </c>
      <c r="B1721" s="4">
        <v>7088800913</v>
      </c>
      <c r="C1721" s="4" t="s">
        <v>10819</v>
      </c>
      <c r="D1721" s="4">
        <v>73203</v>
      </c>
      <c r="E1721" s="4">
        <v>20210608</v>
      </c>
      <c r="F1721" s="4">
        <v>20210608</v>
      </c>
      <c r="G1721" s="4">
        <v>20231212</v>
      </c>
      <c r="H1721" s="4" t="s">
        <v>10818</v>
      </c>
      <c r="J1721" s="4" t="s">
        <v>260</v>
      </c>
    </row>
    <row r="1722" spans="1:10" hidden="1">
      <c r="A1722" s="4">
        <v>2.02106421340004E+17</v>
      </c>
      <c r="B1722" s="4">
        <v>2598700942</v>
      </c>
      <c r="C1722" s="4" t="s">
        <v>10817</v>
      </c>
      <c r="D1722" s="4">
        <v>42134</v>
      </c>
      <c r="E1722" s="4">
        <v>20210608</v>
      </c>
      <c r="F1722" s="4">
        <v>20210608</v>
      </c>
      <c r="G1722" s="4">
        <v>20240608</v>
      </c>
      <c r="H1722" s="4" t="s">
        <v>10816</v>
      </c>
      <c r="J1722" s="4" t="s">
        <v>3573</v>
      </c>
    </row>
    <row r="1723" spans="1:10" hidden="1">
      <c r="A1723" s="4">
        <v>2.02106856500004E+17</v>
      </c>
      <c r="B1723" s="4">
        <v>8578100308</v>
      </c>
      <c r="C1723" s="4" t="s">
        <v>10815</v>
      </c>
      <c r="D1723" s="4">
        <v>85650</v>
      </c>
      <c r="E1723" s="4">
        <v>20210608</v>
      </c>
      <c r="F1723" s="4">
        <v>20210608</v>
      </c>
      <c r="G1723" s="4">
        <v>20230614</v>
      </c>
      <c r="H1723" s="4" t="s">
        <v>1142</v>
      </c>
      <c r="I1723" s="4" t="s">
        <v>10814</v>
      </c>
      <c r="J1723" s="4" t="s">
        <v>3107</v>
      </c>
    </row>
    <row r="1724" spans="1:10" hidden="1">
      <c r="A1724" s="4">
        <v>2.02106582220004E+17</v>
      </c>
      <c r="B1724" s="4">
        <v>8238801297</v>
      </c>
      <c r="C1724" s="4" t="s">
        <v>10813</v>
      </c>
      <c r="D1724" s="4">
        <v>58222</v>
      </c>
      <c r="E1724" s="4">
        <v>20210608</v>
      </c>
      <c r="F1724" s="4">
        <v>20210608</v>
      </c>
      <c r="G1724" s="4">
        <v>20240608</v>
      </c>
      <c r="H1724" s="4" t="s">
        <v>10812</v>
      </c>
      <c r="I1724" s="4" t="s">
        <v>10811</v>
      </c>
      <c r="J1724" s="4" t="s">
        <v>94</v>
      </c>
    </row>
    <row r="1725" spans="1:10" hidden="1">
      <c r="A1725" s="4">
        <v>2.02106291740004E+17</v>
      </c>
      <c r="B1725" s="4">
        <v>5698801525</v>
      </c>
      <c r="C1725" s="4" t="s">
        <v>11058</v>
      </c>
      <c r="D1725" s="4">
        <v>29174</v>
      </c>
      <c r="E1725" s="4">
        <v>20210610</v>
      </c>
      <c r="F1725" s="4">
        <v>20210610</v>
      </c>
      <c r="G1725" s="4">
        <v>20240610</v>
      </c>
      <c r="H1725" s="4" t="s">
        <v>11057</v>
      </c>
      <c r="J1725" s="4" t="s">
        <v>877</v>
      </c>
    </row>
    <row r="1726" spans="1:10" hidden="1">
      <c r="A1726" s="4">
        <v>2.02106612100004E+17</v>
      </c>
      <c r="B1726" s="4">
        <v>1118193171</v>
      </c>
      <c r="C1726" s="4" t="s">
        <v>10808</v>
      </c>
      <c r="D1726" s="4">
        <v>61210</v>
      </c>
      <c r="E1726" s="4">
        <v>20210608</v>
      </c>
      <c r="F1726" s="4">
        <v>20210608</v>
      </c>
      <c r="G1726" s="4">
        <v>20240608</v>
      </c>
      <c r="H1726" s="4" t="s">
        <v>10807</v>
      </c>
      <c r="I1726" s="4" t="s">
        <v>10806</v>
      </c>
      <c r="J1726" s="4" t="s">
        <v>10805</v>
      </c>
    </row>
    <row r="1727" spans="1:10" hidden="1">
      <c r="A1727" s="4">
        <v>2.02106713100004E+17</v>
      </c>
      <c r="B1727" s="4">
        <v>8968100429</v>
      </c>
      <c r="C1727" s="4" t="s">
        <v>10804</v>
      </c>
      <c r="D1727" s="4">
        <v>71310</v>
      </c>
      <c r="E1727" s="4">
        <v>20210608</v>
      </c>
      <c r="F1727" s="4">
        <v>20210608</v>
      </c>
      <c r="G1727" s="4">
        <v>20230223</v>
      </c>
      <c r="H1727" s="4" t="s">
        <v>10803</v>
      </c>
      <c r="I1727" s="4" t="s">
        <v>10802</v>
      </c>
      <c r="J1727" s="4" t="s">
        <v>426</v>
      </c>
    </row>
    <row r="1728" spans="1:10" hidden="1">
      <c r="A1728" s="4">
        <v>2.02106259240004E+17</v>
      </c>
      <c r="B1728" s="4">
        <v>5498800707</v>
      </c>
      <c r="C1728" s="4" t="s">
        <v>10801</v>
      </c>
      <c r="D1728" s="4">
        <v>25924</v>
      </c>
      <c r="E1728" s="4">
        <v>20210608</v>
      </c>
      <c r="F1728" s="4">
        <v>20210608</v>
      </c>
      <c r="G1728" s="4">
        <v>20240404</v>
      </c>
      <c r="H1728" s="4" t="s">
        <v>1899</v>
      </c>
      <c r="I1728" s="4" t="s">
        <v>10800</v>
      </c>
      <c r="J1728" s="4" t="s">
        <v>757</v>
      </c>
    </row>
    <row r="1729" spans="1:10" hidden="1">
      <c r="A1729" s="4">
        <v>2.02106103020004E+17</v>
      </c>
      <c r="B1729" s="4">
        <v>4058112826</v>
      </c>
      <c r="C1729" s="4" t="s">
        <v>10799</v>
      </c>
      <c r="D1729" s="4">
        <v>10302</v>
      </c>
      <c r="E1729" s="4">
        <v>20210608</v>
      </c>
      <c r="F1729" s="4">
        <v>20210608</v>
      </c>
      <c r="G1729" s="4">
        <v>20240608</v>
      </c>
      <c r="H1729" s="4" t="s">
        <v>10798</v>
      </c>
      <c r="J1729" s="4" t="s">
        <v>7019</v>
      </c>
    </row>
    <row r="1730" spans="1:10" hidden="1">
      <c r="A1730" s="4">
        <v>2.02106222990004E+17</v>
      </c>
      <c r="B1730" s="4">
        <v>4218601438</v>
      </c>
      <c r="C1730" s="4" t="s">
        <v>11045</v>
      </c>
      <c r="D1730" s="4">
        <v>22299</v>
      </c>
      <c r="E1730" s="4">
        <v>20210609</v>
      </c>
      <c r="F1730" s="4">
        <v>20210609</v>
      </c>
      <c r="G1730" s="4">
        <v>20240609</v>
      </c>
      <c r="H1730" s="4" t="s">
        <v>11044</v>
      </c>
      <c r="J1730" s="4" t="s">
        <v>384</v>
      </c>
    </row>
    <row r="1731" spans="1:10" hidden="1">
      <c r="A1731" s="4">
        <v>2.02106162920004E+17</v>
      </c>
      <c r="B1731" s="4">
        <v>2338702220</v>
      </c>
      <c r="C1731" s="4" t="s">
        <v>10795</v>
      </c>
      <c r="D1731" s="4">
        <v>16292</v>
      </c>
      <c r="E1731" s="4">
        <v>20210608</v>
      </c>
      <c r="F1731" s="4">
        <v>20210608</v>
      </c>
      <c r="G1731" s="4">
        <v>20240608</v>
      </c>
      <c r="H1731" s="4" t="s">
        <v>10794</v>
      </c>
      <c r="I1731" s="4" t="s">
        <v>10793</v>
      </c>
      <c r="J1731" s="4" t="s">
        <v>9108</v>
      </c>
    </row>
    <row r="1732" spans="1:10" hidden="1">
      <c r="A1732" s="4">
        <v>2.02106620900004E+17</v>
      </c>
      <c r="B1732" s="4">
        <v>2898701409</v>
      </c>
      <c r="C1732" s="4" t="s">
        <v>10792</v>
      </c>
      <c r="D1732" s="4">
        <v>62090</v>
      </c>
      <c r="E1732" s="4">
        <v>20210608</v>
      </c>
      <c r="F1732" s="4">
        <v>20210608</v>
      </c>
      <c r="G1732" s="4">
        <v>20240608</v>
      </c>
      <c r="H1732" s="4" t="s">
        <v>10791</v>
      </c>
      <c r="I1732" s="4" t="s">
        <v>10790</v>
      </c>
      <c r="J1732" s="4" t="s">
        <v>2030</v>
      </c>
    </row>
    <row r="1733" spans="1:10" hidden="1">
      <c r="A1733" s="4">
        <v>2.02106582220004E+17</v>
      </c>
      <c r="B1733" s="4">
        <v>8438101399</v>
      </c>
      <c r="C1733" s="4" t="s">
        <v>10789</v>
      </c>
      <c r="D1733" s="4">
        <v>58222</v>
      </c>
      <c r="E1733" s="4">
        <v>20210608</v>
      </c>
      <c r="F1733" s="4">
        <v>20210608</v>
      </c>
      <c r="G1733" s="4">
        <v>20240608</v>
      </c>
      <c r="H1733" s="4" t="s">
        <v>9623</v>
      </c>
      <c r="I1733" s="4" t="s">
        <v>10788</v>
      </c>
      <c r="J1733" s="4" t="s">
        <v>94</v>
      </c>
    </row>
    <row r="1734" spans="1:10" hidden="1">
      <c r="A1734" s="4">
        <v>2.02106715310004E+17</v>
      </c>
      <c r="B1734" s="4">
        <v>3288800342</v>
      </c>
      <c r="C1734" s="4" t="s">
        <v>10787</v>
      </c>
      <c r="D1734" s="4">
        <v>71531</v>
      </c>
      <c r="E1734" s="4">
        <v>20210608</v>
      </c>
      <c r="F1734" s="4">
        <v>20210608</v>
      </c>
      <c r="G1734" s="4">
        <v>20230509</v>
      </c>
      <c r="H1734" s="4" t="s">
        <v>10786</v>
      </c>
      <c r="I1734" s="4" t="s">
        <v>185</v>
      </c>
      <c r="J1734" s="4" t="s">
        <v>87</v>
      </c>
    </row>
    <row r="1735" spans="1:10" hidden="1">
      <c r="A1735" s="4">
        <v>2.02106281110004E+17</v>
      </c>
      <c r="B1735" s="4">
        <v>2958601163</v>
      </c>
      <c r="C1735" s="4" t="s">
        <v>10785</v>
      </c>
      <c r="D1735" s="4">
        <v>28111</v>
      </c>
      <c r="E1735" s="4">
        <v>20210608</v>
      </c>
      <c r="F1735" s="4">
        <v>20210608</v>
      </c>
      <c r="G1735" s="4">
        <v>20240608</v>
      </c>
      <c r="H1735" s="4" t="s">
        <v>10784</v>
      </c>
      <c r="I1735" s="4" t="s">
        <v>10783</v>
      </c>
      <c r="J1735" s="4" t="s">
        <v>1614</v>
      </c>
    </row>
    <row r="1736" spans="1:10">
      <c r="A1736" s="51">
        <v>2.0210418119000198E+17</v>
      </c>
      <c r="B1736" s="51">
        <v>2818802207</v>
      </c>
      <c r="C1736" s="51" t="s">
        <v>7149</v>
      </c>
      <c r="D1736" s="51">
        <v>18119</v>
      </c>
      <c r="E1736" s="51">
        <v>20210421</v>
      </c>
      <c r="F1736" s="51">
        <v>20210421</v>
      </c>
      <c r="G1736" s="51">
        <v>20240421</v>
      </c>
      <c r="H1736" s="51" t="s">
        <v>7148</v>
      </c>
      <c r="I1736" s="51"/>
      <c r="J1736" s="51" t="s">
        <v>707</v>
      </c>
    </row>
    <row r="1737" spans="1:10" hidden="1">
      <c r="A1737" s="4">
        <v>2.02106285190004E+17</v>
      </c>
      <c r="B1737" s="4">
        <v>1448134487</v>
      </c>
      <c r="C1737" s="4" t="s">
        <v>10780</v>
      </c>
      <c r="D1737" s="4">
        <v>28519</v>
      </c>
      <c r="E1737" s="4">
        <v>20210608</v>
      </c>
      <c r="F1737" s="4">
        <v>20210608</v>
      </c>
      <c r="G1737" s="4">
        <v>20220102</v>
      </c>
      <c r="H1737" s="4" t="s">
        <v>8491</v>
      </c>
      <c r="I1737" s="4" t="s">
        <v>10779</v>
      </c>
      <c r="J1737" s="4" t="s">
        <v>1412</v>
      </c>
    </row>
    <row r="1738" spans="1:10" hidden="1">
      <c r="A1738" s="4">
        <v>2.02106465100004E+17</v>
      </c>
      <c r="B1738" s="4">
        <v>3848702187</v>
      </c>
      <c r="C1738" s="4" t="s">
        <v>10778</v>
      </c>
      <c r="D1738" s="4">
        <v>46510</v>
      </c>
      <c r="E1738" s="4">
        <v>20210608</v>
      </c>
      <c r="F1738" s="4">
        <v>20210608</v>
      </c>
      <c r="G1738" s="4">
        <v>20240608</v>
      </c>
      <c r="H1738" s="4" t="s">
        <v>10777</v>
      </c>
      <c r="I1738" s="4" t="s">
        <v>185</v>
      </c>
      <c r="J1738" s="4" t="s">
        <v>126</v>
      </c>
    </row>
    <row r="1739" spans="1:10" hidden="1">
      <c r="A1739" s="4">
        <v>2.02106239990004E+17</v>
      </c>
      <c r="B1739" s="4">
        <v>4658600569</v>
      </c>
      <c r="C1739" s="4" t="s">
        <v>10776</v>
      </c>
      <c r="D1739" s="4">
        <v>23999</v>
      </c>
      <c r="E1739" s="4">
        <v>20210608</v>
      </c>
      <c r="F1739" s="4">
        <v>20210608</v>
      </c>
      <c r="G1739" s="4">
        <v>20231129</v>
      </c>
      <c r="H1739" s="4" t="s">
        <v>10775</v>
      </c>
      <c r="I1739" s="4" t="s">
        <v>10774</v>
      </c>
      <c r="J1739" s="4" t="s">
        <v>1719</v>
      </c>
    </row>
    <row r="1740" spans="1:10" hidden="1">
      <c r="A1740" s="4">
        <v>2.02106701190004E+17</v>
      </c>
      <c r="B1740" s="4">
        <v>6168619496</v>
      </c>
      <c r="C1740" s="4" t="s">
        <v>10773</v>
      </c>
      <c r="D1740" s="4">
        <v>70119</v>
      </c>
      <c r="E1740" s="4">
        <v>20210608</v>
      </c>
      <c r="F1740" s="4">
        <v>20210608</v>
      </c>
      <c r="G1740" s="4">
        <v>20210714</v>
      </c>
      <c r="H1740" s="4" t="s">
        <v>3519</v>
      </c>
      <c r="I1740" s="4" t="s">
        <v>10772</v>
      </c>
      <c r="J1740" s="4" t="s">
        <v>2978</v>
      </c>
    </row>
    <row r="1741" spans="1:10" hidden="1">
      <c r="A1741" s="4">
        <v>2.02106479120004E+17</v>
      </c>
      <c r="B1741" s="4">
        <v>4328600370</v>
      </c>
      <c r="C1741" s="4" t="s">
        <v>10771</v>
      </c>
      <c r="D1741" s="4">
        <v>47912</v>
      </c>
      <c r="E1741" s="4">
        <v>20210608</v>
      </c>
      <c r="F1741" s="4">
        <v>20210608</v>
      </c>
      <c r="G1741" s="4">
        <v>20230422</v>
      </c>
      <c r="H1741" s="4" t="s">
        <v>10770</v>
      </c>
      <c r="I1741" s="4" t="s">
        <v>10769</v>
      </c>
      <c r="J1741" s="4" t="s">
        <v>78</v>
      </c>
    </row>
    <row r="1742" spans="1:10" hidden="1">
      <c r="A1742" s="4">
        <v>2.02106582220004E+17</v>
      </c>
      <c r="B1742" s="4">
        <v>3388601927</v>
      </c>
      <c r="C1742" s="4" t="s">
        <v>10768</v>
      </c>
      <c r="D1742" s="4">
        <v>58222</v>
      </c>
      <c r="E1742" s="4">
        <v>20210608</v>
      </c>
      <c r="F1742" s="4">
        <v>20210608</v>
      </c>
      <c r="G1742" s="4">
        <v>20240608</v>
      </c>
      <c r="H1742" s="4" t="s">
        <v>10767</v>
      </c>
      <c r="I1742" s="4" t="s">
        <v>2467</v>
      </c>
      <c r="J1742" s="4" t="s">
        <v>94</v>
      </c>
    </row>
    <row r="1743" spans="1:10" hidden="1">
      <c r="A1743" s="4">
        <v>2.02106582220004E+17</v>
      </c>
      <c r="B1743" s="4">
        <v>5848600123</v>
      </c>
      <c r="C1743" s="4" t="s">
        <v>10766</v>
      </c>
      <c r="D1743" s="4">
        <v>58222</v>
      </c>
      <c r="E1743" s="4">
        <v>20210608</v>
      </c>
      <c r="F1743" s="4">
        <v>20210608</v>
      </c>
      <c r="G1743" s="4">
        <v>20220619</v>
      </c>
      <c r="H1743" s="4" t="s">
        <v>10765</v>
      </c>
      <c r="I1743" s="4" t="s">
        <v>10764</v>
      </c>
      <c r="J1743" s="4" t="s">
        <v>94</v>
      </c>
    </row>
    <row r="1744" spans="1:10" hidden="1">
      <c r="A1744" s="4">
        <v>2.02106422020004E+17</v>
      </c>
      <c r="B1744" s="4">
        <v>8998601422</v>
      </c>
      <c r="C1744" s="4" t="s">
        <v>10763</v>
      </c>
      <c r="D1744" s="4">
        <v>42202</v>
      </c>
      <c r="E1744" s="4">
        <v>20210608</v>
      </c>
      <c r="F1744" s="4">
        <v>20210608</v>
      </c>
      <c r="G1744" s="4">
        <v>20240608</v>
      </c>
      <c r="H1744" s="4" t="s">
        <v>10762</v>
      </c>
      <c r="I1744" s="4" t="s">
        <v>91</v>
      </c>
      <c r="J1744" s="4" t="s">
        <v>447</v>
      </c>
    </row>
    <row r="1745" spans="1:10" hidden="1">
      <c r="A1745" s="4">
        <v>2.02106292210004E+17</v>
      </c>
      <c r="B1745" s="4">
        <v>5868600172</v>
      </c>
      <c r="C1745" s="4" t="s">
        <v>10761</v>
      </c>
      <c r="D1745" s="4">
        <v>29221</v>
      </c>
      <c r="E1745" s="4">
        <v>20210608</v>
      </c>
      <c r="F1745" s="4">
        <v>20210608</v>
      </c>
      <c r="G1745" s="4">
        <v>20220824</v>
      </c>
      <c r="H1745" s="4" t="s">
        <v>10760</v>
      </c>
      <c r="I1745" s="4" t="s">
        <v>10759</v>
      </c>
      <c r="J1745" s="4" t="s">
        <v>7230</v>
      </c>
    </row>
    <row r="1746" spans="1:10" hidden="1">
      <c r="A1746" s="4">
        <v>2.02106264290004E+17</v>
      </c>
      <c r="B1746" s="4">
        <v>8298101559</v>
      </c>
      <c r="C1746" s="4" t="s">
        <v>10758</v>
      </c>
      <c r="D1746" s="4">
        <v>26429</v>
      </c>
      <c r="E1746" s="4">
        <v>20210608</v>
      </c>
      <c r="F1746" s="4">
        <v>20210608</v>
      </c>
      <c r="G1746" s="4">
        <v>20240608</v>
      </c>
      <c r="H1746" s="4" t="s">
        <v>10757</v>
      </c>
      <c r="I1746" s="4">
        <v>443</v>
      </c>
      <c r="J1746" s="4" t="s">
        <v>422</v>
      </c>
    </row>
    <row r="1747" spans="1:10" hidden="1">
      <c r="A1747" s="4">
        <v>2.02106582220004E+17</v>
      </c>
      <c r="B1747" s="4">
        <v>2608800177</v>
      </c>
      <c r="C1747" s="4" t="s">
        <v>10756</v>
      </c>
      <c r="D1747" s="4">
        <v>58222</v>
      </c>
      <c r="E1747" s="4">
        <v>20210608</v>
      </c>
      <c r="F1747" s="4">
        <v>20210608</v>
      </c>
      <c r="G1747" s="4">
        <v>20221030</v>
      </c>
      <c r="H1747" s="4" t="s">
        <v>4675</v>
      </c>
      <c r="I1747" s="4" t="s">
        <v>10755</v>
      </c>
      <c r="J1747" s="4" t="s">
        <v>94</v>
      </c>
    </row>
    <row r="1748" spans="1:10" hidden="1">
      <c r="A1748" s="4">
        <v>2.02106739090004E+17</v>
      </c>
      <c r="B1748" s="4">
        <v>5158801095</v>
      </c>
      <c r="C1748" s="4" t="s">
        <v>10754</v>
      </c>
      <c r="D1748" s="4">
        <v>73909</v>
      </c>
      <c r="E1748" s="4">
        <v>20210608</v>
      </c>
      <c r="F1748" s="4">
        <v>20210608</v>
      </c>
      <c r="G1748" s="4">
        <v>20240608</v>
      </c>
      <c r="H1748" s="4" t="s">
        <v>10395</v>
      </c>
      <c r="I1748" s="4" t="s">
        <v>10753</v>
      </c>
      <c r="J1748" s="4" t="s">
        <v>293</v>
      </c>
    </row>
    <row r="1749" spans="1:10" hidden="1">
      <c r="A1749" s="4">
        <v>2.02106292290004E+17</v>
      </c>
      <c r="B1749" s="4">
        <v>6038802130</v>
      </c>
      <c r="C1749" s="4" t="s">
        <v>10752</v>
      </c>
      <c r="D1749" s="4">
        <v>29229</v>
      </c>
      <c r="E1749" s="4">
        <v>20210608</v>
      </c>
      <c r="F1749" s="4">
        <v>20210608</v>
      </c>
      <c r="G1749" s="4">
        <v>20240608</v>
      </c>
      <c r="H1749" s="4" t="s">
        <v>10751</v>
      </c>
      <c r="I1749" s="4" t="s">
        <v>149</v>
      </c>
      <c r="J1749" s="4" t="s">
        <v>1137</v>
      </c>
    </row>
    <row r="1750" spans="1:10" hidden="1">
      <c r="A1750" s="4">
        <v>2.02106856990004E+17</v>
      </c>
      <c r="B1750" s="4">
        <v>5848101336</v>
      </c>
      <c r="C1750" s="4" t="s">
        <v>10935</v>
      </c>
      <c r="D1750" s="4">
        <v>85699</v>
      </c>
      <c r="E1750" s="4">
        <v>20210608</v>
      </c>
      <c r="F1750" s="4">
        <v>20210608</v>
      </c>
      <c r="G1750" s="4">
        <v>20240608</v>
      </c>
      <c r="H1750" s="4" t="s">
        <v>10934</v>
      </c>
      <c r="I1750" s="4" t="s">
        <v>91</v>
      </c>
      <c r="J1750" s="4" t="s">
        <v>2192</v>
      </c>
    </row>
    <row r="1751" spans="1:10" hidden="1">
      <c r="A1751" s="4">
        <v>2.02106421100004E+17</v>
      </c>
      <c r="B1751" s="4">
        <v>7748700704</v>
      </c>
      <c r="C1751" s="4" t="s">
        <v>10810</v>
      </c>
      <c r="D1751" s="4">
        <v>42110</v>
      </c>
      <c r="E1751" s="4">
        <v>20210608</v>
      </c>
      <c r="F1751" s="4">
        <v>20210608</v>
      </c>
      <c r="G1751" s="4">
        <v>20240608</v>
      </c>
      <c r="H1751" s="4" t="s">
        <v>10809</v>
      </c>
      <c r="J1751" s="4" t="s">
        <v>8525</v>
      </c>
    </row>
    <row r="1752" spans="1:10" hidden="1">
      <c r="A1752" s="4">
        <v>2.02106284220004E+17</v>
      </c>
      <c r="B1752" s="4">
        <v>6128800382</v>
      </c>
      <c r="C1752" s="4" t="s">
        <v>10745</v>
      </c>
      <c r="D1752" s="4">
        <v>28422</v>
      </c>
      <c r="E1752" s="4">
        <v>20210608</v>
      </c>
      <c r="F1752" s="4">
        <v>20210608</v>
      </c>
      <c r="G1752" s="4">
        <v>20230825</v>
      </c>
      <c r="H1752" s="4" t="s">
        <v>10744</v>
      </c>
      <c r="I1752" s="4" t="s">
        <v>10743</v>
      </c>
      <c r="J1752" s="4" t="s">
        <v>188</v>
      </c>
    </row>
    <row r="1753" spans="1:10" hidden="1">
      <c r="A1753" s="4">
        <v>2.02106582210004E+17</v>
      </c>
      <c r="B1753" s="4">
        <v>4208600886</v>
      </c>
      <c r="C1753" s="4" t="s">
        <v>10742</v>
      </c>
      <c r="D1753" s="4">
        <v>58221</v>
      </c>
      <c r="E1753" s="4">
        <v>20210608</v>
      </c>
      <c r="F1753" s="4">
        <v>20210608</v>
      </c>
      <c r="G1753" s="4">
        <v>20240608</v>
      </c>
      <c r="H1753" s="4" t="s">
        <v>10741</v>
      </c>
      <c r="I1753" s="4" t="s">
        <v>10740</v>
      </c>
      <c r="J1753" s="4" t="s">
        <v>228</v>
      </c>
    </row>
    <row r="1754" spans="1:10" hidden="1">
      <c r="A1754" s="4">
        <v>2.02106639990004E+17</v>
      </c>
      <c r="B1754" s="4">
        <v>1328801963</v>
      </c>
      <c r="C1754" s="4" t="s">
        <v>10739</v>
      </c>
      <c r="D1754" s="4">
        <v>63999</v>
      </c>
      <c r="E1754" s="4">
        <v>20210608</v>
      </c>
      <c r="F1754" s="4">
        <v>20210608</v>
      </c>
      <c r="G1754" s="4">
        <v>20240608</v>
      </c>
      <c r="H1754" s="4" t="s">
        <v>10738</v>
      </c>
      <c r="I1754" s="4" t="s">
        <v>10737</v>
      </c>
      <c r="J1754" s="4" t="s">
        <v>643</v>
      </c>
    </row>
    <row r="1755" spans="1:10" hidden="1">
      <c r="A1755" s="4">
        <v>2.02106213000004E+17</v>
      </c>
      <c r="B1755" s="4">
        <v>6158617888</v>
      </c>
      <c r="C1755" s="4" t="s">
        <v>10797</v>
      </c>
      <c r="D1755" s="4">
        <v>21300</v>
      </c>
      <c r="E1755" s="4">
        <v>20210608</v>
      </c>
      <c r="F1755" s="4">
        <v>20210608</v>
      </c>
      <c r="G1755" s="4">
        <v>20240608</v>
      </c>
      <c r="H1755" s="4" t="s">
        <v>4170</v>
      </c>
      <c r="I1755" s="4" t="s">
        <v>10796</v>
      </c>
      <c r="J1755" s="4" t="s">
        <v>530</v>
      </c>
    </row>
    <row r="1756" spans="1:10" hidden="1">
      <c r="A1756" s="4">
        <v>2.02106334010004E+17</v>
      </c>
      <c r="B1756" s="4">
        <v>4948800315</v>
      </c>
      <c r="C1756" s="4" t="s">
        <v>10734</v>
      </c>
      <c r="D1756" s="4">
        <v>33401</v>
      </c>
      <c r="E1756" s="4">
        <v>20210608</v>
      </c>
      <c r="F1756" s="4">
        <v>20210608</v>
      </c>
      <c r="G1756" s="4">
        <v>20230318</v>
      </c>
      <c r="H1756" s="4" t="s">
        <v>10733</v>
      </c>
      <c r="I1756" s="4" t="s">
        <v>10732</v>
      </c>
      <c r="J1756" s="4" t="s">
        <v>364</v>
      </c>
    </row>
    <row r="1757" spans="1:10" hidden="1">
      <c r="A1757" s="4">
        <v>2.02106303990004E+17</v>
      </c>
      <c r="B1757" s="4">
        <v>2088129385</v>
      </c>
      <c r="C1757" s="4" t="s">
        <v>10731</v>
      </c>
      <c r="D1757" s="4">
        <v>30399</v>
      </c>
      <c r="E1757" s="4">
        <v>20210608</v>
      </c>
      <c r="F1757" s="4">
        <v>20210608</v>
      </c>
      <c r="G1757" s="4">
        <v>20231216</v>
      </c>
      <c r="H1757" s="4" t="s">
        <v>10730</v>
      </c>
      <c r="J1757" s="4" t="s">
        <v>1763</v>
      </c>
    </row>
    <row r="1758" spans="1:10" hidden="1">
      <c r="A1758" s="4">
        <v>2.02106582210004E+17</v>
      </c>
      <c r="B1758" s="4">
        <v>7358700674</v>
      </c>
      <c r="C1758" s="4" t="s">
        <v>10729</v>
      </c>
      <c r="D1758" s="4">
        <v>58221</v>
      </c>
      <c r="E1758" s="4">
        <v>20210608</v>
      </c>
      <c r="F1758" s="4">
        <v>20210608</v>
      </c>
      <c r="G1758" s="4">
        <v>20230701</v>
      </c>
      <c r="H1758" s="4" t="s">
        <v>9831</v>
      </c>
      <c r="I1758" s="4" t="s">
        <v>1611</v>
      </c>
      <c r="J1758" s="4" t="s">
        <v>228</v>
      </c>
    </row>
    <row r="1759" spans="1:10" hidden="1">
      <c r="A1759" s="4">
        <v>2.02106465950004E+17</v>
      </c>
      <c r="B1759" s="4">
        <v>2173900914</v>
      </c>
      <c r="C1759" s="4" t="s">
        <v>10728</v>
      </c>
      <c r="D1759" s="4">
        <v>46595</v>
      </c>
      <c r="E1759" s="4">
        <v>20210608</v>
      </c>
      <c r="F1759" s="4">
        <v>20210608</v>
      </c>
      <c r="G1759" s="4">
        <v>20240608</v>
      </c>
      <c r="H1759" s="4" t="s">
        <v>4970</v>
      </c>
      <c r="I1759" s="4" t="s">
        <v>10727</v>
      </c>
      <c r="J1759" s="4" t="s">
        <v>960</v>
      </c>
    </row>
    <row r="1760" spans="1:10" hidden="1">
      <c r="A1760" s="4">
        <v>2.02106424120004E+17</v>
      </c>
      <c r="B1760" s="4">
        <v>8598100717</v>
      </c>
      <c r="C1760" s="4" t="s">
        <v>10750</v>
      </c>
      <c r="D1760" s="4">
        <v>42412</v>
      </c>
      <c r="E1760" s="4">
        <v>20210608</v>
      </c>
      <c r="F1760" s="4">
        <v>20210608</v>
      </c>
      <c r="G1760" s="4">
        <v>20240608</v>
      </c>
      <c r="H1760" s="4" t="s">
        <v>10749</v>
      </c>
      <c r="I1760" s="4" t="s">
        <v>10748</v>
      </c>
      <c r="J1760" s="4" t="s">
        <v>281</v>
      </c>
    </row>
    <row r="1761" spans="1:10" hidden="1">
      <c r="A1761" s="4">
        <v>2.02106582220004E+17</v>
      </c>
      <c r="B1761" s="4">
        <v>2248167436</v>
      </c>
      <c r="C1761" s="4" t="s">
        <v>10723</v>
      </c>
      <c r="D1761" s="4">
        <v>58222</v>
      </c>
      <c r="E1761" s="4">
        <v>20210608</v>
      </c>
      <c r="F1761" s="4">
        <v>20210608</v>
      </c>
      <c r="G1761" s="4">
        <v>20230830</v>
      </c>
      <c r="H1761" s="4" t="s">
        <v>10722</v>
      </c>
      <c r="I1761" s="4" t="s">
        <v>10721</v>
      </c>
      <c r="J1761" s="4" t="s">
        <v>94</v>
      </c>
    </row>
    <row r="1762" spans="1:10" hidden="1">
      <c r="A1762" s="4">
        <v>2.02106464520004E+17</v>
      </c>
      <c r="B1762" s="4">
        <v>4983300734</v>
      </c>
      <c r="C1762" s="4" t="s">
        <v>10720</v>
      </c>
      <c r="D1762" s="4">
        <v>46452</v>
      </c>
      <c r="E1762" s="4">
        <v>20210608</v>
      </c>
      <c r="F1762" s="4">
        <v>20210608</v>
      </c>
      <c r="G1762" s="4">
        <v>20240608</v>
      </c>
      <c r="H1762" s="4" t="s">
        <v>10719</v>
      </c>
      <c r="I1762" s="4" t="s">
        <v>91</v>
      </c>
      <c r="J1762" s="4" t="s">
        <v>516</v>
      </c>
    </row>
    <row r="1763" spans="1:10" hidden="1">
      <c r="A1763" s="4">
        <v>2.02106132290004E+17</v>
      </c>
      <c r="B1763" s="4">
        <v>5670401612</v>
      </c>
      <c r="C1763" s="4" t="s">
        <v>10718</v>
      </c>
      <c r="D1763" s="4">
        <v>13229</v>
      </c>
      <c r="E1763" s="4">
        <v>20210608</v>
      </c>
      <c r="F1763" s="4">
        <v>20210608</v>
      </c>
      <c r="G1763" s="4">
        <v>20240608</v>
      </c>
      <c r="H1763" s="4" t="s">
        <v>10717</v>
      </c>
      <c r="I1763" s="4" t="s">
        <v>10716</v>
      </c>
      <c r="J1763" s="4" t="s">
        <v>115</v>
      </c>
    </row>
    <row r="1764" spans="1:10" hidden="1">
      <c r="A1764" s="4">
        <v>2.02106465100004E+17</v>
      </c>
      <c r="B1764" s="4">
        <v>3131062196</v>
      </c>
      <c r="C1764" s="4" t="s">
        <v>10715</v>
      </c>
      <c r="D1764" s="4">
        <v>46510</v>
      </c>
      <c r="E1764" s="4">
        <v>20210608</v>
      </c>
      <c r="F1764" s="4">
        <v>20210608</v>
      </c>
      <c r="G1764" s="4">
        <v>20231201</v>
      </c>
      <c r="H1764" s="4" t="s">
        <v>10714</v>
      </c>
      <c r="J1764" s="4" t="s">
        <v>126</v>
      </c>
    </row>
    <row r="1765" spans="1:10" hidden="1">
      <c r="A1765" s="4">
        <v>2.02106464930004E+17</v>
      </c>
      <c r="B1765" s="4">
        <v>5741701357</v>
      </c>
      <c r="C1765" s="4" t="s">
        <v>10713</v>
      </c>
      <c r="D1765" s="4">
        <v>46493</v>
      </c>
      <c r="E1765" s="4">
        <v>20210608</v>
      </c>
      <c r="F1765" s="4">
        <v>20210608</v>
      </c>
      <c r="G1765" s="4">
        <v>20240608</v>
      </c>
      <c r="H1765" s="4" t="s">
        <v>10712</v>
      </c>
      <c r="I1765" s="4" t="s">
        <v>134</v>
      </c>
      <c r="J1765" s="4" t="s">
        <v>10711</v>
      </c>
    </row>
    <row r="1766" spans="1:10" hidden="1">
      <c r="A1766" s="4">
        <v>2.02106203120004E+17</v>
      </c>
      <c r="B1766" s="4">
        <v>8700300017</v>
      </c>
      <c r="C1766" s="4" t="s">
        <v>10709</v>
      </c>
      <c r="D1766" s="4">
        <v>20312</v>
      </c>
      <c r="E1766" s="4">
        <v>20210608</v>
      </c>
      <c r="F1766" s="4">
        <v>20210608</v>
      </c>
      <c r="G1766" s="4">
        <v>20220402</v>
      </c>
      <c r="H1766" s="4" t="s">
        <v>10710</v>
      </c>
      <c r="I1766" s="4" t="s">
        <v>10709</v>
      </c>
      <c r="J1766" s="4" t="s">
        <v>1167</v>
      </c>
    </row>
    <row r="1767" spans="1:10" hidden="1">
      <c r="A1767" s="4">
        <v>2.02106281210004E+17</v>
      </c>
      <c r="B1767" s="4">
        <v>2868601913</v>
      </c>
      <c r="C1767" s="4" t="s">
        <v>10708</v>
      </c>
      <c r="D1767" s="4">
        <v>28121</v>
      </c>
      <c r="E1767" s="4">
        <v>20210608</v>
      </c>
      <c r="F1767" s="4">
        <v>20210608</v>
      </c>
      <c r="G1767" s="4">
        <v>20240608</v>
      </c>
      <c r="H1767" s="4" t="s">
        <v>1486</v>
      </c>
      <c r="J1767" s="4" t="s">
        <v>682</v>
      </c>
    </row>
    <row r="1768" spans="1:10" hidden="1">
      <c r="A1768" s="4">
        <v>2.02106462040004E+17</v>
      </c>
      <c r="B1768" s="4">
        <v>2881800944</v>
      </c>
      <c r="C1768" s="4" t="s">
        <v>10707</v>
      </c>
      <c r="D1768" s="4">
        <v>46204</v>
      </c>
      <c r="E1768" s="4">
        <v>20210608</v>
      </c>
      <c r="F1768" s="4">
        <v>20210608</v>
      </c>
      <c r="G1768" s="4">
        <v>20240608</v>
      </c>
      <c r="H1768" s="4" t="s">
        <v>10706</v>
      </c>
      <c r="I1768" s="4" t="s">
        <v>146</v>
      </c>
      <c r="J1768" s="4" t="s">
        <v>4397</v>
      </c>
    </row>
    <row r="1769" spans="1:10" hidden="1">
      <c r="A1769" s="4">
        <v>2.02106582110004E+17</v>
      </c>
      <c r="B1769" s="4">
        <v>5071700533</v>
      </c>
      <c r="C1769" s="4" t="s">
        <v>10705</v>
      </c>
      <c r="D1769" s="4">
        <v>58211</v>
      </c>
      <c r="E1769" s="4">
        <v>20210608</v>
      </c>
      <c r="F1769" s="4">
        <v>20210608</v>
      </c>
      <c r="G1769" s="4">
        <v>20240608</v>
      </c>
      <c r="H1769" s="4" t="s">
        <v>10704</v>
      </c>
      <c r="J1769" s="4" t="s">
        <v>887</v>
      </c>
    </row>
    <row r="1770" spans="1:10" hidden="1">
      <c r="A1770" s="4">
        <v>2.02106479120004E+17</v>
      </c>
      <c r="B1770" s="4">
        <v>1524200086</v>
      </c>
      <c r="C1770" s="4" t="s">
        <v>10703</v>
      </c>
      <c r="D1770" s="4">
        <v>47912</v>
      </c>
      <c r="E1770" s="4">
        <v>20210608</v>
      </c>
      <c r="F1770" s="4">
        <v>20210608</v>
      </c>
      <c r="G1770" s="4">
        <v>20221125</v>
      </c>
      <c r="H1770" s="4" t="s">
        <v>10702</v>
      </c>
      <c r="J1770" s="4" t="s">
        <v>78</v>
      </c>
    </row>
    <row r="1771" spans="1:10" hidden="1">
      <c r="A1771" s="4">
        <v>2.02106475200004E+17</v>
      </c>
      <c r="B1771" s="4">
        <v>1601200853</v>
      </c>
      <c r="C1771" s="4" t="s">
        <v>10701</v>
      </c>
      <c r="D1771" s="4">
        <v>47520</v>
      </c>
      <c r="E1771" s="4">
        <v>20210608</v>
      </c>
      <c r="F1771" s="4">
        <v>20210608</v>
      </c>
      <c r="G1771" s="4">
        <v>20240608</v>
      </c>
      <c r="H1771" s="4" t="s">
        <v>10700</v>
      </c>
      <c r="J1771" s="4" t="s">
        <v>3387</v>
      </c>
    </row>
    <row r="1772" spans="1:10" hidden="1">
      <c r="A1772" s="4">
        <v>2.02106204230004E+17</v>
      </c>
      <c r="B1772" s="4">
        <v>6871201186</v>
      </c>
      <c r="C1772" s="4" t="s">
        <v>10699</v>
      </c>
      <c r="D1772" s="4">
        <v>20423</v>
      </c>
      <c r="E1772" s="4">
        <v>20210608</v>
      </c>
      <c r="F1772" s="4">
        <v>20210608</v>
      </c>
      <c r="G1772" s="4">
        <v>20240608</v>
      </c>
      <c r="H1772" s="4" t="s">
        <v>10698</v>
      </c>
      <c r="J1772" s="4" t="s">
        <v>368</v>
      </c>
    </row>
    <row r="1773" spans="1:10" hidden="1">
      <c r="A1773" s="4">
        <v>2.02106201320004E+17</v>
      </c>
      <c r="B1773" s="4">
        <v>3731801009</v>
      </c>
      <c r="C1773" s="4" t="s">
        <v>10697</v>
      </c>
      <c r="D1773" s="4">
        <v>20132</v>
      </c>
      <c r="E1773" s="4">
        <v>20210608</v>
      </c>
      <c r="F1773" s="4">
        <v>20210608</v>
      </c>
      <c r="G1773" s="4">
        <v>20240608</v>
      </c>
      <c r="H1773" s="4" t="s">
        <v>2220</v>
      </c>
      <c r="I1773" s="4" t="s">
        <v>10696</v>
      </c>
      <c r="J1773" s="4" t="s">
        <v>10695</v>
      </c>
    </row>
    <row r="1774" spans="1:10" hidden="1">
      <c r="A1774" s="4">
        <v>2.02106232110004E+17</v>
      </c>
      <c r="B1774" s="4">
        <v>7591800806</v>
      </c>
      <c r="C1774" s="4" t="s">
        <v>10694</v>
      </c>
      <c r="D1774" s="4">
        <v>23211</v>
      </c>
      <c r="E1774" s="4">
        <v>20210608</v>
      </c>
      <c r="F1774" s="4">
        <v>20210608</v>
      </c>
      <c r="G1774" s="4">
        <v>20240608</v>
      </c>
      <c r="H1774" s="4" t="s">
        <v>10693</v>
      </c>
      <c r="I1774" s="4" t="s">
        <v>91</v>
      </c>
      <c r="J1774" s="4" t="s">
        <v>9032</v>
      </c>
    </row>
    <row r="1775" spans="1:10" hidden="1">
      <c r="A1775" s="4">
        <v>2.02106721110004E+17</v>
      </c>
      <c r="B1775" s="4">
        <v>2730701547</v>
      </c>
      <c r="C1775" s="4" t="s">
        <v>10692</v>
      </c>
      <c r="D1775" s="4">
        <v>72111</v>
      </c>
      <c r="E1775" s="4">
        <v>20210608</v>
      </c>
      <c r="F1775" s="4">
        <v>20210608</v>
      </c>
      <c r="G1775" s="4">
        <v>20240608</v>
      </c>
      <c r="H1775" s="4" t="s">
        <v>10691</v>
      </c>
      <c r="I1775" s="4" t="s">
        <v>10690</v>
      </c>
      <c r="J1775" s="4" t="s">
        <v>3461</v>
      </c>
    </row>
    <row r="1776" spans="1:10" hidden="1">
      <c r="A1776" s="4">
        <v>2.02106281230004E+17</v>
      </c>
      <c r="B1776" s="4">
        <v>2032367079</v>
      </c>
      <c r="C1776" s="4" t="s">
        <v>10689</v>
      </c>
      <c r="D1776" s="4">
        <v>28123</v>
      </c>
      <c r="E1776" s="4">
        <v>20210608</v>
      </c>
      <c r="F1776" s="4">
        <v>20210608</v>
      </c>
      <c r="G1776" s="4">
        <v>20221203</v>
      </c>
      <c r="H1776" s="4" t="s">
        <v>10688</v>
      </c>
      <c r="I1776" s="4" t="s">
        <v>10687</v>
      </c>
      <c r="J1776" s="4" t="s">
        <v>640</v>
      </c>
    </row>
    <row r="1777" spans="1:10" hidden="1">
      <c r="A1777" s="4">
        <v>2.02106424200004E+17</v>
      </c>
      <c r="B1777" s="4">
        <v>3877200127</v>
      </c>
      <c r="C1777" s="4" t="s">
        <v>10686</v>
      </c>
      <c r="D1777" s="4">
        <v>42420</v>
      </c>
      <c r="E1777" s="4">
        <v>20210608</v>
      </c>
      <c r="F1777" s="4">
        <v>20210608</v>
      </c>
      <c r="G1777" s="4">
        <v>20240301</v>
      </c>
      <c r="H1777" s="4" t="s">
        <v>10685</v>
      </c>
      <c r="I1777" s="4" t="s">
        <v>10684</v>
      </c>
      <c r="J1777" s="4" t="s">
        <v>1649</v>
      </c>
    </row>
    <row r="1778" spans="1:10" hidden="1">
      <c r="A1778" s="4">
        <v>2.02106422010004E+17</v>
      </c>
      <c r="B1778" s="4">
        <v>1098800299</v>
      </c>
      <c r="C1778" s="4" t="s">
        <v>10683</v>
      </c>
      <c r="D1778" s="4">
        <v>42201</v>
      </c>
      <c r="E1778" s="4">
        <v>20210607</v>
      </c>
      <c r="F1778" s="4">
        <v>20210607</v>
      </c>
      <c r="G1778" s="4">
        <v>20230205</v>
      </c>
      <c r="H1778" s="4" t="s">
        <v>10682</v>
      </c>
      <c r="J1778" s="4" t="s">
        <v>1710</v>
      </c>
    </row>
    <row r="1779" spans="1:10" hidden="1">
      <c r="A1779" s="4">
        <v>2.02106701130004E+17</v>
      </c>
      <c r="B1779" s="4">
        <v>1608801240</v>
      </c>
      <c r="C1779" s="4" t="s">
        <v>10681</v>
      </c>
      <c r="D1779" s="4">
        <v>70113</v>
      </c>
      <c r="E1779" s="4">
        <v>20210607</v>
      </c>
      <c r="F1779" s="4">
        <v>20210607</v>
      </c>
      <c r="G1779" s="4">
        <v>20240607</v>
      </c>
      <c r="H1779" s="4" t="s">
        <v>1132</v>
      </c>
      <c r="I1779" s="4" t="s">
        <v>10680</v>
      </c>
      <c r="J1779" s="4" t="s">
        <v>1173</v>
      </c>
    </row>
    <row r="1780" spans="1:10" hidden="1">
      <c r="A1780" s="4">
        <v>2.02106763200004E+17</v>
      </c>
      <c r="B1780" s="4">
        <v>2048800497</v>
      </c>
      <c r="C1780" s="4" t="s">
        <v>10679</v>
      </c>
      <c r="D1780" s="4">
        <v>76320</v>
      </c>
      <c r="E1780" s="4">
        <v>20210607</v>
      </c>
      <c r="F1780" s="4">
        <v>20210607</v>
      </c>
      <c r="G1780" s="4">
        <v>20230804</v>
      </c>
      <c r="H1780" s="4" t="s">
        <v>10678</v>
      </c>
      <c r="I1780" s="4" t="s">
        <v>10677</v>
      </c>
      <c r="J1780" s="4" t="s">
        <v>4673</v>
      </c>
    </row>
    <row r="1781" spans="1:10" hidden="1">
      <c r="A1781" s="4">
        <v>2.02106855030004E+17</v>
      </c>
      <c r="B1781" s="4">
        <v>2758801692</v>
      </c>
      <c r="C1781" s="4" t="s">
        <v>10676</v>
      </c>
      <c r="D1781" s="4">
        <v>85503</v>
      </c>
      <c r="E1781" s="4">
        <v>20210607</v>
      </c>
      <c r="F1781" s="4">
        <v>20210607</v>
      </c>
      <c r="G1781" s="4">
        <v>20240607</v>
      </c>
      <c r="H1781" s="4" t="s">
        <v>1752</v>
      </c>
      <c r="I1781" s="4" t="s">
        <v>10675</v>
      </c>
      <c r="J1781" s="4" t="s">
        <v>4470</v>
      </c>
    </row>
    <row r="1782" spans="1:10" hidden="1">
      <c r="A1782" s="4">
        <v>2.02106292940004E+17</v>
      </c>
      <c r="B1782" s="4">
        <v>4588100872</v>
      </c>
      <c r="C1782" s="4" t="s">
        <v>10674</v>
      </c>
      <c r="D1782" s="4">
        <v>29294</v>
      </c>
      <c r="E1782" s="4">
        <v>20210607</v>
      </c>
      <c r="F1782" s="4">
        <v>20210607</v>
      </c>
      <c r="G1782" s="4">
        <v>20240607</v>
      </c>
      <c r="H1782" s="4" t="s">
        <v>10673</v>
      </c>
      <c r="J1782" s="4" t="s">
        <v>1848</v>
      </c>
    </row>
    <row r="1783" spans="1:10" hidden="1">
      <c r="A1783" s="4">
        <v>2.02106582220004E+17</v>
      </c>
      <c r="B1783" s="4">
        <v>5918701923</v>
      </c>
      <c r="C1783" s="4" t="s">
        <v>10672</v>
      </c>
      <c r="D1783" s="4">
        <v>58222</v>
      </c>
      <c r="E1783" s="4">
        <v>20210607</v>
      </c>
      <c r="F1783" s="4">
        <v>20210607</v>
      </c>
      <c r="G1783" s="4">
        <v>20240607</v>
      </c>
      <c r="H1783" s="4" t="s">
        <v>10671</v>
      </c>
      <c r="I1783" s="4" t="s">
        <v>10670</v>
      </c>
      <c r="J1783" s="4" t="s">
        <v>94</v>
      </c>
    </row>
    <row r="1784" spans="1:10" hidden="1">
      <c r="A1784" s="4">
        <v>2.02106320910004E+17</v>
      </c>
      <c r="B1784" s="4">
        <v>4198701086</v>
      </c>
      <c r="C1784" s="4" t="s">
        <v>10669</v>
      </c>
      <c r="D1784" s="4">
        <v>32091</v>
      </c>
      <c r="E1784" s="4">
        <v>20210607</v>
      </c>
      <c r="F1784" s="4">
        <v>20210607</v>
      </c>
      <c r="G1784" s="4">
        <v>20240607</v>
      </c>
      <c r="H1784" s="4" t="s">
        <v>10668</v>
      </c>
      <c r="J1784" s="4" t="s">
        <v>908</v>
      </c>
    </row>
    <row r="1785" spans="1:10" hidden="1">
      <c r="A1785" s="4">
        <v>2.02106714000004E+17</v>
      </c>
      <c r="B1785" s="4">
        <v>1298800027</v>
      </c>
      <c r="C1785" s="4" t="s">
        <v>10667</v>
      </c>
      <c r="D1785" s="4">
        <v>71400</v>
      </c>
      <c r="E1785" s="4">
        <v>20210607</v>
      </c>
      <c r="F1785" s="4">
        <v>20210607</v>
      </c>
      <c r="G1785" s="4">
        <v>20220217</v>
      </c>
      <c r="H1785" s="4" t="s">
        <v>10666</v>
      </c>
      <c r="I1785" s="4" t="s">
        <v>10665</v>
      </c>
      <c r="J1785" s="4" t="s">
        <v>1629</v>
      </c>
    </row>
    <row r="1786" spans="1:10" hidden="1">
      <c r="A1786" s="4">
        <v>2.02106582220004E+17</v>
      </c>
      <c r="B1786" s="4">
        <v>8928701127</v>
      </c>
      <c r="C1786" s="4" t="s">
        <v>10664</v>
      </c>
      <c r="D1786" s="4">
        <v>58222</v>
      </c>
      <c r="E1786" s="4">
        <v>20210607</v>
      </c>
      <c r="F1786" s="4">
        <v>20210607</v>
      </c>
      <c r="G1786" s="4">
        <v>20240607</v>
      </c>
      <c r="H1786" s="4" t="s">
        <v>10663</v>
      </c>
      <c r="I1786" s="4" t="s">
        <v>91</v>
      </c>
      <c r="J1786" s="4" t="s">
        <v>94</v>
      </c>
    </row>
    <row r="1787" spans="1:10" hidden="1">
      <c r="A1787" s="4">
        <v>2.02106423220004E+17</v>
      </c>
      <c r="B1787" s="4">
        <v>4488100569</v>
      </c>
      <c r="C1787" s="4" t="s">
        <v>10662</v>
      </c>
      <c r="D1787" s="4">
        <v>42322</v>
      </c>
      <c r="E1787" s="4">
        <v>20210607</v>
      </c>
      <c r="F1787" s="4">
        <v>20210607</v>
      </c>
      <c r="G1787" s="4">
        <v>20230905</v>
      </c>
      <c r="H1787" s="4" t="s">
        <v>4421</v>
      </c>
      <c r="I1787" s="4" t="s">
        <v>10661</v>
      </c>
      <c r="J1787" s="4" t="s">
        <v>2524</v>
      </c>
    </row>
    <row r="1788" spans="1:10" hidden="1">
      <c r="A1788" s="4">
        <v>2.02106292720004E+17</v>
      </c>
      <c r="B1788" s="4">
        <v>1428178330</v>
      </c>
      <c r="C1788" s="4" t="s">
        <v>10660</v>
      </c>
      <c r="D1788" s="4">
        <v>29272</v>
      </c>
      <c r="E1788" s="4">
        <v>20210607</v>
      </c>
      <c r="F1788" s="4">
        <v>20210607</v>
      </c>
      <c r="G1788" s="4">
        <v>20211021</v>
      </c>
      <c r="H1788" s="4" t="s">
        <v>10659</v>
      </c>
      <c r="J1788" s="4" t="s">
        <v>1124</v>
      </c>
    </row>
    <row r="1789" spans="1:10" hidden="1">
      <c r="A1789" s="4">
        <v>2.02106423120004E+17</v>
      </c>
      <c r="B1789" s="4">
        <v>7900302024</v>
      </c>
      <c r="C1789" s="4" t="s">
        <v>10658</v>
      </c>
      <c r="D1789" s="4">
        <v>42312</v>
      </c>
      <c r="E1789" s="4">
        <v>20210607</v>
      </c>
      <c r="F1789" s="4">
        <v>20210607</v>
      </c>
      <c r="G1789" s="4">
        <v>20240607</v>
      </c>
      <c r="H1789" s="4" t="s">
        <v>10657</v>
      </c>
      <c r="I1789" s="4" t="s">
        <v>10656</v>
      </c>
      <c r="J1789" s="4" t="s">
        <v>6044</v>
      </c>
    </row>
    <row r="1790" spans="1:10" hidden="1">
      <c r="A1790" s="4">
        <v>2.02106465310004E+17</v>
      </c>
      <c r="B1790" s="4">
        <v>3770501170</v>
      </c>
      <c r="C1790" s="4" t="s">
        <v>10654</v>
      </c>
      <c r="D1790" s="4">
        <v>46531</v>
      </c>
      <c r="E1790" s="4">
        <v>20210607</v>
      </c>
      <c r="F1790" s="4">
        <v>20210607</v>
      </c>
      <c r="G1790" s="4">
        <v>20240607</v>
      </c>
      <c r="H1790" s="4" t="s">
        <v>10655</v>
      </c>
      <c r="I1790" s="4" t="s">
        <v>10654</v>
      </c>
      <c r="J1790" s="4" t="s">
        <v>10653</v>
      </c>
    </row>
    <row r="1791" spans="1:10" hidden="1">
      <c r="A1791" s="4">
        <v>2.02106721110004E+17</v>
      </c>
      <c r="B1791" s="4">
        <v>1800301422</v>
      </c>
      <c r="C1791" s="4" t="s">
        <v>10652</v>
      </c>
      <c r="D1791" s="4">
        <v>72111</v>
      </c>
      <c r="E1791" s="4">
        <v>20210607</v>
      </c>
      <c r="F1791" s="4">
        <v>20210607</v>
      </c>
      <c r="G1791" s="4">
        <v>20240607</v>
      </c>
      <c r="H1791" s="4" t="s">
        <v>10651</v>
      </c>
      <c r="I1791" s="4">
        <v>1210</v>
      </c>
      <c r="J1791" s="4" t="s">
        <v>3461</v>
      </c>
    </row>
    <row r="1792" spans="1:10" hidden="1">
      <c r="A1792" s="4">
        <v>2.02106721110004E+17</v>
      </c>
      <c r="B1792" s="4">
        <v>2315200281</v>
      </c>
      <c r="C1792" s="4" t="s">
        <v>10650</v>
      </c>
      <c r="D1792" s="4">
        <v>72111</v>
      </c>
      <c r="E1792" s="4">
        <v>20210607</v>
      </c>
      <c r="F1792" s="4">
        <v>20210607</v>
      </c>
      <c r="G1792" s="4">
        <v>20240607</v>
      </c>
      <c r="H1792" s="4" t="s">
        <v>10463</v>
      </c>
      <c r="I1792" s="4" t="s">
        <v>91</v>
      </c>
      <c r="J1792" s="4" t="s">
        <v>3461</v>
      </c>
    </row>
    <row r="1793" spans="1:10" hidden="1">
      <c r="A1793" s="4">
        <v>2.02106222990004E+17</v>
      </c>
      <c r="B1793" s="4">
        <v>7288700206</v>
      </c>
      <c r="C1793" s="4" t="s">
        <v>10747</v>
      </c>
      <c r="D1793" s="4">
        <v>22299</v>
      </c>
      <c r="E1793" s="4">
        <v>20210608</v>
      </c>
      <c r="F1793" s="4">
        <v>20210608</v>
      </c>
      <c r="G1793" s="4">
        <v>20221116</v>
      </c>
      <c r="H1793" s="4" t="s">
        <v>10746</v>
      </c>
      <c r="J1793" s="4" t="s">
        <v>384</v>
      </c>
    </row>
    <row r="1794" spans="1:10" hidden="1">
      <c r="A1794" s="4">
        <v>2.02106716000004E+17</v>
      </c>
      <c r="B1794" s="4">
        <v>8032800932</v>
      </c>
      <c r="C1794" s="4" t="s">
        <v>10647</v>
      </c>
      <c r="D1794" s="4">
        <v>71600</v>
      </c>
      <c r="E1794" s="4">
        <v>20210607</v>
      </c>
      <c r="F1794" s="4">
        <v>20210607</v>
      </c>
      <c r="G1794" s="4">
        <v>20240607</v>
      </c>
      <c r="H1794" s="4" t="s">
        <v>10646</v>
      </c>
      <c r="I1794" s="4" t="s">
        <v>10645</v>
      </c>
      <c r="J1794" s="4" t="s">
        <v>1783</v>
      </c>
    </row>
    <row r="1795" spans="1:10" hidden="1">
      <c r="A1795" s="4">
        <v>2.02106742200004E+17</v>
      </c>
      <c r="B1795" s="4">
        <v>7518602056</v>
      </c>
      <c r="C1795" s="4" t="s">
        <v>10644</v>
      </c>
      <c r="D1795" s="4">
        <v>74220</v>
      </c>
      <c r="E1795" s="4">
        <v>20210607</v>
      </c>
      <c r="F1795" s="4">
        <v>20210607</v>
      </c>
      <c r="G1795" s="4">
        <v>20240607</v>
      </c>
      <c r="H1795" s="4" t="s">
        <v>10643</v>
      </c>
      <c r="I1795" s="4" t="s">
        <v>10642</v>
      </c>
      <c r="J1795" s="4" t="s">
        <v>2988</v>
      </c>
    </row>
    <row r="1796" spans="1:10" hidden="1">
      <c r="A1796" s="4">
        <v>2.02106320290004E+17</v>
      </c>
      <c r="B1796" s="4">
        <v>4317400409</v>
      </c>
      <c r="C1796" s="4" t="s">
        <v>10641</v>
      </c>
      <c r="D1796" s="4">
        <v>32029</v>
      </c>
      <c r="E1796" s="4">
        <v>20210607</v>
      </c>
      <c r="F1796" s="4">
        <v>20210607</v>
      </c>
      <c r="G1796" s="4">
        <v>20240607</v>
      </c>
      <c r="H1796" s="4" t="s">
        <v>10640</v>
      </c>
      <c r="I1796" s="4" t="s">
        <v>10639</v>
      </c>
      <c r="J1796" s="4" t="s">
        <v>637</v>
      </c>
    </row>
    <row r="1797" spans="1:10" hidden="1">
      <c r="A1797" s="4">
        <v>2.02106739020004E+17</v>
      </c>
      <c r="B1797" s="4">
        <v>8178700826</v>
      </c>
      <c r="C1797" s="4" t="s">
        <v>10638</v>
      </c>
      <c r="D1797" s="4">
        <v>73902</v>
      </c>
      <c r="E1797" s="4">
        <v>20210607</v>
      </c>
      <c r="F1797" s="4">
        <v>20210607</v>
      </c>
      <c r="G1797" s="4">
        <v>20240607</v>
      </c>
      <c r="H1797" s="4" t="s">
        <v>10633</v>
      </c>
      <c r="I1797" s="4" t="s">
        <v>10637</v>
      </c>
      <c r="J1797" s="4" t="s">
        <v>1540</v>
      </c>
    </row>
    <row r="1798" spans="1:10" hidden="1">
      <c r="A1798" s="4">
        <v>2.02106151290004E+17</v>
      </c>
      <c r="B1798" s="4">
        <v>7090801776</v>
      </c>
      <c r="C1798" s="4" t="s">
        <v>10636</v>
      </c>
      <c r="D1798" s="4">
        <v>15129</v>
      </c>
      <c r="E1798" s="4">
        <v>20210607</v>
      </c>
      <c r="F1798" s="4">
        <v>20210607</v>
      </c>
      <c r="G1798" s="4">
        <v>20240607</v>
      </c>
      <c r="H1798" s="4" t="s">
        <v>96</v>
      </c>
      <c r="I1798" s="4" t="s">
        <v>10635</v>
      </c>
      <c r="J1798" s="4" t="s">
        <v>2024</v>
      </c>
    </row>
    <row r="1799" spans="1:10" hidden="1">
      <c r="A1799" s="4">
        <v>2.02106739020004E+17</v>
      </c>
      <c r="B1799" s="4">
        <v>3548602141</v>
      </c>
      <c r="C1799" s="4" t="s">
        <v>10634</v>
      </c>
      <c r="D1799" s="4">
        <v>73902</v>
      </c>
      <c r="E1799" s="4">
        <v>20210607</v>
      </c>
      <c r="F1799" s="4">
        <v>20210607</v>
      </c>
      <c r="G1799" s="4">
        <v>20240607</v>
      </c>
      <c r="H1799" s="4" t="s">
        <v>10633</v>
      </c>
      <c r="J1799" s="4" t="s">
        <v>1540</v>
      </c>
    </row>
    <row r="1800" spans="1:10" hidden="1">
      <c r="A1800" s="4">
        <v>2.02106284220004E+17</v>
      </c>
      <c r="B1800" s="4">
        <v>8498800534</v>
      </c>
      <c r="C1800" s="4" t="s">
        <v>10632</v>
      </c>
      <c r="D1800" s="4">
        <v>28422</v>
      </c>
      <c r="E1800" s="4">
        <v>20210607</v>
      </c>
      <c r="F1800" s="4">
        <v>20210607</v>
      </c>
      <c r="G1800" s="4">
        <v>20231205</v>
      </c>
      <c r="H1800" s="4" t="s">
        <v>10631</v>
      </c>
      <c r="J1800" s="4" t="s">
        <v>188</v>
      </c>
    </row>
    <row r="1801" spans="1:10" hidden="1">
      <c r="A1801" s="4">
        <v>2.02106265190004E+17</v>
      </c>
      <c r="B1801" s="4">
        <v>4968700478</v>
      </c>
      <c r="C1801" s="4" t="s">
        <v>10630</v>
      </c>
      <c r="D1801" s="4">
        <v>26519</v>
      </c>
      <c r="E1801" s="4">
        <v>20210607</v>
      </c>
      <c r="F1801" s="4">
        <v>20210607</v>
      </c>
      <c r="G1801" s="4">
        <v>20230919</v>
      </c>
      <c r="H1801" s="4" t="s">
        <v>10629</v>
      </c>
      <c r="J1801" s="4" t="s">
        <v>668</v>
      </c>
    </row>
    <row r="1802" spans="1:10" hidden="1">
      <c r="A1802" s="4">
        <v>2.02106467390004E+17</v>
      </c>
      <c r="B1802" s="4">
        <v>2683100920</v>
      </c>
      <c r="C1802" s="4" t="s">
        <v>10628</v>
      </c>
      <c r="D1802" s="4">
        <v>46739</v>
      </c>
      <c r="E1802" s="4">
        <v>20210607</v>
      </c>
      <c r="F1802" s="4">
        <v>20210607</v>
      </c>
      <c r="G1802" s="4">
        <v>20240607</v>
      </c>
      <c r="H1802" s="4" t="s">
        <v>10627</v>
      </c>
      <c r="I1802" s="4" t="s">
        <v>91</v>
      </c>
      <c r="J1802" s="4" t="s">
        <v>2551</v>
      </c>
    </row>
    <row r="1803" spans="1:10" hidden="1">
      <c r="A1803" s="4">
        <v>2.02106303990004E+17</v>
      </c>
      <c r="B1803" s="4">
        <v>3053375082</v>
      </c>
      <c r="C1803" s="4" t="s">
        <v>10626</v>
      </c>
      <c r="D1803" s="4">
        <v>30399</v>
      </c>
      <c r="E1803" s="4">
        <v>20210607</v>
      </c>
      <c r="F1803" s="4">
        <v>20210607</v>
      </c>
      <c r="G1803" s="4">
        <v>20211210</v>
      </c>
      <c r="H1803" s="4" t="s">
        <v>10625</v>
      </c>
      <c r="J1803" s="4" t="s">
        <v>1763</v>
      </c>
    </row>
    <row r="1804" spans="1:10">
      <c r="A1804" s="4">
        <v>2.0210446453000198E+17</v>
      </c>
      <c r="B1804" s="4">
        <v>7645200248</v>
      </c>
      <c r="C1804" s="4" t="s">
        <v>7343</v>
      </c>
      <c r="D1804" s="4">
        <v>46453</v>
      </c>
      <c r="E1804" s="4">
        <v>20210423</v>
      </c>
      <c r="F1804" s="4">
        <v>20210423</v>
      </c>
      <c r="G1804" s="4">
        <v>20231223</v>
      </c>
      <c r="H1804" s="4" t="s">
        <v>7342</v>
      </c>
      <c r="I1804" s="4" t="s">
        <v>7341</v>
      </c>
      <c r="J1804" s="4" t="s">
        <v>816</v>
      </c>
    </row>
    <row r="1805" spans="1:10" hidden="1">
      <c r="A1805" s="4">
        <v>2.02106465390004E+17</v>
      </c>
      <c r="B1805" s="4">
        <v>7300300422</v>
      </c>
      <c r="C1805" s="4" t="s">
        <v>10621</v>
      </c>
      <c r="D1805" s="4">
        <v>46539</v>
      </c>
      <c r="E1805" s="4">
        <v>20210607</v>
      </c>
      <c r="F1805" s="4">
        <v>20210607</v>
      </c>
      <c r="G1805" s="4">
        <v>20230101</v>
      </c>
      <c r="H1805" s="4" t="s">
        <v>1044</v>
      </c>
      <c r="I1805" s="4" t="s">
        <v>10620</v>
      </c>
      <c r="J1805" s="4" t="s">
        <v>3056</v>
      </c>
    </row>
    <row r="1806" spans="1:10" hidden="1">
      <c r="A1806" s="4">
        <v>2.02106479120004E+17</v>
      </c>
      <c r="B1806" s="4">
        <v>2990401311</v>
      </c>
      <c r="C1806" s="4" t="s">
        <v>10619</v>
      </c>
      <c r="D1806" s="4">
        <v>47912</v>
      </c>
      <c r="E1806" s="4">
        <v>20210607</v>
      </c>
      <c r="F1806" s="4">
        <v>20210607</v>
      </c>
      <c r="G1806" s="4">
        <v>20240607</v>
      </c>
      <c r="H1806" s="4" t="s">
        <v>10618</v>
      </c>
      <c r="J1806" s="4" t="s">
        <v>78</v>
      </c>
    </row>
    <row r="1807" spans="1:10" hidden="1">
      <c r="A1807" s="4">
        <v>2.02106467990004E+17</v>
      </c>
      <c r="B1807" s="4">
        <v>7960101577</v>
      </c>
      <c r="C1807" s="4" t="s">
        <v>10617</v>
      </c>
      <c r="D1807" s="4">
        <v>46799</v>
      </c>
      <c r="E1807" s="4">
        <v>20210607</v>
      </c>
      <c r="F1807" s="4">
        <v>20210607</v>
      </c>
      <c r="G1807" s="4">
        <v>20240607</v>
      </c>
      <c r="H1807" s="4" t="s">
        <v>10616</v>
      </c>
      <c r="I1807" s="4" t="s">
        <v>239</v>
      </c>
      <c r="J1807" s="4" t="s">
        <v>2181</v>
      </c>
    </row>
    <row r="1808" spans="1:10" hidden="1">
      <c r="A1808" s="4">
        <v>2.02106620100004E+17</v>
      </c>
      <c r="B1808" s="4">
        <v>4818700710</v>
      </c>
      <c r="C1808" s="4" t="s">
        <v>10615</v>
      </c>
      <c r="D1808" s="4">
        <v>62010</v>
      </c>
      <c r="E1808" s="4">
        <v>20210607</v>
      </c>
      <c r="F1808" s="4">
        <v>20210607</v>
      </c>
      <c r="G1808" s="4">
        <v>20240501</v>
      </c>
      <c r="H1808" s="4" t="s">
        <v>10614</v>
      </c>
      <c r="I1808" s="4" t="s">
        <v>91</v>
      </c>
      <c r="J1808" s="4" t="s">
        <v>118</v>
      </c>
    </row>
    <row r="1809" spans="1:10" hidden="1">
      <c r="A1809" s="4">
        <v>2.02106421100004E+17</v>
      </c>
      <c r="B1809" s="4">
        <v>6378600882</v>
      </c>
      <c r="C1809" s="4" t="s">
        <v>10613</v>
      </c>
      <c r="D1809" s="4">
        <v>42110</v>
      </c>
      <c r="E1809" s="4">
        <v>20210607</v>
      </c>
      <c r="F1809" s="4">
        <v>20210607</v>
      </c>
      <c r="G1809" s="4">
        <v>20240607</v>
      </c>
      <c r="H1809" s="4" t="s">
        <v>10612</v>
      </c>
      <c r="I1809" s="4" t="s">
        <v>185</v>
      </c>
      <c r="J1809" s="4" t="s">
        <v>8525</v>
      </c>
    </row>
    <row r="1810" spans="1:10" hidden="1">
      <c r="A1810" s="4">
        <v>2.02106721290004E+17</v>
      </c>
      <c r="B1810" s="4">
        <v>7927600138</v>
      </c>
      <c r="C1810" s="4" t="s">
        <v>10611</v>
      </c>
      <c r="D1810" s="4">
        <v>72129</v>
      </c>
      <c r="E1810" s="4">
        <v>20210607</v>
      </c>
      <c r="F1810" s="4">
        <v>20210607</v>
      </c>
      <c r="G1810" s="4">
        <v>20240607</v>
      </c>
      <c r="H1810" s="4" t="s">
        <v>10610</v>
      </c>
      <c r="I1810" s="4" t="s">
        <v>10609</v>
      </c>
      <c r="J1810" s="4" t="s">
        <v>1679</v>
      </c>
    </row>
    <row r="1811" spans="1:10" hidden="1">
      <c r="A1811" s="4">
        <v>2.02106221990004E+17</v>
      </c>
      <c r="B1811" s="4">
        <v>8258701020</v>
      </c>
      <c r="C1811" s="4" t="s">
        <v>10735</v>
      </c>
      <c r="D1811" s="4">
        <v>22199</v>
      </c>
      <c r="E1811" s="4">
        <v>20210608</v>
      </c>
      <c r="F1811" s="4">
        <v>20210608</v>
      </c>
      <c r="G1811" s="4">
        <v>20240608</v>
      </c>
      <c r="H1811" s="4" t="s">
        <v>10736</v>
      </c>
      <c r="I1811" s="4" t="s">
        <v>10735</v>
      </c>
      <c r="J1811" s="4" t="s">
        <v>1962</v>
      </c>
    </row>
    <row r="1812" spans="1:10" hidden="1">
      <c r="A1812" s="4">
        <v>2.02106759920004E+17</v>
      </c>
      <c r="B1812" s="4">
        <v>8430600146</v>
      </c>
      <c r="C1812" s="4" t="s">
        <v>10606</v>
      </c>
      <c r="D1812" s="4">
        <v>75992</v>
      </c>
      <c r="E1812" s="4">
        <v>20210607</v>
      </c>
      <c r="F1812" s="4">
        <v>20210607</v>
      </c>
      <c r="G1812" s="4">
        <v>20220801</v>
      </c>
      <c r="H1812" s="4" t="s">
        <v>10605</v>
      </c>
      <c r="I1812" s="4" t="s">
        <v>1553</v>
      </c>
      <c r="J1812" s="4" t="s">
        <v>111</v>
      </c>
    </row>
    <row r="1813" spans="1:10" hidden="1">
      <c r="A1813" s="4">
        <v>2.02106715310004E+17</v>
      </c>
      <c r="B1813" s="4">
        <v>4588701102</v>
      </c>
      <c r="C1813" s="4" t="s">
        <v>10604</v>
      </c>
      <c r="D1813" s="4">
        <v>71531</v>
      </c>
      <c r="E1813" s="4">
        <v>20210607</v>
      </c>
      <c r="F1813" s="4">
        <v>20210607</v>
      </c>
      <c r="G1813" s="4">
        <v>20240607</v>
      </c>
      <c r="H1813" s="4" t="s">
        <v>10603</v>
      </c>
      <c r="I1813" s="4" t="s">
        <v>10602</v>
      </c>
      <c r="J1813" s="4" t="s">
        <v>87</v>
      </c>
    </row>
    <row r="1814" spans="1:10" hidden="1">
      <c r="A1814" s="4">
        <v>2.02106476110004E+17</v>
      </c>
      <c r="B1814" s="4">
        <v>4161820400</v>
      </c>
      <c r="C1814" s="4" t="s">
        <v>10601</v>
      </c>
      <c r="D1814" s="4">
        <v>47611</v>
      </c>
      <c r="E1814" s="4">
        <v>20210607</v>
      </c>
      <c r="F1814" s="4">
        <v>20210607</v>
      </c>
      <c r="G1814" s="4">
        <v>20220101</v>
      </c>
      <c r="H1814" s="4" t="s">
        <v>10600</v>
      </c>
      <c r="J1814" s="4" t="s">
        <v>4252</v>
      </c>
    </row>
    <row r="1815" spans="1:10" hidden="1">
      <c r="A1815" s="4">
        <v>2.02106289030004E+17</v>
      </c>
      <c r="B1815" s="4">
        <v>7638801904</v>
      </c>
      <c r="C1815" s="4" t="s">
        <v>10599</v>
      </c>
      <c r="D1815" s="4">
        <v>28903</v>
      </c>
      <c r="E1815" s="4">
        <v>20210607</v>
      </c>
      <c r="F1815" s="4">
        <v>20210607</v>
      </c>
      <c r="G1815" s="4">
        <v>20240607</v>
      </c>
      <c r="H1815" s="4" t="s">
        <v>6782</v>
      </c>
      <c r="I1815" s="4" t="s">
        <v>10598</v>
      </c>
      <c r="J1815" s="4" t="s">
        <v>460</v>
      </c>
    </row>
    <row r="1816" spans="1:10" hidden="1">
      <c r="A1816" s="4">
        <v>2.02106262950004E+17</v>
      </c>
      <c r="B1816" s="4">
        <v>5170301508</v>
      </c>
      <c r="C1816" s="4" t="s">
        <v>10597</v>
      </c>
      <c r="D1816" s="4">
        <v>26295</v>
      </c>
      <c r="E1816" s="4">
        <v>20210607</v>
      </c>
      <c r="F1816" s="4">
        <v>20210607</v>
      </c>
      <c r="G1816" s="4">
        <v>20240607</v>
      </c>
      <c r="H1816" s="4" t="s">
        <v>10596</v>
      </c>
      <c r="J1816" s="4" t="s">
        <v>174</v>
      </c>
    </row>
    <row r="1817" spans="1:10" hidden="1">
      <c r="A1817" s="4">
        <v>2.02106467110004E+17</v>
      </c>
      <c r="B1817" s="4">
        <v>3711201433</v>
      </c>
      <c r="C1817" s="4" t="s">
        <v>10595</v>
      </c>
      <c r="D1817" s="4">
        <v>46711</v>
      </c>
      <c r="E1817" s="4">
        <v>20210607</v>
      </c>
      <c r="F1817" s="4">
        <v>20210607</v>
      </c>
      <c r="G1817" s="4">
        <v>20240607</v>
      </c>
      <c r="H1817" s="4" t="s">
        <v>10594</v>
      </c>
      <c r="J1817" s="4" t="s">
        <v>10593</v>
      </c>
    </row>
    <row r="1818" spans="1:10" hidden="1">
      <c r="A1818" s="4">
        <v>2.02106281110004E+17</v>
      </c>
      <c r="B1818" s="4">
        <v>5108136396</v>
      </c>
      <c r="C1818" s="4" t="s">
        <v>10592</v>
      </c>
      <c r="D1818" s="4">
        <v>28111</v>
      </c>
      <c r="E1818" s="4">
        <v>20210607</v>
      </c>
      <c r="F1818" s="4">
        <v>20210607</v>
      </c>
      <c r="G1818" s="4">
        <v>20240607</v>
      </c>
      <c r="H1818" s="4" t="s">
        <v>10591</v>
      </c>
      <c r="I1818" s="4" t="s">
        <v>10590</v>
      </c>
      <c r="J1818" s="4" t="s">
        <v>1614</v>
      </c>
    </row>
    <row r="1819" spans="1:10" hidden="1">
      <c r="A1819" s="4">
        <v>2.02106465310004E+17</v>
      </c>
      <c r="B1819" s="4">
        <v>3901400875</v>
      </c>
      <c r="C1819" s="4" t="s">
        <v>10726</v>
      </c>
      <c r="D1819" s="4">
        <v>46531</v>
      </c>
      <c r="E1819" s="4">
        <v>20210608</v>
      </c>
      <c r="F1819" s="4">
        <v>20210608</v>
      </c>
      <c r="G1819" s="4">
        <v>20240608</v>
      </c>
      <c r="H1819" s="4" t="s">
        <v>10725</v>
      </c>
      <c r="I1819" s="4" t="s">
        <v>10724</v>
      </c>
      <c r="J1819" s="4" t="s">
        <v>10653</v>
      </c>
    </row>
    <row r="1820" spans="1:10" hidden="1">
      <c r="A1820" s="4">
        <v>2.02106479120004E+17</v>
      </c>
      <c r="B1820" s="4">
        <v>4491101670</v>
      </c>
      <c r="C1820" s="4" t="s">
        <v>10586</v>
      </c>
      <c r="D1820" s="4">
        <v>47912</v>
      </c>
      <c r="E1820" s="4">
        <v>20210607</v>
      </c>
      <c r="F1820" s="4">
        <v>20210607</v>
      </c>
      <c r="G1820" s="4">
        <v>20240607</v>
      </c>
      <c r="H1820" s="4" t="s">
        <v>10585</v>
      </c>
      <c r="I1820" s="4" t="s">
        <v>185</v>
      </c>
      <c r="J1820" s="4" t="s">
        <v>78</v>
      </c>
    </row>
    <row r="1821" spans="1:10" hidden="1">
      <c r="A1821" s="4">
        <v>2.02106272130004E+17</v>
      </c>
      <c r="B1821" s="4">
        <v>1034300155</v>
      </c>
      <c r="C1821" s="4" t="s">
        <v>10584</v>
      </c>
      <c r="D1821" s="4">
        <v>27213</v>
      </c>
      <c r="E1821" s="4">
        <v>20210607</v>
      </c>
      <c r="F1821" s="4">
        <v>20210607</v>
      </c>
      <c r="G1821" s="4">
        <v>20230218</v>
      </c>
      <c r="H1821" s="4" t="s">
        <v>10583</v>
      </c>
      <c r="J1821" s="4" t="s">
        <v>264</v>
      </c>
    </row>
    <row r="1822" spans="1:10" hidden="1">
      <c r="A1822" s="4">
        <v>2.02106465100004E+17</v>
      </c>
      <c r="B1822" s="4">
        <v>5318800744</v>
      </c>
      <c r="C1822" s="4" t="s">
        <v>10582</v>
      </c>
      <c r="D1822" s="4">
        <v>46510</v>
      </c>
      <c r="E1822" s="4">
        <v>20210607</v>
      </c>
      <c r="F1822" s="4">
        <v>20210607</v>
      </c>
      <c r="G1822" s="4">
        <v>20240607</v>
      </c>
      <c r="H1822" s="4" t="s">
        <v>10581</v>
      </c>
      <c r="I1822" s="4" t="s">
        <v>1908</v>
      </c>
      <c r="J1822" s="4" t="s">
        <v>126</v>
      </c>
    </row>
    <row r="1823" spans="1:10" hidden="1">
      <c r="A1823" s="4">
        <v>2.02106582210004E+17</v>
      </c>
      <c r="B1823" s="4">
        <v>4168700604</v>
      </c>
      <c r="C1823" s="4" t="s">
        <v>10580</v>
      </c>
      <c r="D1823" s="4">
        <v>58221</v>
      </c>
      <c r="E1823" s="4">
        <v>20210607</v>
      </c>
      <c r="F1823" s="4">
        <v>20210607</v>
      </c>
      <c r="G1823" s="4">
        <v>20240102</v>
      </c>
      <c r="H1823" s="4" t="s">
        <v>4687</v>
      </c>
      <c r="I1823" s="4" t="s">
        <v>10579</v>
      </c>
      <c r="J1823" s="4" t="s">
        <v>228</v>
      </c>
    </row>
    <row r="1824" spans="1:10" hidden="1">
      <c r="A1824" s="4">
        <v>2.02106732030004E+17</v>
      </c>
      <c r="B1824" s="4">
        <v>3578801771</v>
      </c>
      <c r="C1824" s="4" t="s">
        <v>10578</v>
      </c>
      <c r="D1824" s="4">
        <v>73203</v>
      </c>
      <c r="E1824" s="4">
        <v>20210607</v>
      </c>
      <c r="F1824" s="4">
        <v>20210607</v>
      </c>
      <c r="G1824" s="4">
        <v>20240607</v>
      </c>
      <c r="H1824" s="4" t="s">
        <v>10577</v>
      </c>
      <c r="I1824" s="4" t="s">
        <v>10576</v>
      </c>
      <c r="J1824" s="4" t="s">
        <v>260</v>
      </c>
    </row>
    <row r="1825" spans="1:10" hidden="1">
      <c r="A1825" s="4">
        <v>2.02106582220004E+17</v>
      </c>
      <c r="B1825" s="4">
        <v>2508101016</v>
      </c>
      <c r="C1825" s="4" t="s">
        <v>10575</v>
      </c>
      <c r="D1825" s="4">
        <v>58222</v>
      </c>
      <c r="E1825" s="4">
        <v>20210607</v>
      </c>
      <c r="F1825" s="4">
        <v>20210607</v>
      </c>
      <c r="G1825" s="4">
        <v>20240607</v>
      </c>
      <c r="H1825" s="4" t="s">
        <v>10574</v>
      </c>
      <c r="I1825" s="4" t="s">
        <v>10573</v>
      </c>
      <c r="J1825" s="4" t="s">
        <v>94</v>
      </c>
    </row>
    <row r="1826" spans="1:10" hidden="1">
      <c r="A1826" s="4">
        <v>2.02106701130004E+17</v>
      </c>
      <c r="B1826" s="4">
        <v>3038800606</v>
      </c>
      <c r="C1826" s="4" t="s">
        <v>10572</v>
      </c>
      <c r="D1826" s="4">
        <v>70113</v>
      </c>
      <c r="E1826" s="4">
        <v>20210607</v>
      </c>
      <c r="F1826" s="4">
        <v>20210607</v>
      </c>
      <c r="G1826" s="4">
        <v>20231124</v>
      </c>
      <c r="H1826" s="4" t="s">
        <v>2956</v>
      </c>
      <c r="I1826" s="4" t="s">
        <v>10571</v>
      </c>
      <c r="J1826" s="4" t="s">
        <v>1173</v>
      </c>
    </row>
    <row r="1827" spans="1:10" hidden="1">
      <c r="A1827" s="4">
        <v>2.02106291310004E+17</v>
      </c>
      <c r="B1827" s="4">
        <v>6918801875</v>
      </c>
      <c r="C1827" s="4" t="s">
        <v>10570</v>
      </c>
      <c r="D1827" s="4">
        <v>29131</v>
      </c>
      <c r="E1827" s="4">
        <v>20210607</v>
      </c>
      <c r="F1827" s="4">
        <v>20210607</v>
      </c>
      <c r="G1827" s="4">
        <v>20240607</v>
      </c>
      <c r="H1827" s="4" t="s">
        <v>10569</v>
      </c>
      <c r="J1827" s="4" t="s">
        <v>4077</v>
      </c>
    </row>
    <row r="1828" spans="1:10" hidden="1">
      <c r="A1828" s="4">
        <v>2.02106020200004E+17</v>
      </c>
      <c r="B1828" s="4">
        <v>7698701069</v>
      </c>
      <c r="C1828" s="4" t="s">
        <v>10568</v>
      </c>
      <c r="D1828" s="4">
        <v>2020</v>
      </c>
      <c r="E1828" s="4">
        <v>20210607</v>
      </c>
      <c r="F1828" s="4">
        <v>20210607</v>
      </c>
      <c r="G1828" s="4">
        <v>20240607</v>
      </c>
      <c r="H1828" s="4" t="s">
        <v>10567</v>
      </c>
      <c r="J1828" s="4" t="s">
        <v>10566</v>
      </c>
    </row>
    <row r="1829" spans="1:10" hidden="1">
      <c r="A1829" s="4">
        <v>2.02106134090004E+17</v>
      </c>
      <c r="B1829" s="4">
        <v>6688802189</v>
      </c>
      <c r="C1829" s="4" t="s">
        <v>10565</v>
      </c>
      <c r="D1829" s="4">
        <v>13409</v>
      </c>
      <c r="E1829" s="4">
        <v>20210607</v>
      </c>
      <c r="F1829" s="4">
        <v>20210607</v>
      </c>
      <c r="G1829" s="4">
        <v>20240607</v>
      </c>
      <c r="H1829" s="4" t="s">
        <v>10564</v>
      </c>
      <c r="I1829" s="4">
        <v>126</v>
      </c>
      <c r="J1829" s="4" t="s">
        <v>3591</v>
      </c>
    </row>
    <row r="1830" spans="1:10" hidden="1">
      <c r="A1830" s="4">
        <v>2.02106729190004E+17</v>
      </c>
      <c r="B1830" s="4">
        <v>3408701266</v>
      </c>
      <c r="C1830" s="4" t="s">
        <v>10563</v>
      </c>
      <c r="D1830" s="4">
        <v>72919</v>
      </c>
      <c r="E1830" s="4">
        <v>20210607</v>
      </c>
      <c r="F1830" s="4">
        <v>20210607</v>
      </c>
      <c r="G1830" s="4">
        <v>20240607</v>
      </c>
      <c r="H1830" s="4" t="s">
        <v>103</v>
      </c>
      <c r="I1830" s="4" t="s">
        <v>10562</v>
      </c>
      <c r="J1830" s="4" t="s">
        <v>6865</v>
      </c>
    </row>
    <row r="1831" spans="1:10" hidden="1">
      <c r="A1831" s="4">
        <v>2.02106702090004E+17</v>
      </c>
      <c r="B1831" s="4">
        <v>1798700326</v>
      </c>
      <c r="C1831" s="4" t="s">
        <v>10649</v>
      </c>
      <c r="D1831" s="4">
        <v>70209</v>
      </c>
      <c r="E1831" s="4">
        <v>20210607</v>
      </c>
      <c r="F1831" s="4">
        <v>20210607</v>
      </c>
      <c r="G1831" s="4">
        <v>20230113</v>
      </c>
      <c r="H1831" s="4" t="s">
        <v>3772</v>
      </c>
      <c r="I1831" s="4" t="s">
        <v>10648</v>
      </c>
      <c r="J1831" s="4" t="s">
        <v>242</v>
      </c>
    </row>
    <row r="1832" spans="1:10" hidden="1">
      <c r="A1832" s="4">
        <v>2.02106639910004E+17</v>
      </c>
      <c r="B1832" s="4">
        <v>6418601328</v>
      </c>
      <c r="C1832" s="4" t="s">
        <v>10559</v>
      </c>
      <c r="D1832" s="4">
        <v>63991</v>
      </c>
      <c r="E1832" s="4">
        <v>20210607</v>
      </c>
      <c r="F1832" s="4">
        <v>20210607</v>
      </c>
      <c r="G1832" s="4">
        <v>20240607</v>
      </c>
      <c r="H1832" s="4" t="s">
        <v>10558</v>
      </c>
      <c r="I1832" s="4" t="s">
        <v>10557</v>
      </c>
      <c r="J1832" s="4" t="s">
        <v>395</v>
      </c>
    </row>
    <row r="1833" spans="1:10" hidden="1">
      <c r="A1833" s="4">
        <v>2.02106251110004E+17</v>
      </c>
      <c r="B1833" s="4">
        <v>1288719394</v>
      </c>
      <c r="C1833" s="4" t="s">
        <v>10556</v>
      </c>
      <c r="D1833" s="4">
        <v>25111</v>
      </c>
      <c r="E1833" s="4">
        <v>20210607</v>
      </c>
      <c r="F1833" s="4">
        <v>20210607</v>
      </c>
      <c r="G1833" s="4">
        <v>20220129</v>
      </c>
      <c r="H1833" s="4" t="s">
        <v>10555</v>
      </c>
      <c r="J1833" s="4" t="s">
        <v>82</v>
      </c>
    </row>
    <row r="1834" spans="1:10" hidden="1">
      <c r="A1834" s="4">
        <v>2.02106264100004E+17</v>
      </c>
      <c r="B1834" s="4">
        <v>8148700943</v>
      </c>
      <c r="C1834" s="4" t="s">
        <v>10554</v>
      </c>
      <c r="D1834" s="4">
        <v>26410</v>
      </c>
      <c r="E1834" s="4">
        <v>20210607</v>
      </c>
      <c r="F1834" s="4">
        <v>20210607</v>
      </c>
      <c r="G1834" s="4">
        <v>20240607</v>
      </c>
      <c r="H1834" s="4" t="s">
        <v>374</v>
      </c>
      <c r="I1834" s="4" t="s">
        <v>10120</v>
      </c>
      <c r="J1834" s="4" t="s">
        <v>1102</v>
      </c>
    </row>
    <row r="1835" spans="1:10">
      <c r="A1835" s="4">
        <v>2.0210646453000499E+17</v>
      </c>
      <c r="B1835" s="4">
        <v>7549600885</v>
      </c>
      <c r="C1835" s="4" t="s">
        <v>13082</v>
      </c>
      <c r="D1835" s="4">
        <v>46453</v>
      </c>
      <c r="E1835" s="4">
        <v>20210628</v>
      </c>
      <c r="F1835" s="4">
        <v>20210628</v>
      </c>
      <c r="G1835" s="4">
        <v>20240628</v>
      </c>
      <c r="H1835" s="4" t="s">
        <v>13081</v>
      </c>
      <c r="I1835" s="4" t="s">
        <v>13080</v>
      </c>
      <c r="J1835" s="4" t="s">
        <v>816</v>
      </c>
    </row>
    <row r="1836" spans="1:10" hidden="1">
      <c r="A1836" s="4">
        <v>2.02106475910004E+17</v>
      </c>
      <c r="B1836" s="4">
        <v>5248102105</v>
      </c>
      <c r="C1836" s="4" t="s">
        <v>10551</v>
      </c>
      <c r="D1836" s="4">
        <v>47591</v>
      </c>
      <c r="E1836" s="4">
        <v>20210607</v>
      </c>
      <c r="F1836" s="4">
        <v>20210607</v>
      </c>
      <c r="G1836" s="4">
        <v>20240607</v>
      </c>
      <c r="H1836" s="4" t="s">
        <v>10550</v>
      </c>
      <c r="J1836" s="4" t="s">
        <v>476</v>
      </c>
    </row>
    <row r="1837" spans="1:10" hidden="1">
      <c r="A1837" s="4">
        <v>2.02106281220004E+17</v>
      </c>
      <c r="B1837" s="4">
        <v>1978101656</v>
      </c>
      <c r="C1837" s="4" t="s">
        <v>10549</v>
      </c>
      <c r="D1837" s="4">
        <v>28122</v>
      </c>
      <c r="E1837" s="4">
        <v>20210607</v>
      </c>
      <c r="F1837" s="4">
        <v>20210607</v>
      </c>
      <c r="G1837" s="4">
        <v>20240607</v>
      </c>
      <c r="H1837" s="4" t="s">
        <v>10548</v>
      </c>
      <c r="I1837" s="4" t="s">
        <v>247</v>
      </c>
      <c r="J1837" s="4" t="s">
        <v>837</v>
      </c>
    </row>
    <row r="1838" spans="1:10" hidden="1">
      <c r="A1838" s="4">
        <v>2.02106582210004E+17</v>
      </c>
      <c r="B1838" s="4">
        <v>5198701557</v>
      </c>
      <c r="C1838" s="4" t="s">
        <v>10547</v>
      </c>
      <c r="D1838" s="4">
        <v>58221</v>
      </c>
      <c r="E1838" s="4">
        <v>20210607</v>
      </c>
      <c r="F1838" s="4">
        <v>20210607</v>
      </c>
      <c r="G1838" s="4">
        <v>20240607</v>
      </c>
      <c r="H1838" s="4" t="s">
        <v>10546</v>
      </c>
      <c r="I1838" s="4" t="s">
        <v>10545</v>
      </c>
      <c r="J1838" s="4" t="s">
        <v>228</v>
      </c>
    </row>
    <row r="1839" spans="1:10" hidden="1">
      <c r="A1839" s="4">
        <v>2.02106582220004E+17</v>
      </c>
      <c r="B1839" s="4">
        <v>8348800100</v>
      </c>
      <c r="C1839" s="4" t="s">
        <v>10544</v>
      </c>
      <c r="D1839" s="4">
        <v>58222</v>
      </c>
      <c r="E1839" s="4">
        <v>20210607</v>
      </c>
      <c r="F1839" s="4">
        <v>20210607</v>
      </c>
      <c r="G1839" s="4">
        <v>20220512</v>
      </c>
      <c r="H1839" s="4" t="s">
        <v>4096</v>
      </c>
      <c r="I1839" s="4" t="s">
        <v>10543</v>
      </c>
      <c r="J1839" s="4" t="s">
        <v>94</v>
      </c>
    </row>
    <row r="1840" spans="1:10" hidden="1">
      <c r="A1840" s="4">
        <v>2.02106591140004E+17</v>
      </c>
      <c r="B1840" s="4">
        <v>5378701967</v>
      </c>
      <c r="C1840" s="4" t="s">
        <v>10541</v>
      </c>
      <c r="D1840" s="4">
        <v>59114</v>
      </c>
      <c r="E1840" s="4">
        <v>20210607</v>
      </c>
      <c r="F1840" s="4">
        <v>20210607</v>
      </c>
      <c r="G1840" s="4">
        <v>20240607</v>
      </c>
      <c r="H1840" s="4" t="s">
        <v>10542</v>
      </c>
      <c r="I1840" s="4" t="s">
        <v>10541</v>
      </c>
      <c r="J1840" s="4" t="s">
        <v>9971</v>
      </c>
    </row>
    <row r="1841" spans="1:10" hidden="1">
      <c r="A1841" s="4">
        <v>2.02106713100004E+17</v>
      </c>
      <c r="B1841" s="4">
        <v>5278600343</v>
      </c>
      <c r="C1841" s="4" t="s">
        <v>10540</v>
      </c>
      <c r="D1841" s="4">
        <v>71310</v>
      </c>
      <c r="E1841" s="4">
        <v>20210607</v>
      </c>
      <c r="F1841" s="4">
        <v>20210607</v>
      </c>
      <c r="G1841" s="4">
        <v>20230406</v>
      </c>
      <c r="H1841" s="4" t="s">
        <v>10539</v>
      </c>
      <c r="I1841" s="4" t="s">
        <v>10538</v>
      </c>
      <c r="J1841" s="4" t="s">
        <v>426</v>
      </c>
    </row>
    <row r="1842" spans="1:10" hidden="1">
      <c r="A1842" s="4">
        <v>2.02106582210004E+17</v>
      </c>
      <c r="B1842" s="4">
        <v>6828100193</v>
      </c>
      <c r="C1842" s="4" t="s">
        <v>10537</v>
      </c>
      <c r="D1842" s="4">
        <v>58221</v>
      </c>
      <c r="E1842" s="4">
        <v>20210607</v>
      </c>
      <c r="F1842" s="4">
        <v>20210607</v>
      </c>
      <c r="G1842" s="4">
        <v>20220812</v>
      </c>
      <c r="H1842" s="4" t="s">
        <v>8850</v>
      </c>
      <c r="I1842" s="4" t="s">
        <v>10536</v>
      </c>
      <c r="J1842" s="4" t="s">
        <v>228</v>
      </c>
    </row>
    <row r="1843" spans="1:10" hidden="1">
      <c r="A1843" s="4">
        <v>2.02106591200004E+17</v>
      </c>
      <c r="B1843" s="4">
        <v>5018701653</v>
      </c>
      <c r="C1843" s="4" t="s">
        <v>10535</v>
      </c>
      <c r="D1843" s="4">
        <v>59120</v>
      </c>
      <c r="E1843" s="4">
        <v>20210607</v>
      </c>
      <c r="F1843" s="4">
        <v>20210607</v>
      </c>
      <c r="G1843" s="4">
        <v>20240607</v>
      </c>
      <c r="H1843" s="4" t="s">
        <v>10534</v>
      </c>
      <c r="I1843" s="4" t="s">
        <v>10533</v>
      </c>
      <c r="J1843" s="4" t="s">
        <v>2961</v>
      </c>
    </row>
    <row r="1844" spans="1:10" hidden="1">
      <c r="A1844" s="4">
        <v>2.02106702090004E+17</v>
      </c>
      <c r="B1844" s="4">
        <v>3618700283</v>
      </c>
      <c r="C1844" s="4" t="s">
        <v>10532</v>
      </c>
      <c r="D1844" s="4">
        <v>70209</v>
      </c>
      <c r="E1844" s="4">
        <v>20210607</v>
      </c>
      <c r="F1844" s="4">
        <v>20210607</v>
      </c>
      <c r="G1844" s="4">
        <v>20230112</v>
      </c>
      <c r="H1844" s="4" t="s">
        <v>10531</v>
      </c>
      <c r="I1844" s="4" t="s">
        <v>10530</v>
      </c>
      <c r="J1844" s="4" t="s">
        <v>242</v>
      </c>
    </row>
    <row r="1845" spans="1:10" hidden="1">
      <c r="A1845" s="4">
        <v>2.02106465330004E+17</v>
      </c>
      <c r="B1845" s="4">
        <v>1530301906</v>
      </c>
      <c r="C1845" s="4" t="s">
        <v>10529</v>
      </c>
      <c r="D1845" s="4">
        <v>46533</v>
      </c>
      <c r="E1845" s="4">
        <v>20210607</v>
      </c>
      <c r="F1845" s="4">
        <v>20210607</v>
      </c>
      <c r="G1845" s="4">
        <v>20240607</v>
      </c>
      <c r="H1845" s="4" t="s">
        <v>1938</v>
      </c>
      <c r="I1845" s="4" t="s">
        <v>10528</v>
      </c>
      <c r="J1845" s="4" t="s">
        <v>8837</v>
      </c>
    </row>
    <row r="1846" spans="1:10" hidden="1">
      <c r="A1846" s="4">
        <v>2.02106721220004E+17</v>
      </c>
      <c r="B1846" s="4">
        <v>5671001501</v>
      </c>
      <c r="C1846" s="4" t="s">
        <v>10527</v>
      </c>
      <c r="D1846" s="4">
        <v>72122</v>
      </c>
      <c r="E1846" s="4">
        <v>20210607</v>
      </c>
      <c r="F1846" s="4">
        <v>20210607</v>
      </c>
      <c r="G1846" s="4">
        <v>20240607</v>
      </c>
      <c r="H1846" s="4" t="s">
        <v>10526</v>
      </c>
      <c r="I1846" s="4" t="s">
        <v>1177</v>
      </c>
      <c r="J1846" s="4" t="s">
        <v>2484</v>
      </c>
    </row>
    <row r="1847" spans="1:10" hidden="1">
      <c r="A1847" s="4">
        <v>2.02106739090004E+17</v>
      </c>
      <c r="B1847" s="4">
        <v>5550102335</v>
      </c>
      <c r="C1847" s="4" t="s">
        <v>10525</v>
      </c>
      <c r="D1847" s="4">
        <v>73909</v>
      </c>
      <c r="E1847" s="4">
        <v>20210607</v>
      </c>
      <c r="F1847" s="4">
        <v>20210607</v>
      </c>
      <c r="G1847" s="4">
        <v>20240607</v>
      </c>
      <c r="H1847" s="4" t="s">
        <v>1236</v>
      </c>
      <c r="J1847" s="4" t="s">
        <v>293</v>
      </c>
    </row>
    <row r="1848" spans="1:10" hidden="1">
      <c r="A1848" s="4">
        <v>2.02106411210004E+17</v>
      </c>
      <c r="B1848" s="4">
        <v>8141101724</v>
      </c>
      <c r="C1848" s="4" t="s">
        <v>10524</v>
      </c>
      <c r="D1848" s="4">
        <v>41121</v>
      </c>
      <c r="E1848" s="4">
        <v>20210607</v>
      </c>
      <c r="F1848" s="4">
        <v>20210607</v>
      </c>
      <c r="G1848" s="4">
        <v>20240607</v>
      </c>
      <c r="H1848" s="4" t="s">
        <v>230</v>
      </c>
      <c r="I1848" s="4" t="s">
        <v>10523</v>
      </c>
      <c r="J1848" s="4" t="s">
        <v>2302</v>
      </c>
    </row>
    <row r="1849" spans="1:10" hidden="1">
      <c r="A1849" s="4">
        <v>2.02106424200004E+17</v>
      </c>
      <c r="B1849" s="4">
        <v>7168100313</v>
      </c>
      <c r="C1849" s="4" t="s">
        <v>10522</v>
      </c>
      <c r="D1849" s="4">
        <v>42420</v>
      </c>
      <c r="E1849" s="4">
        <v>20210607</v>
      </c>
      <c r="F1849" s="4">
        <v>20210607</v>
      </c>
      <c r="G1849" s="4">
        <v>20230309</v>
      </c>
      <c r="H1849" s="4" t="s">
        <v>10521</v>
      </c>
      <c r="I1849" s="4" t="s">
        <v>149</v>
      </c>
      <c r="J1849" s="4" t="s">
        <v>1649</v>
      </c>
    </row>
    <row r="1850" spans="1:10" hidden="1">
      <c r="A1850" s="4">
        <v>2.02106739090004E+17</v>
      </c>
      <c r="B1850" s="4">
        <v>7800701104</v>
      </c>
      <c r="C1850" s="4" t="s">
        <v>10520</v>
      </c>
      <c r="D1850" s="4">
        <v>73909</v>
      </c>
      <c r="E1850" s="4">
        <v>20210607</v>
      </c>
      <c r="F1850" s="4">
        <v>20210607</v>
      </c>
      <c r="G1850" s="4">
        <v>20240607</v>
      </c>
      <c r="H1850" s="4" t="s">
        <v>10519</v>
      </c>
      <c r="I1850" s="4" t="s">
        <v>9253</v>
      </c>
      <c r="J1850" s="4" t="s">
        <v>293</v>
      </c>
    </row>
    <row r="1851" spans="1:10" hidden="1">
      <c r="A1851" s="4">
        <v>2.02106232220004E+17</v>
      </c>
      <c r="B1851" s="4">
        <v>4328700872</v>
      </c>
      <c r="C1851" s="4" t="s">
        <v>10518</v>
      </c>
      <c r="D1851" s="4">
        <v>23222</v>
      </c>
      <c r="E1851" s="4">
        <v>20210604</v>
      </c>
      <c r="F1851" s="4">
        <v>20210604</v>
      </c>
      <c r="G1851" s="4">
        <v>20240604</v>
      </c>
      <c r="H1851" s="4" t="s">
        <v>10517</v>
      </c>
      <c r="J1851" s="4" t="s">
        <v>8811</v>
      </c>
    </row>
    <row r="1852" spans="1:10" hidden="1">
      <c r="A1852" s="4">
        <v>2.02106620100004E+17</v>
      </c>
      <c r="B1852" s="4">
        <v>7898100776</v>
      </c>
      <c r="C1852" s="4" t="s">
        <v>10516</v>
      </c>
      <c r="D1852" s="4">
        <v>62010</v>
      </c>
      <c r="E1852" s="4">
        <v>20210604</v>
      </c>
      <c r="F1852" s="4">
        <v>20210604</v>
      </c>
      <c r="G1852" s="4">
        <v>20240526</v>
      </c>
      <c r="H1852" s="4" t="s">
        <v>1096</v>
      </c>
      <c r="I1852" s="4" t="s">
        <v>10515</v>
      </c>
      <c r="J1852" s="4" t="s">
        <v>118</v>
      </c>
    </row>
    <row r="1853" spans="1:10" hidden="1">
      <c r="A1853" s="4">
        <v>2.02106702090004E+17</v>
      </c>
      <c r="B1853" s="4">
        <v>6828600640</v>
      </c>
      <c r="C1853" s="4" t="s">
        <v>10514</v>
      </c>
      <c r="D1853" s="4">
        <v>70209</v>
      </c>
      <c r="E1853" s="4">
        <v>20210604</v>
      </c>
      <c r="F1853" s="4">
        <v>20210604</v>
      </c>
      <c r="G1853" s="4">
        <v>20231226</v>
      </c>
      <c r="H1853" s="4" t="s">
        <v>10513</v>
      </c>
      <c r="I1853" s="4" t="s">
        <v>10512</v>
      </c>
      <c r="J1853" s="4" t="s">
        <v>242</v>
      </c>
    </row>
    <row r="1854" spans="1:10" hidden="1">
      <c r="A1854" s="4">
        <v>2.02106582210004E+17</v>
      </c>
      <c r="B1854" s="4">
        <v>2298140617</v>
      </c>
      <c r="C1854" s="4" t="s">
        <v>10511</v>
      </c>
      <c r="D1854" s="4">
        <v>58221</v>
      </c>
      <c r="E1854" s="4">
        <v>20210604</v>
      </c>
      <c r="F1854" s="4">
        <v>20210604</v>
      </c>
      <c r="G1854" s="4">
        <v>20230511</v>
      </c>
      <c r="H1854" s="4" t="s">
        <v>10510</v>
      </c>
      <c r="I1854" s="4" t="s">
        <v>10509</v>
      </c>
      <c r="J1854" s="4" t="s">
        <v>228</v>
      </c>
    </row>
    <row r="1855" spans="1:10" hidden="1">
      <c r="A1855" s="4">
        <v>2.02106612990004E+17</v>
      </c>
      <c r="B1855" s="4">
        <v>4028610877</v>
      </c>
      <c r="C1855" s="4" t="s">
        <v>10508</v>
      </c>
      <c r="D1855" s="4">
        <v>61299</v>
      </c>
      <c r="E1855" s="4">
        <v>20210604</v>
      </c>
      <c r="F1855" s="4">
        <v>20210604</v>
      </c>
      <c r="G1855" s="4">
        <v>20210814</v>
      </c>
      <c r="H1855" s="4" t="s">
        <v>10507</v>
      </c>
      <c r="I1855" s="4" t="s">
        <v>10506</v>
      </c>
      <c r="J1855" s="4" t="s">
        <v>1501</v>
      </c>
    </row>
    <row r="1856" spans="1:10" hidden="1">
      <c r="A1856" s="4">
        <v>2.02106582220004E+17</v>
      </c>
      <c r="B1856" s="4">
        <v>3918700756</v>
      </c>
      <c r="C1856" s="4" t="s">
        <v>10505</v>
      </c>
      <c r="D1856" s="4">
        <v>58222</v>
      </c>
      <c r="E1856" s="4">
        <v>20210604</v>
      </c>
      <c r="F1856" s="4">
        <v>20210604</v>
      </c>
      <c r="G1856" s="4">
        <v>20240604</v>
      </c>
      <c r="H1856" s="4" t="s">
        <v>1154</v>
      </c>
      <c r="I1856" s="4" t="s">
        <v>10504</v>
      </c>
      <c r="J1856" s="4" t="s">
        <v>94</v>
      </c>
    </row>
    <row r="1857" spans="1:10" hidden="1">
      <c r="A1857" s="4">
        <v>2.02106239990004E+17</v>
      </c>
      <c r="B1857" s="4">
        <v>6718101945</v>
      </c>
      <c r="C1857" s="4" t="s">
        <v>10503</v>
      </c>
      <c r="D1857" s="4">
        <v>23999</v>
      </c>
      <c r="E1857" s="4">
        <v>20210604</v>
      </c>
      <c r="F1857" s="4">
        <v>20210604</v>
      </c>
      <c r="G1857" s="4">
        <v>20240604</v>
      </c>
      <c r="H1857" s="4" t="s">
        <v>10502</v>
      </c>
      <c r="J1857" s="4" t="s">
        <v>1719</v>
      </c>
    </row>
    <row r="1858" spans="1:10" hidden="1">
      <c r="A1858" s="4">
        <v>2.02106291720004E+17</v>
      </c>
      <c r="B1858" s="4">
        <v>4588602370</v>
      </c>
      <c r="C1858" s="4" t="s">
        <v>10501</v>
      </c>
      <c r="D1858" s="4">
        <v>29172</v>
      </c>
      <c r="E1858" s="4">
        <v>20210604</v>
      </c>
      <c r="F1858" s="4">
        <v>20210604</v>
      </c>
      <c r="G1858" s="4">
        <v>20240604</v>
      </c>
      <c r="H1858" s="4" t="s">
        <v>10500</v>
      </c>
      <c r="J1858" s="4" t="s">
        <v>1204</v>
      </c>
    </row>
    <row r="1859" spans="1:10" hidden="1">
      <c r="A1859" s="4">
        <v>2.02106259290004E+17</v>
      </c>
      <c r="B1859" s="4">
        <v>1928601689</v>
      </c>
      <c r="C1859" s="4" t="s">
        <v>10499</v>
      </c>
      <c r="D1859" s="4">
        <v>25929</v>
      </c>
      <c r="E1859" s="4">
        <v>20210604</v>
      </c>
      <c r="F1859" s="4">
        <v>20210604</v>
      </c>
      <c r="G1859" s="4">
        <v>20240604</v>
      </c>
      <c r="H1859" s="4" t="s">
        <v>10498</v>
      </c>
      <c r="I1859" s="4" t="s">
        <v>10497</v>
      </c>
      <c r="J1859" s="4" t="s">
        <v>701</v>
      </c>
    </row>
    <row r="1860" spans="1:10" hidden="1">
      <c r="A1860" s="4">
        <v>2.02106741000004E+17</v>
      </c>
      <c r="B1860" s="4">
        <v>2288103939</v>
      </c>
      <c r="C1860" s="4" t="s">
        <v>10496</v>
      </c>
      <c r="D1860" s="4">
        <v>74100</v>
      </c>
      <c r="E1860" s="4">
        <v>20210604</v>
      </c>
      <c r="F1860" s="4">
        <v>20210604</v>
      </c>
      <c r="G1860" s="4">
        <v>20231205</v>
      </c>
      <c r="H1860" s="4" t="s">
        <v>10495</v>
      </c>
      <c r="I1860" s="4" t="s">
        <v>10494</v>
      </c>
      <c r="J1860" s="4" t="s">
        <v>2207</v>
      </c>
    </row>
    <row r="1861" spans="1:10" hidden="1">
      <c r="A1861" s="4">
        <v>2.02106101290004E+17</v>
      </c>
      <c r="B1861" s="4">
        <v>2268601207</v>
      </c>
      <c r="C1861" s="4" t="s">
        <v>10492</v>
      </c>
      <c r="D1861" s="4">
        <v>10129</v>
      </c>
      <c r="E1861" s="4">
        <v>20210604</v>
      </c>
      <c r="F1861" s="4">
        <v>20210604</v>
      </c>
      <c r="G1861" s="4">
        <v>20240604</v>
      </c>
      <c r="H1861" s="4" t="s">
        <v>10493</v>
      </c>
      <c r="I1861" s="4" t="s">
        <v>10492</v>
      </c>
      <c r="J1861" s="4" t="s">
        <v>2842</v>
      </c>
    </row>
    <row r="1862" spans="1:10" hidden="1">
      <c r="A1862" s="4">
        <v>2.02106262990004E+17</v>
      </c>
      <c r="B1862" s="4">
        <v>7108100936</v>
      </c>
      <c r="C1862" s="4" t="s">
        <v>10491</v>
      </c>
      <c r="D1862" s="4">
        <v>26299</v>
      </c>
      <c r="E1862" s="4">
        <v>20210604</v>
      </c>
      <c r="F1862" s="4">
        <v>20210604</v>
      </c>
      <c r="G1862" s="4">
        <v>20240604</v>
      </c>
      <c r="H1862" s="4" t="s">
        <v>10490</v>
      </c>
      <c r="I1862" s="4" t="s">
        <v>10489</v>
      </c>
      <c r="J1862" s="4" t="s">
        <v>339</v>
      </c>
    </row>
    <row r="1863" spans="1:10" hidden="1">
      <c r="A1863" s="4">
        <v>2.02106479110004E+17</v>
      </c>
      <c r="B1863" s="4">
        <v>4182600045</v>
      </c>
      <c r="C1863" s="4" t="s">
        <v>10488</v>
      </c>
      <c r="D1863" s="4">
        <v>47911</v>
      </c>
      <c r="E1863" s="4">
        <v>20210604</v>
      </c>
      <c r="F1863" s="4">
        <v>20210604</v>
      </c>
      <c r="G1863" s="4">
        <v>20220807</v>
      </c>
      <c r="H1863" s="4" t="s">
        <v>10487</v>
      </c>
      <c r="I1863" s="4">
        <v>401</v>
      </c>
      <c r="J1863" s="4" t="s">
        <v>440</v>
      </c>
    </row>
    <row r="1864" spans="1:10" hidden="1">
      <c r="A1864" s="4">
        <v>2.02106339100004E+17</v>
      </c>
      <c r="B1864" s="4">
        <v>6072036137</v>
      </c>
      <c r="C1864" s="4" t="s">
        <v>10486</v>
      </c>
      <c r="D1864" s="4">
        <v>33910</v>
      </c>
      <c r="E1864" s="4">
        <v>20210604</v>
      </c>
      <c r="F1864" s="4">
        <v>20210604</v>
      </c>
      <c r="G1864" s="4">
        <v>20211224</v>
      </c>
      <c r="H1864" s="4" t="s">
        <v>10485</v>
      </c>
      <c r="I1864" s="4" t="s">
        <v>149</v>
      </c>
      <c r="J1864" s="4" t="s">
        <v>310</v>
      </c>
    </row>
    <row r="1865" spans="1:10" hidden="1">
      <c r="A1865" s="4">
        <v>2.02106591130004E+17</v>
      </c>
      <c r="B1865" s="4">
        <v>1566800017</v>
      </c>
      <c r="C1865" s="4" t="s">
        <v>10484</v>
      </c>
      <c r="D1865" s="4">
        <v>59113</v>
      </c>
      <c r="E1865" s="4">
        <v>20210604</v>
      </c>
      <c r="F1865" s="4">
        <v>20210604</v>
      </c>
      <c r="G1865" s="4">
        <v>20211205</v>
      </c>
      <c r="H1865" s="4" t="s">
        <v>10483</v>
      </c>
      <c r="I1865" s="4" t="s">
        <v>10482</v>
      </c>
      <c r="J1865" s="4" t="s">
        <v>3651</v>
      </c>
    </row>
    <row r="1866" spans="1:10" hidden="1">
      <c r="A1866" s="4">
        <v>2.02106702090004E+17</v>
      </c>
      <c r="B1866" s="4">
        <v>7578701111</v>
      </c>
      <c r="C1866" s="4" t="s">
        <v>10481</v>
      </c>
      <c r="D1866" s="4">
        <v>70209</v>
      </c>
      <c r="E1866" s="4">
        <v>20210604</v>
      </c>
      <c r="F1866" s="4">
        <v>20210604</v>
      </c>
      <c r="G1866" s="4">
        <v>20240604</v>
      </c>
      <c r="H1866" s="4" t="s">
        <v>10480</v>
      </c>
      <c r="I1866" s="4" t="s">
        <v>10479</v>
      </c>
      <c r="J1866" s="4" t="s">
        <v>242</v>
      </c>
    </row>
    <row r="1867" spans="1:10" hidden="1">
      <c r="A1867" s="4">
        <v>2.02106721110004E+17</v>
      </c>
      <c r="B1867" s="4">
        <v>5910501460</v>
      </c>
      <c r="C1867" s="4" t="s">
        <v>10478</v>
      </c>
      <c r="D1867" s="4">
        <v>72111</v>
      </c>
      <c r="E1867" s="4">
        <v>20210604</v>
      </c>
      <c r="F1867" s="4">
        <v>20210604</v>
      </c>
      <c r="G1867" s="4">
        <v>20240604</v>
      </c>
      <c r="H1867" s="4" t="s">
        <v>10477</v>
      </c>
      <c r="J1867" s="4" t="s">
        <v>3461</v>
      </c>
    </row>
    <row r="1868" spans="1:10" hidden="1">
      <c r="A1868" s="4">
        <v>2.02106421320004E+17</v>
      </c>
      <c r="B1868" s="4">
        <v>4768600195</v>
      </c>
      <c r="C1868" s="4" t="s">
        <v>10476</v>
      </c>
      <c r="D1868" s="4">
        <v>42132</v>
      </c>
      <c r="E1868" s="4">
        <v>20210604</v>
      </c>
      <c r="F1868" s="4">
        <v>20210604</v>
      </c>
      <c r="G1868" s="4">
        <v>20220805</v>
      </c>
      <c r="H1868" s="4" t="s">
        <v>10475</v>
      </c>
      <c r="J1868" s="4" t="s">
        <v>5086</v>
      </c>
    </row>
    <row r="1869" spans="1:10" hidden="1">
      <c r="A1869" s="4">
        <v>2.02106320290004E+17</v>
      </c>
      <c r="B1869" s="4">
        <v>3436400495</v>
      </c>
      <c r="C1869" s="4" t="s">
        <v>10474</v>
      </c>
      <c r="D1869" s="4">
        <v>32029</v>
      </c>
      <c r="E1869" s="4">
        <v>20210604</v>
      </c>
      <c r="F1869" s="4">
        <v>20210604</v>
      </c>
      <c r="G1869" s="4">
        <v>20240604</v>
      </c>
      <c r="H1869" s="4" t="s">
        <v>10473</v>
      </c>
      <c r="I1869" s="4" t="s">
        <v>10472</v>
      </c>
      <c r="J1869" s="4" t="s">
        <v>637</v>
      </c>
    </row>
    <row r="1870" spans="1:10" hidden="1">
      <c r="A1870" s="4">
        <v>2.02106259990004E+17</v>
      </c>
      <c r="B1870" s="4">
        <v>8571201451</v>
      </c>
      <c r="C1870" s="4" t="s">
        <v>10471</v>
      </c>
      <c r="D1870" s="4">
        <v>25999</v>
      </c>
      <c r="E1870" s="4">
        <v>20210604</v>
      </c>
      <c r="F1870" s="4">
        <v>20210604</v>
      </c>
      <c r="G1870" s="4">
        <v>20240604</v>
      </c>
      <c r="H1870" s="4" t="s">
        <v>10470</v>
      </c>
      <c r="J1870" s="4" t="s">
        <v>301</v>
      </c>
    </row>
    <row r="1871" spans="1:10" hidden="1">
      <c r="A1871" s="4">
        <v>2.02106582220004E+17</v>
      </c>
      <c r="B1871" s="4">
        <v>7481601607</v>
      </c>
      <c r="C1871" s="4" t="s">
        <v>10469</v>
      </c>
      <c r="D1871" s="4">
        <v>58222</v>
      </c>
      <c r="E1871" s="4">
        <v>20210604</v>
      </c>
      <c r="F1871" s="4">
        <v>20210604</v>
      </c>
      <c r="G1871" s="4">
        <v>20240604</v>
      </c>
      <c r="H1871" s="4" t="s">
        <v>10468</v>
      </c>
      <c r="J1871" s="4" t="s">
        <v>94</v>
      </c>
    </row>
    <row r="1872" spans="1:10" hidden="1">
      <c r="A1872" s="4">
        <v>2.02106681190004E+17</v>
      </c>
      <c r="B1872" s="4">
        <v>2961901543</v>
      </c>
      <c r="C1872" s="4" t="s">
        <v>10467</v>
      </c>
      <c r="D1872" s="4">
        <v>68119</v>
      </c>
      <c r="E1872" s="4">
        <v>20210604</v>
      </c>
      <c r="F1872" s="4">
        <v>20210604</v>
      </c>
      <c r="G1872" s="4">
        <v>20240604</v>
      </c>
      <c r="H1872" s="4" t="s">
        <v>10466</v>
      </c>
      <c r="J1872" s="4" t="s">
        <v>10465</v>
      </c>
    </row>
    <row r="1873" spans="1:10" hidden="1">
      <c r="A1873" s="4">
        <v>2.02106721110004E+17</v>
      </c>
      <c r="B1873" s="4">
        <v>3485000168</v>
      </c>
      <c r="C1873" s="4" t="s">
        <v>10464</v>
      </c>
      <c r="D1873" s="4">
        <v>72111</v>
      </c>
      <c r="E1873" s="4">
        <v>20210604</v>
      </c>
      <c r="F1873" s="4">
        <v>20210604</v>
      </c>
      <c r="G1873" s="4">
        <v>20240113</v>
      </c>
      <c r="H1873" s="4" t="s">
        <v>10463</v>
      </c>
      <c r="I1873" s="4" t="s">
        <v>91</v>
      </c>
      <c r="J1873" s="4" t="s">
        <v>3461</v>
      </c>
    </row>
    <row r="1874" spans="1:10" hidden="1">
      <c r="A1874" s="4">
        <v>2.02106011100004E+17</v>
      </c>
      <c r="B1874" s="4">
        <v>5029467199</v>
      </c>
      <c r="C1874" s="4" t="s">
        <v>10462</v>
      </c>
      <c r="D1874" s="4">
        <v>1110</v>
      </c>
      <c r="E1874" s="4">
        <v>20210604</v>
      </c>
      <c r="F1874" s="4">
        <v>20210604</v>
      </c>
      <c r="G1874" s="4">
        <v>20240604</v>
      </c>
      <c r="H1874" s="4" t="s">
        <v>10461</v>
      </c>
      <c r="J1874" s="4" t="s">
        <v>8361</v>
      </c>
    </row>
    <row r="1875" spans="1:10" hidden="1">
      <c r="A1875" s="4">
        <v>2.02106291320004E+17</v>
      </c>
      <c r="B1875" s="4">
        <v>7773500489</v>
      </c>
      <c r="C1875" s="4" t="s">
        <v>10460</v>
      </c>
      <c r="D1875" s="4">
        <v>29132</v>
      </c>
      <c r="E1875" s="4">
        <v>20210604</v>
      </c>
      <c r="F1875" s="4">
        <v>20210604</v>
      </c>
      <c r="G1875" s="4">
        <v>20240604</v>
      </c>
      <c r="H1875" s="4" t="s">
        <v>10459</v>
      </c>
      <c r="J1875" s="4" t="s">
        <v>1083</v>
      </c>
    </row>
    <row r="1876" spans="1:10" hidden="1">
      <c r="A1876" s="4">
        <v>2.02106465920004E+17</v>
      </c>
      <c r="B1876" s="4">
        <v>8015600356</v>
      </c>
      <c r="C1876" s="4" t="s">
        <v>10458</v>
      </c>
      <c r="D1876" s="4">
        <v>46592</v>
      </c>
      <c r="E1876" s="4">
        <v>20210604</v>
      </c>
      <c r="F1876" s="4">
        <v>20210604</v>
      </c>
      <c r="G1876" s="4">
        <v>20240604</v>
      </c>
      <c r="H1876" s="4" t="s">
        <v>3155</v>
      </c>
      <c r="I1876" s="4" t="s">
        <v>10457</v>
      </c>
      <c r="J1876" s="4" t="s">
        <v>148</v>
      </c>
    </row>
    <row r="1877" spans="1:10" hidden="1">
      <c r="A1877" s="4">
        <v>2.02106763200004E+17</v>
      </c>
      <c r="B1877" s="4">
        <v>5342201289</v>
      </c>
      <c r="C1877" s="4" t="s">
        <v>10456</v>
      </c>
      <c r="D1877" s="4">
        <v>76320</v>
      </c>
      <c r="E1877" s="4">
        <v>20210604</v>
      </c>
      <c r="F1877" s="4">
        <v>20210604</v>
      </c>
      <c r="G1877" s="4">
        <v>20240604</v>
      </c>
      <c r="H1877" s="4" t="s">
        <v>10455</v>
      </c>
      <c r="I1877" s="4" t="s">
        <v>361</v>
      </c>
      <c r="J1877" s="4" t="s">
        <v>4673</v>
      </c>
    </row>
    <row r="1878" spans="1:10" hidden="1">
      <c r="A1878" s="4">
        <v>2.02106713100004E+17</v>
      </c>
      <c r="B1878" s="4">
        <v>8108101685</v>
      </c>
      <c r="C1878" s="4" t="s">
        <v>10454</v>
      </c>
      <c r="D1878" s="4">
        <v>71310</v>
      </c>
      <c r="E1878" s="4">
        <v>20210604</v>
      </c>
      <c r="F1878" s="4">
        <v>20210604</v>
      </c>
      <c r="G1878" s="4">
        <v>20220323</v>
      </c>
      <c r="H1878" s="4" t="s">
        <v>10453</v>
      </c>
      <c r="J1878" s="4" t="s">
        <v>426</v>
      </c>
    </row>
    <row r="1879" spans="1:10" hidden="1">
      <c r="A1879" s="4">
        <v>2.02106739030004E+17</v>
      </c>
      <c r="B1879" s="4">
        <v>6584700406</v>
      </c>
      <c r="C1879" s="4" t="s">
        <v>10452</v>
      </c>
      <c r="D1879" s="4">
        <v>73903</v>
      </c>
      <c r="E1879" s="4">
        <v>20210604</v>
      </c>
      <c r="F1879" s="4">
        <v>20210604</v>
      </c>
      <c r="G1879" s="4">
        <v>20240604</v>
      </c>
      <c r="H1879" s="4" t="s">
        <v>1923</v>
      </c>
      <c r="I1879" s="4" t="s">
        <v>657</v>
      </c>
      <c r="J1879" s="4" t="s">
        <v>3645</v>
      </c>
    </row>
    <row r="1880" spans="1:10" hidden="1">
      <c r="A1880" s="4">
        <v>2.02106291990004E+17</v>
      </c>
      <c r="B1880" s="4">
        <v>1951801369</v>
      </c>
      <c r="C1880" s="4" t="s">
        <v>10451</v>
      </c>
      <c r="D1880" s="4">
        <v>29199</v>
      </c>
      <c r="E1880" s="4">
        <v>20210604</v>
      </c>
      <c r="F1880" s="4">
        <v>20210604</v>
      </c>
      <c r="G1880" s="4">
        <v>20240604</v>
      </c>
      <c r="H1880" s="4" t="s">
        <v>10450</v>
      </c>
      <c r="J1880" s="4" t="s">
        <v>166</v>
      </c>
    </row>
    <row r="1881" spans="1:10" hidden="1">
      <c r="A1881" s="4">
        <v>2.02106461060004E+17</v>
      </c>
      <c r="B1881" s="4">
        <v>2261520636</v>
      </c>
      <c r="C1881" s="4" t="s">
        <v>10449</v>
      </c>
      <c r="D1881" s="4">
        <v>46106</v>
      </c>
      <c r="E1881" s="4">
        <v>20210604</v>
      </c>
      <c r="F1881" s="4">
        <v>20210604</v>
      </c>
      <c r="G1881" s="4">
        <v>20240604</v>
      </c>
      <c r="H1881" s="4" t="s">
        <v>10448</v>
      </c>
      <c r="I1881" s="4" t="s">
        <v>10447</v>
      </c>
      <c r="J1881" s="4" t="s">
        <v>6705</v>
      </c>
    </row>
    <row r="1882" spans="1:10" hidden="1">
      <c r="A1882" s="4">
        <v>2.02106334010004E+17</v>
      </c>
      <c r="B1882" s="4">
        <v>4961000710</v>
      </c>
      <c r="C1882" s="4" t="s">
        <v>10446</v>
      </c>
      <c r="D1882" s="4">
        <v>33401</v>
      </c>
      <c r="E1882" s="4">
        <v>20210604</v>
      </c>
      <c r="F1882" s="4">
        <v>20210604</v>
      </c>
      <c r="G1882" s="4">
        <v>20240307</v>
      </c>
      <c r="H1882" s="4" t="s">
        <v>10445</v>
      </c>
      <c r="J1882" s="4" t="s">
        <v>364</v>
      </c>
    </row>
    <row r="1883" spans="1:10" hidden="1">
      <c r="A1883" s="4">
        <v>2.02106721110004E+17</v>
      </c>
      <c r="B1883" s="4">
        <v>1011606609</v>
      </c>
      <c r="C1883" s="4" t="s">
        <v>10444</v>
      </c>
      <c r="D1883" s="4">
        <v>72111</v>
      </c>
      <c r="E1883" s="4">
        <v>20210604</v>
      </c>
      <c r="F1883" s="4">
        <v>20210604</v>
      </c>
      <c r="G1883" s="4">
        <v>20240604</v>
      </c>
      <c r="H1883" s="4" t="s">
        <v>1799</v>
      </c>
      <c r="I1883" s="4" t="s">
        <v>10443</v>
      </c>
      <c r="J1883" s="4" t="s">
        <v>3461</v>
      </c>
    </row>
    <row r="1884" spans="1:10" hidden="1">
      <c r="A1884" s="4">
        <v>2.02106732020004E+17</v>
      </c>
      <c r="B1884" s="4">
        <v>4138107299</v>
      </c>
      <c r="C1884" s="4" t="s">
        <v>10442</v>
      </c>
      <c r="D1884" s="4">
        <v>73202</v>
      </c>
      <c r="E1884" s="4">
        <v>20210604</v>
      </c>
      <c r="F1884" s="4">
        <v>20210604</v>
      </c>
      <c r="G1884" s="4">
        <v>20240604</v>
      </c>
      <c r="H1884" s="4" t="s">
        <v>10441</v>
      </c>
      <c r="I1884" s="4" t="s">
        <v>10440</v>
      </c>
      <c r="J1884" s="4" t="s">
        <v>605</v>
      </c>
    </row>
    <row r="1885" spans="1:10" hidden="1">
      <c r="A1885" s="4">
        <v>2.02106132210004E+17</v>
      </c>
      <c r="B1885" s="4">
        <v>5068700208</v>
      </c>
      <c r="C1885" s="4" t="s">
        <v>10439</v>
      </c>
      <c r="D1885" s="4">
        <v>13221</v>
      </c>
      <c r="E1885" s="4">
        <v>20210604</v>
      </c>
      <c r="F1885" s="4">
        <v>20210604</v>
      </c>
      <c r="G1885" s="4">
        <v>20221008</v>
      </c>
      <c r="H1885" s="4" t="s">
        <v>10438</v>
      </c>
      <c r="I1885" s="4" t="s">
        <v>149</v>
      </c>
      <c r="J1885" s="4" t="s">
        <v>307</v>
      </c>
    </row>
    <row r="1886" spans="1:10" hidden="1">
      <c r="A1886" s="4">
        <v>2.02106702090004E+17</v>
      </c>
      <c r="B1886" s="4">
        <v>1528800615</v>
      </c>
      <c r="C1886" s="4" t="s">
        <v>10437</v>
      </c>
      <c r="D1886" s="4">
        <v>70209</v>
      </c>
      <c r="E1886" s="4">
        <v>20210604</v>
      </c>
      <c r="F1886" s="4">
        <v>20210604</v>
      </c>
      <c r="G1886" s="4">
        <v>20240102</v>
      </c>
      <c r="H1886" s="4" t="s">
        <v>10436</v>
      </c>
      <c r="J1886" s="4" t="s">
        <v>242</v>
      </c>
    </row>
    <row r="1887" spans="1:10" hidden="1">
      <c r="A1887" s="4">
        <v>2.02106620210004E+17</v>
      </c>
      <c r="B1887" s="4">
        <v>3680601800</v>
      </c>
      <c r="C1887" s="4" t="s">
        <v>10435</v>
      </c>
      <c r="D1887" s="4">
        <v>62021</v>
      </c>
      <c r="E1887" s="4">
        <v>20210604</v>
      </c>
      <c r="F1887" s="4">
        <v>20210604</v>
      </c>
      <c r="G1887" s="4">
        <v>20240604</v>
      </c>
      <c r="H1887" s="4" t="s">
        <v>10434</v>
      </c>
      <c r="I1887" s="4" t="s">
        <v>10433</v>
      </c>
      <c r="J1887" s="4" t="s">
        <v>1505</v>
      </c>
    </row>
    <row r="1888" spans="1:10" hidden="1">
      <c r="A1888" s="4">
        <v>2.02106272190004E+17</v>
      </c>
      <c r="B1888" s="4">
        <v>2588600660</v>
      </c>
      <c r="C1888" s="4" t="s">
        <v>10432</v>
      </c>
      <c r="D1888" s="4">
        <v>27219</v>
      </c>
      <c r="E1888" s="4">
        <v>20210604</v>
      </c>
      <c r="F1888" s="4">
        <v>20210604</v>
      </c>
      <c r="G1888" s="4">
        <v>20240501</v>
      </c>
      <c r="H1888" s="4" t="s">
        <v>3483</v>
      </c>
      <c r="I1888" s="4" t="s">
        <v>10431</v>
      </c>
      <c r="J1888" s="4" t="s">
        <v>1454</v>
      </c>
    </row>
    <row r="1889" spans="1:10" hidden="1">
      <c r="A1889" s="4">
        <v>2.02106582220004E+17</v>
      </c>
      <c r="B1889" s="4">
        <v>2108701441</v>
      </c>
      <c r="C1889" s="4" t="s">
        <v>10430</v>
      </c>
      <c r="D1889" s="4">
        <v>58222</v>
      </c>
      <c r="E1889" s="4">
        <v>20210604</v>
      </c>
      <c r="F1889" s="4">
        <v>20210604</v>
      </c>
      <c r="G1889" s="4">
        <v>20240604</v>
      </c>
      <c r="H1889" s="4" t="s">
        <v>3483</v>
      </c>
      <c r="I1889" s="4" t="s">
        <v>10429</v>
      </c>
      <c r="J1889" s="4" t="s">
        <v>94</v>
      </c>
    </row>
    <row r="1890" spans="1:10" hidden="1">
      <c r="A1890" s="4">
        <v>2.02106739090004E+17</v>
      </c>
      <c r="B1890" s="4">
        <v>2708601903</v>
      </c>
      <c r="C1890" s="4" t="s">
        <v>10428</v>
      </c>
      <c r="D1890" s="4">
        <v>73909</v>
      </c>
      <c r="E1890" s="4">
        <v>20210604</v>
      </c>
      <c r="F1890" s="4">
        <v>20210604</v>
      </c>
      <c r="G1890" s="4">
        <v>20240604</v>
      </c>
      <c r="H1890" s="4" t="s">
        <v>3731</v>
      </c>
      <c r="I1890" s="4" t="s">
        <v>10427</v>
      </c>
      <c r="J1890" s="4" t="s">
        <v>293</v>
      </c>
    </row>
    <row r="1891" spans="1:10" hidden="1">
      <c r="A1891" s="4">
        <v>2.02106620210004E+17</v>
      </c>
      <c r="B1891" s="4">
        <v>5188600387</v>
      </c>
      <c r="C1891" s="4" t="s">
        <v>10426</v>
      </c>
      <c r="D1891" s="4">
        <v>62021</v>
      </c>
      <c r="E1891" s="4">
        <v>20210604</v>
      </c>
      <c r="F1891" s="4">
        <v>20210604</v>
      </c>
      <c r="G1891" s="4">
        <v>20230128</v>
      </c>
      <c r="H1891" s="4" t="s">
        <v>10425</v>
      </c>
      <c r="I1891" s="4" t="s">
        <v>1695</v>
      </c>
      <c r="J1891" s="4" t="s">
        <v>1505</v>
      </c>
    </row>
    <row r="1892" spans="1:10" hidden="1">
      <c r="A1892" s="4">
        <v>2.02106285190004E+17</v>
      </c>
      <c r="B1892" s="4">
        <v>3778101970</v>
      </c>
      <c r="C1892" s="4" t="s">
        <v>10424</v>
      </c>
      <c r="D1892" s="4">
        <v>28519</v>
      </c>
      <c r="E1892" s="4">
        <v>20210604</v>
      </c>
      <c r="F1892" s="4">
        <v>20210604</v>
      </c>
      <c r="G1892" s="4">
        <v>20240604</v>
      </c>
      <c r="H1892" s="4" t="s">
        <v>10423</v>
      </c>
      <c r="I1892" s="4" t="s">
        <v>10422</v>
      </c>
      <c r="J1892" s="4" t="s">
        <v>1412</v>
      </c>
    </row>
    <row r="1893" spans="1:10" hidden="1">
      <c r="A1893" s="4">
        <v>2.02106107990004E+17</v>
      </c>
      <c r="B1893" s="4">
        <v>1098656218</v>
      </c>
      <c r="C1893" s="4" t="s">
        <v>10421</v>
      </c>
      <c r="D1893" s="4">
        <v>10799</v>
      </c>
      <c r="E1893" s="4">
        <v>20210604</v>
      </c>
      <c r="F1893" s="4">
        <v>20210604</v>
      </c>
      <c r="G1893" s="4">
        <v>20240604</v>
      </c>
      <c r="H1893" s="4" t="s">
        <v>10420</v>
      </c>
      <c r="I1893" s="4" t="s">
        <v>149</v>
      </c>
      <c r="J1893" s="4" t="s">
        <v>2973</v>
      </c>
    </row>
    <row r="1894" spans="1:10" hidden="1">
      <c r="A1894" s="4">
        <v>2.02106751210004E+17</v>
      </c>
      <c r="B1894" s="4">
        <v>5218802202</v>
      </c>
      <c r="C1894" s="4" t="s">
        <v>10419</v>
      </c>
      <c r="D1894" s="4">
        <v>75121</v>
      </c>
      <c r="E1894" s="4">
        <v>20210604</v>
      </c>
      <c r="F1894" s="4">
        <v>20210604</v>
      </c>
      <c r="G1894" s="4">
        <v>20240604</v>
      </c>
      <c r="H1894" s="4" t="s">
        <v>10418</v>
      </c>
      <c r="I1894" s="4" t="s">
        <v>10417</v>
      </c>
      <c r="J1894" s="4" t="s">
        <v>2152</v>
      </c>
    </row>
    <row r="1895" spans="1:10" hidden="1">
      <c r="A1895" s="4">
        <v>2.02106759920004E+17</v>
      </c>
      <c r="B1895" s="4">
        <v>5128124386</v>
      </c>
      <c r="C1895" s="4" t="s">
        <v>10416</v>
      </c>
      <c r="D1895" s="4">
        <v>75992</v>
      </c>
      <c r="E1895" s="4">
        <v>20210604</v>
      </c>
      <c r="F1895" s="4">
        <v>20210604</v>
      </c>
      <c r="G1895" s="4">
        <v>20240405</v>
      </c>
      <c r="H1895" s="4" t="s">
        <v>10415</v>
      </c>
      <c r="I1895" s="4" t="s">
        <v>10414</v>
      </c>
      <c r="J1895" s="4" t="s">
        <v>111</v>
      </c>
    </row>
    <row r="1896" spans="1:10" hidden="1">
      <c r="A1896" s="4">
        <v>2.02106631200004E+17</v>
      </c>
      <c r="B1896" s="4">
        <v>5598700124</v>
      </c>
      <c r="C1896" s="4" t="s">
        <v>10413</v>
      </c>
      <c r="D1896" s="4">
        <v>63120</v>
      </c>
      <c r="E1896" s="4">
        <v>20210604</v>
      </c>
      <c r="F1896" s="4">
        <v>20210604</v>
      </c>
      <c r="G1896" s="4">
        <v>20221215</v>
      </c>
      <c r="H1896" s="4" t="s">
        <v>491</v>
      </c>
      <c r="I1896" s="4" t="s">
        <v>8825</v>
      </c>
      <c r="J1896" s="4" t="s">
        <v>632</v>
      </c>
    </row>
    <row r="1897" spans="1:10" hidden="1">
      <c r="A1897" s="4">
        <v>2.02106320290004E+17</v>
      </c>
      <c r="B1897" s="4">
        <v>1098655112</v>
      </c>
      <c r="C1897" s="4" t="s">
        <v>10412</v>
      </c>
      <c r="D1897" s="4">
        <v>32029</v>
      </c>
      <c r="E1897" s="4">
        <v>20210604</v>
      </c>
      <c r="F1897" s="4">
        <v>20210604</v>
      </c>
      <c r="G1897" s="4">
        <v>20240604</v>
      </c>
      <c r="H1897" s="4" t="s">
        <v>10411</v>
      </c>
      <c r="I1897" s="4" t="s">
        <v>10410</v>
      </c>
      <c r="J1897" s="4" t="s">
        <v>637</v>
      </c>
    </row>
    <row r="1898" spans="1:10" hidden="1">
      <c r="A1898" s="4">
        <v>2.02106721220004E+17</v>
      </c>
      <c r="B1898" s="4">
        <v>2458100107</v>
      </c>
      <c r="C1898" s="4" t="s">
        <v>10409</v>
      </c>
      <c r="D1898" s="4">
        <v>72122</v>
      </c>
      <c r="E1898" s="4">
        <v>20210604</v>
      </c>
      <c r="F1898" s="4">
        <v>20210604</v>
      </c>
      <c r="G1898" s="4">
        <v>20220507</v>
      </c>
      <c r="H1898" s="4" t="s">
        <v>825</v>
      </c>
      <c r="I1898" s="4" t="s">
        <v>10408</v>
      </c>
      <c r="J1898" s="4" t="s">
        <v>2484</v>
      </c>
    </row>
    <row r="1899" spans="1:10" hidden="1">
      <c r="A1899" s="4">
        <v>2.02106259920004E+17</v>
      </c>
      <c r="B1899" s="4">
        <v>7690701960</v>
      </c>
      <c r="C1899" s="4" t="s">
        <v>10608</v>
      </c>
      <c r="D1899" s="4">
        <v>25992</v>
      </c>
      <c r="E1899" s="4">
        <v>20210607</v>
      </c>
      <c r="F1899" s="4">
        <v>20210607</v>
      </c>
      <c r="G1899" s="4">
        <v>20240607</v>
      </c>
      <c r="H1899" s="4" t="s">
        <v>10607</v>
      </c>
      <c r="J1899" s="4" t="s">
        <v>6165</v>
      </c>
    </row>
    <row r="1900" spans="1:10" hidden="1">
      <c r="A1900" s="4">
        <v>2.02106582210004E+17</v>
      </c>
      <c r="B1900" s="4">
        <v>7068700512</v>
      </c>
      <c r="C1900" s="4" t="s">
        <v>10404</v>
      </c>
      <c r="D1900" s="4">
        <v>58221</v>
      </c>
      <c r="E1900" s="4">
        <v>20210604</v>
      </c>
      <c r="F1900" s="4">
        <v>20210604</v>
      </c>
      <c r="G1900" s="4">
        <v>20240119</v>
      </c>
      <c r="H1900" s="4" t="s">
        <v>7180</v>
      </c>
      <c r="I1900" s="4" t="s">
        <v>10403</v>
      </c>
      <c r="J1900" s="4" t="s">
        <v>228</v>
      </c>
    </row>
    <row r="1901" spans="1:10" hidden="1">
      <c r="A1901" s="4">
        <v>2.02106161020004E+17</v>
      </c>
      <c r="B1901" s="4">
        <v>5598801998</v>
      </c>
      <c r="C1901" s="4" t="s">
        <v>10402</v>
      </c>
      <c r="D1901" s="4">
        <v>16102</v>
      </c>
      <c r="E1901" s="4">
        <v>20210604</v>
      </c>
      <c r="F1901" s="4">
        <v>20210604</v>
      </c>
      <c r="G1901" s="4">
        <v>20240604</v>
      </c>
      <c r="H1901" s="4" t="s">
        <v>1061</v>
      </c>
      <c r="I1901" s="4" t="s">
        <v>10401</v>
      </c>
      <c r="J1901" s="4" t="s">
        <v>451</v>
      </c>
    </row>
    <row r="1902" spans="1:10" hidden="1">
      <c r="A1902" s="4">
        <v>2.02106582220004E+17</v>
      </c>
      <c r="B1902" s="4">
        <v>4518701396</v>
      </c>
      <c r="C1902" s="4" t="s">
        <v>10400</v>
      </c>
      <c r="D1902" s="4">
        <v>58222</v>
      </c>
      <c r="E1902" s="4">
        <v>20210604</v>
      </c>
      <c r="F1902" s="4">
        <v>20210604</v>
      </c>
      <c r="G1902" s="4">
        <v>20240604</v>
      </c>
      <c r="H1902" s="4" t="s">
        <v>3137</v>
      </c>
      <c r="J1902" s="4" t="s">
        <v>94</v>
      </c>
    </row>
    <row r="1903" spans="1:10" hidden="1">
      <c r="A1903" s="4">
        <v>2.02106739090004E+17</v>
      </c>
      <c r="B1903" s="4">
        <v>1098701952</v>
      </c>
      <c r="C1903" s="4" t="s">
        <v>10399</v>
      </c>
      <c r="D1903" s="4">
        <v>73909</v>
      </c>
      <c r="E1903" s="4">
        <v>20210604</v>
      </c>
      <c r="F1903" s="4">
        <v>20210604</v>
      </c>
      <c r="G1903" s="4">
        <v>20240604</v>
      </c>
      <c r="H1903" s="4" t="s">
        <v>10398</v>
      </c>
      <c r="I1903" s="4" t="s">
        <v>10397</v>
      </c>
      <c r="J1903" s="4" t="s">
        <v>293</v>
      </c>
    </row>
    <row r="1904" spans="1:10" hidden="1">
      <c r="A1904" s="4">
        <v>2.02106620100004E+17</v>
      </c>
      <c r="B1904" s="4">
        <v>7958700977</v>
      </c>
      <c r="C1904" s="4" t="s">
        <v>10396</v>
      </c>
      <c r="D1904" s="4">
        <v>62010</v>
      </c>
      <c r="E1904" s="4">
        <v>20210604</v>
      </c>
      <c r="F1904" s="4">
        <v>20210604</v>
      </c>
      <c r="G1904" s="4">
        <v>20240604</v>
      </c>
      <c r="H1904" s="4" t="s">
        <v>10395</v>
      </c>
      <c r="I1904" s="4" t="s">
        <v>10394</v>
      </c>
      <c r="J1904" s="4" t="s">
        <v>118</v>
      </c>
    </row>
    <row r="1905" spans="1:10" hidden="1">
      <c r="A1905" s="4">
        <v>2.02106259230004E+17</v>
      </c>
      <c r="B1905" s="4">
        <v>2518700953</v>
      </c>
      <c r="C1905" s="4" t="s">
        <v>10393</v>
      </c>
      <c r="D1905" s="4">
        <v>25923</v>
      </c>
      <c r="E1905" s="4">
        <v>20210604</v>
      </c>
      <c r="F1905" s="4">
        <v>20210604</v>
      </c>
      <c r="G1905" s="4">
        <v>20240604</v>
      </c>
      <c r="H1905" s="4" t="s">
        <v>10392</v>
      </c>
      <c r="J1905" s="4" t="s">
        <v>204</v>
      </c>
    </row>
    <row r="1906" spans="1:10" hidden="1">
      <c r="A1906" s="4">
        <v>2.02106162120004E+17</v>
      </c>
      <c r="B1906" s="4">
        <v>5248100316</v>
      </c>
      <c r="C1906" s="4" t="s">
        <v>10391</v>
      </c>
      <c r="D1906" s="4">
        <v>16212</v>
      </c>
      <c r="E1906" s="4">
        <v>20210604</v>
      </c>
      <c r="F1906" s="4">
        <v>20210604</v>
      </c>
      <c r="G1906" s="4">
        <v>20221203</v>
      </c>
      <c r="H1906" s="4" t="s">
        <v>10390</v>
      </c>
      <c r="I1906" s="4" t="s">
        <v>10389</v>
      </c>
      <c r="J1906" s="4" t="s">
        <v>6966</v>
      </c>
    </row>
    <row r="1907" spans="1:10" hidden="1">
      <c r="A1907" s="4">
        <v>2.02106204230004E+17</v>
      </c>
      <c r="B1907" s="4">
        <v>1078828461</v>
      </c>
      <c r="C1907" s="4" t="s">
        <v>10388</v>
      </c>
      <c r="D1907" s="4">
        <v>20423</v>
      </c>
      <c r="E1907" s="4">
        <v>20210604</v>
      </c>
      <c r="F1907" s="4">
        <v>20210604</v>
      </c>
      <c r="G1907" s="4">
        <v>20210903</v>
      </c>
      <c r="H1907" s="4" t="s">
        <v>5845</v>
      </c>
      <c r="I1907" s="4" t="s">
        <v>10387</v>
      </c>
      <c r="J1907" s="4" t="s">
        <v>368</v>
      </c>
    </row>
    <row r="1908" spans="1:10" hidden="1">
      <c r="A1908" s="4">
        <v>2.02106465100004E+17</v>
      </c>
      <c r="B1908" s="4">
        <v>8783200063</v>
      </c>
      <c r="C1908" s="4" t="s">
        <v>10386</v>
      </c>
      <c r="D1908" s="4">
        <v>46510</v>
      </c>
      <c r="E1908" s="4">
        <v>20210604</v>
      </c>
      <c r="F1908" s="4">
        <v>20210604</v>
      </c>
      <c r="G1908" s="4">
        <v>20220430</v>
      </c>
      <c r="H1908" s="4" t="s">
        <v>164</v>
      </c>
      <c r="I1908" s="4" t="s">
        <v>5236</v>
      </c>
      <c r="J1908" s="4" t="s">
        <v>126</v>
      </c>
    </row>
    <row r="1909" spans="1:10" hidden="1">
      <c r="A1909" s="4">
        <v>2.02106721210004E+17</v>
      </c>
      <c r="B1909" s="4">
        <v>2221448178</v>
      </c>
      <c r="C1909" s="4" t="s">
        <v>10385</v>
      </c>
      <c r="D1909" s="4">
        <v>72121</v>
      </c>
      <c r="E1909" s="4">
        <v>20210604</v>
      </c>
      <c r="F1909" s="4">
        <v>20210604</v>
      </c>
      <c r="G1909" s="4">
        <v>20240604</v>
      </c>
      <c r="H1909" s="4" t="s">
        <v>1239</v>
      </c>
      <c r="I1909" s="4" t="s">
        <v>10384</v>
      </c>
      <c r="J1909" s="4" t="s">
        <v>2243</v>
      </c>
    </row>
    <row r="1910" spans="1:10" hidden="1">
      <c r="A1910" s="4">
        <v>2.02106423110004E+17</v>
      </c>
      <c r="B1910" s="4">
        <v>4747300258</v>
      </c>
      <c r="C1910" s="4" t="s">
        <v>10383</v>
      </c>
      <c r="D1910" s="4">
        <v>42311</v>
      </c>
      <c r="E1910" s="4">
        <v>20210604</v>
      </c>
      <c r="F1910" s="4">
        <v>20210604</v>
      </c>
      <c r="G1910" s="4">
        <v>20240604</v>
      </c>
      <c r="H1910" s="4" t="s">
        <v>10382</v>
      </c>
      <c r="I1910" s="4" t="s">
        <v>10381</v>
      </c>
      <c r="J1910" s="4" t="s">
        <v>718</v>
      </c>
    </row>
    <row r="1911" spans="1:10" hidden="1">
      <c r="A1911" s="4">
        <v>2.02106620900004E+17</v>
      </c>
      <c r="B1911" s="4">
        <v>2840400964</v>
      </c>
      <c r="C1911" s="4" t="s">
        <v>10380</v>
      </c>
      <c r="D1911" s="4">
        <v>62090</v>
      </c>
      <c r="E1911" s="4">
        <v>20210604</v>
      </c>
      <c r="F1911" s="4">
        <v>20210604</v>
      </c>
      <c r="G1911" s="4">
        <v>20240604</v>
      </c>
      <c r="H1911" s="4" t="s">
        <v>10379</v>
      </c>
      <c r="J1911" s="4" t="s">
        <v>2030</v>
      </c>
    </row>
    <row r="1912" spans="1:10" hidden="1">
      <c r="A1912" s="4">
        <v>2.02106582220004E+17</v>
      </c>
      <c r="B1912" s="4">
        <v>4018702032</v>
      </c>
      <c r="C1912" s="4" t="s">
        <v>10378</v>
      </c>
      <c r="D1912" s="4">
        <v>58222</v>
      </c>
      <c r="E1912" s="4">
        <v>20210604</v>
      </c>
      <c r="F1912" s="4">
        <v>20210604</v>
      </c>
      <c r="G1912" s="4">
        <v>20240604</v>
      </c>
      <c r="H1912" s="4" t="s">
        <v>10377</v>
      </c>
      <c r="I1912" s="4" t="s">
        <v>10376</v>
      </c>
      <c r="J1912" s="4" t="s">
        <v>94</v>
      </c>
    </row>
    <row r="1913" spans="1:10" hidden="1">
      <c r="A1913" s="4">
        <v>2.02106620100004E+17</v>
      </c>
      <c r="B1913" s="4">
        <v>5361101106</v>
      </c>
      <c r="C1913" s="4" t="s">
        <v>10375</v>
      </c>
      <c r="D1913" s="4">
        <v>62010</v>
      </c>
      <c r="E1913" s="4">
        <v>20210604</v>
      </c>
      <c r="F1913" s="4">
        <v>20210604</v>
      </c>
      <c r="G1913" s="4">
        <v>20240604</v>
      </c>
      <c r="H1913" s="4" t="s">
        <v>1044</v>
      </c>
      <c r="J1913" s="4" t="s">
        <v>118</v>
      </c>
    </row>
    <row r="1914" spans="1:10" hidden="1">
      <c r="A1914" s="4">
        <v>2.02106468000004E+17</v>
      </c>
      <c r="B1914" s="4">
        <v>1358654674</v>
      </c>
      <c r="C1914" s="4" t="s">
        <v>10374</v>
      </c>
      <c r="D1914" s="4">
        <v>46800</v>
      </c>
      <c r="E1914" s="4">
        <v>20210604</v>
      </c>
      <c r="F1914" s="4">
        <v>20210604</v>
      </c>
      <c r="G1914" s="4">
        <v>20240604</v>
      </c>
      <c r="H1914" s="4" t="s">
        <v>828</v>
      </c>
      <c r="I1914" s="4" t="s">
        <v>10373</v>
      </c>
      <c r="J1914" s="4" t="s">
        <v>979</v>
      </c>
    </row>
    <row r="1915" spans="1:10" hidden="1">
      <c r="A1915" s="4">
        <v>2.02106462050004E+17</v>
      </c>
      <c r="B1915" s="4">
        <v>6358600907</v>
      </c>
      <c r="C1915" s="4" t="s">
        <v>10372</v>
      </c>
      <c r="D1915" s="4">
        <v>46205</v>
      </c>
      <c r="E1915" s="4">
        <v>20210604</v>
      </c>
      <c r="F1915" s="4">
        <v>20210604</v>
      </c>
      <c r="G1915" s="4">
        <v>20240604</v>
      </c>
      <c r="H1915" s="4" t="s">
        <v>10371</v>
      </c>
      <c r="J1915" s="4" t="s">
        <v>10370</v>
      </c>
    </row>
    <row r="1916" spans="1:10" hidden="1">
      <c r="A1916" s="4">
        <v>2.02106222320004E+17</v>
      </c>
      <c r="B1916" s="4">
        <v>7673900796</v>
      </c>
      <c r="C1916" s="4" t="s">
        <v>10369</v>
      </c>
      <c r="D1916" s="4">
        <v>22232</v>
      </c>
      <c r="E1916" s="4">
        <v>20210604</v>
      </c>
      <c r="F1916" s="4">
        <v>20210604</v>
      </c>
      <c r="G1916" s="4">
        <v>20240604</v>
      </c>
      <c r="H1916" s="4" t="s">
        <v>10368</v>
      </c>
      <c r="I1916" s="4" t="s">
        <v>10367</v>
      </c>
      <c r="J1916" s="4" t="s">
        <v>3289</v>
      </c>
    </row>
    <row r="1917" spans="1:10" hidden="1">
      <c r="A1917" s="4">
        <v>2.02106464990004E+17</v>
      </c>
      <c r="B1917" s="4">
        <v>6628800257</v>
      </c>
      <c r="C1917" s="4" t="s">
        <v>10366</v>
      </c>
      <c r="D1917" s="4">
        <v>46499</v>
      </c>
      <c r="E1917" s="4">
        <v>20210603</v>
      </c>
      <c r="F1917" s="4">
        <v>20210603</v>
      </c>
      <c r="G1917" s="4">
        <v>20221002</v>
      </c>
      <c r="H1917" s="4" t="s">
        <v>10365</v>
      </c>
      <c r="J1917" s="4" t="s">
        <v>184</v>
      </c>
    </row>
    <row r="1918" spans="1:10" hidden="1">
      <c r="A1918" s="4">
        <v>2.02106582220004E+17</v>
      </c>
      <c r="B1918" s="4">
        <v>5718801760</v>
      </c>
      <c r="C1918" s="4" t="s">
        <v>10364</v>
      </c>
      <c r="D1918" s="4">
        <v>58222</v>
      </c>
      <c r="E1918" s="4">
        <v>20210603</v>
      </c>
      <c r="F1918" s="4">
        <v>20210603</v>
      </c>
      <c r="G1918" s="4">
        <v>20240603</v>
      </c>
      <c r="H1918" s="4" t="s">
        <v>6786</v>
      </c>
      <c r="I1918" s="4" t="s">
        <v>1548</v>
      </c>
      <c r="J1918" s="4" t="s">
        <v>94</v>
      </c>
    </row>
    <row r="1919" spans="1:10" hidden="1">
      <c r="A1919" s="4">
        <v>2.02106265290004E+17</v>
      </c>
      <c r="B1919" s="4">
        <v>4958701265</v>
      </c>
      <c r="C1919" s="4" t="s">
        <v>10363</v>
      </c>
      <c r="D1919" s="4">
        <v>26529</v>
      </c>
      <c r="E1919" s="4">
        <v>20210603</v>
      </c>
      <c r="F1919" s="4">
        <v>20210603</v>
      </c>
      <c r="G1919" s="4">
        <v>20240603</v>
      </c>
      <c r="H1919" s="4" t="s">
        <v>2182</v>
      </c>
      <c r="I1919" s="4" t="s">
        <v>2340</v>
      </c>
      <c r="J1919" s="4" t="s">
        <v>1207</v>
      </c>
    </row>
    <row r="1920" spans="1:10" hidden="1">
      <c r="A1920" s="4">
        <v>2.02106701290004E+17</v>
      </c>
      <c r="B1920" s="4">
        <v>7398800085</v>
      </c>
      <c r="C1920" s="4" t="s">
        <v>10362</v>
      </c>
      <c r="D1920" s="4">
        <v>70129</v>
      </c>
      <c r="E1920" s="4">
        <v>20210603</v>
      </c>
      <c r="F1920" s="4">
        <v>20210603</v>
      </c>
      <c r="G1920" s="4">
        <v>20220610</v>
      </c>
      <c r="H1920" s="4" t="s">
        <v>10361</v>
      </c>
      <c r="I1920" s="4" t="s">
        <v>10360</v>
      </c>
      <c r="J1920" s="4" t="s">
        <v>937</v>
      </c>
    </row>
    <row r="1921" spans="1:10" hidden="1">
      <c r="A1921" s="4">
        <v>2.02106264290004E+17</v>
      </c>
      <c r="B1921" s="4">
        <v>1228646713</v>
      </c>
      <c r="C1921" s="4" t="s">
        <v>10359</v>
      </c>
      <c r="D1921" s="4">
        <v>26429</v>
      </c>
      <c r="E1921" s="4">
        <v>20210603</v>
      </c>
      <c r="F1921" s="4">
        <v>20210603</v>
      </c>
      <c r="G1921" s="4">
        <v>20240524</v>
      </c>
      <c r="H1921" s="4" t="s">
        <v>828</v>
      </c>
      <c r="I1921" s="4" t="s">
        <v>10358</v>
      </c>
      <c r="J1921" s="4" t="s">
        <v>422</v>
      </c>
    </row>
    <row r="1922" spans="1:10" hidden="1">
      <c r="A1922" s="4">
        <v>2.02106424110004E+17</v>
      </c>
      <c r="B1922" s="4">
        <v>1568702210</v>
      </c>
      <c r="C1922" s="4" t="s">
        <v>10357</v>
      </c>
      <c r="D1922" s="4">
        <v>42411</v>
      </c>
      <c r="E1922" s="4">
        <v>20210603</v>
      </c>
      <c r="F1922" s="4">
        <v>20210603</v>
      </c>
      <c r="G1922" s="4">
        <v>20240603</v>
      </c>
      <c r="H1922" s="4" t="s">
        <v>10356</v>
      </c>
      <c r="I1922" s="4" t="s">
        <v>149</v>
      </c>
      <c r="J1922" s="4" t="s">
        <v>2211</v>
      </c>
    </row>
    <row r="1923" spans="1:10" hidden="1">
      <c r="A1923" s="4">
        <v>2.02106333010004E+17</v>
      </c>
      <c r="B1923" s="4">
        <v>3828101915</v>
      </c>
      <c r="C1923" s="4" t="s">
        <v>10355</v>
      </c>
      <c r="D1923" s="4">
        <v>33301</v>
      </c>
      <c r="E1923" s="4">
        <v>20210603</v>
      </c>
      <c r="F1923" s="4">
        <v>20210603</v>
      </c>
      <c r="G1923" s="4">
        <v>20240603</v>
      </c>
      <c r="H1923" s="4" t="s">
        <v>10354</v>
      </c>
      <c r="I1923" s="4" t="s">
        <v>10353</v>
      </c>
      <c r="J1923" s="4" t="s">
        <v>902</v>
      </c>
    </row>
    <row r="1924" spans="1:10" hidden="1">
      <c r="A1924" s="4">
        <v>2.02106284220004E+17</v>
      </c>
      <c r="B1924" s="4">
        <v>3438700591</v>
      </c>
      <c r="C1924" s="4" t="s">
        <v>10351</v>
      </c>
      <c r="D1924" s="4">
        <v>28422</v>
      </c>
      <c r="E1924" s="4">
        <v>20210603</v>
      </c>
      <c r="F1924" s="4">
        <v>20210603</v>
      </c>
      <c r="G1924" s="4">
        <v>20231226</v>
      </c>
      <c r="H1924" s="4" t="s">
        <v>10352</v>
      </c>
      <c r="I1924" s="4" t="s">
        <v>10351</v>
      </c>
      <c r="J1924" s="4" t="s">
        <v>188</v>
      </c>
    </row>
    <row r="1925" spans="1:10" hidden="1">
      <c r="A1925" s="4">
        <v>2.02106591120004E+17</v>
      </c>
      <c r="B1925" s="4">
        <v>7158100436</v>
      </c>
      <c r="C1925" s="4" t="s">
        <v>10350</v>
      </c>
      <c r="D1925" s="4">
        <v>59112</v>
      </c>
      <c r="E1925" s="4">
        <v>20210603</v>
      </c>
      <c r="F1925" s="4">
        <v>20210603</v>
      </c>
      <c r="G1925" s="4">
        <v>20230422</v>
      </c>
      <c r="H1925" s="4" t="s">
        <v>1269</v>
      </c>
      <c r="I1925" s="4" t="s">
        <v>10349</v>
      </c>
      <c r="J1925" s="4" t="s">
        <v>6095</v>
      </c>
    </row>
    <row r="1926" spans="1:10" hidden="1">
      <c r="A1926" s="4">
        <v>2.02106339990004E+17</v>
      </c>
      <c r="B1926" s="4">
        <v>3361301193</v>
      </c>
      <c r="C1926" s="4" t="s">
        <v>10348</v>
      </c>
      <c r="D1926" s="4">
        <v>33999</v>
      </c>
      <c r="E1926" s="4">
        <v>20210603</v>
      </c>
      <c r="F1926" s="4">
        <v>20210603</v>
      </c>
      <c r="G1926" s="4">
        <v>20240603</v>
      </c>
      <c r="H1926" s="4" t="s">
        <v>10347</v>
      </c>
      <c r="I1926" s="4" t="s">
        <v>4963</v>
      </c>
      <c r="J1926" s="4" t="s">
        <v>780</v>
      </c>
    </row>
    <row r="1927" spans="1:10" hidden="1">
      <c r="A1927" s="4">
        <v>2.02106222990004E+17</v>
      </c>
      <c r="B1927" s="4">
        <v>6460400352</v>
      </c>
      <c r="C1927" s="4" t="s">
        <v>10346</v>
      </c>
      <c r="D1927" s="4">
        <v>22299</v>
      </c>
      <c r="E1927" s="4">
        <v>20210603</v>
      </c>
      <c r="F1927" s="4">
        <v>20210603</v>
      </c>
      <c r="G1927" s="4">
        <v>20230222</v>
      </c>
      <c r="H1927" s="4" t="s">
        <v>10345</v>
      </c>
      <c r="I1927" s="4" t="s">
        <v>10344</v>
      </c>
      <c r="J1927" s="4" t="s">
        <v>384</v>
      </c>
    </row>
    <row r="1928" spans="1:10" hidden="1">
      <c r="A1928" s="4">
        <v>2.02106203120004E+17</v>
      </c>
      <c r="B1928" s="4">
        <v>4478800532</v>
      </c>
      <c r="C1928" s="4" t="s">
        <v>10343</v>
      </c>
      <c r="D1928" s="4">
        <v>20312</v>
      </c>
      <c r="E1928" s="4">
        <v>20210603</v>
      </c>
      <c r="F1928" s="4">
        <v>20210603</v>
      </c>
      <c r="G1928" s="4">
        <v>20231020</v>
      </c>
      <c r="H1928" s="4" t="s">
        <v>10342</v>
      </c>
      <c r="J1928" s="4" t="s">
        <v>1167</v>
      </c>
    </row>
    <row r="1929" spans="1:10" hidden="1">
      <c r="A1929" s="4">
        <v>2.02106714000004E+17</v>
      </c>
      <c r="B1929" s="4">
        <v>1120788574</v>
      </c>
      <c r="C1929" s="4" t="s">
        <v>10341</v>
      </c>
      <c r="D1929" s="4">
        <v>71400</v>
      </c>
      <c r="E1929" s="4">
        <v>20210603</v>
      </c>
      <c r="F1929" s="4">
        <v>20210603</v>
      </c>
      <c r="G1929" s="4">
        <v>20240603</v>
      </c>
      <c r="H1929" s="4" t="s">
        <v>10340</v>
      </c>
      <c r="I1929" s="4" t="s">
        <v>185</v>
      </c>
      <c r="J1929" s="4" t="s">
        <v>1629</v>
      </c>
    </row>
    <row r="1930" spans="1:10" hidden="1">
      <c r="A1930" s="4">
        <v>2.02106465930004E+17</v>
      </c>
      <c r="B1930" s="4">
        <v>8286300214</v>
      </c>
      <c r="C1930" s="4" t="s">
        <v>10339</v>
      </c>
      <c r="D1930" s="4">
        <v>46593</v>
      </c>
      <c r="E1930" s="4">
        <v>20210603</v>
      </c>
      <c r="F1930" s="4">
        <v>20210603</v>
      </c>
      <c r="G1930" s="4">
        <v>20240603</v>
      </c>
      <c r="H1930" s="4" t="s">
        <v>10338</v>
      </c>
      <c r="J1930" s="4" t="s">
        <v>1469</v>
      </c>
    </row>
    <row r="1931" spans="1:10" hidden="1">
      <c r="A1931" s="4">
        <v>2.02106582220004E+17</v>
      </c>
      <c r="B1931" s="4">
        <v>5978102272</v>
      </c>
      <c r="C1931" s="4" t="s">
        <v>10337</v>
      </c>
      <c r="D1931" s="4">
        <v>58222</v>
      </c>
      <c r="E1931" s="4">
        <v>20210603</v>
      </c>
      <c r="F1931" s="4">
        <v>20210603</v>
      </c>
      <c r="G1931" s="4">
        <v>20240603</v>
      </c>
      <c r="H1931" s="4" t="s">
        <v>9258</v>
      </c>
      <c r="I1931" s="4" t="s">
        <v>10336</v>
      </c>
      <c r="J1931" s="4" t="s">
        <v>94</v>
      </c>
    </row>
    <row r="1932" spans="1:10" hidden="1">
      <c r="A1932" s="4">
        <v>2.02106262990004E+17</v>
      </c>
      <c r="B1932" s="4">
        <v>2848801809</v>
      </c>
      <c r="C1932" s="4" t="s">
        <v>10335</v>
      </c>
      <c r="D1932" s="4">
        <v>26299</v>
      </c>
      <c r="E1932" s="4">
        <v>20210603</v>
      </c>
      <c r="F1932" s="4">
        <v>20210603</v>
      </c>
      <c r="G1932" s="4">
        <v>20240603</v>
      </c>
      <c r="H1932" s="4" t="s">
        <v>1074</v>
      </c>
      <c r="I1932" s="4" t="s">
        <v>10334</v>
      </c>
      <c r="J1932" s="4" t="s">
        <v>339</v>
      </c>
    </row>
    <row r="1933" spans="1:10" hidden="1">
      <c r="A1933" s="4">
        <v>2.02106262950004E+17</v>
      </c>
      <c r="B1933" s="4">
        <v>5168700957</v>
      </c>
      <c r="C1933" s="4" t="s">
        <v>10333</v>
      </c>
      <c r="D1933" s="4">
        <v>26295</v>
      </c>
      <c r="E1933" s="4">
        <v>20210603</v>
      </c>
      <c r="F1933" s="4">
        <v>20210603</v>
      </c>
      <c r="G1933" s="4">
        <v>20240603</v>
      </c>
      <c r="H1933" s="4" t="s">
        <v>4859</v>
      </c>
      <c r="I1933" s="4" t="s">
        <v>2357</v>
      </c>
      <c r="J1933" s="4" t="s">
        <v>174</v>
      </c>
    </row>
    <row r="1934" spans="1:10" hidden="1">
      <c r="A1934" s="4">
        <v>2.02106715310004E+17</v>
      </c>
      <c r="B1934" s="4">
        <v>2464100220</v>
      </c>
      <c r="C1934" s="4" t="s">
        <v>10332</v>
      </c>
      <c r="D1934" s="4">
        <v>71531</v>
      </c>
      <c r="E1934" s="4">
        <v>20210603</v>
      </c>
      <c r="F1934" s="4">
        <v>20210603</v>
      </c>
      <c r="G1934" s="4">
        <v>20231201</v>
      </c>
      <c r="H1934" s="4" t="s">
        <v>10331</v>
      </c>
      <c r="I1934" s="4" t="s">
        <v>10330</v>
      </c>
      <c r="J1934" s="4" t="s">
        <v>87</v>
      </c>
    </row>
    <row r="1935" spans="1:10" hidden="1">
      <c r="A1935" s="4">
        <v>2.02106464990004E+17</v>
      </c>
      <c r="B1935" s="4">
        <v>6401901003</v>
      </c>
      <c r="C1935" s="4" t="s">
        <v>10329</v>
      </c>
      <c r="D1935" s="4">
        <v>46499</v>
      </c>
      <c r="E1935" s="4">
        <v>20210603</v>
      </c>
      <c r="F1935" s="4">
        <v>20210603</v>
      </c>
      <c r="G1935" s="4">
        <v>20240603</v>
      </c>
      <c r="H1935" s="4" t="s">
        <v>10328</v>
      </c>
      <c r="I1935" s="4" t="s">
        <v>134</v>
      </c>
      <c r="J1935" s="4" t="s">
        <v>184</v>
      </c>
    </row>
    <row r="1936" spans="1:10" hidden="1">
      <c r="A1936" s="4">
        <v>2.02106620100004E+17</v>
      </c>
      <c r="B1936" s="4">
        <v>2878700888</v>
      </c>
      <c r="C1936" s="4" t="s">
        <v>10327</v>
      </c>
      <c r="D1936" s="4">
        <v>62010</v>
      </c>
      <c r="E1936" s="4">
        <v>20210603</v>
      </c>
      <c r="F1936" s="4">
        <v>20210603</v>
      </c>
      <c r="G1936" s="4">
        <v>20240524</v>
      </c>
      <c r="H1936" s="4" t="s">
        <v>2446</v>
      </c>
      <c r="I1936" s="4" t="s">
        <v>831</v>
      </c>
      <c r="J1936" s="4" t="s">
        <v>118</v>
      </c>
    </row>
    <row r="1937" spans="1:10" hidden="1">
      <c r="A1937" s="4">
        <v>2.02106721110004E+17</v>
      </c>
      <c r="B1937" s="4">
        <v>6718702005</v>
      </c>
      <c r="C1937" s="4" t="s">
        <v>10326</v>
      </c>
      <c r="D1937" s="4">
        <v>72111</v>
      </c>
      <c r="E1937" s="4">
        <v>20210603</v>
      </c>
      <c r="F1937" s="4">
        <v>20210603</v>
      </c>
      <c r="G1937" s="4">
        <v>20240603</v>
      </c>
      <c r="H1937" s="4" t="s">
        <v>10325</v>
      </c>
      <c r="I1937" s="4" t="s">
        <v>10324</v>
      </c>
      <c r="J1937" s="4" t="s">
        <v>3461</v>
      </c>
    </row>
    <row r="1938" spans="1:10" hidden="1">
      <c r="A1938" s="4">
        <v>2.02106582210004E+17</v>
      </c>
      <c r="B1938" s="4">
        <v>6518101126</v>
      </c>
      <c r="C1938" s="4" t="s">
        <v>10323</v>
      </c>
      <c r="D1938" s="4">
        <v>58221</v>
      </c>
      <c r="E1938" s="4">
        <v>20210603</v>
      </c>
      <c r="F1938" s="4">
        <v>20210603</v>
      </c>
      <c r="G1938" s="4">
        <v>20240603</v>
      </c>
      <c r="H1938" s="4" t="s">
        <v>10322</v>
      </c>
      <c r="I1938" s="4" t="s">
        <v>10321</v>
      </c>
      <c r="J1938" s="4" t="s">
        <v>228</v>
      </c>
    </row>
    <row r="1939" spans="1:10" hidden="1">
      <c r="A1939" s="4">
        <v>2.02106320210004E+17</v>
      </c>
      <c r="B1939" s="4">
        <v>7651700707</v>
      </c>
      <c r="C1939" s="4" t="s">
        <v>10320</v>
      </c>
      <c r="D1939" s="4">
        <v>32021</v>
      </c>
      <c r="E1939" s="4">
        <v>20210603</v>
      </c>
      <c r="F1939" s="4">
        <v>20210603</v>
      </c>
      <c r="G1939" s="4">
        <v>20240603</v>
      </c>
      <c r="H1939" s="4" t="s">
        <v>10319</v>
      </c>
      <c r="J1939" s="4" t="s">
        <v>10318</v>
      </c>
    </row>
    <row r="1940" spans="1:10" hidden="1">
      <c r="A1940" s="4">
        <v>2.02106602210004E+17</v>
      </c>
      <c r="B1940" s="4">
        <v>1472001359</v>
      </c>
      <c r="C1940" s="4" t="s">
        <v>2412</v>
      </c>
      <c r="D1940" s="4">
        <v>60221</v>
      </c>
      <c r="E1940" s="4">
        <v>20210603</v>
      </c>
      <c r="F1940" s="4">
        <v>20210603</v>
      </c>
      <c r="G1940" s="4">
        <v>20240603</v>
      </c>
      <c r="H1940" s="4" t="s">
        <v>2411</v>
      </c>
      <c r="I1940" s="4" t="s">
        <v>142</v>
      </c>
      <c r="J1940" s="4" t="s">
        <v>4178</v>
      </c>
    </row>
    <row r="1941" spans="1:10" hidden="1">
      <c r="A1941" s="4">
        <v>2.02106264100004E+17</v>
      </c>
      <c r="B1941" s="4">
        <v>3908600227</v>
      </c>
      <c r="C1941" s="4" t="s">
        <v>10317</v>
      </c>
      <c r="D1941" s="4">
        <v>26410</v>
      </c>
      <c r="E1941" s="4">
        <v>20210603</v>
      </c>
      <c r="F1941" s="4">
        <v>20210603</v>
      </c>
      <c r="G1941" s="4">
        <v>20230224</v>
      </c>
      <c r="H1941" s="4" t="s">
        <v>521</v>
      </c>
      <c r="I1941" s="4" t="s">
        <v>10316</v>
      </c>
      <c r="J1941" s="4" t="s">
        <v>1102</v>
      </c>
    </row>
    <row r="1942" spans="1:10" hidden="1">
      <c r="A1942" s="4">
        <v>2.02106582220004E+17</v>
      </c>
      <c r="B1942" s="4">
        <v>8408100649</v>
      </c>
      <c r="C1942" s="4" t="s">
        <v>10315</v>
      </c>
      <c r="D1942" s="4">
        <v>58222</v>
      </c>
      <c r="E1942" s="4">
        <v>20210603</v>
      </c>
      <c r="F1942" s="4">
        <v>20210603</v>
      </c>
      <c r="G1942" s="4">
        <v>20231024</v>
      </c>
      <c r="H1942" s="4" t="s">
        <v>1774</v>
      </c>
      <c r="I1942" s="4" t="s">
        <v>10314</v>
      </c>
      <c r="J1942" s="4" t="s">
        <v>94</v>
      </c>
    </row>
    <row r="1943" spans="1:10" hidden="1">
      <c r="A1943" s="4">
        <v>2.02106272190004E+17</v>
      </c>
      <c r="B1943" s="4">
        <v>8960701020</v>
      </c>
      <c r="C1943" s="4" t="s">
        <v>10313</v>
      </c>
      <c r="D1943" s="4">
        <v>27219</v>
      </c>
      <c r="E1943" s="4">
        <v>20210603</v>
      </c>
      <c r="F1943" s="4">
        <v>20210603</v>
      </c>
      <c r="G1943" s="4">
        <v>20240603</v>
      </c>
      <c r="H1943" s="4" t="s">
        <v>10312</v>
      </c>
      <c r="I1943" s="4" t="s">
        <v>10311</v>
      </c>
      <c r="J1943" s="4" t="s">
        <v>1454</v>
      </c>
    </row>
    <row r="1944" spans="1:10" hidden="1">
      <c r="A1944" s="4">
        <v>2.02106465100004E+17</v>
      </c>
      <c r="B1944" s="4">
        <v>1912100918</v>
      </c>
      <c r="C1944" s="4" t="s">
        <v>10310</v>
      </c>
      <c r="D1944" s="4">
        <v>46510</v>
      </c>
      <c r="E1944" s="4">
        <v>20210603</v>
      </c>
      <c r="F1944" s="4">
        <v>20210603</v>
      </c>
      <c r="G1944" s="4">
        <v>20240603</v>
      </c>
      <c r="H1944" s="4" t="s">
        <v>10309</v>
      </c>
      <c r="I1944" s="4">
        <v>4197</v>
      </c>
      <c r="J1944" s="4" t="s">
        <v>126</v>
      </c>
    </row>
    <row r="1945" spans="1:10" hidden="1">
      <c r="A1945" s="4">
        <v>2.02106101220004E+17</v>
      </c>
      <c r="B1945" s="4">
        <v>7918100181</v>
      </c>
      <c r="C1945" s="4" t="s">
        <v>10308</v>
      </c>
      <c r="D1945" s="4">
        <v>10122</v>
      </c>
      <c r="E1945" s="4">
        <v>20210603</v>
      </c>
      <c r="F1945" s="4">
        <v>20210603</v>
      </c>
      <c r="G1945" s="4">
        <v>20220807</v>
      </c>
      <c r="H1945" s="4" t="s">
        <v>9809</v>
      </c>
      <c r="I1945" s="4" t="s">
        <v>1670</v>
      </c>
      <c r="J1945" s="4" t="s">
        <v>1361</v>
      </c>
    </row>
    <row r="1946" spans="1:10" hidden="1">
      <c r="A1946" s="4">
        <v>2.02106452200004E+17</v>
      </c>
      <c r="B1946" s="4">
        <v>4466000267</v>
      </c>
      <c r="C1946" s="4" t="s">
        <v>10307</v>
      </c>
      <c r="D1946" s="4">
        <v>45220</v>
      </c>
      <c r="E1946" s="4">
        <v>20210603</v>
      </c>
      <c r="F1946" s="4">
        <v>20210603</v>
      </c>
      <c r="G1946" s="4">
        <v>20240603</v>
      </c>
      <c r="H1946" s="4" t="s">
        <v>4970</v>
      </c>
      <c r="I1946" s="4" t="s">
        <v>10306</v>
      </c>
      <c r="J1946" s="4" t="s">
        <v>10305</v>
      </c>
    </row>
    <row r="1947" spans="1:10" hidden="1">
      <c r="A1947" s="4">
        <v>2.02106639990004E+17</v>
      </c>
      <c r="B1947" s="4">
        <v>7848800810</v>
      </c>
      <c r="C1947" s="4" t="s">
        <v>10589</v>
      </c>
      <c r="D1947" s="4">
        <v>63999</v>
      </c>
      <c r="E1947" s="4">
        <v>20210607</v>
      </c>
      <c r="F1947" s="4">
        <v>20210607</v>
      </c>
      <c r="G1947" s="4">
        <v>20240607</v>
      </c>
      <c r="H1947" s="4" t="s">
        <v>10588</v>
      </c>
      <c r="I1947" s="4" t="s">
        <v>10587</v>
      </c>
      <c r="J1947" s="4" t="s">
        <v>643</v>
      </c>
    </row>
    <row r="1948" spans="1:10" hidden="1">
      <c r="A1948" s="4">
        <v>2.02106265290004E+17</v>
      </c>
      <c r="B1948" s="4">
        <v>2728800563</v>
      </c>
      <c r="C1948" s="4" t="s">
        <v>10302</v>
      </c>
      <c r="D1948" s="4">
        <v>26529</v>
      </c>
      <c r="E1948" s="4">
        <v>20210603</v>
      </c>
      <c r="F1948" s="4">
        <v>20210603</v>
      </c>
      <c r="G1948" s="4">
        <v>20240206</v>
      </c>
      <c r="H1948" s="4" t="s">
        <v>10301</v>
      </c>
      <c r="J1948" s="4" t="s">
        <v>1207</v>
      </c>
    </row>
    <row r="1949" spans="1:10" hidden="1">
      <c r="A1949" s="4">
        <v>2.02106264210004E+17</v>
      </c>
      <c r="B1949" s="4">
        <v>2351201457</v>
      </c>
      <c r="C1949" s="4" t="s">
        <v>10300</v>
      </c>
      <c r="D1949" s="4">
        <v>26421</v>
      </c>
      <c r="E1949" s="4">
        <v>20210603</v>
      </c>
      <c r="F1949" s="4">
        <v>20210603</v>
      </c>
      <c r="G1949" s="4">
        <v>20240603</v>
      </c>
      <c r="H1949" s="4" t="s">
        <v>10299</v>
      </c>
      <c r="I1949" s="4" t="s">
        <v>10298</v>
      </c>
      <c r="J1949" s="4" t="s">
        <v>1767</v>
      </c>
    </row>
    <row r="1950" spans="1:10" hidden="1">
      <c r="A1950" s="4">
        <v>2.02106742110004E+17</v>
      </c>
      <c r="B1950" s="4">
        <v>4218101199</v>
      </c>
      <c r="C1950" s="4" t="s">
        <v>10561</v>
      </c>
      <c r="D1950" s="4">
        <v>74211</v>
      </c>
      <c r="E1950" s="4">
        <v>20210607</v>
      </c>
      <c r="F1950" s="4">
        <v>20210607</v>
      </c>
      <c r="G1950" s="4">
        <v>20240607</v>
      </c>
      <c r="H1950" s="4" t="s">
        <v>10560</v>
      </c>
      <c r="J1950" s="4" t="s">
        <v>5576</v>
      </c>
    </row>
    <row r="1951" spans="1:10" hidden="1">
      <c r="A1951" s="4">
        <v>2.02106468000004E+17</v>
      </c>
      <c r="B1951" s="4">
        <v>5862600241</v>
      </c>
      <c r="C1951" s="4" t="s">
        <v>2175</v>
      </c>
      <c r="D1951" s="4">
        <v>46800</v>
      </c>
      <c r="E1951" s="4">
        <v>20210603</v>
      </c>
      <c r="F1951" s="4">
        <v>20210603</v>
      </c>
      <c r="G1951" s="4">
        <v>20230714</v>
      </c>
      <c r="H1951" s="4" t="s">
        <v>10295</v>
      </c>
      <c r="I1951" s="4" t="s">
        <v>10294</v>
      </c>
      <c r="J1951" s="4" t="s">
        <v>979</v>
      </c>
    </row>
    <row r="1952" spans="1:10" hidden="1">
      <c r="A1952" s="4">
        <v>2.02106475110004E+17</v>
      </c>
      <c r="B1952" s="4">
        <v>8980400803</v>
      </c>
      <c r="C1952" s="4" t="s">
        <v>10293</v>
      </c>
      <c r="D1952" s="4">
        <v>47511</v>
      </c>
      <c r="E1952" s="4">
        <v>20210603</v>
      </c>
      <c r="F1952" s="4">
        <v>20210603</v>
      </c>
      <c r="G1952" s="4">
        <v>20240603</v>
      </c>
      <c r="H1952" s="4" t="s">
        <v>10292</v>
      </c>
      <c r="J1952" s="4" t="s">
        <v>10291</v>
      </c>
    </row>
    <row r="1953" spans="1:10" hidden="1">
      <c r="A1953" s="4">
        <v>2.02106289090004E+17</v>
      </c>
      <c r="B1953" s="4">
        <v>7035300411</v>
      </c>
      <c r="C1953" s="4" t="s">
        <v>10290</v>
      </c>
      <c r="D1953" s="4">
        <v>28909</v>
      </c>
      <c r="E1953" s="4">
        <v>20210603</v>
      </c>
      <c r="F1953" s="4">
        <v>20210603</v>
      </c>
      <c r="G1953" s="4">
        <v>20240603</v>
      </c>
      <c r="H1953" s="4" t="s">
        <v>1689</v>
      </c>
      <c r="I1953" s="4" t="s">
        <v>10289</v>
      </c>
      <c r="J1953" s="4" t="s">
        <v>253</v>
      </c>
    </row>
    <row r="1954" spans="1:10" hidden="1">
      <c r="A1954" s="4">
        <v>2.02106281230004E+17</v>
      </c>
      <c r="B1954" s="4">
        <v>6128801533</v>
      </c>
      <c r="C1954" s="4" t="s">
        <v>10288</v>
      </c>
      <c r="D1954" s="4">
        <v>28123</v>
      </c>
      <c r="E1954" s="4">
        <v>20210603</v>
      </c>
      <c r="F1954" s="4">
        <v>20210603</v>
      </c>
      <c r="G1954" s="4">
        <v>20240603</v>
      </c>
      <c r="H1954" s="4" t="s">
        <v>9623</v>
      </c>
      <c r="I1954" s="4" t="s">
        <v>10287</v>
      </c>
      <c r="J1954" s="4" t="s">
        <v>640</v>
      </c>
    </row>
    <row r="1955" spans="1:10" hidden="1">
      <c r="A1955" s="4">
        <v>2.02106702090004E+17</v>
      </c>
      <c r="B1955" s="4">
        <v>4278600612</v>
      </c>
      <c r="C1955" s="4" t="s">
        <v>10286</v>
      </c>
      <c r="D1955" s="4">
        <v>70209</v>
      </c>
      <c r="E1955" s="4">
        <v>20210603</v>
      </c>
      <c r="F1955" s="4">
        <v>20210603</v>
      </c>
      <c r="G1955" s="4">
        <v>20240102</v>
      </c>
      <c r="H1955" s="4" t="s">
        <v>8420</v>
      </c>
      <c r="I1955" s="4" t="s">
        <v>10285</v>
      </c>
      <c r="J1955" s="4" t="s">
        <v>242</v>
      </c>
    </row>
    <row r="1956" spans="1:10" hidden="1">
      <c r="A1956" s="4">
        <v>2.02106421390004E+17</v>
      </c>
      <c r="B1956" s="4">
        <v>1218801100</v>
      </c>
      <c r="C1956" s="4" t="s">
        <v>10284</v>
      </c>
      <c r="D1956" s="4">
        <v>42139</v>
      </c>
      <c r="E1956" s="4">
        <v>20210603</v>
      </c>
      <c r="F1956" s="4">
        <v>20210603</v>
      </c>
      <c r="G1956" s="4">
        <v>20240603</v>
      </c>
      <c r="H1956" s="4" t="s">
        <v>10283</v>
      </c>
      <c r="I1956" s="4" t="s">
        <v>10282</v>
      </c>
      <c r="J1956" s="4" t="s">
        <v>5502</v>
      </c>
    </row>
    <row r="1957" spans="1:10" hidden="1">
      <c r="A1957" s="4">
        <v>2.02106529920004E+17</v>
      </c>
      <c r="B1957" s="4">
        <v>6648701110</v>
      </c>
      <c r="C1957" s="4" t="s">
        <v>10281</v>
      </c>
      <c r="D1957" s="4">
        <v>52992</v>
      </c>
      <c r="E1957" s="4">
        <v>20210603</v>
      </c>
      <c r="F1957" s="4">
        <v>20210603</v>
      </c>
      <c r="G1957" s="4">
        <v>20240603</v>
      </c>
      <c r="H1957" s="4" t="s">
        <v>10280</v>
      </c>
      <c r="I1957" s="4" t="s">
        <v>10279</v>
      </c>
      <c r="J1957" s="4" t="s">
        <v>10278</v>
      </c>
    </row>
    <row r="1958" spans="1:10" hidden="1">
      <c r="A1958" s="4">
        <v>2.02106339100004E+17</v>
      </c>
      <c r="B1958" s="4">
        <v>4868101221</v>
      </c>
      <c r="C1958" s="4" t="s">
        <v>10277</v>
      </c>
      <c r="D1958" s="4">
        <v>33910</v>
      </c>
      <c r="E1958" s="4">
        <v>20210603</v>
      </c>
      <c r="F1958" s="4">
        <v>20210603</v>
      </c>
      <c r="G1958" s="4">
        <v>20240603</v>
      </c>
      <c r="H1958" s="4" t="s">
        <v>10276</v>
      </c>
      <c r="I1958" s="4" t="s">
        <v>2340</v>
      </c>
      <c r="J1958" s="4" t="s">
        <v>310</v>
      </c>
    </row>
    <row r="1959" spans="1:10" hidden="1">
      <c r="A1959" s="4">
        <v>2.02106272120004E+17</v>
      </c>
      <c r="B1959" s="4">
        <v>7148800989</v>
      </c>
      <c r="C1959" s="4" t="s">
        <v>10275</v>
      </c>
      <c r="D1959" s="4">
        <v>27212</v>
      </c>
      <c r="E1959" s="4">
        <v>20210603</v>
      </c>
      <c r="F1959" s="4">
        <v>20210603</v>
      </c>
      <c r="G1959" s="4">
        <v>20240603</v>
      </c>
      <c r="H1959" s="4" t="s">
        <v>10274</v>
      </c>
      <c r="I1959" s="4" t="s">
        <v>2008</v>
      </c>
      <c r="J1959" s="4" t="s">
        <v>200</v>
      </c>
    </row>
    <row r="1960" spans="1:10" hidden="1">
      <c r="A1960" s="4">
        <v>2.02106620100004E+17</v>
      </c>
      <c r="B1960" s="4">
        <v>1198701380</v>
      </c>
      <c r="C1960" s="4" t="s">
        <v>10273</v>
      </c>
      <c r="D1960" s="4">
        <v>62010</v>
      </c>
      <c r="E1960" s="4">
        <v>20210603</v>
      </c>
      <c r="F1960" s="4">
        <v>20210603</v>
      </c>
      <c r="G1960" s="4">
        <v>20211022</v>
      </c>
      <c r="H1960" s="4" t="s">
        <v>2769</v>
      </c>
      <c r="I1960" s="4" t="s">
        <v>10272</v>
      </c>
      <c r="J1960" s="4" t="s">
        <v>118</v>
      </c>
    </row>
    <row r="1961" spans="1:10">
      <c r="A1961" s="4">
        <v>2.0210618119000499E+17</v>
      </c>
      <c r="B1961" s="4">
        <v>3021801614</v>
      </c>
      <c r="C1961" s="4" t="s">
        <v>13129</v>
      </c>
      <c r="D1961" s="4">
        <v>18119</v>
      </c>
      <c r="E1961" s="4">
        <v>20210628</v>
      </c>
      <c r="F1961" s="4">
        <v>20210628</v>
      </c>
      <c r="G1961" s="4">
        <v>20240628</v>
      </c>
      <c r="H1961" s="4" t="s">
        <v>13128</v>
      </c>
      <c r="J1961" s="4" t="s">
        <v>707</v>
      </c>
    </row>
    <row r="1962" spans="1:10" hidden="1">
      <c r="A1962" s="4">
        <v>2.02106423220004E+17</v>
      </c>
      <c r="B1962" s="4">
        <v>4758801837</v>
      </c>
      <c r="C1962" s="4" t="s">
        <v>10269</v>
      </c>
      <c r="D1962" s="4">
        <v>42322</v>
      </c>
      <c r="E1962" s="4">
        <v>20210603</v>
      </c>
      <c r="F1962" s="4">
        <v>20210603</v>
      </c>
      <c r="G1962" s="4">
        <v>20240603</v>
      </c>
      <c r="H1962" s="4" t="s">
        <v>10268</v>
      </c>
      <c r="I1962" s="4" t="s">
        <v>10267</v>
      </c>
      <c r="J1962" s="4" t="s">
        <v>2524</v>
      </c>
    </row>
    <row r="1963" spans="1:10" hidden="1">
      <c r="A1963" s="4">
        <v>2.02106465950004E+17</v>
      </c>
      <c r="B1963" s="4">
        <v>2908101974</v>
      </c>
      <c r="C1963" s="4" t="s">
        <v>10407</v>
      </c>
      <c r="D1963" s="4">
        <v>46595</v>
      </c>
      <c r="E1963" s="4">
        <v>20210604</v>
      </c>
      <c r="F1963" s="4">
        <v>20210604</v>
      </c>
      <c r="G1963" s="4">
        <v>20240604</v>
      </c>
      <c r="H1963" s="4" t="s">
        <v>10406</v>
      </c>
      <c r="I1963" s="4" t="s">
        <v>10405</v>
      </c>
      <c r="J1963" s="4" t="s">
        <v>960</v>
      </c>
    </row>
    <row r="1964" spans="1:10" hidden="1">
      <c r="A1964" s="4">
        <v>2.02106620900004E+17</v>
      </c>
      <c r="B1964" s="4">
        <v>2348800839</v>
      </c>
      <c r="C1964" s="4" t="s">
        <v>10264</v>
      </c>
      <c r="D1964" s="4">
        <v>62090</v>
      </c>
      <c r="E1964" s="4">
        <v>20210603</v>
      </c>
      <c r="F1964" s="4">
        <v>20210603</v>
      </c>
      <c r="G1964" s="4">
        <v>20240603</v>
      </c>
      <c r="H1964" s="4" t="s">
        <v>10263</v>
      </c>
      <c r="I1964" s="4" t="s">
        <v>10262</v>
      </c>
      <c r="J1964" s="4" t="s">
        <v>2030</v>
      </c>
    </row>
    <row r="1965" spans="1:10" hidden="1">
      <c r="A1965" s="4">
        <v>2.02106411290004E+17</v>
      </c>
      <c r="B1965" s="4">
        <v>6778701474</v>
      </c>
      <c r="C1965" s="4" t="s">
        <v>10261</v>
      </c>
      <c r="D1965" s="4">
        <v>41129</v>
      </c>
      <c r="E1965" s="4">
        <v>20210603</v>
      </c>
      <c r="F1965" s="4">
        <v>20210603</v>
      </c>
      <c r="G1965" s="4">
        <v>20240603</v>
      </c>
      <c r="H1965" s="4" t="s">
        <v>7980</v>
      </c>
      <c r="I1965" s="4">
        <v>318</v>
      </c>
      <c r="J1965" s="4" t="s">
        <v>4352</v>
      </c>
    </row>
    <row r="1966" spans="1:10" hidden="1">
      <c r="A1966" s="4">
        <v>2.02106729190004E+17</v>
      </c>
      <c r="B1966" s="4">
        <v>1578800658</v>
      </c>
      <c r="C1966" s="4" t="s">
        <v>10260</v>
      </c>
      <c r="D1966" s="4">
        <v>72919</v>
      </c>
      <c r="E1966" s="4">
        <v>20210603</v>
      </c>
      <c r="F1966" s="4">
        <v>20210603</v>
      </c>
      <c r="G1966" s="4">
        <v>20240329</v>
      </c>
      <c r="H1966" s="4" t="s">
        <v>1041</v>
      </c>
      <c r="I1966" s="4" t="s">
        <v>2525</v>
      </c>
      <c r="J1966" s="4" t="s">
        <v>6865</v>
      </c>
    </row>
    <row r="1967" spans="1:10" hidden="1">
      <c r="A1967" s="4">
        <v>2.02106701110004E+17</v>
      </c>
      <c r="B1967" s="4">
        <v>8458800982</v>
      </c>
      <c r="C1967" s="4" t="s">
        <v>10259</v>
      </c>
      <c r="D1967" s="4">
        <v>70111</v>
      </c>
      <c r="E1967" s="4">
        <v>20210603</v>
      </c>
      <c r="F1967" s="4">
        <v>20210603</v>
      </c>
      <c r="G1967" s="4">
        <v>20240603</v>
      </c>
      <c r="H1967" s="4" t="s">
        <v>10258</v>
      </c>
      <c r="I1967" s="4" t="s">
        <v>1156</v>
      </c>
      <c r="J1967" s="4" t="s">
        <v>399</v>
      </c>
    </row>
    <row r="1968" spans="1:10" hidden="1">
      <c r="A1968" s="4">
        <v>2.02106582220004E+17</v>
      </c>
      <c r="B1968" s="4">
        <v>1888101249</v>
      </c>
      <c r="C1968" s="4" t="s">
        <v>10257</v>
      </c>
      <c r="D1968" s="4">
        <v>58222</v>
      </c>
      <c r="E1968" s="4">
        <v>20210603</v>
      </c>
      <c r="F1968" s="4">
        <v>20210603</v>
      </c>
      <c r="G1968" s="4">
        <v>20240603</v>
      </c>
      <c r="H1968" s="4" t="s">
        <v>5044</v>
      </c>
      <c r="I1968" s="4" t="s">
        <v>10256</v>
      </c>
      <c r="J1968" s="4" t="s">
        <v>94</v>
      </c>
    </row>
    <row r="1969" spans="1:10" hidden="1">
      <c r="A1969" s="4">
        <v>2.02106261290004E+17</v>
      </c>
      <c r="B1969" s="4">
        <v>3958700215</v>
      </c>
      <c r="C1969" s="4" t="s">
        <v>10255</v>
      </c>
      <c r="D1969" s="4">
        <v>26129</v>
      </c>
      <c r="E1969" s="4">
        <v>20210603</v>
      </c>
      <c r="F1969" s="4">
        <v>20210603</v>
      </c>
      <c r="G1969" s="4">
        <v>20221019</v>
      </c>
      <c r="H1969" s="4" t="s">
        <v>1196</v>
      </c>
      <c r="I1969" s="4" t="s">
        <v>10254</v>
      </c>
      <c r="J1969" s="4" t="s">
        <v>403</v>
      </c>
    </row>
    <row r="1970" spans="1:10" hidden="1">
      <c r="A1970" s="4">
        <v>2.02106313120004E+17</v>
      </c>
      <c r="B1970" s="4">
        <v>4668600994</v>
      </c>
      <c r="C1970" s="4" t="s">
        <v>10253</v>
      </c>
      <c r="D1970" s="4">
        <v>31312</v>
      </c>
      <c r="E1970" s="4">
        <v>20210603</v>
      </c>
      <c r="F1970" s="4">
        <v>20210603</v>
      </c>
      <c r="G1970" s="4">
        <v>20240603</v>
      </c>
      <c r="H1970" s="4" t="s">
        <v>10252</v>
      </c>
      <c r="I1970" s="4" t="s">
        <v>10251</v>
      </c>
      <c r="J1970" s="4" t="s">
        <v>748</v>
      </c>
    </row>
    <row r="1971" spans="1:10" hidden="1">
      <c r="A1971" s="4">
        <v>2.02106285200004E+17</v>
      </c>
      <c r="B1971" s="4">
        <v>3058700527</v>
      </c>
      <c r="C1971" s="4" t="s">
        <v>10250</v>
      </c>
      <c r="D1971" s="4">
        <v>28520</v>
      </c>
      <c r="E1971" s="4">
        <v>20210603</v>
      </c>
      <c r="F1971" s="4">
        <v>20210603</v>
      </c>
      <c r="G1971" s="4">
        <v>20231109</v>
      </c>
      <c r="H1971" s="4" t="s">
        <v>10249</v>
      </c>
      <c r="J1971" s="4" t="s">
        <v>3425</v>
      </c>
    </row>
    <row r="1972" spans="1:10" hidden="1">
      <c r="A1972" s="4">
        <v>2.02106582210004E+17</v>
      </c>
      <c r="B1972" s="4">
        <v>8778600501</v>
      </c>
      <c r="C1972" s="4" t="s">
        <v>10248</v>
      </c>
      <c r="D1972" s="4">
        <v>58221</v>
      </c>
      <c r="E1972" s="4">
        <v>20210603</v>
      </c>
      <c r="F1972" s="4">
        <v>20210603</v>
      </c>
      <c r="G1972" s="4">
        <v>20230714</v>
      </c>
      <c r="H1972" s="4" t="s">
        <v>809</v>
      </c>
      <c r="I1972" s="4" t="s">
        <v>10247</v>
      </c>
      <c r="J1972" s="4" t="s">
        <v>228</v>
      </c>
    </row>
    <row r="1973" spans="1:10" hidden="1">
      <c r="A1973" s="4">
        <v>2.02106701130004E+17</v>
      </c>
      <c r="B1973" s="4">
        <v>1488101988</v>
      </c>
      <c r="C1973" s="4" t="s">
        <v>10246</v>
      </c>
      <c r="D1973" s="4">
        <v>70113</v>
      </c>
      <c r="E1973" s="4">
        <v>20210603</v>
      </c>
      <c r="F1973" s="4">
        <v>20210603</v>
      </c>
      <c r="G1973" s="4">
        <v>20240603</v>
      </c>
      <c r="H1973" s="4" t="s">
        <v>10245</v>
      </c>
      <c r="I1973" s="4" t="s">
        <v>10244</v>
      </c>
      <c r="J1973" s="4" t="s">
        <v>1173</v>
      </c>
    </row>
    <row r="1974" spans="1:10" hidden="1">
      <c r="A1974" s="4">
        <v>2.02106721110004E+17</v>
      </c>
      <c r="B1974" s="4">
        <v>4410601672</v>
      </c>
      <c r="C1974" s="4" t="s">
        <v>10304</v>
      </c>
      <c r="D1974" s="4">
        <v>72111</v>
      </c>
      <c r="E1974" s="4">
        <v>20210603</v>
      </c>
      <c r="F1974" s="4">
        <v>20210603</v>
      </c>
      <c r="G1974" s="4">
        <v>20240603</v>
      </c>
      <c r="H1974" s="4" t="s">
        <v>3772</v>
      </c>
      <c r="I1974" s="4" t="s">
        <v>10303</v>
      </c>
      <c r="J1974" s="4" t="s">
        <v>3461</v>
      </c>
    </row>
    <row r="1975" spans="1:10" hidden="1">
      <c r="A1975" s="4">
        <v>2.02106582210004E+17</v>
      </c>
      <c r="B1975" s="4">
        <v>3568101269</v>
      </c>
      <c r="C1975" s="4" t="s">
        <v>10240</v>
      </c>
      <c r="D1975" s="4">
        <v>58221</v>
      </c>
      <c r="E1975" s="4">
        <v>20210603</v>
      </c>
      <c r="F1975" s="4">
        <v>20210603</v>
      </c>
      <c r="G1975" s="4">
        <v>20240603</v>
      </c>
      <c r="H1975" s="4" t="s">
        <v>10239</v>
      </c>
      <c r="I1975" s="4" t="s">
        <v>10238</v>
      </c>
      <c r="J1975" s="4" t="s">
        <v>228</v>
      </c>
    </row>
    <row r="1976" spans="1:10" hidden="1">
      <c r="A1976" s="4">
        <v>2.02106582220004E+17</v>
      </c>
      <c r="B1976" s="4">
        <v>3188700805</v>
      </c>
      <c r="C1976" s="4" t="s">
        <v>10237</v>
      </c>
      <c r="D1976" s="4">
        <v>58222</v>
      </c>
      <c r="E1976" s="4">
        <v>20210603</v>
      </c>
      <c r="F1976" s="4">
        <v>20210603</v>
      </c>
      <c r="G1976" s="4">
        <v>20240603</v>
      </c>
      <c r="H1976" s="4" t="s">
        <v>2293</v>
      </c>
      <c r="J1976" s="4" t="s">
        <v>94</v>
      </c>
    </row>
    <row r="1977" spans="1:10" hidden="1">
      <c r="A1977" s="4">
        <v>2.02106292990004E+17</v>
      </c>
      <c r="B1977" s="4">
        <v>2418801893</v>
      </c>
      <c r="C1977" s="4" t="s">
        <v>10236</v>
      </c>
      <c r="D1977" s="4">
        <v>29299</v>
      </c>
      <c r="E1977" s="4">
        <v>20210603</v>
      </c>
      <c r="F1977" s="4">
        <v>20210603</v>
      </c>
      <c r="G1977" s="4">
        <v>20240603</v>
      </c>
      <c r="H1977" s="4" t="s">
        <v>10235</v>
      </c>
      <c r="I1977" s="4" t="s">
        <v>10234</v>
      </c>
      <c r="J1977" s="4" t="s">
        <v>137</v>
      </c>
    </row>
    <row r="1978" spans="1:10" hidden="1">
      <c r="A1978" s="4">
        <v>2.02106639910004E+17</v>
      </c>
      <c r="B1978" s="4">
        <v>6358600697</v>
      </c>
      <c r="C1978" s="4" t="s">
        <v>10233</v>
      </c>
      <c r="D1978" s="4">
        <v>63991</v>
      </c>
      <c r="E1978" s="4">
        <v>20210603</v>
      </c>
      <c r="F1978" s="4">
        <v>20210603</v>
      </c>
      <c r="G1978" s="4">
        <v>20240523</v>
      </c>
      <c r="H1978" s="4" t="s">
        <v>10232</v>
      </c>
      <c r="I1978" s="4" t="s">
        <v>10231</v>
      </c>
      <c r="J1978" s="4" t="s">
        <v>395</v>
      </c>
    </row>
    <row r="1979" spans="1:10" hidden="1">
      <c r="A1979" s="4">
        <v>2.02106701110004E+17</v>
      </c>
      <c r="B1979" s="4">
        <v>8968700402</v>
      </c>
      <c r="C1979" s="4" t="s">
        <v>10230</v>
      </c>
      <c r="D1979" s="4">
        <v>70111</v>
      </c>
      <c r="E1979" s="4">
        <v>20210603</v>
      </c>
      <c r="F1979" s="4">
        <v>20210603</v>
      </c>
      <c r="G1979" s="4">
        <v>20230426</v>
      </c>
      <c r="H1979" s="4" t="s">
        <v>10229</v>
      </c>
      <c r="J1979" s="4" t="s">
        <v>399</v>
      </c>
    </row>
    <row r="1980" spans="1:10" hidden="1">
      <c r="A1980" s="4">
        <v>2.02106465100004E+17</v>
      </c>
      <c r="B1980" s="4">
        <v>6928101170</v>
      </c>
      <c r="C1980" s="4" t="s">
        <v>10228</v>
      </c>
      <c r="D1980" s="4">
        <v>46510</v>
      </c>
      <c r="E1980" s="4">
        <v>20210603</v>
      </c>
      <c r="F1980" s="4">
        <v>20210603</v>
      </c>
      <c r="G1980" s="4">
        <v>20240603</v>
      </c>
      <c r="H1980" s="4" t="s">
        <v>4693</v>
      </c>
      <c r="I1980" s="4" t="s">
        <v>10227</v>
      </c>
      <c r="J1980" s="4" t="s">
        <v>126</v>
      </c>
    </row>
    <row r="1981" spans="1:10" hidden="1">
      <c r="A1981" s="4">
        <v>2.02106213000004E+17</v>
      </c>
      <c r="B1981" s="4">
        <v>3508801917</v>
      </c>
      <c r="C1981" s="4" t="s">
        <v>10226</v>
      </c>
      <c r="D1981" s="4">
        <v>21300</v>
      </c>
      <c r="E1981" s="4">
        <v>20210603</v>
      </c>
      <c r="F1981" s="4">
        <v>20210603</v>
      </c>
      <c r="G1981" s="4">
        <v>20240603</v>
      </c>
      <c r="H1981" s="4" t="s">
        <v>10225</v>
      </c>
      <c r="I1981" s="4" t="s">
        <v>10224</v>
      </c>
      <c r="J1981" s="4" t="s">
        <v>530</v>
      </c>
    </row>
    <row r="1982" spans="1:10" hidden="1">
      <c r="A1982" s="4">
        <v>2.02106620210004E+17</v>
      </c>
      <c r="B1982" s="4">
        <v>3108600876</v>
      </c>
      <c r="C1982" s="4" t="s">
        <v>10223</v>
      </c>
      <c r="D1982" s="4">
        <v>62021</v>
      </c>
      <c r="E1982" s="4">
        <v>20210603</v>
      </c>
      <c r="F1982" s="4">
        <v>20210603</v>
      </c>
      <c r="G1982" s="4">
        <v>20240603</v>
      </c>
      <c r="H1982" s="4" t="s">
        <v>2446</v>
      </c>
      <c r="I1982" s="4" t="s">
        <v>831</v>
      </c>
      <c r="J1982" s="4" t="s">
        <v>1505</v>
      </c>
    </row>
    <row r="1983" spans="1:10" hidden="1">
      <c r="A1983" s="4">
        <v>2.02106271990004E+17</v>
      </c>
      <c r="B1983" s="4">
        <v>6768100183</v>
      </c>
      <c r="C1983" s="4" t="s">
        <v>10222</v>
      </c>
      <c r="D1983" s="4">
        <v>27199</v>
      </c>
      <c r="E1983" s="4">
        <v>20210603</v>
      </c>
      <c r="F1983" s="4">
        <v>20210603</v>
      </c>
      <c r="G1983" s="4">
        <v>20220909</v>
      </c>
      <c r="H1983" s="4" t="s">
        <v>10221</v>
      </c>
      <c r="I1983" s="4" t="s">
        <v>134</v>
      </c>
      <c r="J1983" s="4" t="s">
        <v>418</v>
      </c>
    </row>
    <row r="1984" spans="1:10" hidden="1">
      <c r="A1984" s="4">
        <v>2.02106281210004E+17</v>
      </c>
      <c r="B1984" s="4">
        <v>6033904974</v>
      </c>
      <c r="C1984" s="4" t="s">
        <v>10297</v>
      </c>
      <c r="D1984" s="4">
        <v>28121</v>
      </c>
      <c r="E1984" s="4">
        <v>20210603</v>
      </c>
      <c r="F1984" s="4">
        <v>20210603</v>
      </c>
      <c r="G1984" s="4">
        <v>20230330</v>
      </c>
      <c r="H1984" s="4" t="s">
        <v>3772</v>
      </c>
      <c r="I1984" s="4" t="s">
        <v>10296</v>
      </c>
      <c r="J1984" s="4" t="s">
        <v>682</v>
      </c>
    </row>
    <row r="1985" spans="1:10" hidden="1">
      <c r="A1985" s="4">
        <v>2.02106222990004E+17</v>
      </c>
      <c r="B1985" s="4">
        <v>5538700392</v>
      </c>
      <c r="C1985" s="4" t="s">
        <v>10218</v>
      </c>
      <c r="D1985" s="4">
        <v>22299</v>
      </c>
      <c r="E1985" s="4">
        <v>20210603</v>
      </c>
      <c r="F1985" s="4">
        <v>20210603</v>
      </c>
      <c r="G1985" s="4">
        <v>20230720</v>
      </c>
      <c r="H1985" s="4" t="s">
        <v>10217</v>
      </c>
      <c r="J1985" s="4" t="s">
        <v>384</v>
      </c>
    </row>
    <row r="1986" spans="1:10" hidden="1">
      <c r="A1986" s="4">
        <v>2.02106582210004E+17</v>
      </c>
      <c r="B1986" s="4">
        <v>6038800597</v>
      </c>
      <c r="C1986" s="4" t="s">
        <v>10216</v>
      </c>
      <c r="D1986" s="4">
        <v>58221</v>
      </c>
      <c r="E1986" s="4">
        <v>20210603</v>
      </c>
      <c r="F1986" s="4">
        <v>20210603</v>
      </c>
      <c r="G1986" s="4">
        <v>20231201</v>
      </c>
      <c r="H1986" s="4" t="s">
        <v>4824</v>
      </c>
      <c r="I1986" s="4" t="s">
        <v>10215</v>
      </c>
      <c r="J1986" s="4" t="s">
        <v>228</v>
      </c>
    </row>
    <row r="1987" spans="1:10" hidden="1">
      <c r="A1987" s="4">
        <v>2.02106271990004E+17</v>
      </c>
      <c r="B1987" s="4">
        <v>3128669610</v>
      </c>
      <c r="C1987" s="4" t="s">
        <v>10214</v>
      </c>
      <c r="D1987" s="4">
        <v>27199</v>
      </c>
      <c r="E1987" s="4">
        <v>20210603</v>
      </c>
      <c r="F1987" s="4">
        <v>20210603</v>
      </c>
      <c r="G1987" s="4">
        <v>20210821</v>
      </c>
      <c r="H1987" s="4" t="s">
        <v>3077</v>
      </c>
      <c r="I1987" s="4" t="s">
        <v>10213</v>
      </c>
      <c r="J1987" s="4" t="s">
        <v>418</v>
      </c>
    </row>
    <row r="1988" spans="1:10" hidden="1">
      <c r="A1988" s="4">
        <v>2.02106285190004E+17</v>
      </c>
      <c r="B1988" s="4">
        <v>6128701142</v>
      </c>
      <c r="C1988" s="4" t="s">
        <v>10212</v>
      </c>
      <c r="D1988" s="4">
        <v>28519</v>
      </c>
      <c r="E1988" s="4">
        <v>20210603</v>
      </c>
      <c r="F1988" s="4">
        <v>20210603</v>
      </c>
      <c r="G1988" s="4">
        <v>20240603</v>
      </c>
      <c r="H1988" s="4" t="s">
        <v>6173</v>
      </c>
      <c r="I1988" s="4" t="s">
        <v>10211</v>
      </c>
      <c r="J1988" s="4" t="s">
        <v>1412</v>
      </c>
    </row>
    <row r="1989" spans="1:10" hidden="1">
      <c r="A1989" s="4">
        <v>2.02106320910004E+17</v>
      </c>
      <c r="B1989" s="4">
        <v>6258701662</v>
      </c>
      <c r="C1989" s="4" t="s">
        <v>10210</v>
      </c>
      <c r="D1989" s="4">
        <v>32091</v>
      </c>
      <c r="E1989" s="4">
        <v>20210603</v>
      </c>
      <c r="F1989" s="4">
        <v>20210603</v>
      </c>
      <c r="G1989" s="4">
        <v>20240603</v>
      </c>
      <c r="H1989" s="4" t="s">
        <v>10209</v>
      </c>
      <c r="I1989" s="4" t="s">
        <v>10208</v>
      </c>
      <c r="J1989" s="4" t="s">
        <v>908</v>
      </c>
    </row>
    <row r="1990" spans="1:10" hidden="1">
      <c r="A1990" s="4">
        <v>2.02106262940004E+17</v>
      </c>
      <c r="B1990" s="4">
        <v>7308101109</v>
      </c>
      <c r="C1990" s="4" t="s">
        <v>10207</v>
      </c>
      <c r="D1990" s="4">
        <v>26294</v>
      </c>
      <c r="E1990" s="4">
        <v>20210603</v>
      </c>
      <c r="F1990" s="4">
        <v>20210603</v>
      </c>
      <c r="G1990" s="4">
        <v>20240603</v>
      </c>
      <c r="H1990" s="4" t="s">
        <v>10206</v>
      </c>
      <c r="I1990" s="4" t="s">
        <v>10205</v>
      </c>
      <c r="J1990" s="4" t="s">
        <v>5589</v>
      </c>
    </row>
    <row r="1991" spans="1:10" hidden="1">
      <c r="A1991" s="4">
        <v>2.02106461020004E+17</v>
      </c>
      <c r="B1991" s="4">
        <v>4233900654</v>
      </c>
      <c r="C1991" s="4" t="s">
        <v>10204</v>
      </c>
      <c r="D1991" s="4">
        <v>46102</v>
      </c>
      <c r="E1991" s="4">
        <v>20210603</v>
      </c>
      <c r="F1991" s="4">
        <v>20210603</v>
      </c>
      <c r="G1991" s="4">
        <v>20240603</v>
      </c>
      <c r="H1991" s="4" t="s">
        <v>10203</v>
      </c>
      <c r="I1991" s="4" t="s">
        <v>2525</v>
      </c>
      <c r="J1991" s="4" t="s">
        <v>10137</v>
      </c>
    </row>
    <row r="1992" spans="1:10" hidden="1">
      <c r="A1992" s="4">
        <v>2.02106291710004E+17</v>
      </c>
      <c r="B1992" s="4">
        <v>6425400336</v>
      </c>
      <c r="C1992" s="4" t="s">
        <v>10202</v>
      </c>
      <c r="D1992" s="4">
        <v>29171</v>
      </c>
      <c r="E1992" s="4">
        <v>20210603</v>
      </c>
      <c r="F1992" s="4">
        <v>20210603</v>
      </c>
      <c r="G1992" s="4">
        <v>20240603</v>
      </c>
      <c r="H1992" s="4" t="s">
        <v>10201</v>
      </c>
      <c r="J1992" s="4" t="s">
        <v>2082</v>
      </c>
    </row>
    <row r="1993" spans="1:10" hidden="1">
      <c r="A1993" s="4">
        <v>2.02106281110004E+17</v>
      </c>
      <c r="B1993" s="4">
        <v>4388702112</v>
      </c>
      <c r="C1993" s="4" t="s">
        <v>10200</v>
      </c>
      <c r="D1993" s="4">
        <v>28111</v>
      </c>
      <c r="E1993" s="4">
        <v>20210603</v>
      </c>
      <c r="F1993" s="4">
        <v>20210603</v>
      </c>
      <c r="G1993" s="4">
        <v>20240603</v>
      </c>
      <c r="H1993" s="4" t="s">
        <v>1891</v>
      </c>
      <c r="I1993" s="4" t="s">
        <v>10199</v>
      </c>
      <c r="J1993" s="4" t="s">
        <v>1614</v>
      </c>
    </row>
    <row r="1994" spans="1:10" hidden="1">
      <c r="A1994" s="4">
        <v>2.02106291200004E+17</v>
      </c>
      <c r="B1994" s="4">
        <v>2278600763</v>
      </c>
      <c r="C1994" s="4" t="s">
        <v>10198</v>
      </c>
      <c r="D1994" s="4">
        <v>29120</v>
      </c>
      <c r="E1994" s="4">
        <v>20210603</v>
      </c>
      <c r="F1994" s="4">
        <v>20210603</v>
      </c>
      <c r="G1994" s="4">
        <v>20240421</v>
      </c>
      <c r="H1994" s="4" t="s">
        <v>1154</v>
      </c>
      <c r="I1994" s="4" t="s">
        <v>10197</v>
      </c>
      <c r="J1994" s="4" t="s">
        <v>1188</v>
      </c>
    </row>
    <row r="1995" spans="1:10" hidden="1">
      <c r="A1995" s="4">
        <v>2.02106742110004E+17</v>
      </c>
      <c r="B1995" s="4">
        <v>1591700028</v>
      </c>
      <c r="C1995" s="4" t="s">
        <v>10196</v>
      </c>
      <c r="D1995" s="4">
        <v>74211</v>
      </c>
      <c r="E1995" s="4">
        <v>20210603</v>
      </c>
      <c r="F1995" s="4">
        <v>20210603</v>
      </c>
      <c r="G1995" s="4">
        <v>20220309</v>
      </c>
      <c r="H1995" s="4" t="s">
        <v>10195</v>
      </c>
      <c r="I1995" s="4" t="s">
        <v>91</v>
      </c>
      <c r="J1995" s="4" t="s">
        <v>5576</v>
      </c>
    </row>
    <row r="1996" spans="1:10" hidden="1">
      <c r="A1996" s="4">
        <v>2.02106759920004E+17</v>
      </c>
      <c r="B1996" s="4">
        <v>2628101038</v>
      </c>
      <c r="C1996" s="4" t="s">
        <v>10194</v>
      </c>
      <c r="D1996" s="4">
        <v>75992</v>
      </c>
      <c r="E1996" s="4">
        <v>20210602</v>
      </c>
      <c r="F1996" s="4">
        <v>20210602</v>
      </c>
      <c r="G1996" s="4">
        <v>20240602</v>
      </c>
      <c r="H1996" s="4" t="s">
        <v>10193</v>
      </c>
      <c r="I1996" s="4" t="s">
        <v>10192</v>
      </c>
      <c r="J1996" s="4" t="s">
        <v>111</v>
      </c>
    </row>
    <row r="1997" spans="1:10" hidden="1">
      <c r="A1997" s="4">
        <v>2.02106591200004E+17</v>
      </c>
      <c r="B1997" s="4">
        <v>1938102158</v>
      </c>
      <c r="C1997" s="4" t="s">
        <v>10191</v>
      </c>
      <c r="D1997" s="4">
        <v>59120</v>
      </c>
      <c r="E1997" s="4">
        <v>20210602</v>
      </c>
      <c r="F1997" s="4">
        <v>20210602</v>
      </c>
      <c r="G1997" s="4">
        <v>20240602</v>
      </c>
      <c r="H1997" s="4" t="s">
        <v>10190</v>
      </c>
      <c r="I1997" s="4" t="s">
        <v>2919</v>
      </c>
      <c r="J1997" s="4" t="s">
        <v>2961</v>
      </c>
    </row>
    <row r="1998" spans="1:10" hidden="1">
      <c r="A1998" s="4">
        <v>2.02106620210004E+17</v>
      </c>
      <c r="B1998" s="4">
        <v>7968801791</v>
      </c>
      <c r="C1998" s="4" t="s">
        <v>10189</v>
      </c>
      <c r="D1998" s="4">
        <v>62021</v>
      </c>
      <c r="E1998" s="4">
        <v>20210602</v>
      </c>
      <c r="F1998" s="4">
        <v>20210602</v>
      </c>
      <c r="G1998" s="4">
        <v>20240602</v>
      </c>
      <c r="H1998" s="4" t="s">
        <v>5639</v>
      </c>
      <c r="I1998" s="4" t="s">
        <v>8409</v>
      </c>
      <c r="J1998" s="4" t="s">
        <v>1505</v>
      </c>
    </row>
    <row r="1999" spans="1:10" hidden="1">
      <c r="A1999" s="4">
        <v>2.02106239910004E+17</v>
      </c>
      <c r="B1999" s="4">
        <v>3288601804</v>
      </c>
      <c r="C1999" s="4" t="s">
        <v>10188</v>
      </c>
      <c r="D1999" s="4">
        <v>23991</v>
      </c>
      <c r="E1999" s="4">
        <v>20210602</v>
      </c>
      <c r="F1999" s="4">
        <v>20210602</v>
      </c>
      <c r="G1999" s="4">
        <v>20240602</v>
      </c>
      <c r="H1999" s="4" t="s">
        <v>10187</v>
      </c>
      <c r="I1999" s="4" t="s">
        <v>3492</v>
      </c>
      <c r="J1999" s="4" t="s">
        <v>10186</v>
      </c>
    </row>
    <row r="2000" spans="1:10" hidden="1">
      <c r="A2000" s="4">
        <v>2.02106103090004E+17</v>
      </c>
      <c r="B2000" s="4">
        <v>5078114514</v>
      </c>
      <c r="C2000" s="4" t="s">
        <v>10185</v>
      </c>
      <c r="D2000" s="4">
        <v>10309</v>
      </c>
      <c r="E2000" s="4">
        <v>20210602</v>
      </c>
      <c r="F2000" s="4">
        <v>20210602</v>
      </c>
      <c r="G2000" s="4">
        <v>20240306</v>
      </c>
      <c r="H2000" s="4" t="s">
        <v>3962</v>
      </c>
      <c r="I2000" s="4" t="s">
        <v>10184</v>
      </c>
      <c r="J2000" s="4" t="s">
        <v>519</v>
      </c>
    </row>
    <row r="2001" spans="1:10" hidden="1">
      <c r="A2001" s="4">
        <v>2.02106132210004E+17</v>
      </c>
      <c r="B2001" s="4">
        <v>8641100846</v>
      </c>
      <c r="C2001" s="4" t="s">
        <v>10183</v>
      </c>
      <c r="D2001" s="4">
        <v>13221</v>
      </c>
      <c r="E2001" s="4">
        <v>20210602</v>
      </c>
      <c r="F2001" s="4">
        <v>20210602</v>
      </c>
      <c r="G2001" s="4">
        <v>20240602</v>
      </c>
      <c r="H2001" s="4" t="s">
        <v>10182</v>
      </c>
      <c r="I2001" s="4" t="s">
        <v>10181</v>
      </c>
      <c r="J2001" s="4" t="s">
        <v>307</v>
      </c>
    </row>
    <row r="2002" spans="1:10" hidden="1">
      <c r="A2002" s="4">
        <v>2.02106857090004E+17</v>
      </c>
      <c r="B2002" s="4">
        <v>7358100522</v>
      </c>
      <c r="C2002" s="4" t="s">
        <v>10180</v>
      </c>
      <c r="D2002" s="4">
        <v>85709</v>
      </c>
      <c r="E2002" s="4">
        <v>20210602</v>
      </c>
      <c r="F2002" s="4">
        <v>20210602</v>
      </c>
      <c r="G2002" s="4">
        <v>20230525</v>
      </c>
      <c r="H2002" s="4" t="s">
        <v>10179</v>
      </c>
      <c r="I2002" s="4" t="s">
        <v>149</v>
      </c>
      <c r="J2002" s="4" t="s">
        <v>141</v>
      </c>
    </row>
    <row r="2003" spans="1:10" hidden="1">
      <c r="A2003" s="4">
        <v>2.02106264290004E+17</v>
      </c>
      <c r="B2003" s="4">
        <v>5138600854</v>
      </c>
      <c r="C2003" s="4" t="s">
        <v>10178</v>
      </c>
      <c r="D2003" s="4">
        <v>26429</v>
      </c>
      <c r="E2003" s="4">
        <v>20210602</v>
      </c>
      <c r="F2003" s="4">
        <v>20210602</v>
      </c>
      <c r="G2003" s="4">
        <v>20240602</v>
      </c>
      <c r="H2003" s="4" t="s">
        <v>474</v>
      </c>
      <c r="I2003" s="4" t="s">
        <v>10177</v>
      </c>
      <c r="J2003" s="4" t="s">
        <v>422</v>
      </c>
    </row>
    <row r="2004" spans="1:10" hidden="1">
      <c r="A2004" s="4">
        <v>2.02106702090004E+17</v>
      </c>
      <c r="B2004" s="4">
        <v>1678102218</v>
      </c>
      <c r="C2004" s="4" t="s">
        <v>10176</v>
      </c>
      <c r="D2004" s="4">
        <v>70209</v>
      </c>
      <c r="E2004" s="4">
        <v>20210602</v>
      </c>
      <c r="F2004" s="4">
        <v>20210602</v>
      </c>
      <c r="G2004" s="4">
        <v>20240602</v>
      </c>
      <c r="H2004" s="4" t="s">
        <v>10175</v>
      </c>
      <c r="I2004" s="4" t="s">
        <v>10174</v>
      </c>
      <c r="J2004" s="4" t="s">
        <v>242</v>
      </c>
    </row>
    <row r="2005" spans="1:10" hidden="1">
      <c r="A2005" s="4">
        <v>2.02106285190004E+17</v>
      </c>
      <c r="B2005" s="4">
        <v>5536600102</v>
      </c>
      <c r="C2005" s="4" t="s">
        <v>10173</v>
      </c>
      <c r="D2005" s="4">
        <v>28519</v>
      </c>
      <c r="E2005" s="4">
        <v>20210602</v>
      </c>
      <c r="F2005" s="4">
        <v>20210602</v>
      </c>
      <c r="G2005" s="4">
        <v>20231116</v>
      </c>
      <c r="H2005" s="4" t="s">
        <v>10172</v>
      </c>
      <c r="I2005" s="4" t="s">
        <v>1354</v>
      </c>
      <c r="J2005" s="4" t="s">
        <v>1412</v>
      </c>
    </row>
    <row r="2006" spans="1:10" hidden="1">
      <c r="A2006" s="4">
        <v>2.02106479120004E+17</v>
      </c>
      <c r="B2006" s="4">
        <v>6442200632</v>
      </c>
      <c r="C2006" s="4" t="s">
        <v>10171</v>
      </c>
      <c r="D2006" s="4">
        <v>47912</v>
      </c>
      <c r="E2006" s="4">
        <v>20210602</v>
      </c>
      <c r="F2006" s="4">
        <v>20210602</v>
      </c>
      <c r="G2006" s="4">
        <v>20240602</v>
      </c>
      <c r="H2006" s="4" t="s">
        <v>10170</v>
      </c>
      <c r="I2006" s="4" t="s">
        <v>10169</v>
      </c>
      <c r="J2006" s="4" t="s">
        <v>78</v>
      </c>
    </row>
    <row r="2007" spans="1:10" hidden="1">
      <c r="A2007" s="4">
        <v>2.02106465210004E+17</v>
      </c>
      <c r="B2007" s="4">
        <v>7011300554</v>
      </c>
      <c r="C2007" s="4" t="s">
        <v>10168</v>
      </c>
      <c r="D2007" s="4">
        <v>46521</v>
      </c>
      <c r="E2007" s="4">
        <v>20210602</v>
      </c>
      <c r="F2007" s="4">
        <v>20210602</v>
      </c>
      <c r="G2007" s="4">
        <v>20240602</v>
      </c>
      <c r="H2007" s="4" t="s">
        <v>10167</v>
      </c>
      <c r="I2007" s="4" t="s">
        <v>10166</v>
      </c>
      <c r="J2007" s="4" t="s">
        <v>6178</v>
      </c>
    </row>
    <row r="2008" spans="1:10" hidden="1">
      <c r="A2008" s="4">
        <v>2.02106701130004E+17</v>
      </c>
      <c r="B2008" s="4">
        <v>3798101729</v>
      </c>
      <c r="C2008" s="4" t="s">
        <v>10165</v>
      </c>
      <c r="D2008" s="4">
        <v>70113</v>
      </c>
      <c r="E2008" s="4">
        <v>20210602</v>
      </c>
      <c r="F2008" s="4">
        <v>20210602</v>
      </c>
      <c r="G2008" s="4">
        <v>20240602</v>
      </c>
      <c r="H2008" s="4" t="s">
        <v>8279</v>
      </c>
      <c r="I2008" s="4" t="s">
        <v>10164</v>
      </c>
      <c r="J2008" s="4" t="s">
        <v>1173</v>
      </c>
    </row>
    <row r="2009" spans="1:10" hidden="1">
      <c r="A2009" s="4">
        <v>2.02106582220004E+17</v>
      </c>
      <c r="B2009" s="4">
        <v>1928801228</v>
      </c>
      <c r="C2009" s="4" t="s">
        <v>10163</v>
      </c>
      <c r="D2009" s="4">
        <v>58222</v>
      </c>
      <c r="E2009" s="4">
        <v>20210602</v>
      </c>
      <c r="F2009" s="4">
        <v>20210602</v>
      </c>
      <c r="G2009" s="4">
        <v>20240602</v>
      </c>
      <c r="H2009" s="4" t="s">
        <v>10162</v>
      </c>
      <c r="I2009" s="4" t="s">
        <v>6814</v>
      </c>
      <c r="J2009" s="4" t="s">
        <v>94</v>
      </c>
    </row>
    <row r="2010" spans="1:10" hidden="1">
      <c r="A2010" s="4">
        <v>2.02106292920004E+17</v>
      </c>
      <c r="B2010" s="4">
        <v>1358650964</v>
      </c>
      <c r="C2010" s="4" t="s">
        <v>10161</v>
      </c>
      <c r="D2010" s="4">
        <v>29292</v>
      </c>
      <c r="E2010" s="4">
        <v>20210602</v>
      </c>
      <c r="F2010" s="4">
        <v>20210602</v>
      </c>
      <c r="G2010" s="4">
        <v>20211216</v>
      </c>
      <c r="H2010" s="4" t="s">
        <v>10160</v>
      </c>
      <c r="J2010" s="4" t="s">
        <v>6927</v>
      </c>
    </row>
    <row r="2011" spans="1:10" hidden="1">
      <c r="A2011" s="4">
        <v>2.02106759920004E+17</v>
      </c>
      <c r="B2011" s="4">
        <v>2448801704</v>
      </c>
      <c r="C2011" s="4" t="s">
        <v>10159</v>
      </c>
      <c r="D2011" s="4">
        <v>75992</v>
      </c>
      <c r="E2011" s="4">
        <v>20210602</v>
      </c>
      <c r="F2011" s="4">
        <v>20210602</v>
      </c>
      <c r="G2011" s="4">
        <v>20240602</v>
      </c>
      <c r="H2011" s="4" t="s">
        <v>10158</v>
      </c>
      <c r="I2011" s="4" t="s">
        <v>7973</v>
      </c>
      <c r="J2011" s="4" t="s">
        <v>111</v>
      </c>
    </row>
    <row r="2012" spans="1:10" hidden="1">
      <c r="A2012" s="4">
        <v>2.02106222110004E+17</v>
      </c>
      <c r="B2012" s="4">
        <v>7178102013</v>
      </c>
      <c r="C2012" s="4" t="s">
        <v>10157</v>
      </c>
      <c r="D2012" s="4">
        <v>22211</v>
      </c>
      <c r="E2012" s="4">
        <v>20210602</v>
      </c>
      <c r="F2012" s="4">
        <v>20210602</v>
      </c>
      <c r="G2012" s="4">
        <v>20240602</v>
      </c>
      <c r="H2012" s="4" t="s">
        <v>10156</v>
      </c>
      <c r="J2012" s="4" t="s">
        <v>1820</v>
      </c>
    </row>
    <row r="2013" spans="1:10" hidden="1">
      <c r="A2013" s="4">
        <v>2.02106582220004E+17</v>
      </c>
      <c r="B2013" s="4">
        <v>3308601850</v>
      </c>
      <c r="C2013" s="4" t="s">
        <v>10155</v>
      </c>
      <c r="D2013" s="4">
        <v>58222</v>
      </c>
      <c r="E2013" s="4">
        <v>20210602</v>
      </c>
      <c r="F2013" s="4">
        <v>20210602</v>
      </c>
      <c r="G2013" s="4">
        <v>20240602</v>
      </c>
      <c r="H2013" s="4" t="s">
        <v>7407</v>
      </c>
      <c r="I2013" s="4">
        <v>601</v>
      </c>
      <c r="J2013" s="4" t="s">
        <v>94</v>
      </c>
    </row>
    <row r="2014" spans="1:10" hidden="1">
      <c r="A2014" s="4">
        <v>2.02106732030004E+17</v>
      </c>
      <c r="B2014" s="4">
        <v>1508801205</v>
      </c>
      <c r="C2014" s="4" t="s">
        <v>10154</v>
      </c>
      <c r="D2014" s="4">
        <v>73203</v>
      </c>
      <c r="E2014" s="4">
        <v>20210602</v>
      </c>
      <c r="F2014" s="4">
        <v>20210602</v>
      </c>
      <c r="G2014" s="4">
        <v>20240602</v>
      </c>
      <c r="H2014" s="4" t="s">
        <v>474</v>
      </c>
      <c r="I2014" s="4" t="s">
        <v>10153</v>
      </c>
      <c r="J2014" s="4" t="s">
        <v>260</v>
      </c>
    </row>
    <row r="2015" spans="1:10" hidden="1">
      <c r="A2015" s="4">
        <v>2.02106107420004E+17</v>
      </c>
      <c r="B2015" s="4">
        <v>8628101987</v>
      </c>
      <c r="C2015" s="4" t="s">
        <v>10152</v>
      </c>
      <c r="D2015" s="4">
        <v>10742</v>
      </c>
      <c r="E2015" s="4">
        <v>20210602</v>
      </c>
      <c r="F2015" s="4">
        <v>20210602</v>
      </c>
      <c r="G2015" s="4">
        <v>20220330</v>
      </c>
      <c r="H2015" s="4" t="s">
        <v>474</v>
      </c>
      <c r="I2015" s="4" t="s">
        <v>10151</v>
      </c>
      <c r="J2015" s="4" t="s">
        <v>2876</v>
      </c>
    </row>
    <row r="2016" spans="1:10" hidden="1">
      <c r="A2016" s="4">
        <v>2.02106582210004E+17</v>
      </c>
      <c r="B2016" s="4">
        <v>4558700012</v>
      </c>
      <c r="C2016" s="4" t="s">
        <v>10150</v>
      </c>
      <c r="D2016" s="4">
        <v>58221</v>
      </c>
      <c r="E2016" s="4">
        <v>20210602</v>
      </c>
      <c r="F2016" s="4">
        <v>20210602</v>
      </c>
      <c r="G2016" s="4">
        <v>20220217</v>
      </c>
      <c r="H2016" s="4" t="s">
        <v>10149</v>
      </c>
      <c r="I2016" s="4" t="s">
        <v>149</v>
      </c>
      <c r="J2016" s="4" t="s">
        <v>228</v>
      </c>
    </row>
    <row r="2017" spans="1:10" hidden="1">
      <c r="A2017" s="4">
        <v>2.02106261110004E+17</v>
      </c>
      <c r="B2017" s="4">
        <v>6848800295</v>
      </c>
      <c r="C2017" s="4" t="s">
        <v>10148</v>
      </c>
      <c r="D2017" s="4">
        <v>26111</v>
      </c>
      <c r="E2017" s="4">
        <v>20210602</v>
      </c>
      <c r="F2017" s="4">
        <v>20210602</v>
      </c>
      <c r="G2017" s="4">
        <v>20230222</v>
      </c>
      <c r="H2017" s="4" t="s">
        <v>7868</v>
      </c>
      <c r="I2017" s="4" t="s">
        <v>10147</v>
      </c>
      <c r="J2017" s="4" t="s">
        <v>6729</v>
      </c>
    </row>
    <row r="2018" spans="1:10" hidden="1">
      <c r="A2018" s="4">
        <v>2.02106251130004E+17</v>
      </c>
      <c r="B2018" s="4">
        <v>2358700631</v>
      </c>
      <c r="C2018" s="4" t="s">
        <v>10146</v>
      </c>
      <c r="D2018" s="4">
        <v>25113</v>
      </c>
      <c r="E2018" s="4">
        <v>20210602</v>
      </c>
      <c r="F2018" s="4">
        <v>20210602</v>
      </c>
      <c r="G2018" s="4">
        <v>20240112</v>
      </c>
      <c r="H2018" s="4" t="s">
        <v>10145</v>
      </c>
      <c r="J2018" s="4" t="s">
        <v>250</v>
      </c>
    </row>
    <row r="2019" spans="1:10" hidden="1">
      <c r="A2019" s="4">
        <v>2.02106702090004E+17</v>
      </c>
      <c r="B2019" s="4">
        <v>6508600473</v>
      </c>
      <c r="C2019" s="4" t="s">
        <v>10144</v>
      </c>
      <c r="D2019" s="4">
        <v>70209</v>
      </c>
      <c r="E2019" s="4">
        <v>20210602</v>
      </c>
      <c r="F2019" s="4">
        <v>20210602</v>
      </c>
      <c r="G2019" s="4">
        <v>20240102</v>
      </c>
      <c r="H2019" s="4" t="s">
        <v>10143</v>
      </c>
      <c r="J2019" s="4" t="s">
        <v>242</v>
      </c>
    </row>
    <row r="2020" spans="1:10" hidden="1">
      <c r="A2020" s="4">
        <v>2.02106732030004E+17</v>
      </c>
      <c r="B2020" s="4">
        <v>2300152159</v>
      </c>
      <c r="C2020" s="4" t="s">
        <v>10142</v>
      </c>
      <c r="D2020" s="4">
        <v>73203</v>
      </c>
      <c r="E2020" s="4">
        <v>20210602</v>
      </c>
      <c r="F2020" s="4">
        <v>20210602</v>
      </c>
      <c r="G2020" s="4">
        <v>20220105</v>
      </c>
      <c r="H2020" s="4" t="s">
        <v>10141</v>
      </c>
      <c r="I2020" s="4" t="s">
        <v>2525</v>
      </c>
      <c r="J2020" s="4" t="s">
        <v>260</v>
      </c>
    </row>
    <row r="2021" spans="1:10" hidden="1">
      <c r="A2021" s="4">
        <v>2.02106461020004E+17</v>
      </c>
      <c r="B2021" s="4">
        <v>1808101395</v>
      </c>
      <c r="C2021" s="4" t="s">
        <v>10140</v>
      </c>
      <c r="D2021" s="4">
        <v>46102</v>
      </c>
      <c r="E2021" s="4">
        <v>20210602</v>
      </c>
      <c r="F2021" s="4">
        <v>20210602</v>
      </c>
      <c r="G2021" s="4">
        <v>20240602</v>
      </c>
      <c r="H2021" s="4" t="s">
        <v>10139</v>
      </c>
      <c r="I2021" s="4" t="s">
        <v>10138</v>
      </c>
      <c r="J2021" s="4" t="s">
        <v>10137</v>
      </c>
    </row>
    <row r="2022" spans="1:10" hidden="1">
      <c r="A2022" s="4">
        <v>2.02106284220004E+17</v>
      </c>
      <c r="B2022" s="4">
        <v>6208801795</v>
      </c>
      <c r="C2022" s="4" t="s">
        <v>10136</v>
      </c>
      <c r="D2022" s="4">
        <v>28422</v>
      </c>
      <c r="E2022" s="4">
        <v>20210601</v>
      </c>
      <c r="F2022" s="4">
        <v>20210601</v>
      </c>
      <c r="G2022" s="4">
        <v>20240601</v>
      </c>
      <c r="H2022" s="4" t="s">
        <v>10135</v>
      </c>
      <c r="J2022" s="4" t="s">
        <v>188</v>
      </c>
    </row>
    <row r="2023" spans="1:10" hidden="1">
      <c r="A2023" s="4">
        <v>2.02106620210004E+17</v>
      </c>
      <c r="B2023" s="4">
        <v>1128700546</v>
      </c>
      <c r="C2023" s="4" t="s">
        <v>10134</v>
      </c>
      <c r="D2023" s="4">
        <v>62021</v>
      </c>
      <c r="E2023" s="4">
        <v>20210601</v>
      </c>
      <c r="F2023" s="4">
        <v>20210601</v>
      </c>
      <c r="G2023" s="4">
        <v>20230517</v>
      </c>
      <c r="H2023" s="4" t="s">
        <v>10133</v>
      </c>
      <c r="I2023" s="4" t="s">
        <v>1695</v>
      </c>
      <c r="J2023" s="4" t="s">
        <v>1505</v>
      </c>
    </row>
    <row r="2024" spans="1:10" hidden="1">
      <c r="A2024" s="4">
        <v>2.02106272110004E+17</v>
      </c>
      <c r="B2024" s="4">
        <v>1818800608</v>
      </c>
      <c r="C2024" s="4" t="s">
        <v>10132</v>
      </c>
      <c r="D2024" s="4">
        <v>27211</v>
      </c>
      <c r="E2024" s="4">
        <v>20210601</v>
      </c>
      <c r="F2024" s="4">
        <v>20210601</v>
      </c>
      <c r="G2024" s="4">
        <v>20231104</v>
      </c>
      <c r="H2024" s="4" t="s">
        <v>10131</v>
      </c>
      <c r="I2024" s="4" t="s">
        <v>10130</v>
      </c>
      <c r="J2024" s="4" t="s">
        <v>1585</v>
      </c>
    </row>
    <row r="2025" spans="1:10" hidden="1">
      <c r="A2025" s="4">
        <v>2.02106759920004E+17</v>
      </c>
      <c r="B2025" s="4">
        <v>4958600949</v>
      </c>
      <c r="C2025" s="4" t="s">
        <v>10129</v>
      </c>
      <c r="D2025" s="4">
        <v>75992</v>
      </c>
      <c r="E2025" s="4">
        <v>20210601</v>
      </c>
      <c r="F2025" s="4">
        <v>20210601</v>
      </c>
      <c r="G2025" s="4">
        <v>20240525</v>
      </c>
      <c r="H2025" s="4" t="s">
        <v>10128</v>
      </c>
      <c r="I2025" s="4" t="s">
        <v>185</v>
      </c>
      <c r="J2025" s="4" t="s">
        <v>111</v>
      </c>
    </row>
    <row r="2026" spans="1:10" hidden="1">
      <c r="A2026" s="4">
        <v>2.02106582210004E+17</v>
      </c>
      <c r="B2026" s="4">
        <v>7928801203</v>
      </c>
      <c r="C2026" s="4" t="s">
        <v>10127</v>
      </c>
      <c r="D2026" s="4">
        <v>58221</v>
      </c>
      <c r="E2026" s="4">
        <v>20210601</v>
      </c>
      <c r="F2026" s="4">
        <v>20210601</v>
      </c>
      <c r="G2026" s="4">
        <v>20240601</v>
      </c>
      <c r="H2026" s="4" t="s">
        <v>10126</v>
      </c>
      <c r="I2026" s="4" t="s">
        <v>6814</v>
      </c>
      <c r="J2026" s="4" t="s">
        <v>228</v>
      </c>
    </row>
    <row r="2027" spans="1:10" hidden="1">
      <c r="A2027" s="4">
        <v>2.02106423210004E+17</v>
      </c>
      <c r="B2027" s="4">
        <v>1328631522</v>
      </c>
      <c r="C2027" s="4" t="s">
        <v>10125</v>
      </c>
      <c r="D2027" s="4">
        <v>42321</v>
      </c>
      <c r="E2027" s="4">
        <v>20210601</v>
      </c>
      <c r="F2027" s="4">
        <v>20210601</v>
      </c>
      <c r="G2027" s="4">
        <v>20211107</v>
      </c>
      <c r="H2027" s="4" t="s">
        <v>10124</v>
      </c>
      <c r="J2027" s="4" t="s">
        <v>698</v>
      </c>
    </row>
    <row r="2028" spans="1:10" hidden="1">
      <c r="A2028" s="4">
        <v>2.02106721110004E+17</v>
      </c>
      <c r="B2028" s="4">
        <v>4468800354</v>
      </c>
      <c r="C2028" s="4" t="s">
        <v>10123</v>
      </c>
      <c r="D2028" s="4">
        <v>72111</v>
      </c>
      <c r="E2028" s="4">
        <v>20210601</v>
      </c>
      <c r="F2028" s="4">
        <v>20210601</v>
      </c>
      <c r="G2028" s="4">
        <v>20230321</v>
      </c>
      <c r="H2028" s="4" t="s">
        <v>1375</v>
      </c>
      <c r="I2028" s="4" t="s">
        <v>10122</v>
      </c>
      <c r="J2028" s="4" t="s">
        <v>3461</v>
      </c>
    </row>
    <row r="2029" spans="1:10" hidden="1">
      <c r="A2029" s="4">
        <v>2.02106620210004E+17</v>
      </c>
      <c r="B2029" s="4">
        <v>4108703734</v>
      </c>
      <c r="C2029" s="4" t="s">
        <v>10121</v>
      </c>
      <c r="D2029" s="4">
        <v>62021</v>
      </c>
      <c r="E2029" s="4">
        <v>20210601</v>
      </c>
      <c r="F2029" s="4">
        <v>20210601</v>
      </c>
      <c r="G2029" s="4">
        <v>20211106</v>
      </c>
      <c r="H2029" s="4" t="s">
        <v>3483</v>
      </c>
      <c r="I2029" s="4" t="s">
        <v>10120</v>
      </c>
      <c r="J2029" s="4" t="s">
        <v>1505</v>
      </c>
    </row>
    <row r="2030" spans="1:10" hidden="1">
      <c r="A2030" s="4">
        <v>2.02106464990004E+17</v>
      </c>
      <c r="B2030" s="4">
        <v>3728800975</v>
      </c>
      <c r="C2030" s="4" t="s">
        <v>10119</v>
      </c>
      <c r="D2030" s="4">
        <v>46499</v>
      </c>
      <c r="E2030" s="4">
        <v>20210601</v>
      </c>
      <c r="F2030" s="4">
        <v>20210601</v>
      </c>
      <c r="G2030" s="4">
        <v>20240601</v>
      </c>
      <c r="H2030" s="4" t="s">
        <v>10118</v>
      </c>
      <c r="I2030" s="4" t="s">
        <v>10117</v>
      </c>
      <c r="J2030" s="4" t="s">
        <v>184</v>
      </c>
    </row>
    <row r="2031" spans="1:10" hidden="1">
      <c r="A2031" s="4">
        <v>2.02106412290004E+17</v>
      </c>
      <c r="B2031" s="4">
        <v>7958601926</v>
      </c>
      <c r="C2031" s="4" t="s">
        <v>10116</v>
      </c>
      <c r="D2031" s="4">
        <v>41229</v>
      </c>
      <c r="E2031" s="4">
        <v>20210601</v>
      </c>
      <c r="F2031" s="4">
        <v>20210601</v>
      </c>
      <c r="G2031" s="4">
        <v>20240601</v>
      </c>
      <c r="H2031" s="4" t="s">
        <v>10115</v>
      </c>
      <c r="J2031" s="4" t="s">
        <v>5083</v>
      </c>
    </row>
    <row r="2032" spans="1:10" hidden="1">
      <c r="A2032" s="4">
        <v>2.02106742110004E+17</v>
      </c>
      <c r="B2032" s="4">
        <v>7118600822</v>
      </c>
      <c r="C2032" s="4" t="s">
        <v>10114</v>
      </c>
      <c r="D2032" s="4">
        <v>74211</v>
      </c>
      <c r="E2032" s="4">
        <v>20210601</v>
      </c>
      <c r="F2032" s="4">
        <v>20210601</v>
      </c>
      <c r="G2032" s="4">
        <v>20240601</v>
      </c>
      <c r="H2032" s="4" t="s">
        <v>10113</v>
      </c>
      <c r="I2032" s="4" t="s">
        <v>149</v>
      </c>
      <c r="J2032" s="4" t="s">
        <v>5576</v>
      </c>
    </row>
    <row r="2033" spans="1:10" hidden="1">
      <c r="A2033" s="4">
        <v>2.02106872940004E+17</v>
      </c>
      <c r="B2033" s="4">
        <v>1348211524</v>
      </c>
      <c r="C2033" s="4" t="s">
        <v>10112</v>
      </c>
      <c r="D2033" s="4">
        <v>87294</v>
      </c>
      <c r="E2033" s="4">
        <v>20210601</v>
      </c>
      <c r="F2033" s="4">
        <v>20210601</v>
      </c>
      <c r="G2033" s="4">
        <v>20210918</v>
      </c>
      <c r="H2033" s="4" t="s">
        <v>10111</v>
      </c>
      <c r="I2033" s="4" t="s">
        <v>10110</v>
      </c>
      <c r="J2033" s="4" t="s">
        <v>7506</v>
      </c>
    </row>
    <row r="2034" spans="1:10" hidden="1">
      <c r="A2034" s="4">
        <v>2.02106702090004E+17</v>
      </c>
      <c r="B2034" s="4">
        <v>3238800779</v>
      </c>
      <c r="C2034" s="4" t="s">
        <v>10109</v>
      </c>
      <c r="D2034" s="4">
        <v>70209</v>
      </c>
      <c r="E2034" s="4">
        <v>20210601</v>
      </c>
      <c r="F2034" s="4">
        <v>20210601</v>
      </c>
      <c r="G2034" s="4">
        <v>20240601</v>
      </c>
      <c r="H2034" s="4" t="s">
        <v>10108</v>
      </c>
      <c r="I2034" s="4" t="s">
        <v>10107</v>
      </c>
      <c r="J2034" s="4" t="s">
        <v>242</v>
      </c>
    </row>
    <row r="2035" spans="1:10" hidden="1">
      <c r="A2035" s="4">
        <v>2.02106211020004E+17</v>
      </c>
      <c r="B2035" s="4">
        <v>1358652055</v>
      </c>
      <c r="C2035" s="4" t="s">
        <v>10106</v>
      </c>
      <c r="D2035" s="4">
        <v>21102</v>
      </c>
      <c r="E2035" s="4">
        <v>20210601</v>
      </c>
      <c r="F2035" s="4">
        <v>20210601</v>
      </c>
      <c r="G2035" s="4">
        <v>20220102</v>
      </c>
      <c r="H2035" s="4" t="s">
        <v>10105</v>
      </c>
      <c r="J2035" s="4" t="s">
        <v>3721</v>
      </c>
    </row>
    <row r="2036" spans="1:10" hidden="1">
      <c r="A2036" s="4">
        <v>2.02106701110004E+17</v>
      </c>
      <c r="B2036" s="4">
        <v>8638801320</v>
      </c>
      <c r="C2036" s="4" t="s">
        <v>10104</v>
      </c>
      <c r="D2036" s="4">
        <v>70111</v>
      </c>
      <c r="E2036" s="4">
        <v>20210601</v>
      </c>
      <c r="F2036" s="4">
        <v>20210601</v>
      </c>
      <c r="G2036" s="4">
        <v>20240601</v>
      </c>
      <c r="H2036" s="4" t="s">
        <v>10103</v>
      </c>
      <c r="I2036" s="4" t="s">
        <v>7474</v>
      </c>
      <c r="J2036" s="4" t="s">
        <v>399</v>
      </c>
    </row>
    <row r="2037" spans="1:10" hidden="1">
      <c r="A2037" s="4">
        <v>2.02106465100004E+17</v>
      </c>
      <c r="B2037" s="4">
        <v>5618600208</v>
      </c>
      <c r="C2037" s="4" t="s">
        <v>10102</v>
      </c>
      <c r="D2037" s="4">
        <v>46510</v>
      </c>
      <c r="E2037" s="4">
        <v>20210601</v>
      </c>
      <c r="F2037" s="4">
        <v>20210601</v>
      </c>
      <c r="G2037" s="4">
        <v>20221202</v>
      </c>
      <c r="H2037" s="4" t="s">
        <v>10101</v>
      </c>
      <c r="I2037" s="4" t="s">
        <v>10100</v>
      </c>
      <c r="J2037" s="4" t="s">
        <v>126</v>
      </c>
    </row>
    <row r="2038" spans="1:10">
      <c r="A2038" s="4">
        <v>2.0210318119000099E+17</v>
      </c>
      <c r="B2038" s="4">
        <v>7138601676</v>
      </c>
      <c r="C2038" s="4" t="s">
        <v>3458</v>
      </c>
      <c r="D2038" s="4">
        <v>18119</v>
      </c>
      <c r="E2038" s="4">
        <v>20210308</v>
      </c>
      <c r="F2038" s="4">
        <v>20210308</v>
      </c>
      <c r="G2038" s="4">
        <v>20240308</v>
      </c>
      <c r="H2038" s="4" t="s">
        <v>103</v>
      </c>
      <c r="I2038" s="4" t="s">
        <v>3457</v>
      </c>
      <c r="J2038" s="4" t="s">
        <v>707</v>
      </c>
    </row>
    <row r="2039" spans="1:10">
      <c r="A2039" s="4">
        <v>2.0210418119000198E+17</v>
      </c>
      <c r="B2039" s="4">
        <v>3032354966</v>
      </c>
      <c r="C2039" s="4" t="s">
        <v>6138</v>
      </c>
      <c r="D2039" s="4">
        <v>18119</v>
      </c>
      <c r="E2039" s="4">
        <v>20210407</v>
      </c>
      <c r="F2039" s="4">
        <v>20210407</v>
      </c>
      <c r="G2039" s="4">
        <v>20240407</v>
      </c>
      <c r="H2039" s="4" t="s">
        <v>6137</v>
      </c>
      <c r="J2039" s="4" t="s">
        <v>707</v>
      </c>
    </row>
    <row r="2040" spans="1:10" hidden="1">
      <c r="A2040" s="4">
        <v>2.02106281230004E+17</v>
      </c>
      <c r="B2040" s="4">
        <v>8540101679</v>
      </c>
      <c r="C2040" s="4" t="s">
        <v>10093</v>
      </c>
      <c r="D2040" s="4">
        <v>28123</v>
      </c>
      <c r="E2040" s="4">
        <v>20210601</v>
      </c>
      <c r="F2040" s="4">
        <v>20210601</v>
      </c>
      <c r="G2040" s="4">
        <v>20240601</v>
      </c>
      <c r="H2040" s="4" t="s">
        <v>10094</v>
      </c>
      <c r="I2040" s="4" t="s">
        <v>10093</v>
      </c>
      <c r="J2040" s="4" t="s">
        <v>640</v>
      </c>
    </row>
    <row r="2041" spans="1:10" hidden="1">
      <c r="A2041" s="4">
        <v>2.02106759920004E+17</v>
      </c>
      <c r="B2041" s="4">
        <v>8204900515</v>
      </c>
      <c r="C2041" s="4" t="s">
        <v>10092</v>
      </c>
      <c r="D2041" s="4">
        <v>75992</v>
      </c>
      <c r="E2041" s="4">
        <v>20210601</v>
      </c>
      <c r="F2041" s="4">
        <v>20210601</v>
      </c>
      <c r="G2041" s="4">
        <v>20240601</v>
      </c>
      <c r="H2041" s="4" t="s">
        <v>10091</v>
      </c>
      <c r="I2041" s="4" t="s">
        <v>10090</v>
      </c>
      <c r="J2041" s="4" t="s">
        <v>111</v>
      </c>
    </row>
    <row r="2042" spans="1:10" hidden="1">
      <c r="A2042" s="4">
        <v>2.02106582220004E+17</v>
      </c>
      <c r="B2042" s="4">
        <v>5458600415</v>
      </c>
      <c r="C2042" s="4" t="s">
        <v>10089</v>
      </c>
      <c r="D2042" s="4">
        <v>58222</v>
      </c>
      <c r="E2042" s="4">
        <v>20210601</v>
      </c>
      <c r="F2042" s="4">
        <v>20210601</v>
      </c>
      <c r="G2042" s="4">
        <v>20230801</v>
      </c>
      <c r="H2042" s="4" t="s">
        <v>10088</v>
      </c>
      <c r="I2042" s="4" t="s">
        <v>10087</v>
      </c>
      <c r="J2042" s="4" t="s">
        <v>94</v>
      </c>
    </row>
    <row r="2043" spans="1:10" hidden="1">
      <c r="A2043" s="4">
        <v>2.02106241320004E+17</v>
      </c>
      <c r="B2043" s="4">
        <v>1978600517</v>
      </c>
      <c r="C2043" s="4" t="s">
        <v>10085</v>
      </c>
      <c r="D2043" s="4">
        <v>24132</v>
      </c>
      <c r="E2043" s="4">
        <v>20210601</v>
      </c>
      <c r="F2043" s="4">
        <v>20210601</v>
      </c>
      <c r="G2043" s="4">
        <v>20230912</v>
      </c>
      <c r="H2043" s="4" t="s">
        <v>10086</v>
      </c>
      <c r="I2043" s="4" t="s">
        <v>10085</v>
      </c>
      <c r="J2043" s="4" t="s">
        <v>5701</v>
      </c>
    </row>
    <row r="2044" spans="1:10">
      <c r="A2044" s="4">
        <v>2.0210218111E+17</v>
      </c>
      <c r="B2044" s="4">
        <v>2122824633</v>
      </c>
      <c r="C2044" s="4" t="s">
        <v>1500</v>
      </c>
      <c r="D2044" s="4">
        <v>18111</v>
      </c>
      <c r="E2044" s="4">
        <v>20210209</v>
      </c>
      <c r="F2044" s="4">
        <v>20210209</v>
      </c>
      <c r="G2044" s="4">
        <v>20240209</v>
      </c>
      <c r="H2044" s="4" t="s">
        <v>1499</v>
      </c>
      <c r="I2044" s="4" t="s">
        <v>1498</v>
      </c>
      <c r="J2044" s="4" t="s">
        <v>662</v>
      </c>
    </row>
    <row r="2045" spans="1:10" hidden="1">
      <c r="A2045" s="4">
        <v>2.02106151290004E+17</v>
      </c>
      <c r="B2045" s="4">
        <v>3807700382</v>
      </c>
      <c r="C2045" s="4" t="s">
        <v>10082</v>
      </c>
      <c r="D2045" s="4">
        <v>15129</v>
      </c>
      <c r="E2045" s="4">
        <v>20210601</v>
      </c>
      <c r="F2045" s="4">
        <v>20210601</v>
      </c>
      <c r="G2045" s="4">
        <v>20240601</v>
      </c>
      <c r="H2045" s="4" t="s">
        <v>10081</v>
      </c>
      <c r="J2045" s="4" t="s">
        <v>2024</v>
      </c>
    </row>
    <row r="2046" spans="1:10" hidden="1">
      <c r="A2046" s="4">
        <v>2.02106701190004E+17</v>
      </c>
      <c r="B2046" s="4">
        <v>2078601225</v>
      </c>
      <c r="C2046" s="4" t="s">
        <v>10080</v>
      </c>
      <c r="D2046" s="4">
        <v>70119</v>
      </c>
      <c r="E2046" s="4">
        <v>20210601</v>
      </c>
      <c r="F2046" s="4">
        <v>20210601</v>
      </c>
      <c r="G2046" s="4">
        <v>20240601</v>
      </c>
      <c r="H2046" s="4" t="s">
        <v>10079</v>
      </c>
      <c r="I2046" s="4" t="s">
        <v>10078</v>
      </c>
      <c r="J2046" s="4" t="s">
        <v>2978</v>
      </c>
    </row>
    <row r="2047" spans="1:10" hidden="1">
      <c r="A2047" s="4">
        <v>2.02106582210004E+17</v>
      </c>
      <c r="B2047" s="4">
        <v>1238800446</v>
      </c>
      <c r="C2047" s="4" t="s">
        <v>10077</v>
      </c>
      <c r="D2047" s="4">
        <v>58221</v>
      </c>
      <c r="E2047" s="4">
        <v>20210601</v>
      </c>
      <c r="F2047" s="4">
        <v>20210601</v>
      </c>
      <c r="G2047" s="4">
        <v>20230825</v>
      </c>
      <c r="H2047" s="4" t="s">
        <v>2446</v>
      </c>
      <c r="I2047" s="4" t="s">
        <v>10076</v>
      </c>
      <c r="J2047" s="4" t="s">
        <v>228</v>
      </c>
    </row>
    <row r="2048" spans="1:10" hidden="1">
      <c r="A2048" s="4">
        <v>2.02106582220004E+17</v>
      </c>
      <c r="B2048" s="4">
        <v>5768800882</v>
      </c>
      <c r="C2048" s="4" t="s">
        <v>10075</v>
      </c>
      <c r="D2048" s="4">
        <v>58222</v>
      </c>
      <c r="E2048" s="4">
        <v>20210601</v>
      </c>
      <c r="F2048" s="4">
        <v>20210601</v>
      </c>
      <c r="G2048" s="4">
        <v>20240601</v>
      </c>
      <c r="H2048" s="4" t="s">
        <v>10074</v>
      </c>
      <c r="I2048" s="4" t="s">
        <v>10073</v>
      </c>
      <c r="J2048" s="4" t="s">
        <v>94</v>
      </c>
    </row>
    <row r="2049" spans="1:10" hidden="1">
      <c r="A2049" s="4">
        <v>2.02106239940004E+17</v>
      </c>
      <c r="B2049" s="4">
        <v>8428700268</v>
      </c>
      <c r="C2049" s="4" t="s">
        <v>10072</v>
      </c>
      <c r="D2049" s="4">
        <v>23994</v>
      </c>
      <c r="E2049" s="4">
        <v>20210601</v>
      </c>
      <c r="F2049" s="4">
        <v>20210601</v>
      </c>
      <c r="G2049" s="4">
        <v>20221105</v>
      </c>
      <c r="H2049" s="4" t="s">
        <v>10071</v>
      </c>
      <c r="J2049" s="4" t="s">
        <v>10070</v>
      </c>
    </row>
    <row r="2050" spans="1:10" hidden="1">
      <c r="A2050" s="4">
        <v>2.02106259990004E+17</v>
      </c>
      <c r="B2050" s="4">
        <v>8298701944</v>
      </c>
      <c r="C2050" s="4" t="s">
        <v>9267</v>
      </c>
      <c r="D2050" s="4">
        <v>25999</v>
      </c>
      <c r="E2050" s="4">
        <v>20210601</v>
      </c>
      <c r="F2050" s="4">
        <v>20210601</v>
      </c>
      <c r="G2050" s="4">
        <v>20240601</v>
      </c>
      <c r="H2050" s="4" t="s">
        <v>10069</v>
      </c>
      <c r="I2050" s="4" t="s">
        <v>10068</v>
      </c>
      <c r="J2050" s="4" t="s">
        <v>301</v>
      </c>
    </row>
    <row r="2051" spans="1:10" hidden="1">
      <c r="A2051" s="4">
        <v>2.02106582220004E+17</v>
      </c>
      <c r="B2051" s="4">
        <v>7488700438</v>
      </c>
      <c r="C2051" s="4" t="s">
        <v>10067</v>
      </c>
      <c r="D2051" s="4">
        <v>58222</v>
      </c>
      <c r="E2051" s="4">
        <v>20210601</v>
      </c>
      <c r="F2051" s="4">
        <v>20210601</v>
      </c>
      <c r="G2051" s="4">
        <v>20230512</v>
      </c>
      <c r="H2051" s="4" t="s">
        <v>3486</v>
      </c>
      <c r="I2051" s="4" t="s">
        <v>10066</v>
      </c>
      <c r="J2051" s="4" t="s">
        <v>94</v>
      </c>
    </row>
    <row r="2052" spans="1:10" hidden="1">
      <c r="A2052" s="4">
        <v>2.02106759920004E+17</v>
      </c>
      <c r="B2052" s="4">
        <v>6998800550</v>
      </c>
      <c r="C2052" s="4" t="s">
        <v>10065</v>
      </c>
      <c r="D2052" s="4">
        <v>75992</v>
      </c>
      <c r="E2052" s="4">
        <v>20210601</v>
      </c>
      <c r="F2052" s="4">
        <v>20210601</v>
      </c>
      <c r="G2052" s="4">
        <v>20240201</v>
      </c>
      <c r="H2052" s="4" t="s">
        <v>10064</v>
      </c>
      <c r="J2052" s="4" t="s">
        <v>111</v>
      </c>
    </row>
    <row r="2053" spans="1:10" hidden="1">
      <c r="A2053" s="4">
        <v>2.02106713100004E+17</v>
      </c>
      <c r="B2053" s="4">
        <v>7728802284</v>
      </c>
      <c r="C2053" s="4" t="s">
        <v>10063</v>
      </c>
      <c r="D2053" s="4">
        <v>71310</v>
      </c>
      <c r="E2053" s="4">
        <v>20210601</v>
      </c>
      <c r="F2053" s="4">
        <v>20210601</v>
      </c>
      <c r="G2053" s="4">
        <v>20240601</v>
      </c>
      <c r="H2053" s="4" t="s">
        <v>10062</v>
      </c>
      <c r="I2053" s="4" t="s">
        <v>10061</v>
      </c>
      <c r="J2053" s="4" t="s">
        <v>426</v>
      </c>
    </row>
    <row r="2054" spans="1:10" hidden="1">
      <c r="A2054" s="4">
        <v>2.02106742110004E+17</v>
      </c>
      <c r="B2054" s="4">
        <v>1298694875</v>
      </c>
      <c r="C2054" s="4" t="s">
        <v>10060</v>
      </c>
      <c r="D2054" s="4">
        <v>74211</v>
      </c>
      <c r="E2054" s="4">
        <v>20210601</v>
      </c>
      <c r="F2054" s="4">
        <v>20210601</v>
      </c>
      <c r="G2054" s="4">
        <v>20240601</v>
      </c>
      <c r="H2054" s="4" t="s">
        <v>7407</v>
      </c>
      <c r="I2054" s="4" t="s">
        <v>2761</v>
      </c>
      <c r="J2054" s="4" t="s">
        <v>5576</v>
      </c>
    </row>
    <row r="2055" spans="1:10" hidden="1">
      <c r="A2055" s="4">
        <v>2.02106424110004E+17</v>
      </c>
      <c r="B2055" s="4">
        <v>1218636551</v>
      </c>
      <c r="C2055" s="4" t="s">
        <v>10059</v>
      </c>
      <c r="D2055" s="4">
        <v>42411</v>
      </c>
      <c r="E2055" s="4">
        <v>20210601</v>
      </c>
      <c r="F2055" s="4">
        <v>20210601</v>
      </c>
      <c r="G2055" s="4">
        <v>20210903</v>
      </c>
      <c r="H2055" s="4" t="s">
        <v>10058</v>
      </c>
      <c r="I2055" s="4" t="s">
        <v>10057</v>
      </c>
      <c r="J2055" s="4" t="s">
        <v>2211</v>
      </c>
    </row>
    <row r="2056" spans="1:10" hidden="1">
      <c r="A2056" s="4">
        <v>2.02106639910004E+17</v>
      </c>
      <c r="B2056" s="4">
        <v>6018801455</v>
      </c>
      <c r="C2056" s="4" t="s">
        <v>10056</v>
      </c>
      <c r="D2056" s="4">
        <v>63991</v>
      </c>
      <c r="E2056" s="4">
        <v>20210601</v>
      </c>
      <c r="F2056" s="4">
        <v>20210601</v>
      </c>
      <c r="G2056" s="4">
        <v>20240601</v>
      </c>
      <c r="H2056" s="4" t="s">
        <v>6873</v>
      </c>
      <c r="I2056" s="4" t="s">
        <v>10055</v>
      </c>
      <c r="J2056" s="4" t="s">
        <v>395</v>
      </c>
    </row>
    <row r="2057" spans="1:10" hidden="1">
      <c r="A2057" s="4">
        <v>2.02106721220004E+17</v>
      </c>
      <c r="B2057" s="4">
        <v>7838800364</v>
      </c>
      <c r="C2057" s="4" t="s">
        <v>10054</v>
      </c>
      <c r="D2057" s="4">
        <v>72122</v>
      </c>
      <c r="E2057" s="4">
        <v>20210601</v>
      </c>
      <c r="F2057" s="4">
        <v>20210601</v>
      </c>
      <c r="G2057" s="4">
        <v>20230513</v>
      </c>
      <c r="H2057" s="4" t="s">
        <v>10053</v>
      </c>
      <c r="I2057" s="4" t="s">
        <v>657</v>
      </c>
      <c r="J2057" s="4" t="s">
        <v>2484</v>
      </c>
    </row>
    <row r="2058" spans="1:10" hidden="1">
      <c r="A2058" s="4">
        <v>2.02106739090004E+17</v>
      </c>
      <c r="B2058" s="4">
        <v>2648146439</v>
      </c>
      <c r="C2058" s="4" t="s">
        <v>10052</v>
      </c>
      <c r="D2058" s="4">
        <v>73909</v>
      </c>
      <c r="E2058" s="4">
        <v>20210601</v>
      </c>
      <c r="F2058" s="4">
        <v>20210601</v>
      </c>
      <c r="G2058" s="4">
        <v>20211209</v>
      </c>
      <c r="H2058" s="4" t="s">
        <v>10051</v>
      </c>
      <c r="I2058" s="4" t="s">
        <v>1177</v>
      </c>
      <c r="J2058" s="4" t="s">
        <v>293</v>
      </c>
    </row>
    <row r="2059" spans="1:10" hidden="1">
      <c r="A2059" s="4">
        <v>2.02106291720004E+17</v>
      </c>
      <c r="B2059" s="4">
        <v>7028601341</v>
      </c>
      <c r="C2059" s="4" t="s">
        <v>10049</v>
      </c>
      <c r="D2059" s="4">
        <v>29172</v>
      </c>
      <c r="E2059" s="4">
        <v>20210601</v>
      </c>
      <c r="F2059" s="4">
        <v>20210601</v>
      </c>
      <c r="G2059" s="4">
        <v>20240601</v>
      </c>
      <c r="H2059" s="4" t="s">
        <v>10050</v>
      </c>
      <c r="I2059" s="4" t="s">
        <v>10049</v>
      </c>
      <c r="J2059" s="4" t="s">
        <v>1204</v>
      </c>
    </row>
    <row r="2060" spans="1:10">
      <c r="A2060" s="4">
        <v>2.02106464530004E+17</v>
      </c>
      <c r="B2060" s="4">
        <v>3180141796</v>
      </c>
      <c r="C2060" s="4" t="s">
        <v>12004</v>
      </c>
      <c r="D2060" s="4">
        <v>46453</v>
      </c>
      <c r="E2060" s="4">
        <v>20210617</v>
      </c>
      <c r="F2060" s="4">
        <v>20210617</v>
      </c>
      <c r="G2060" s="4">
        <v>20211119</v>
      </c>
      <c r="H2060" s="4" t="s">
        <v>12003</v>
      </c>
      <c r="J2060" s="4" t="s">
        <v>816</v>
      </c>
    </row>
    <row r="2061" spans="1:10" hidden="1">
      <c r="A2061" s="4">
        <v>2.02106741000004E+17</v>
      </c>
      <c r="B2061" s="4">
        <v>4528700051</v>
      </c>
      <c r="C2061" s="4" t="s">
        <v>10046</v>
      </c>
      <c r="D2061" s="4">
        <v>74100</v>
      </c>
      <c r="E2061" s="4">
        <v>20210601</v>
      </c>
      <c r="F2061" s="4">
        <v>20210601</v>
      </c>
      <c r="G2061" s="4">
        <v>20220429</v>
      </c>
      <c r="H2061" s="4" t="s">
        <v>10045</v>
      </c>
      <c r="I2061" s="4" t="s">
        <v>10044</v>
      </c>
      <c r="J2061" s="4" t="s">
        <v>2207</v>
      </c>
    </row>
    <row r="2062" spans="1:10" hidden="1">
      <c r="A2062" s="4">
        <v>2.02106291740004E+17</v>
      </c>
      <c r="B2062" s="4">
        <v>3622300173</v>
      </c>
      <c r="C2062" s="4" t="s">
        <v>10043</v>
      </c>
      <c r="D2062" s="4">
        <v>29174</v>
      </c>
      <c r="E2062" s="4">
        <v>20210601</v>
      </c>
      <c r="F2062" s="4">
        <v>20210601</v>
      </c>
      <c r="G2062" s="4">
        <v>20230104</v>
      </c>
      <c r="H2062" s="4" t="s">
        <v>10042</v>
      </c>
      <c r="J2062" s="4" t="s">
        <v>877</v>
      </c>
    </row>
    <row r="2063" spans="1:10" hidden="1">
      <c r="A2063" s="4">
        <v>2.02106639990004E+17</v>
      </c>
      <c r="B2063" s="4">
        <v>6032784903</v>
      </c>
      <c r="C2063" s="4" t="s">
        <v>10041</v>
      </c>
      <c r="D2063" s="4">
        <v>63999</v>
      </c>
      <c r="E2063" s="4">
        <v>20210601</v>
      </c>
      <c r="F2063" s="4">
        <v>20210601</v>
      </c>
      <c r="G2063" s="4">
        <v>20240601</v>
      </c>
      <c r="H2063" s="4" t="s">
        <v>645</v>
      </c>
      <c r="I2063" s="4" t="s">
        <v>10040</v>
      </c>
      <c r="J2063" s="4" t="s">
        <v>643</v>
      </c>
    </row>
    <row r="2064" spans="1:10" hidden="1">
      <c r="A2064" s="4">
        <v>2.02106701290004E+17</v>
      </c>
      <c r="B2064" s="4">
        <v>1608600363</v>
      </c>
      <c r="C2064" s="4" t="s">
        <v>10039</v>
      </c>
      <c r="D2064" s="4">
        <v>70129</v>
      </c>
      <c r="E2064" s="4">
        <v>20210601</v>
      </c>
      <c r="F2064" s="4">
        <v>20210601</v>
      </c>
      <c r="G2064" s="4">
        <v>20230407</v>
      </c>
      <c r="H2064" s="4" t="s">
        <v>9258</v>
      </c>
      <c r="I2064" s="4" t="s">
        <v>3442</v>
      </c>
      <c r="J2064" s="4" t="s">
        <v>937</v>
      </c>
    </row>
    <row r="2065" spans="1:10" hidden="1">
      <c r="A2065" s="4">
        <v>2.02106620100004E+17</v>
      </c>
      <c r="B2065" s="4">
        <v>5238100399</v>
      </c>
      <c r="C2065" s="4" t="s">
        <v>10038</v>
      </c>
      <c r="D2065" s="4">
        <v>62010</v>
      </c>
      <c r="E2065" s="4">
        <v>20210601</v>
      </c>
      <c r="F2065" s="4">
        <v>20210601</v>
      </c>
      <c r="G2065" s="4">
        <v>20230708</v>
      </c>
      <c r="H2065" s="4" t="s">
        <v>10037</v>
      </c>
      <c r="I2065" s="4" t="s">
        <v>10036</v>
      </c>
      <c r="J2065" s="4" t="s">
        <v>118</v>
      </c>
    </row>
    <row r="2066" spans="1:10" hidden="1">
      <c r="A2066" s="4">
        <v>2.02106272120004E+17</v>
      </c>
      <c r="B2066" s="4">
        <v>5150875649</v>
      </c>
      <c r="C2066" s="4" t="s">
        <v>10035</v>
      </c>
      <c r="D2066" s="4">
        <v>27212</v>
      </c>
      <c r="E2066" s="4">
        <v>20210601</v>
      </c>
      <c r="F2066" s="4">
        <v>20210601</v>
      </c>
      <c r="G2066" s="4">
        <v>20240601</v>
      </c>
      <c r="H2066" s="4" t="s">
        <v>3483</v>
      </c>
      <c r="I2066" s="4" t="s">
        <v>10034</v>
      </c>
      <c r="J2066" s="4" t="s">
        <v>200</v>
      </c>
    </row>
    <row r="2067" spans="1:10" hidden="1">
      <c r="A2067" s="4">
        <v>2.02106639910004E+17</v>
      </c>
      <c r="B2067" s="4">
        <v>7243700572</v>
      </c>
      <c r="C2067" s="4" t="s">
        <v>10033</v>
      </c>
      <c r="D2067" s="4">
        <v>63991</v>
      </c>
      <c r="E2067" s="4">
        <v>20210601</v>
      </c>
      <c r="F2067" s="4">
        <v>20210601</v>
      </c>
      <c r="G2067" s="4">
        <v>20240601</v>
      </c>
      <c r="H2067" s="4" t="s">
        <v>1041</v>
      </c>
      <c r="I2067" s="4" t="s">
        <v>10032</v>
      </c>
      <c r="J2067" s="4" t="s">
        <v>395</v>
      </c>
    </row>
    <row r="2068" spans="1:10" hidden="1">
      <c r="A2068" s="4">
        <v>2.02105631200004E+17</v>
      </c>
      <c r="B2068" s="4">
        <v>8048602006</v>
      </c>
      <c r="C2068" s="4" t="s">
        <v>10031</v>
      </c>
      <c r="D2068" s="4">
        <v>63120</v>
      </c>
      <c r="E2068" s="4">
        <v>20210531</v>
      </c>
      <c r="F2068" s="4">
        <v>20210531</v>
      </c>
      <c r="G2068" s="4">
        <v>20240531</v>
      </c>
      <c r="H2068" s="4" t="s">
        <v>1410</v>
      </c>
      <c r="J2068" s="4" t="s">
        <v>632</v>
      </c>
    </row>
    <row r="2069" spans="1:10" hidden="1">
      <c r="A2069" s="4">
        <v>2.02105108020004E+17</v>
      </c>
      <c r="B2069" s="4">
        <v>4238700539</v>
      </c>
      <c r="C2069" s="4" t="s">
        <v>10030</v>
      </c>
      <c r="D2069" s="4">
        <v>10802</v>
      </c>
      <c r="E2069" s="4">
        <v>20210531</v>
      </c>
      <c r="F2069" s="4">
        <v>20210531</v>
      </c>
      <c r="G2069" s="4">
        <v>20240119</v>
      </c>
      <c r="H2069" s="4" t="s">
        <v>10029</v>
      </c>
      <c r="J2069" s="4" t="s">
        <v>973</v>
      </c>
    </row>
    <row r="2070" spans="1:10" hidden="1">
      <c r="A2070" s="4">
        <v>2.02105333030004E+17</v>
      </c>
      <c r="B2070" s="4">
        <v>8798601243</v>
      </c>
      <c r="C2070" s="4" t="s">
        <v>10028</v>
      </c>
      <c r="D2070" s="4">
        <v>33303</v>
      </c>
      <c r="E2070" s="4">
        <v>20210531</v>
      </c>
      <c r="F2070" s="4">
        <v>20210531</v>
      </c>
      <c r="G2070" s="4">
        <v>20240531</v>
      </c>
      <c r="H2070" s="4" t="s">
        <v>3483</v>
      </c>
      <c r="I2070" s="4" t="s">
        <v>10027</v>
      </c>
      <c r="J2070" s="4" t="s">
        <v>10026</v>
      </c>
    </row>
    <row r="2071" spans="1:10" hidden="1">
      <c r="A2071" s="4">
        <v>2.02105721210004E+17</v>
      </c>
      <c r="B2071" s="4">
        <v>5548600568</v>
      </c>
      <c r="C2071" s="4" t="s">
        <v>10025</v>
      </c>
      <c r="D2071" s="4">
        <v>72121</v>
      </c>
      <c r="E2071" s="4">
        <v>20210531</v>
      </c>
      <c r="F2071" s="4">
        <v>20210531</v>
      </c>
      <c r="G2071" s="4">
        <v>20230720</v>
      </c>
      <c r="H2071" s="4" t="s">
        <v>10024</v>
      </c>
      <c r="J2071" s="4" t="s">
        <v>2243</v>
      </c>
    </row>
    <row r="2072" spans="1:10" hidden="1">
      <c r="A2072" s="4">
        <v>2.02105222990004E+17</v>
      </c>
      <c r="B2072" s="4">
        <v>8078700116</v>
      </c>
      <c r="C2072" s="4" t="s">
        <v>10023</v>
      </c>
      <c r="D2072" s="4">
        <v>22299</v>
      </c>
      <c r="E2072" s="4">
        <v>20210531</v>
      </c>
      <c r="F2072" s="4">
        <v>20210531</v>
      </c>
      <c r="G2072" s="4">
        <v>20220515</v>
      </c>
      <c r="H2072" s="4" t="s">
        <v>10022</v>
      </c>
      <c r="I2072" s="4" t="s">
        <v>185</v>
      </c>
      <c r="J2072" s="4" t="s">
        <v>384</v>
      </c>
    </row>
    <row r="2073" spans="1:10" hidden="1">
      <c r="A2073" s="4">
        <v>2.0210590191000301E+17</v>
      </c>
      <c r="B2073" s="4">
        <v>3508702302</v>
      </c>
      <c r="C2073" s="4" t="s">
        <v>10021</v>
      </c>
      <c r="D2073" s="4">
        <v>90191</v>
      </c>
      <c r="E2073" s="4">
        <v>20210531</v>
      </c>
      <c r="F2073" s="4">
        <v>20210531</v>
      </c>
      <c r="G2073" s="4">
        <v>20240531</v>
      </c>
      <c r="H2073" s="4" t="s">
        <v>10020</v>
      </c>
      <c r="I2073" s="4" t="s">
        <v>10019</v>
      </c>
      <c r="J2073" s="4" t="s">
        <v>3866</v>
      </c>
    </row>
    <row r="2074" spans="1:10" hidden="1">
      <c r="A2074" s="4">
        <v>2.02105108020004E+17</v>
      </c>
      <c r="B2074" s="4">
        <v>5658100165</v>
      </c>
      <c r="C2074" s="4" t="s">
        <v>10018</v>
      </c>
      <c r="D2074" s="4">
        <v>10802</v>
      </c>
      <c r="E2074" s="4">
        <v>20210531</v>
      </c>
      <c r="F2074" s="4">
        <v>20210531</v>
      </c>
      <c r="G2074" s="4">
        <v>20220720</v>
      </c>
      <c r="H2074" s="4" t="s">
        <v>10017</v>
      </c>
      <c r="I2074" s="4" t="s">
        <v>10016</v>
      </c>
      <c r="J2074" s="4" t="s">
        <v>973</v>
      </c>
    </row>
    <row r="2075" spans="1:10" hidden="1">
      <c r="A2075" s="4">
        <v>2.02105292800004E+17</v>
      </c>
      <c r="B2075" s="4">
        <v>4868701053</v>
      </c>
      <c r="C2075" s="4" t="s">
        <v>10014</v>
      </c>
      <c r="D2075" s="4">
        <v>29280</v>
      </c>
      <c r="E2075" s="4">
        <v>20210531</v>
      </c>
      <c r="F2075" s="4">
        <v>20210531</v>
      </c>
      <c r="G2075" s="4">
        <v>20240531</v>
      </c>
      <c r="H2075" s="4" t="s">
        <v>10015</v>
      </c>
      <c r="I2075" s="4" t="s">
        <v>10014</v>
      </c>
      <c r="J2075" s="4" t="s">
        <v>533</v>
      </c>
    </row>
    <row r="2076" spans="1:10" hidden="1">
      <c r="A2076" s="4">
        <v>2.0210516300000301E+17</v>
      </c>
      <c r="B2076" s="4">
        <v>8388600597</v>
      </c>
      <c r="C2076" s="4" t="s">
        <v>10013</v>
      </c>
      <c r="D2076" s="4">
        <v>16300</v>
      </c>
      <c r="E2076" s="4">
        <v>20210531</v>
      </c>
      <c r="F2076" s="4">
        <v>20210531</v>
      </c>
      <c r="G2076" s="4">
        <v>20240217</v>
      </c>
      <c r="H2076" s="4" t="s">
        <v>10012</v>
      </c>
      <c r="J2076" s="4" t="s">
        <v>4865</v>
      </c>
    </row>
    <row r="2077" spans="1:10" hidden="1">
      <c r="A2077" s="4">
        <v>2.02105281110004E+17</v>
      </c>
      <c r="B2077" s="4">
        <v>6648100443</v>
      </c>
      <c r="C2077" s="4" t="s">
        <v>10011</v>
      </c>
      <c r="D2077" s="4">
        <v>28111</v>
      </c>
      <c r="E2077" s="4">
        <v>20210531</v>
      </c>
      <c r="F2077" s="4">
        <v>20210531</v>
      </c>
      <c r="G2077" s="4">
        <v>20230322</v>
      </c>
      <c r="H2077" s="4" t="s">
        <v>5529</v>
      </c>
      <c r="I2077" s="4" t="s">
        <v>10010</v>
      </c>
      <c r="J2077" s="4" t="s">
        <v>1614</v>
      </c>
    </row>
    <row r="2078" spans="1:10" hidden="1">
      <c r="A2078" s="4">
        <v>2.02105857090004E+17</v>
      </c>
      <c r="B2078" s="4">
        <v>4918100239</v>
      </c>
      <c r="C2078" s="4" t="s">
        <v>10009</v>
      </c>
      <c r="D2078" s="4">
        <v>85709</v>
      </c>
      <c r="E2078" s="4">
        <v>20210531</v>
      </c>
      <c r="F2078" s="4">
        <v>20210531</v>
      </c>
      <c r="G2078" s="4">
        <v>20220904</v>
      </c>
      <c r="H2078" s="4" t="s">
        <v>10008</v>
      </c>
      <c r="I2078" s="4" t="s">
        <v>10007</v>
      </c>
      <c r="J2078" s="4" t="s">
        <v>141</v>
      </c>
    </row>
    <row r="2079" spans="1:10" hidden="1">
      <c r="A2079" s="4">
        <v>2.02105729190004E+17</v>
      </c>
      <c r="B2079" s="4">
        <v>4138600501</v>
      </c>
      <c r="C2079" s="4" t="s">
        <v>10005</v>
      </c>
      <c r="D2079" s="4">
        <v>72919</v>
      </c>
      <c r="E2079" s="4">
        <v>20210531</v>
      </c>
      <c r="F2079" s="4">
        <v>20210531</v>
      </c>
      <c r="G2079" s="4">
        <v>20230922</v>
      </c>
      <c r="H2079" s="4" t="s">
        <v>10006</v>
      </c>
      <c r="I2079" s="4" t="s">
        <v>10005</v>
      </c>
      <c r="J2079" s="4" t="s">
        <v>6865</v>
      </c>
    </row>
    <row r="2080" spans="1:10" hidden="1">
      <c r="A2080" s="4">
        <v>2.02105582220004E+17</v>
      </c>
      <c r="B2080" s="4">
        <v>7078100022</v>
      </c>
      <c r="C2080" s="4" t="s">
        <v>10004</v>
      </c>
      <c r="D2080" s="4">
        <v>58222</v>
      </c>
      <c r="E2080" s="4">
        <v>20210531</v>
      </c>
      <c r="F2080" s="4">
        <v>20210531</v>
      </c>
      <c r="G2080" s="4">
        <v>20220305</v>
      </c>
      <c r="H2080" s="4" t="s">
        <v>8317</v>
      </c>
      <c r="I2080" s="4" t="s">
        <v>10003</v>
      </c>
      <c r="J2080" s="4" t="s">
        <v>94</v>
      </c>
    </row>
    <row r="2081" spans="1:10" hidden="1">
      <c r="A2081" s="4">
        <v>2.02105423210004E+17</v>
      </c>
      <c r="B2081" s="4">
        <v>4758100289</v>
      </c>
      <c r="C2081" s="4" t="s">
        <v>10002</v>
      </c>
      <c r="D2081" s="4">
        <v>42321</v>
      </c>
      <c r="E2081" s="4">
        <v>20210531</v>
      </c>
      <c r="F2081" s="4">
        <v>20210531</v>
      </c>
      <c r="G2081" s="4">
        <v>20230104</v>
      </c>
      <c r="H2081" s="4" t="s">
        <v>10001</v>
      </c>
      <c r="J2081" s="4" t="s">
        <v>698</v>
      </c>
    </row>
    <row r="2082" spans="1:10" hidden="1">
      <c r="A2082" s="4">
        <v>2.02105284230004E+17</v>
      </c>
      <c r="B2082" s="4">
        <v>6468601041</v>
      </c>
      <c r="C2082" s="4" t="s">
        <v>9999</v>
      </c>
      <c r="D2082" s="4">
        <v>28423</v>
      </c>
      <c r="E2082" s="4">
        <v>20210531</v>
      </c>
      <c r="F2082" s="4">
        <v>20210531</v>
      </c>
      <c r="G2082" s="4">
        <v>20240531</v>
      </c>
      <c r="H2082" s="4" t="s">
        <v>10000</v>
      </c>
      <c r="I2082" s="4" t="s">
        <v>9999</v>
      </c>
      <c r="J2082" s="4" t="s">
        <v>485</v>
      </c>
    </row>
    <row r="2083" spans="1:10" hidden="1">
      <c r="A2083" s="4">
        <v>2.02105732090004E+17</v>
      </c>
      <c r="B2083" s="4">
        <v>6628800771</v>
      </c>
      <c r="C2083" s="4" t="s">
        <v>9998</v>
      </c>
      <c r="D2083" s="4">
        <v>73209</v>
      </c>
      <c r="E2083" s="4">
        <v>20210531</v>
      </c>
      <c r="F2083" s="4">
        <v>20210531</v>
      </c>
      <c r="G2083" s="4">
        <v>20240531</v>
      </c>
      <c r="H2083" s="4" t="s">
        <v>9997</v>
      </c>
      <c r="I2083" s="4" t="s">
        <v>91</v>
      </c>
      <c r="J2083" s="4" t="s">
        <v>871</v>
      </c>
    </row>
    <row r="2084" spans="1:10" hidden="1">
      <c r="A2084" s="4">
        <v>2.0210528903000301E+17</v>
      </c>
      <c r="B2084" s="4">
        <v>7288701428</v>
      </c>
      <c r="C2084" s="4" t="s">
        <v>9996</v>
      </c>
      <c r="D2084" s="4">
        <v>28903</v>
      </c>
      <c r="E2084" s="4">
        <v>20210531</v>
      </c>
      <c r="F2084" s="4">
        <v>20210531</v>
      </c>
      <c r="G2084" s="4">
        <v>20240531</v>
      </c>
      <c r="H2084" s="4" t="s">
        <v>546</v>
      </c>
      <c r="I2084" s="4" t="s">
        <v>9995</v>
      </c>
      <c r="J2084" s="4" t="s">
        <v>460</v>
      </c>
    </row>
    <row r="2085" spans="1:10" hidden="1">
      <c r="A2085" s="4">
        <v>2.0210529280000301E+17</v>
      </c>
      <c r="B2085" s="4">
        <v>4088801496</v>
      </c>
      <c r="C2085" s="4" t="s">
        <v>9994</v>
      </c>
      <c r="D2085" s="4">
        <v>29280</v>
      </c>
      <c r="E2085" s="4">
        <v>20210531</v>
      </c>
      <c r="F2085" s="4">
        <v>20210531</v>
      </c>
      <c r="G2085" s="4">
        <v>20240531</v>
      </c>
      <c r="H2085" s="4" t="s">
        <v>9993</v>
      </c>
      <c r="J2085" s="4" t="s">
        <v>533</v>
      </c>
    </row>
    <row r="2086" spans="1:10" hidden="1">
      <c r="A2086" s="4">
        <v>2.02105856500004E+17</v>
      </c>
      <c r="B2086" s="4">
        <v>5168100294</v>
      </c>
      <c r="C2086" s="4" t="s">
        <v>9992</v>
      </c>
      <c r="D2086" s="4">
        <v>85650</v>
      </c>
      <c r="E2086" s="4">
        <v>20210531</v>
      </c>
      <c r="F2086" s="4">
        <v>20210531</v>
      </c>
      <c r="G2086" s="4">
        <v>20221221</v>
      </c>
      <c r="H2086" s="4" t="s">
        <v>9991</v>
      </c>
      <c r="I2086" s="4" t="s">
        <v>9990</v>
      </c>
      <c r="J2086" s="4" t="s">
        <v>3107</v>
      </c>
    </row>
    <row r="2087" spans="1:10" hidden="1">
      <c r="A2087" s="4">
        <v>2.02105732010004E+17</v>
      </c>
      <c r="B2087" s="4">
        <v>5828700181</v>
      </c>
      <c r="C2087" s="4" t="s">
        <v>9989</v>
      </c>
      <c r="D2087" s="4">
        <v>73201</v>
      </c>
      <c r="E2087" s="4">
        <v>20210531</v>
      </c>
      <c r="F2087" s="4">
        <v>20210531</v>
      </c>
      <c r="G2087" s="4">
        <v>20221008</v>
      </c>
      <c r="H2087" s="4" t="s">
        <v>849</v>
      </c>
      <c r="I2087" s="4" t="s">
        <v>9988</v>
      </c>
      <c r="J2087" s="4" t="s">
        <v>569</v>
      </c>
    </row>
    <row r="2088" spans="1:10" hidden="1">
      <c r="A2088" s="4">
        <v>2.0210570209000301E+17</v>
      </c>
      <c r="B2088" s="4">
        <v>3608601114</v>
      </c>
      <c r="C2088" s="4" t="s">
        <v>9987</v>
      </c>
      <c r="D2088" s="4">
        <v>70209</v>
      </c>
      <c r="E2088" s="4">
        <v>20210531</v>
      </c>
      <c r="F2088" s="4">
        <v>20210531</v>
      </c>
      <c r="G2088" s="4">
        <v>20240531</v>
      </c>
      <c r="H2088" s="4" t="s">
        <v>9986</v>
      </c>
      <c r="I2088" s="4" t="s">
        <v>9985</v>
      </c>
      <c r="J2088" s="4" t="s">
        <v>242</v>
      </c>
    </row>
    <row r="2089" spans="1:10" hidden="1">
      <c r="A2089" s="4">
        <v>2.0210572919000301E+17</v>
      </c>
      <c r="B2089" s="4">
        <v>4778100761</v>
      </c>
      <c r="C2089" s="4" t="s">
        <v>9984</v>
      </c>
      <c r="D2089" s="4">
        <v>72919</v>
      </c>
      <c r="E2089" s="4">
        <v>20210531</v>
      </c>
      <c r="F2089" s="4">
        <v>20210531</v>
      </c>
      <c r="G2089" s="4">
        <v>20240329</v>
      </c>
      <c r="H2089" s="4" t="s">
        <v>9983</v>
      </c>
      <c r="I2089" s="4" t="s">
        <v>9982</v>
      </c>
      <c r="J2089" s="4" t="s">
        <v>6865</v>
      </c>
    </row>
    <row r="2090" spans="1:10" hidden="1">
      <c r="A2090" s="4">
        <v>2.02105739090004E+17</v>
      </c>
      <c r="B2090" s="4">
        <v>1438600446</v>
      </c>
      <c r="C2090" s="4" t="s">
        <v>9981</v>
      </c>
      <c r="D2090" s="4">
        <v>73909</v>
      </c>
      <c r="E2090" s="4">
        <v>20210531</v>
      </c>
      <c r="F2090" s="4">
        <v>20210531</v>
      </c>
      <c r="G2090" s="4">
        <v>20230429</v>
      </c>
      <c r="H2090" s="4" t="s">
        <v>9980</v>
      </c>
      <c r="I2090" s="4" t="s">
        <v>9979</v>
      </c>
      <c r="J2090" s="4" t="s">
        <v>293</v>
      </c>
    </row>
    <row r="2091" spans="1:10" hidden="1">
      <c r="A2091" s="4">
        <v>2.02105339100004E+17</v>
      </c>
      <c r="B2091" s="4">
        <v>2228601447</v>
      </c>
      <c r="C2091" s="4" t="s">
        <v>9978</v>
      </c>
      <c r="D2091" s="4">
        <v>33910</v>
      </c>
      <c r="E2091" s="4">
        <v>20210531</v>
      </c>
      <c r="F2091" s="4">
        <v>20210531</v>
      </c>
      <c r="G2091" s="4">
        <v>20240531</v>
      </c>
      <c r="H2091" s="4" t="s">
        <v>9977</v>
      </c>
      <c r="J2091" s="4" t="s">
        <v>310</v>
      </c>
    </row>
    <row r="2092" spans="1:10" hidden="1">
      <c r="A2092" s="4">
        <v>2.02105713100004E+17</v>
      </c>
      <c r="B2092" s="4">
        <v>2445700278</v>
      </c>
      <c r="C2092" s="4" t="s">
        <v>9976</v>
      </c>
      <c r="D2092" s="4">
        <v>71310</v>
      </c>
      <c r="E2092" s="4">
        <v>20210531</v>
      </c>
      <c r="F2092" s="4">
        <v>20210531</v>
      </c>
      <c r="G2092" s="4">
        <v>20240531</v>
      </c>
      <c r="H2092" s="4" t="s">
        <v>1061</v>
      </c>
      <c r="I2092" s="4" t="s">
        <v>9975</v>
      </c>
      <c r="J2092" s="4" t="s">
        <v>426</v>
      </c>
    </row>
    <row r="2093" spans="1:10" hidden="1">
      <c r="A2093" s="4">
        <v>2.02105591140004E+17</v>
      </c>
      <c r="B2093" s="4">
        <v>4390100210</v>
      </c>
      <c r="C2093" s="4" t="s">
        <v>9974</v>
      </c>
      <c r="D2093" s="4">
        <v>59114</v>
      </c>
      <c r="E2093" s="4">
        <v>20210531</v>
      </c>
      <c r="F2093" s="4">
        <v>20210531</v>
      </c>
      <c r="G2093" s="4">
        <v>20220828</v>
      </c>
      <c r="H2093" s="4" t="s">
        <v>9973</v>
      </c>
      <c r="I2093" s="4" t="s">
        <v>9972</v>
      </c>
      <c r="J2093" s="4" t="s">
        <v>9971</v>
      </c>
    </row>
    <row r="2094" spans="1:10" hidden="1">
      <c r="A2094" s="4">
        <v>2.02105463150004E+17</v>
      </c>
      <c r="B2094" s="4">
        <v>6040793580</v>
      </c>
      <c r="C2094" s="4" t="s">
        <v>9970</v>
      </c>
      <c r="D2094" s="4">
        <v>46315</v>
      </c>
      <c r="E2094" s="4">
        <v>20210531</v>
      </c>
      <c r="F2094" s="4">
        <v>20210531</v>
      </c>
      <c r="G2094" s="4">
        <v>20240531</v>
      </c>
      <c r="H2094" s="4" t="s">
        <v>9969</v>
      </c>
      <c r="I2094" s="4" t="s">
        <v>149</v>
      </c>
      <c r="J2094" s="4" t="s">
        <v>9968</v>
      </c>
    </row>
    <row r="2095" spans="1:10" hidden="1">
      <c r="A2095" s="4">
        <v>2.0210522299000301E+17</v>
      </c>
      <c r="B2095" s="4">
        <v>1313860630</v>
      </c>
      <c r="C2095" s="4" t="s">
        <v>9967</v>
      </c>
      <c r="D2095" s="4">
        <v>22299</v>
      </c>
      <c r="E2095" s="4">
        <v>20210531</v>
      </c>
      <c r="F2095" s="4">
        <v>20210531</v>
      </c>
      <c r="G2095" s="4">
        <v>20240531</v>
      </c>
      <c r="H2095" s="4" t="s">
        <v>9966</v>
      </c>
      <c r="J2095" s="4" t="s">
        <v>384</v>
      </c>
    </row>
    <row r="2096" spans="1:10" hidden="1">
      <c r="A2096" s="4">
        <v>2.02105581220004E+17</v>
      </c>
      <c r="B2096" s="4">
        <v>7013600363</v>
      </c>
      <c r="C2096" s="4" t="s">
        <v>9964</v>
      </c>
      <c r="D2096" s="4">
        <v>58122</v>
      </c>
      <c r="E2096" s="4">
        <v>20210531</v>
      </c>
      <c r="F2096" s="4">
        <v>20210531</v>
      </c>
      <c r="G2096" s="4">
        <v>20240531</v>
      </c>
      <c r="H2096" s="4" t="s">
        <v>1142</v>
      </c>
      <c r="I2096" s="4" t="s">
        <v>9963</v>
      </c>
      <c r="J2096" s="4" t="s">
        <v>9965</v>
      </c>
    </row>
    <row r="2097" spans="1:10" hidden="1">
      <c r="A2097" s="4">
        <v>2.0210558212000301E+17</v>
      </c>
      <c r="B2097" s="4">
        <v>7013600363</v>
      </c>
      <c r="C2097" s="4" t="s">
        <v>9964</v>
      </c>
      <c r="D2097" s="4">
        <v>58212</v>
      </c>
      <c r="E2097" s="4">
        <v>20210531</v>
      </c>
      <c r="F2097" s="4">
        <v>20210531</v>
      </c>
      <c r="G2097" s="4">
        <v>20240531</v>
      </c>
      <c r="H2097" s="4" t="s">
        <v>1142</v>
      </c>
      <c r="I2097" s="4" t="s">
        <v>9963</v>
      </c>
      <c r="J2097" s="4" t="s">
        <v>1076</v>
      </c>
    </row>
    <row r="2098" spans="1:10" hidden="1">
      <c r="A2098" s="4">
        <v>2.02105263100004E+17</v>
      </c>
      <c r="B2098" s="4">
        <v>3111166719</v>
      </c>
      <c r="C2098" s="4" t="s">
        <v>9962</v>
      </c>
      <c r="D2098" s="4">
        <v>26310</v>
      </c>
      <c r="E2098" s="4">
        <v>20210531</v>
      </c>
      <c r="F2098" s="4">
        <v>20210531</v>
      </c>
      <c r="G2098" s="4">
        <v>20240531</v>
      </c>
      <c r="H2098" s="4" t="s">
        <v>2801</v>
      </c>
      <c r="I2098" s="4" t="s">
        <v>1354</v>
      </c>
      <c r="J2098" s="4" t="s">
        <v>372</v>
      </c>
    </row>
    <row r="2099" spans="1:10" hidden="1">
      <c r="A2099" s="4">
        <v>2.02105468000004E+17</v>
      </c>
      <c r="B2099" s="4">
        <v>2012130121</v>
      </c>
      <c r="C2099" s="4" t="s">
        <v>9960</v>
      </c>
      <c r="D2099" s="4">
        <v>46800</v>
      </c>
      <c r="E2099" s="4">
        <v>20210531</v>
      </c>
      <c r="F2099" s="4">
        <v>20210531</v>
      </c>
      <c r="G2099" s="4">
        <v>20220701</v>
      </c>
      <c r="H2099" s="4" t="s">
        <v>9961</v>
      </c>
      <c r="I2099" s="4" t="s">
        <v>9960</v>
      </c>
      <c r="J2099" s="4" t="s">
        <v>979</v>
      </c>
    </row>
    <row r="2100" spans="1:10" hidden="1">
      <c r="A2100" s="4">
        <v>2.0210528519000301E+17</v>
      </c>
      <c r="B2100" s="4">
        <v>1313721076</v>
      </c>
      <c r="C2100" s="4" t="s">
        <v>9959</v>
      </c>
      <c r="D2100" s="4">
        <v>28519</v>
      </c>
      <c r="E2100" s="4">
        <v>20210531</v>
      </c>
      <c r="F2100" s="4">
        <v>20210531</v>
      </c>
      <c r="G2100" s="4">
        <v>20220126</v>
      </c>
      <c r="H2100" s="4" t="s">
        <v>1332</v>
      </c>
      <c r="I2100" s="4" t="s">
        <v>9958</v>
      </c>
      <c r="J2100" s="4" t="s">
        <v>1412</v>
      </c>
    </row>
    <row r="2101" spans="1:10" hidden="1">
      <c r="A2101" s="4">
        <v>2.02105620210004E+17</v>
      </c>
      <c r="B2101" s="4">
        <v>2978801106</v>
      </c>
      <c r="C2101" s="4" t="s">
        <v>9957</v>
      </c>
      <c r="D2101" s="4">
        <v>62021</v>
      </c>
      <c r="E2101" s="4">
        <v>20210531</v>
      </c>
      <c r="F2101" s="4">
        <v>20210531</v>
      </c>
      <c r="G2101" s="4">
        <v>20240531</v>
      </c>
      <c r="H2101" s="4" t="s">
        <v>4928</v>
      </c>
      <c r="I2101" s="4" t="s">
        <v>9956</v>
      </c>
      <c r="J2101" s="4" t="s">
        <v>1505</v>
      </c>
    </row>
    <row r="2102" spans="1:10" hidden="1">
      <c r="A2102" s="4">
        <v>2.02105468000004E+17</v>
      </c>
      <c r="B2102" s="4">
        <v>1622800729</v>
      </c>
      <c r="C2102" s="4" t="s">
        <v>9955</v>
      </c>
      <c r="D2102" s="4">
        <v>46800</v>
      </c>
      <c r="E2102" s="4">
        <v>20210531</v>
      </c>
      <c r="F2102" s="4">
        <v>20210531</v>
      </c>
      <c r="G2102" s="4">
        <v>20240531</v>
      </c>
      <c r="H2102" s="4" t="s">
        <v>9954</v>
      </c>
      <c r="J2102" s="4" t="s">
        <v>979</v>
      </c>
    </row>
    <row r="2103" spans="1:10" hidden="1">
      <c r="A2103" s="4">
        <v>2.0210527214000301E+17</v>
      </c>
      <c r="B2103" s="4">
        <v>7258100199</v>
      </c>
      <c r="C2103" s="4" t="s">
        <v>9953</v>
      </c>
      <c r="D2103" s="4">
        <v>27214</v>
      </c>
      <c r="E2103" s="4">
        <v>20210531</v>
      </c>
      <c r="F2103" s="4">
        <v>20210531</v>
      </c>
      <c r="G2103" s="4">
        <v>20221027</v>
      </c>
      <c r="H2103" s="4" t="s">
        <v>9952</v>
      </c>
      <c r="I2103" s="4" t="s">
        <v>9951</v>
      </c>
      <c r="J2103" s="4" t="s">
        <v>4937</v>
      </c>
    </row>
    <row r="2104" spans="1:10" hidden="1">
      <c r="A2104" s="4">
        <v>2.02105423210004E+17</v>
      </c>
      <c r="B2104" s="4">
        <v>4738600518</v>
      </c>
      <c r="C2104" s="4" t="s">
        <v>9950</v>
      </c>
      <c r="D2104" s="4">
        <v>42321</v>
      </c>
      <c r="E2104" s="4">
        <v>20210531</v>
      </c>
      <c r="F2104" s="4">
        <v>20210531</v>
      </c>
      <c r="G2104" s="4">
        <v>20231201</v>
      </c>
      <c r="H2104" s="4" t="s">
        <v>7393</v>
      </c>
      <c r="I2104" s="4" t="s">
        <v>91</v>
      </c>
      <c r="J2104" s="4" t="s">
        <v>698</v>
      </c>
    </row>
    <row r="2105" spans="1:10" hidden="1">
      <c r="A2105" s="4">
        <v>2.02105759990004E+17</v>
      </c>
      <c r="B2105" s="4">
        <v>3211001604</v>
      </c>
      <c r="C2105" s="4" t="s">
        <v>9949</v>
      </c>
      <c r="D2105" s="4">
        <v>75999</v>
      </c>
      <c r="E2105" s="4">
        <v>20210531</v>
      </c>
      <c r="F2105" s="4">
        <v>20210531</v>
      </c>
      <c r="G2105" s="4">
        <v>20240531</v>
      </c>
      <c r="H2105" s="4" t="s">
        <v>9948</v>
      </c>
      <c r="I2105" s="4" t="s">
        <v>9947</v>
      </c>
      <c r="J2105" s="4" t="s">
        <v>158</v>
      </c>
    </row>
    <row r="2106" spans="1:10" hidden="1">
      <c r="A2106" s="4">
        <v>2.02105466220004E+17</v>
      </c>
      <c r="B2106" s="4">
        <v>4166200367</v>
      </c>
      <c r="C2106" s="4" t="s">
        <v>9946</v>
      </c>
      <c r="D2106" s="4">
        <v>46622</v>
      </c>
      <c r="E2106" s="4">
        <v>20210531</v>
      </c>
      <c r="F2106" s="4">
        <v>20210531</v>
      </c>
      <c r="G2106" s="4">
        <v>20240531</v>
      </c>
      <c r="H2106" s="4" t="s">
        <v>9945</v>
      </c>
      <c r="I2106" s="4" t="s">
        <v>91</v>
      </c>
      <c r="J2106" s="4" t="s">
        <v>7011</v>
      </c>
    </row>
    <row r="2107" spans="1:10" hidden="1">
      <c r="A2107" s="4">
        <v>2.02106423110004E+17</v>
      </c>
      <c r="B2107" s="4">
        <v>7398100408</v>
      </c>
      <c r="C2107" s="4" t="s">
        <v>10266</v>
      </c>
      <c r="D2107" s="4">
        <v>42311</v>
      </c>
      <c r="E2107" s="4">
        <v>20210603</v>
      </c>
      <c r="F2107" s="4">
        <v>20210603</v>
      </c>
      <c r="G2107" s="4">
        <v>20230112</v>
      </c>
      <c r="H2107" s="4" t="s">
        <v>10265</v>
      </c>
      <c r="J2107" s="4" t="s">
        <v>718</v>
      </c>
    </row>
    <row r="2108" spans="1:10" hidden="1">
      <c r="A2108" s="4">
        <v>2.02105716000004E+17</v>
      </c>
      <c r="B2108" s="4">
        <v>5456400179</v>
      </c>
      <c r="C2108" s="4" t="s">
        <v>9942</v>
      </c>
      <c r="D2108" s="4">
        <v>71600</v>
      </c>
      <c r="E2108" s="4">
        <v>20210531</v>
      </c>
      <c r="F2108" s="4">
        <v>20210531</v>
      </c>
      <c r="G2108" s="4">
        <v>20240531</v>
      </c>
      <c r="H2108" s="4" t="s">
        <v>9941</v>
      </c>
      <c r="J2108" s="4" t="s">
        <v>1783</v>
      </c>
    </row>
    <row r="2109" spans="1:10" hidden="1">
      <c r="A2109" s="4">
        <v>2.02105475910004E+17</v>
      </c>
      <c r="B2109" s="4">
        <v>3450200421</v>
      </c>
      <c r="C2109" s="4" t="s">
        <v>9940</v>
      </c>
      <c r="D2109" s="4">
        <v>47591</v>
      </c>
      <c r="E2109" s="4">
        <v>20210531</v>
      </c>
      <c r="F2109" s="4">
        <v>20210531</v>
      </c>
      <c r="G2109" s="4">
        <v>20230801</v>
      </c>
      <c r="H2109" s="4" t="s">
        <v>1154</v>
      </c>
      <c r="I2109" s="4" t="s">
        <v>9939</v>
      </c>
      <c r="J2109" s="4" t="s">
        <v>476</v>
      </c>
    </row>
    <row r="2110" spans="1:10" hidden="1">
      <c r="A2110" s="4">
        <v>2.02105465100004E+17</v>
      </c>
      <c r="B2110" s="4">
        <v>1933101042</v>
      </c>
      <c r="C2110" s="4" t="s">
        <v>9938</v>
      </c>
      <c r="D2110" s="4">
        <v>46510</v>
      </c>
      <c r="E2110" s="4">
        <v>20210531</v>
      </c>
      <c r="F2110" s="4">
        <v>20210531</v>
      </c>
      <c r="G2110" s="4">
        <v>20240531</v>
      </c>
      <c r="H2110" s="4" t="s">
        <v>9937</v>
      </c>
      <c r="I2110" s="4" t="s">
        <v>9936</v>
      </c>
      <c r="J2110" s="4" t="s">
        <v>126</v>
      </c>
    </row>
    <row r="2111" spans="1:10" hidden="1">
      <c r="A2111" s="4">
        <v>2.02105476110004E+17</v>
      </c>
      <c r="B2111" s="4">
        <v>4940301729</v>
      </c>
      <c r="C2111" s="4" t="s">
        <v>9935</v>
      </c>
      <c r="D2111" s="4">
        <v>47611</v>
      </c>
      <c r="E2111" s="4">
        <v>20210531</v>
      </c>
      <c r="F2111" s="4">
        <v>20210531</v>
      </c>
      <c r="G2111" s="4">
        <v>20240531</v>
      </c>
      <c r="H2111" s="4" t="s">
        <v>9934</v>
      </c>
      <c r="I2111" s="4" t="s">
        <v>9933</v>
      </c>
      <c r="J2111" s="4" t="s">
        <v>4252</v>
      </c>
    </row>
    <row r="2112" spans="1:10" hidden="1">
      <c r="A2112" s="4">
        <v>2.02105162910004E+17</v>
      </c>
      <c r="B2112" s="4">
        <v>3400700528</v>
      </c>
      <c r="C2112" s="4" t="s">
        <v>9932</v>
      </c>
      <c r="D2112" s="4">
        <v>16291</v>
      </c>
      <c r="E2112" s="4">
        <v>20210531</v>
      </c>
      <c r="F2112" s="4">
        <v>20210531</v>
      </c>
      <c r="G2112" s="4">
        <v>20231128</v>
      </c>
      <c r="H2112" s="4" t="s">
        <v>9931</v>
      </c>
      <c r="J2112" s="4" t="s">
        <v>4956</v>
      </c>
    </row>
    <row r="2113" spans="1:10" hidden="1">
      <c r="A2113" s="4">
        <v>2.0210523329000301E+17</v>
      </c>
      <c r="B2113" s="4">
        <v>2538800859</v>
      </c>
      <c r="C2113" s="4" t="s">
        <v>9930</v>
      </c>
      <c r="D2113" s="4">
        <v>23329</v>
      </c>
      <c r="E2113" s="4">
        <v>20210531</v>
      </c>
      <c r="F2113" s="4">
        <v>20210531</v>
      </c>
      <c r="G2113" s="4">
        <v>20240531</v>
      </c>
      <c r="H2113" s="4" t="s">
        <v>9929</v>
      </c>
      <c r="J2113" s="4" t="s">
        <v>6281</v>
      </c>
    </row>
    <row r="2114" spans="1:10" hidden="1">
      <c r="A2114" s="4">
        <v>2.02105291200004E+17</v>
      </c>
      <c r="B2114" s="4">
        <v>2354600429</v>
      </c>
      <c r="C2114" s="4" t="s">
        <v>9927</v>
      </c>
      <c r="D2114" s="4">
        <v>29120</v>
      </c>
      <c r="E2114" s="4">
        <v>20210531</v>
      </c>
      <c r="F2114" s="4">
        <v>20210531</v>
      </c>
      <c r="G2114" s="4">
        <v>20240531</v>
      </c>
      <c r="H2114" s="4" t="s">
        <v>9928</v>
      </c>
      <c r="I2114" s="4" t="s">
        <v>9927</v>
      </c>
      <c r="J2114" s="4" t="s">
        <v>1188</v>
      </c>
    </row>
    <row r="2115" spans="1:10" hidden="1">
      <c r="A2115" s="4">
        <v>2.02105582220004E+17</v>
      </c>
      <c r="B2115" s="4">
        <v>6198800971</v>
      </c>
      <c r="C2115" s="4" t="s">
        <v>9926</v>
      </c>
      <c r="D2115" s="4">
        <v>58222</v>
      </c>
      <c r="E2115" s="4">
        <v>20210531</v>
      </c>
      <c r="F2115" s="4">
        <v>20210531</v>
      </c>
      <c r="G2115" s="4">
        <v>20240531</v>
      </c>
      <c r="H2115" s="4" t="s">
        <v>1525</v>
      </c>
      <c r="I2115" s="4" t="s">
        <v>9925</v>
      </c>
      <c r="J2115" s="4" t="s">
        <v>94</v>
      </c>
    </row>
    <row r="2116" spans="1:10" hidden="1">
      <c r="A2116" s="4">
        <v>2.02105591110004E+17</v>
      </c>
      <c r="B2116" s="4">
        <v>3240700185</v>
      </c>
      <c r="C2116" s="4" t="s">
        <v>9924</v>
      </c>
      <c r="D2116" s="4">
        <v>59111</v>
      </c>
      <c r="E2116" s="4">
        <v>20210531</v>
      </c>
      <c r="F2116" s="4">
        <v>20210531</v>
      </c>
      <c r="G2116" s="4">
        <v>20221211</v>
      </c>
      <c r="H2116" s="4" t="s">
        <v>3551</v>
      </c>
      <c r="I2116" s="4" t="s">
        <v>3442</v>
      </c>
      <c r="J2116" s="4" t="s">
        <v>1857</v>
      </c>
    </row>
    <row r="2117" spans="1:10" hidden="1">
      <c r="A2117" s="4">
        <v>2.02105151290004E+17</v>
      </c>
      <c r="B2117" s="4">
        <v>1180269793</v>
      </c>
      <c r="C2117" s="4" t="s">
        <v>9923</v>
      </c>
      <c r="D2117" s="4">
        <v>15129</v>
      </c>
      <c r="E2117" s="4">
        <v>20210531</v>
      </c>
      <c r="F2117" s="4">
        <v>20210531</v>
      </c>
      <c r="G2117" s="4">
        <v>20240531</v>
      </c>
      <c r="H2117" s="4" t="s">
        <v>9922</v>
      </c>
      <c r="I2117" s="4" t="s">
        <v>9921</v>
      </c>
      <c r="J2117" s="4" t="s">
        <v>2024</v>
      </c>
    </row>
    <row r="2118" spans="1:10" hidden="1">
      <c r="A2118" s="4">
        <v>2.02105339990004E+17</v>
      </c>
      <c r="B2118" s="4">
        <v>1612600080</v>
      </c>
      <c r="C2118" s="4" t="s">
        <v>9920</v>
      </c>
      <c r="D2118" s="4">
        <v>33999</v>
      </c>
      <c r="E2118" s="4">
        <v>20210531</v>
      </c>
      <c r="F2118" s="4">
        <v>20210531</v>
      </c>
      <c r="G2118" s="4">
        <v>20220506</v>
      </c>
      <c r="H2118" s="4" t="s">
        <v>9919</v>
      </c>
      <c r="J2118" s="4" t="s">
        <v>780</v>
      </c>
    </row>
    <row r="2119" spans="1:10" hidden="1">
      <c r="A2119" s="4">
        <v>2.02106582210004E+17</v>
      </c>
      <c r="B2119" s="4">
        <v>6508100629</v>
      </c>
      <c r="C2119" s="4" t="s">
        <v>10243</v>
      </c>
      <c r="D2119" s="4">
        <v>58221</v>
      </c>
      <c r="E2119" s="4">
        <v>20210603</v>
      </c>
      <c r="F2119" s="4">
        <v>20210603</v>
      </c>
      <c r="G2119" s="4">
        <v>20231103</v>
      </c>
      <c r="H2119" s="4" t="s">
        <v>10242</v>
      </c>
      <c r="I2119" s="4" t="s">
        <v>10241</v>
      </c>
      <c r="J2119" s="4" t="s">
        <v>228</v>
      </c>
    </row>
    <row r="2120" spans="1:10" hidden="1">
      <c r="A2120" s="4">
        <v>2.02105423210004E+17</v>
      </c>
      <c r="B2120" s="4">
        <v>3478100359</v>
      </c>
      <c r="C2120" s="4" t="s">
        <v>9917</v>
      </c>
      <c r="D2120" s="4">
        <v>42321</v>
      </c>
      <c r="E2120" s="4">
        <v>20210531</v>
      </c>
      <c r="F2120" s="4">
        <v>20210531</v>
      </c>
      <c r="G2120" s="4">
        <v>20230215</v>
      </c>
      <c r="H2120" s="4" t="s">
        <v>9916</v>
      </c>
      <c r="I2120" s="4" t="s">
        <v>9915</v>
      </c>
      <c r="J2120" s="4" t="s">
        <v>698</v>
      </c>
    </row>
    <row r="2121" spans="1:10" hidden="1">
      <c r="A2121" s="4">
        <v>2.02105478130004E+17</v>
      </c>
      <c r="B2121" s="4">
        <v>4094420532</v>
      </c>
      <c r="C2121" s="4" t="s">
        <v>9914</v>
      </c>
      <c r="D2121" s="4">
        <v>47813</v>
      </c>
      <c r="E2121" s="4">
        <v>20210531</v>
      </c>
      <c r="F2121" s="4">
        <v>20210531</v>
      </c>
      <c r="G2121" s="4">
        <v>20240531</v>
      </c>
      <c r="H2121" s="4" t="s">
        <v>9913</v>
      </c>
      <c r="I2121" s="4" t="s">
        <v>9912</v>
      </c>
      <c r="J2121" s="4" t="s">
        <v>376</v>
      </c>
    </row>
    <row r="2122" spans="1:10" hidden="1">
      <c r="A2122" s="4">
        <v>2.02105464390004E+17</v>
      </c>
      <c r="B2122" s="4">
        <v>5172900663</v>
      </c>
      <c r="C2122" s="4" t="s">
        <v>9911</v>
      </c>
      <c r="D2122" s="4">
        <v>46439</v>
      </c>
      <c r="E2122" s="4">
        <v>20210531</v>
      </c>
      <c r="F2122" s="4">
        <v>20210531</v>
      </c>
      <c r="G2122" s="4">
        <v>20240531</v>
      </c>
      <c r="H2122" s="4" t="s">
        <v>9910</v>
      </c>
      <c r="I2122" s="4" t="s">
        <v>9909</v>
      </c>
      <c r="J2122" s="4" t="s">
        <v>9908</v>
      </c>
    </row>
    <row r="2123" spans="1:10" hidden="1">
      <c r="A2123" s="4">
        <v>2.02105281230004E+17</v>
      </c>
      <c r="B2123" s="4">
        <v>4588800658</v>
      </c>
      <c r="C2123" s="4" t="s">
        <v>9906</v>
      </c>
      <c r="D2123" s="4">
        <v>28123</v>
      </c>
      <c r="E2123" s="4">
        <v>20210531</v>
      </c>
      <c r="F2123" s="4">
        <v>20210531</v>
      </c>
      <c r="G2123" s="4">
        <v>20240111</v>
      </c>
      <c r="H2123" s="4" t="s">
        <v>9907</v>
      </c>
      <c r="I2123" s="4" t="s">
        <v>9906</v>
      </c>
      <c r="J2123" s="4" t="s">
        <v>640</v>
      </c>
    </row>
    <row r="2124" spans="1:10" hidden="1">
      <c r="A2124" s="4">
        <v>2.02105582220004E+17</v>
      </c>
      <c r="B2124" s="4">
        <v>4268702026</v>
      </c>
      <c r="C2124" s="4" t="s">
        <v>9905</v>
      </c>
      <c r="D2124" s="4">
        <v>58222</v>
      </c>
      <c r="E2124" s="4">
        <v>20210531</v>
      </c>
      <c r="F2124" s="4">
        <v>20210531</v>
      </c>
      <c r="G2124" s="4">
        <v>20240531</v>
      </c>
      <c r="H2124" s="4" t="s">
        <v>9904</v>
      </c>
      <c r="I2124" s="4" t="s">
        <v>9903</v>
      </c>
      <c r="J2124" s="4" t="s">
        <v>94</v>
      </c>
    </row>
    <row r="2125" spans="1:10" hidden="1">
      <c r="A2125" s="4">
        <v>2.02105468000004E+17</v>
      </c>
      <c r="B2125" s="4">
        <v>2402200221</v>
      </c>
      <c r="C2125" s="4" t="s">
        <v>9902</v>
      </c>
      <c r="D2125" s="4">
        <v>46800</v>
      </c>
      <c r="E2125" s="4">
        <v>20210531</v>
      </c>
      <c r="F2125" s="4">
        <v>20210531</v>
      </c>
      <c r="G2125" s="4">
        <v>20230115</v>
      </c>
      <c r="H2125" s="4" t="s">
        <v>9901</v>
      </c>
      <c r="I2125" s="4" t="s">
        <v>9900</v>
      </c>
      <c r="J2125" s="4" t="s">
        <v>979</v>
      </c>
    </row>
    <row r="2126" spans="1:10" hidden="1">
      <c r="A2126" s="4">
        <v>2.0210546739000301E+17</v>
      </c>
      <c r="B2126" s="4">
        <v>6645400603</v>
      </c>
      <c r="C2126" s="4" t="s">
        <v>9899</v>
      </c>
      <c r="D2126" s="4">
        <v>46739</v>
      </c>
      <c r="E2126" s="4">
        <v>20210531</v>
      </c>
      <c r="F2126" s="4">
        <v>20210531</v>
      </c>
      <c r="G2126" s="4">
        <v>20240531</v>
      </c>
      <c r="H2126" s="4" t="s">
        <v>6163</v>
      </c>
      <c r="I2126" s="4" t="s">
        <v>9898</v>
      </c>
      <c r="J2126" s="4" t="s">
        <v>2551</v>
      </c>
    </row>
    <row r="2127" spans="1:10" hidden="1">
      <c r="A2127" s="4">
        <v>2.0210546593000301E+17</v>
      </c>
      <c r="B2127" s="4">
        <v>3464300484</v>
      </c>
      <c r="C2127" s="4" t="s">
        <v>9897</v>
      </c>
      <c r="D2127" s="4">
        <v>46593</v>
      </c>
      <c r="E2127" s="4">
        <v>20210531</v>
      </c>
      <c r="F2127" s="4">
        <v>20210531</v>
      </c>
      <c r="G2127" s="4">
        <v>20240531</v>
      </c>
      <c r="H2127" s="4" t="s">
        <v>9896</v>
      </c>
      <c r="I2127" s="4" t="s">
        <v>2274</v>
      </c>
      <c r="J2127" s="4" t="s">
        <v>1469</v>
      </c>
    </row>
    <row r="2128" spans="1:10" hidden="1">
      <c r="A2128" s="4">
        <v>2.02105473110004E+17</v>
      </c>
      <c r="B2128" s="4">
        <v>3203000411</v>
      </c>
      <c r="C2128" s="4" t="s">
        <v>9895</v>
      </c>
      <c r="D2128" s="4">
        <v>47311</v>
      </c>
      <c r="E2128" s="4">
        <v>20210531</v>
      </c>
      <c r="F2128" s="4">
        <v>20210531</v>
      </c>
      <c r="G2128" s="4">
        <v>20240531</v>
      </c>
      <c r="H2128" s="4" t="s">
        <v>9894</v>
      </c>
      <c r="I2128" s="4" t="s">
        <v>9893</v>
      </c>
      <c r="J2128" s="4" t="s">
        <v>588</v>
      </c>
    </row>
    <row r="2129" spans="1:10" hidden="1">
      <c r="A2129" s="4">
        <v>2.0210546599000301E+17</v>
      </c>
      <c r="B2129" s="4">
        <v>6283500061</v>
      </c>
      <c r="C2129" s="4" t="s">
        <v>9892</v>
      </c>
      <c r="D2129" s="4">
        <v>46599</v>
      </c>
      <c r="E2129" s="4">
        <v>20210531</v>
      </c>
      <c r="F2129" s="4">
        <v>20210531</v>
      </c>
      <c r="G2129" s="4">
        <v>20220825</v>
      </c>
      <c r="H2129" s="4" t="s">
        <v>9891</v>
      </c>
      <c r="J2129" s="4" t="s">
        <v>2310</v>
      </c>
    </row>
    <row r="2130" spans="1:10" hidden="1">
      <c r="A2130" s="4">
        <v>2.0210546595000301E+17</v>
      </c>
      <c r="B2130" s="4">
        <v>2604900334</v>
      </c>
      <c r="C2130" s="4" t="s">
        <v>9890</v>
      </c>
      <c r="D2130" s="4">
        <v>46595</v>
      </c>
      <c r="E2130" s="4">
        <v>20210531</v>
      </c>
      <c r="F2130" s="4">
        <v>20210531</v>
      </c>
      <c r="G2130" s="4">
        <v>20240531</v>
      </c>
      <c r="H2130" s="4" t="s">
        <v>9889</v>
      </c>
      <c r="I2130" s="4" t="s">
        <v>9888</v>
      </c>
      <c r="J2130" s="4" t="s">
        <v>960</v>
      </c>
    </row>
    <row r="2131" spans="1:10" hidden="1">
      <c r="A2131" s="4">
        <v>2.02105465930004E+17</v>
      </c>
      <c r="B2131" s="4">
        <v>7373400034</v>
      </c>
      <c r="C2131" s="4" t="s">
        <v>9887</v>
      </c>
      <c r="D2131" s="4">
        <v>46593</v>
      </c>
      <c r="E2131" s="4">
        <v>20210531</v>
      </c>
      <c r="F2131" s="4">
        <v>20210531</v>
      </c>
      <c r="G2131" s="4">
        <v>20220730</v>
      </c>
      <c r="H2131" s="4" t="s">
        <v>2201</v>
      </c>
      <c r="I2131" s="4" t="s">
        <v>754</v>
      </c>
      <c r="J2131" s="4" t="s">
        <v>1469</v>
      </c>
    </row>
    <row r="2132" spans="1:10" hidden="1">
      <c r="A2132" s="4">
        <v>2.02105291720004E+17</v>
      </c>
      <c r="B2132" s="4">
        <v>7530401080</v>
      </c>
      <c r="C2132" s="4" t="s">
        <v>9886</v>
      </c>
      <c r="D2132" s="4">
        <v>29172</v>
      </c>
      <c r="E2132" s="4">
        <v>20210531</v>
      </c>
      <c r="F2132" s="4">
        <v>20210531</v>
      </c>
      <c r="G2132" s="4">
        <v>20240531</v>
      </c>
      <c r="H2132" s="4" t="s">
        <v>1225</v>
      </c>
      <c r="I2132" s="4" t="s">
        <v>9885</v>
      </c>
      <c r="J2132" s="4" t="s">
        <v>1204</v>
      </c>
    </row>
    <row r="2133" spans="1:10" hidden="1">
      <c r="A2133" s="4">
        <v>2.02105292800004E+17</v>
      </c>
      <c r="B2133" s="4">
        <v>5312200340</v>
      </c>
      <c r="C2133" s="4" t="s">
        <v>9884</v>
      </c>
      <c r="D2133" s="4">
        <v>29280</v>
      </c>
      <c r="E2133" s="4">
        <v>20210531</v>
      </c>
      <c r="F2133" s="4">
        <v>20210531</v>
      </c>
      <c r="G2133" s="4">
        <v>20240531</v>
      </c>
      <c r="H2133" s="4" t="s">
        <v>4791</v>
      </c>
      <c r="I2133" s="4" t="s">
        <v>9883</v>
      </c>
      <c r="J2133" s="4" t="s">
        <v>533</v>
      </c>
    </row>
    <row r="2134" spans="1:10" hidden="1">
      <c r="A2134" s="4">
        <v>2.0210558222000301E+17</v>
      </c>
      <c r="B2134" s="4">
        <v>1403900477</v>
      </c>
      <c r="C2134" s="4" t="s">
        <v>9882</v>
      </c>
      <c r="D2134" s="4">
        <v>58222</v>
      </c>
      <c r="E2134" s="4">
        <v>20210531</v>
      </c>
      <c r="F2134" s="4">
        <v>20210531</v>
      </c>
      <c r="G2134" s="4">
        <v>20240531</v>
      </c>
      <c r="H2134" s="4" t="s">
        <v>2493</v>
      </c>
      <c r="I2134" s="4" t="s">
        <v>9881</v>
      </c>
      <c r="J2134" s="4" t="s">
        <v>94</v>
      </c>
    </row>
    <row r="2135" spans="1:10" hidden="1">
      <c r="A2135" s="4">
        <v>2.02105475910004E+17</v>
      </c>
      <c r="B2135" s="4">
        <v>8411500671</v>
      </c>
      <c r="C2135" s="4" t="s">
        <v>9880</v>
      </c>
      <c r="D2135" s="4">
        <v>47591</v>
      </c>
      <c r="E2135" s="4">
        <v>20210531</v>
      </c>
      <c r="F2135" s="4">
        <v>20210531</v>
      </c>
      <c r="G2135" s="4">
        <v>20240531</v>
      </c>
      <c r="H2135" s="4" t="s">
        <v>9879</v>
      </c>
      <c r="I2135" s="4" t="s">
        <v>9878</v>
      </c>
      <c r="J2135" s="4" t="s">
        <v>476</v>
      </c>
    </row>
    <row r="2136" spans="1:10" hidden="1">
      <c r="A2136" s="4">
        <v>2.02105107920004E+17</v>
      </c>
      <c r="B2136" s="4">
        <v>7104800545</v>
      </c>
      <c r="C2136" s="4" t="s">
        <v>9877</v>
      </c>
      <c r="D2136" s="4">
        <v>10792</v>
      </c>
      <c r="E2136" s="4">
        <v>20210531</v>
      </c>
      <c r="F2136" s="4">
        <v>20210531</v>
      </c>
      <c r="G2136" s="4">
        <v>20240531</v>
      </c>
      <c r="H2136" s="4" t="s">
        <v>9876</v>
      </c>
      <c r="I2136" s="4" t="s">
        <v>9875</v>
      </c>
      <c r="J2136" s="4" t="s">
        <v>9874</v>
      </c>
    </row>
    <row r="2137" spans="1:10" hidden="1">
      <c r="A2137" s="4">
        <v>2.02105281230004E+17</v>
      </c>
      <c r="B2137" s="4">
        <v>8048600819</v>
      </c>
      <c r="C2137" s="4" t="s">
        <v>9873</v>
      </c>
      <c r="D2137" s="4">
        <v>28123</v>
      </c>
      <c r="E2137" s="4">
        <v>20210531</v>
      </c>
      <c r="F2137" s="4">
        <v>20210531</v>
      </c>
      <c r="G2137" s="4">
        <v>20240531</v>
      </c>
      <c r="H2137" s="4" t="s">
        <v>9872</v>
      </c>
      <c r="J2137" s="4" t="s">
        <v>640</v>
      </c>
    </row>
    <row r="2138" spans="1:10" hidden="1">
      <c r="A2138" s="4">
        <v>2.02105262990004E+17</v>
      </c>
      <c r="B2138" s="4">
        <v>6028600101</v>
      </c>
      <c r="C2138" s="4" t="s">
        <v>9871</v>
      </c>
      <c r="D2138" s="4">
        <v>26299</v>
      </c>
      <c r="E2138" s="4">
        <v>20210531</v>
      </c>
      <c r="F2138" s="4">
        <v>20210531</v>
      </c>
      <c r="G2138" s="4">
        <v>20220603</v>
      </c>
      <c r="H2138" s="4" t="s">
        <v>1239</v>
      </c>
      <c r="I2138" s="4" t="s">
        <v>9870</v>
      </c>
      <c r="J2138" s="4" t="s">
        <v>339</v>
      </c>
    </row>
    <row r="2139" spans="1:10" hidden="1">
      <c r="A2139" s="4">
        <v>2.02105264290004E+17</v>
      </c>
      <c r="B2139" s="4">
        <v>3148700818</v>
      </c>
      <c r="C2139" s="4" t="s">
        <v>9869</v>
      </c>
      <c r="D2139" s="4">
        <v>26429</v>
      </c>
      <c r="E2139" s="4">
        <v>20210531</v>
      </c>
      <c r="F2139" s="4">
        <v>20210531</v>
      </c>
      <c r="G2139" s="4">
        <v>20240531</v>
      </c>
      <c r="H2139" s="4" t="s">
        <v>9868</v>
      </c>
      <c r="I2139" s="4" t="s">
        <v>149</v>
      </c>
      <c r="J2139" s="4" t="s">
        <v>422</v>
      </c>
    </row>
    <row r="2140" spans="1:10" hidden="1">
      <c r="A2140" s="4">
        <v>2.02105901980004E+17</v>
      </c>
      <c r="B2140" s="4">
        <v>2098700350</v>
      </c>
      <c r="C2140" s="4" t="s">
        <v>9867</v>
      </c>
      <c r="D2140" s="4">
        <v>90198</v>
      </c>
      <c r="E2140" s="4">
        <v>20210531</v>
      </c>
      <c r="F2140" s="4">
        <v>20210531</v>
      </c>
      <c r="G2140" s="4">
        <v>20221215</v>
      </c>
      <c r="H2140" s="4" t="s">
        <v>9866</v>
      </c>
      <c r="I2140" s="4" t="s">
        <v>9865</v>
      </c>
      <c r="J2140" s="4" t="s">
        <v>7732</v>
      </c>
    </row>
    <row r="2141" spans="1:10" hidden="1">
      <c r="A2141" s="4">
        <v>2.02105284290004E+17</v>
      </c>
      <c r="B2141" s="4">
        <v>5598802172</v>
      </c>
      <c r="C2141" s="4" t="s">
        <v>9864</v>
      </c>
      <c r="D2141" s="4">
        <v>28429</v>
      </c>
      <c r="E2141" s="4">
        <v>20210531</v>
      </c>
      <c r="F2141" s="4">
        <v>20210531</v>
      </c>
      <c r="G2141" s="4">
        <v>20240531</v>
      </c>
      <c r="H2141" s="4" t="s">
        <v>9863</v>
      </c>
      <c r="I2141" s="4" t="s">
        <v>9862</v>
      </c>
      <c r="J2141" s="4" t="s">
        <v>765</v>
      </c>
    </row>
    <row r="2142" spans="1:10" hidden="1">
      <c r="A2142" s="4">
        <v>2.02105271990004E+17</v>
      </c>
      <c r="B2142" s="4">
        <v>4678800161</v>
      </c>
      <c r="C2142" s="4" t="s">
        <v>9861</v>
      </c>
      <c r="D2142" s="4">
        <v>27199</v>
      </c>
      <c r="E2142" s="4">
        <v>20210531</v>
      </c>
      <c r="F2142" s="4">
        <v>20210531</v>
      </c>
      <c r="G2142" s="4">
        <v>20220720</v>
      </c>
      <c r="H2142" s="4" t="s">
        <v>9860</v>
      </c>
      <c r="I2142" s="4" t="s">
        <v>1695</v>
      </c>
      <c r="J2142" s="4" t="s">
        <v>418</v>
      </c>
    </row>
    <row r="2143" spans="1:10" hidden="1">
      <c r="A2143" s="4">
        <v>2.0210571532000301E+17</v>
      </c>
      <c r="B2143" s="4">
        <v>2618127812</v>
      </c>
      <c r="C2143" s="4" t="s">
        <v>9859</v>
      </c>
      <c r="D2143" s="4">
        <v>71532</v>
      </c>
      <c r="E2143" s="4">
        <v>20210531</v>
      </c>
      <c r="F2143" s="4">
        <v>20210531</v>
      </c>
      <c r="G2143" s="4">
        <v>20240531</v>
      </c>
      <c r="H2143" s="4" t="s">
        <v>9858</v>
      </c>
      <c r="I2143" s="4" t="s">
        <v>9857</v>
      </c>
      <c r="J2143" s="4" t="s">
        <v>9856</v>
      </c>
    </row>
    <row r="2144" spans="1:10" hidden="1">
      <c r="A2144" s="4">
        <v>2.0210571310000301E+17</v>
      </c>
      <c r="B2144" s="4">
        <v>7788601047</v>
      </c>
      <c r="C2144" s="4" t="s">
        <v>9855</v>
      </c>
      <c r="D2144" s="4">
        <v>71310</v>
      </c>
      <c r="E2144" s="4">
        <v>20210531</v>
      </c>
      <c r="F2144" s="4">
        <v>20210531</v>
      </c>
      <c r="G2144" s="4">
        <v>20240531</v>
      </c>
      <c r="H2144" s="4" t="s">
        <v>1906</v>
      </c>
      <c r="I2144" s="4" t="s">
        <v>3923</v>
      </c>
      <c r="J2144" s="4" t="s">
        <v>426</v>
      </c>
    </row>
    <row r="2145" spans="1:10" hidden="1">
      <c r="A2145" s="4">
        <v>2.02105272130004E+17</v>
      </c>
      <c r="B2145" s="4">
        <v>4698700059</v>
      </c>
      <c r="C2145" s="4" t="s">
        <v>9854</v>
      </c>
      <c r="D2145" s="4">
        <v>27213</v>
      </c>
      <c r="E2145" s="4">
        <v>20210531</v>
      </c>
      <c r="F2145" s="4">
        <v>20210531</v>
      </c>
      <c r="G2145" s="4">
        <v>20220403</v>
      </c>
      <c r="H2145" s="4" t="s">
        <v>9853</v>
      </c>
      <c r="J2145" s="4" t="s">
        <v>264</v>
      </c>
    </row>
    <row r="2146" spans="1:10" hidden="1">
      <c r="A2146" s="4">
        <v>2.0210527199000301E+17</v>
      </c>
      <c r="B2146" s="4">
        <v>3248701380</v>
      </c>
      <c r="C2146" s="4" t="s">
        <v>9852</v>
      </c>
      <c r="D2146" s="4">
        <v>27199</v>
      </c>
      <c r="E2146" s="4">
        <v>20210531</v>
      </c>
      <c r="F2146" s="4">
        <v>20210531</v>
      </c>
      <c r="G2146" s="4">
        <v>20240531</v>
      </c>
      <c r="H2146" s="4" t="s">
        <v>9851</v>
      </c>
      <c r="I2146" s="4" t="s">
        <v>9850</v>
      </c>
      <c r="J2146" s="4" t="s">
        <v>418</v>
      </c>
    </row>
    <row r="2147" spans="1:10" hidden="1">
      <c r="A2147" s="4">
        <v>2.0210541226000301E+17</v>
      </c>
      <c r="B2147" s="4">
        <v>4268102209</v>
      </c>
      <c r="C2147" s="4" t="s">
        <v>9849</v>
      </c>
      <c r="D2147" s="4">
        <v>41226</v>
      </c>
      <c r="E2147" s="4">
        <v>20210531</v>
      </c>
      <c r="F2147" s="4">
        <v>20210531</v>
      </c>
      <c r="G2147" s="4">
        <v>20240531</v>
      </c>
      <c r="H2147" s="4" t="s">
        <v>9848</v>
      </c>
      <c r="I2147" s="4" t="s">
        <v>5650</v>
      </c>
      <c r="J2147" s="4" t="s">
        <v>1063</v>
      </c>
    </row>
    <row r="2148" spans="1:10" hidden="1">
      <c r="A2148" s="4">
        <v>2.02106721290004E+17</v>
      </c>
      <c r="B2148" s="4">
        <v>6578101459</v>
      </c>
      <c r="C2148" s="4" t="s">
        <v>10220</v>
      </c>
      <c r="D2148" s="4">
        <v>72129</v>
      </c>
      <c r="E2148" s="4">
        <v>20210603</v>
      </c>
      <c r="F2148" s="4">
        <v>20210603</v>
      </c>
      <c r="G2148" s="4">
        <v>20240603</v>
      </c>
      <c r="H2148" s="4" t="s">
        <v>10219</v>
      </c>
      <c r="I2148" s="4" t="s">
        <v>7973</v>
      </c>
      <c r="J2148" s="4" t="s">
        <v>1679</v>
      </c>
    </row>
    <row r="2149" spans="1:10" hidden="1">
      <c r="A2149" s="4">
        <v>2.02105281220004E+17</v>
      </c>
      <c r="B2149" s="4">
        <v>8608801976</v>
      </c>
      <c r="C2149" s="4" t="s">
        <v>9845</v>
      </c>
      <c r="D2149" s="4">
        <v>28122</v>
      </c>
      <c r="E2149" s="4">
        <v>20210531</v>
      </c>
      <c r="F2149" s="4">
        <v>20210531</v>
      </c>
      <c r="G2149" s="4">
        <v>20240531</v>
      </c>
      <c r="H2149" s="4" t="s">
        <v>9844</v>
      </c>
      <c r="I2149" s="4" t="s">
        <v>8911</v>
      </c>
      <c r="J2149" s="4" t="s">
        <v>837</v>
      </c>
    </row>
    <row r="2150" spans="1:10" hidden="1">
      <c r="A2150" s="4">
        <v>2.02105620100004E+17</v>
      </c>
      <c r="B2150" s="4">
        <v>6918701091</v>
      </c>
      <c r="C2150" s="4" t="s">
        <v>9843</v>
      </c>
      <c r="D2150" s="4">
        <v>62010</v>
      </c>
      <c r="E2150" s="4">
        <v>20210531</v>
      </c>
      <c r="F2150" s="4">
        <v>20210531</v>
      </c>
      <c r="G2150" s="4">
        <v>20230615</v>
      </c>
      <c r="H2150" s="4" t="s">
        <v>4291</v>
      </c>
      <c r="I2150" s="4" t="s">
        <v>9842</v>
      </c>
      <c r="J2150" s="4" t="s">
        <v>118</v>
      </c>
    </row>
    <row r="2151" spans="1:10" hidden="1">
      <c r="A2151" s="4">
        <v>2.02105264100004E+17</v>
      </c>
      <c r="B2151" s="4">
        <v>7898102003</v>
      </c>
      <c r="C2151" s="4" t="s">
        <v>9841</v>
      </c>
      <c r="D2151" s="4">
        <v>26410</v>
      </c>
      <c r="E2151" s="4">
        <v>20210531</v>
      </c>
      <c r="F2151" s="4">
        <v>20210531</v>
      </c>
      <c r="G2151" s="4">
        <v>20240531</v>
      </c>
      <c r="H2151" s="4" t="s">
        <v>4671</v>
      </c>
      <c r="I2151" s="4" t="s">
        <v>9840</v>
      </c>
      <c r="J2151" s="4" t="s">
        <v>1102</v>
      </c>
    </row>
    <row r="2152" spans="1:10" hidden="1">
      <c r="A2152" s="4">
        <v>2.0210542311000301E+17</v>
      </c>
      <c r="B2152" s="4">
        <v>5638800789</v>
      </c>
      <c r="C2152" s="4" t="s">
        <v>9839</v>
      </c>
      <c r="D2152" s="4">
        <v>42311</v>
      </c>
      <c r="E2152" s="4">
        <v>20210531</v>
      </c>
      <c r="F2152" s="4">
        <v>20210531</v>
      </c>
      <c r="G2152" s="4">
        <v>20240531</v>
      </c>
      <c r="H2152" s="4" t="s">
        <v>9838</v>
      </c>
      <c r="J2152" s="4" t="s">
        <v>718</v>
      </c>
    </row>
    <row r="2153" spans="1:10" hidden="1">
      <c r="A2153" s="4">
        <v>2.02105285110004E+17</v>
      </c>
      <c r="B2153" s="4">
        <v>1858602185</v>
      </c>
      <c r="C2153" s="4" t="s">
        <v>9837</v>
      </c>
      <c r="D2153" s="4">
        <v>28511</v>
      </c>
      <c r="E2153" s="4">
        <v>20210531</v>
      </c>
      <c r="F2153" s="4">
        <v>20210531</v>
      </c>
      <c r="G2153" s="4">
        <v>20240531</v>
      </c>
      <c r="H2153" s="4" t="s">
        <v>9836</v>
      </c>
      <c r="I2153" s="4" t="s">
        <v>9835</v>
      </c>
      <c r="J2153" s="4" t="s">
        <v>928</v>
      </c>
    </row>
    <row r="2154" spans="1:10" hidden="1">
      <c r="A2154" s="4">
        <v>2.0210570209000301E+17</v>
      </c>
      <c r="B2154" s="4">
        <v>3658601778</v>
      </c>
      <c r="C2154" s="4" t="s">
        <v>9834</v>
      </c>
      <c r="D2154" s="4">
        <v>70209</v>
      </c>
      <c r="E2154" s="4">
        <v>20210531</v>
      </c>
      <c r="F2154" s="4">
        <v>20210531</v>
      </c>
      <c r="G2154" s="4">
        <v>20240531</v>
      </c>
      <c r="H2154" s="4" t="s">
        <v>9833</v>
      </c>
      <c r="I2154" s="4" t="s">
        <v>1553</v>
      </c>
      <c r="J2154" s="4" t="s">
        <v>242</v>
      </c>
    </row>
    <row r="2155" spans="1:10" hidden="1">
      <c r="A2155" s="4">
        <v>2.02105251110004E+17</v>
      </c>
      <c r="B2155" s="4">
        <v>8998800373</v>
      </c>
      <c r="C2155" s="4" t="s">
        <v>9832</v>
      </c>
      <c r="D2155" s="4">
        <v>25111</v>
      </c>
      <c r="E2155" s="4">
        <v>20210531</v>
      </c>
      <c r="F2155" s="4">
        <v>20210531</v>
      </c>
      <c r="G2155" s="4">
        <v>20230516</v>
      </c>
      <c r="H2155" s="4" t="s">
        <v>9831</v>
      </c>
      <c r="I2155" s="4" t="s">
        <v>1780</v>
      </c>
      <c r="J2155" s="4" t="s">
        <v>82</v>
      </c>
    </row>
    <row r="2156" spans="1:10" hidden="1">
      <c r="A2156" s="4">
        <v>2.02105281110004E+17</v>
      </c>
      <c r="B2156" s="4">
        <v>5718800970</v>
      </c>
      <c r="C2156" s="4" t="s">
        <v>9830</v>
      </c>
      <c r="D2156" s="4">
        <v>28111</v>
      </c>
      <c r="E2156" s="4">
        <v>20210531</v>
      </c>
      <c r="F2156" s="4">
        <v>20210531</v>
      </c>
      <c r="G2156" s="4">
        <v>20240531</v>
      </c>
      <c r="H2156" s="4" t="s">
        <v>9829</v>
      </c>
      <c r="J2156" s="4" t="s">
        <v>1614</v>
      </c>
    </row>
    <row r="2157" spans="1:10" hidden="1">
      <c r="A2157" s="4">
        <v>2.02105423220004E+17</v>
      </c>
      <c r="B2157" s="4">
        <v>1768800149</v>
      </c>
      <c r="C2157" s="4" t="s">
        <v>9828</v>
      </c>
      <c r="D2157" s="4">
        <v>42322</v>
      </c>
      <c r="E2157" s="4">
        <v>20210531</v>
      </c>
      <c r="F2157" s="4">
        <v>20210531</v>
      </c>
      <c r="G2157" s="4">
        <v>20220224</v>
      </c>
      <c r="H2157" s="4" t="s">
        <v>9827</v>
      </c>
      <c r="J2157" s="4" t="s">
        <v>2524</v>
      </c>
    </row>
    <row r="2158" spans="1:10" hidden="1">
      <c r="A2158" s="4">
        <v>2.0210558221000301E+17</v>
      </c>
      <c r="B2158" s="4">
        <v>7188600556</v>
      </c>
      <c r="C2158" s="4" t="s">
        <v>9826</v>
      </c>
      <c r="D2158" s="4">
        <v>58221</v>
      </c>
      <c r="E2158" s="4">
        <v>20210531</v>
      </c>
      <c r="F2158" s="4">
        <v>20210531</v>
      </c>
      <c r="G2158" s="4">
        <v>20231114</v>
      </c>
      <c r="H2158" s="4" t="s">
        <v>9727</v>
      </c>
      <c r="I2158" s="4" t="s">
        <v>4068</v>
      </c>
      <c r="J2158" s="4" t="s">
        <v>228</v>
      </c>
    </row>
    <row r="2159" spans="1:10" hidden="1">
      <c r="A2159" s="4">
        <v>2.02105291990004E+17</v>
      </c>
      <c r="B2159" s="4">
        <v>8374700315</v>
      </c>
      <c r="C2159" s="4" t="s">
        <v>9943</v>
      </c>
      <c r="D2159" s="4">
        <v>29199</v>
      </c>
      <c r="E2159" s="4">
        <v>20210531</v>
      </c>
      <c r="F2159" s="4">
        <v>20210531</v>
      </c>
      <c r="G2159" s="4">
        <v>20240531</v>
      </c>
      <c r="H2159" s="4" t="s">
        <v>9944</v>
      </c>
      <c r="I2159" s="4" t="s">
        <v>9943</v>
      </c>
      <c r="J2159" s="4" t="s">
        <v>166</v>
      </c>
    </row>
    <row r="2160" spans="1:10" hidden="1">
      <c r="A2160" s="4">
        <v>2.02105742200004E+17</v>
      </c>
      <c r="B2160" s="4">
        <v>4458601808</v>
      </c>
      <c r="C2160" s="4" t="s">
        <v>9823</v>
      </c>
      <c r="D2160" s="4">
        <v>74220</v>
      </c>
      <c r="E2160" s="4">
        <v>20210531</v>
      </c>
      <c r="F2160" s="4">
        <v>20210531</v>
      </c>
      <c r="G2160" s="4">
        <v>20240531</v>
      </c>
      <c r="H2160" s="4" t="s">
        <v>9822</v>
      </c>
      <c r="I2160" s="4" t="s">
        <v>149</v>
      </c>
      <c r="J2160" s="4" t="s">
        <v>2988</v>
      </c>
    </row>
    <row r="2161" spans="1:10" hidden="1">
      <c r="A2161" s="4">
        <v>2.0210532091000301E+17</v>
      </c>
      <c r="B2161" s="4">
        <v>4418601204</v>
      </c>
      <c r="C2161" s="4" t="s">
        <v>9821</v>
      </c>
      <c r="D2161" s="4">
        <v>32091</v>
      </c>
      <c r="E2161" s="4">
        <v>20210531</v>
      </c>
      <c r="F2161" s="4">
        <v>20210531</v>
      </c>
      <c r="G2161" s="4">
        <v>20240531</v>
      </c>
      <c r="H2161" s="4" t="s">
        <v>9820</v>
      </c>
      <c r="I2161" s="4" t="s">
        <v>9819</v>
      </c>
      <c r="J2161" s="4" t="s">
        <v>908</v>
      </c>
    </row>
    <row r="2162" spans="1:10" hidden="1">
      <c r="A2162" s="4">
        <v>2.0210575210000301E+17</v>
      </c>
      <c r="B2162" s="4">
        <v>8488100681</v>
      </c>
      <c r="C2162" s="4" t="s">
        <v>9818</v>
      </c>
      <c r="D2162" s="4">
        <v>75210</v>
      </c>
      <c r="E2162" s="4">
        <v>20210531</v>
      </c>
      <c r="F2162" s="4">
        <v>20210531</v>
      </c>
      <c r="G2162" s="4">
        <v>20231118</v>
      </c>
      <c r="H2162" s="4" t="s">
        <v>9817</v>
      </c>
      <c r="I2162" s="4" t="s">
        <v>9816</v>
      </c>
      <c r="J2162" s="4" t="s">
        <v>155</v>
      </c>
    </row>
    <row r="2163" spans="1:10" hidden="1">
      <c r="A2163" s="4">
        <v>2.02105713100004E+17</v>
      </c>
      <c r="B2163" s="4">
        <v>4188702137</v>
      </c>
      <c r="C2163" s="4" t="s">
        <v>9815</v>
      </c>
      <c r="D2163" s="4">
        <v>71310</v>
      </c>
      <c r="E2163" s="4">
        <v>20210531</v>
      </c>
      <c r="F2163" s="4">
        <v>20210531</v>
      </c>
      <c r="G2163" s="4">
        <v>20240531</v>
      </c>
      <c r="H2163" s="4" t="s">
        <v>9814</v>
      </c>
      <c r="I2163" s="4" t="s">
        <v>149</v>
      </c>
      <c r="J2163" s="4" t="s">
        <v>426</v>
      </c>
    </row>
    <row r="2164" spans="1:10" hidden="1">
      <c r="A2164" s="4">
        <v>2.02105467990004E+17</v>
      </c>
      <c r="B2164" s="4">
        <v>7122401317</v>
      </c>
      <c r="C2164" s="4" t="s">
        <v>9813</v>
      </c>
      <c r="D2164" s="4">
        <v>46799</v>
      </c>
      <c r="E2164" s="4">
        <v>20210531</v>
      </c>
      <c r="F2164" s="4">
        <v>20210531</v>
      </c>
      <c r="G2164" s="4">
        <v>20240531</v>
      </c>
      <c r="H2164" s="4" t="s">
        <v>9812</v>
      </c>
      <c r="I2164" s="4" t="s">
        <v>9811</v>
      </c>
      <c r="J2164" s="4" t="s">
        <v>2181</v>
      </c>
    </row>
    <row r="2165" spans="1:10" hidden="1">
      <c r="A2165" s="4">
        <v>2.02105468000004E+17</v>
      </c>
      <c r="B2165" s="4">
        <v>3798700625</v>
      </c>
      <c r="C2165" s="4" t="s">
        <v>9810</v>
      </c>
      <c r="D2165" s="4">
        <v>46800</v>
      </c>
      <c r="E2165" s="4">
        <v>20210531</v>
      </c>
      <c r="F2165" s="4">
        <v>20210531</v>
      </c>
      <c r="G2165" s="4">
        <v>20240511</v>
      </c>
      <c r="H2165" s="4" t="s">
        <v>9809</v>
      </c>
      <c r="I2165" s="4" t="s">
        <v>1670</v>
      </c>
      <c r="J2165" s="4" t="s">
        <v>979</v>
      </c>
    </row>
    <row r="2166" spans="1:10" hidden="1">
      <c r="A2166" s="4">
        <v>2.0210575992000301E+17</v>
      </c>
      <c r="B2166" s="4">
        <v>4085670916</v>
      </c>
      <c r="C2166" s="4" t="s">
        <v>9808</v>
      </c>
      <c r="D2166" s="4">
        <v>75992</v>
      </c>
      <c r="E2166" s="4">
        <v>20210531</v>
      </c>
      <c r="F2166" s="4">
        <v>20210531</v>
      </c>
      <c r="G2166" s="4">
        <v>20240531</v>
      </c>
      <c r="H2166" s="4" t="s">
        <v>9807</v>
      </c>
      <c r="I2166" s="4" t="s">
        <v>9806</v>
      </c>
      <c r="J2166" s="4" t="s">
        <v>111</v>
      </c>
    </row>
    <row r="2167" spans="1:10" hidden="1">
      <c r="A2167" s="4">
        <v>2.02105759920004E+17</v>
      </c>
      <c r="B2167" s="4">
        <v>6381000949</v>
      </c>
      <c r="C2167" s="4" t="s">
        <v>9805</v>
      </c>
      <c r="D2167" s="4">
        <v>75992</v>
      </c>
      <c r="E2167" s="4">
        <v>20210531</v>
      </c>
      <c r="F2167" s="4">
        <v>20210531</v>
      </c>
      <c r="G2167" s="4">
        <v>20240531</v>
      </c>
      <c r="H2167" s="4" t="s">
        <v>7572</v>
      </c>
      <c r="I2167" s="4" t="s">
        <v>9804</v>
      </c>
      <c r="J2167" s="4" t="s">
        <v>111</v>
      </c>
    </row>
    <row r="2168" spans="1:10" hidden="1">
      <c r="A2168" s="4">
        <v>2.02105464410004E+17</v>
      </c>
      <c r="B2168" s="4">
        <v>2401500067</v>
      </c>
      <c r="C2168" s="4" t="s">
        <v>9803</v>
      </c>
      <c r="D2168" s="4">
        <v>46441</v>
      </c>
      <c r="E2168" s="4">
        <v>20210531</v>
      </c>
      <c r="F2168" s="4">
        <v>20210531</v>
      </c>
      <c r="G2168" s="4">
        <v>20220501</v>
      </c>
      <c r="H2168" s="4" t="s">
        <v>9802</v>
      </c>
      <c r="I2168" s="4" t="s">
        <v>185</v>
      </c>
      <c r="J2168" s="4" t="s">
        <v>9801</v>
      </c>
    </row>
    <row r="2169" spans="1:10" hidden="1">
      <c r="A2169" s="4">
        <v>2.02105464990004E+17</v>
      </c>
      <c r="B2169" s="4">
        <v>6114300258</v>
      </c>
      <c r="C2169" s="4" t="s">
        <v>9800</v>
      </c>
      <c r="D2169" s="4">
        <v>46499</v>
      </c>
      <c r="E2169" s="4">
        <v>20210531</v>
      </c>
      <c r="F2169" s="4">
        <v>20210531</v>
      </c>
      <c r="G2169" s="4">
        <v>20240401</v>
      </c>
      <c r="H2169" s="4" t="s">
        <v>1332</v>
      </c>
      <c r="I2169" s="4" t="s">
        <v>9799</v>
      </c>
      <c r="J2169" s="4" t="s">
        <v>184</v>
      </c>
    </row>
    <row r="2170" spans="1:10" hidden="1">
      <c r="A2170" s="4">
        <v>2.02105465920004E+17</v>
      </c>
      <c r="B2170" s="4">
        <v>1095087857</v>
      </c>
      <c r="C2170" s="4" t="s">
        <v>9798</v>
      </c>
      <c r="D2170" s="4">
        <v>46592</v>
      </c>
      <c r="E2170" s="4">
        <v>20210531</v>
      </c>
      <c r="F2170" s="4">
        <v>20210531</v>
      </c>
      <c r="G2170" s="4">
        <v>20240531</v>
      </c>
      <c r="H2170" s="4" t="s">
        <v>825</v>
      </c>
      <c r="I2170" s="4" t="s">
        <v>9797</v>
      </c>
      <c r="J2170" s="4" t="s">
        <v>148</v>
      </c>
    </row>
    <row r="2171" spans="1:10" hidden="1">
      <c r="A2171" s="4">
        <v>2.02105291690004E+17</v>
      </c>
      <c r="B2171" s="4">
        <v>1138690888</v>
      </c>
      <c r="C2171" s="4" t="s">
        <v>9796</v>
      </c>
      <c r="D2171" s="4">
        <v>29169</v>
      </c>
      <c r="E2171" s="4">
        <v>20210531</v>
      </c>
      <c r="F2171" s="4">
        <v>20210531</v>
      </c>
      <c r="G2171" s="4">
        <v>20211008</v>
      </c>
      <c r="H2171" s="4" t="s">
        <v>9795</v>
      </c>
      <c r="I2171" s="4" t="s">
        <v>9794</v>
      </c>
      <c r="J2171" s="4" t="s">
        <v>1734</v>
      </c>
    </row>
    <row r="2172" spans="1:10" hidden="1">
      <c r="A2172" s="4">
        <v>2.0210573909000301E+17</v>
      </c>
      <c r="B2172" s="4">
        <v>3428700128</v>
      </c>
      <c r="C2172" s="4" t="s">
        <v>9793</v>
      </c>
      <c r="D2172" s="4">
        <v>73909</v>
      </c>
      <c r="E2172" s="4">
        <v>20210531</v>
      </c>
      <c r="F2172" s="4">
        <v>20210531</v>
      </c>
      <c r="G2172" s="4">
        <v>20220714</v>
      </c>
      <c r="H2172" s="4" t="s">
        <v>9792</v>
      </c>
      <c r="I2172" s="4" t="s">
        <v>91</v>
      </c>
      <c r="J2172" s="4" t="s">
        <v>293</v>
      </c>
    </row>
    <row r="2173" spans="1:10" hidden="1">
      <c r="A2173" s="4">
        <v>2.02105591130004E+17</v>
      </c>
      <c r="B2173" s="4">
        <v>2730601201</v>
      </c>
      <c r="C2173" s="4" t="s">
        <v>9791</v>
      </c>
      <c r="D2173" s="4">
        <v>59113</v>
      </c>
      <c r="E2173" s="4">
        <v>20210531</v>
      </c>
      <c r="F2173" s="4">
        <v>20210531</v>
      </c>
      <c r="G2173" s="4">
        <v>20240531</v>
      </c>
      <c r="H2173" s="4" t="s">
        <v>9790</v>
      </c>
      <c r="I2173" s="4" t="s">
        <v>9789</v>
      </c>
      <c r="J2173" s="4" t="s">
        <v>3651</v>
      </c>
    </row>
    <row r="2174" spans="1:10" hidden="1">
      <c r="A2174" s="4">
        <v>2.02105271990004E+17</v>
      </c>
      <c r="B2174" s="4">
        <v>5200701254</v>
      </c>
      <c r="C2174" s="4" t="s">
        <v>9788</v>
      </c>
      <c r="D2174" s="4">
        <v>27199</v>
      </c>
      <c r="E2174" s="4">
        <v>20210531</v>
      </c>
      <c r="F2174" s="4">
        <v>20210531</v>
      </c>
      <c r="G2174" s="4">
        <v>20240531</v>
      </c>
      <c r="H2174" s="4" t="s">
        <v>9787</v>
      </c>
      <c r="I2174" s="4" t="s">
        <v>134</v>
      </c>
      <c r="J2174" s="4" t="s">
        <v>418</v>
      </c>
    </row>
    <row r="2175" spans="1:10" hidden="1">
      <c r="A2175" s="4">
        <v>2.0210547912000301E+17</v>
      </c>
      <c r="B2175" s="4">
        <v>1118701237</v>
      </c>
      <c r="C2175" s="4" t="s">
        <v>9786</v>
      </c>
      <c r="D2175" s="4">
        <v>47912</v>
      </c>
      <c r="E2175" s="4">
        <v>20210528</v>
      </c>
      <c r="F2175" s="4">
        <v>20210528</v>
      </c>
      <c r="G2175" s="4">
        <v>20240528</v>
      </c>
      <c r="H2175" s="4" t="s">
        <v>9785</v>
      </c>
      <c r="J2175" s="4" t="s">
        <v>78</v>
      </c>
    </row>
    <row r="2176" spans="1:10" hidden="1">
      <c r="A2176" s="4">
        <v>2.0210571310000301E+17</v>
      </c>
      <c r="B2176" s="4">
        <v>2218150784</v>
      </c>
      <c r="C2176" s="4" t="s">
        <v>9784</v>
      </c>
      <c r="D2176" s="4">
        <v>71310</v>
      </c>
      <c r="E2176" s="4">
        <v>20210528</v>
      </c>
      <c r="F2176" s="4">
        <v>20210528</v>
      </c>
      <c r="G2176" s="4">
        <v>20240528</v>
      </c>
      <c r="H2176" s="4" t="s">
        <v>9783</v>
      </c>
      <c r="I2176" s="4" t="s">
        <v>9782</v>
      </c>
      <c r="J2176" s="4" t="s">
        <v>426</v>
      </c>
    </row>
    <row r="2177" spans="1:10" hidden="1">
      <c r="A2177" s="4">
        <v>2.0210510749000301E+17</v>
      </c>
      <c r="B2177" s="4">
        <v>1778100992</v>
      </c>
      <c r="C2177" s="4" t="s">
        <v>9781</v>
      </c>
      <c r="D2177" s="4">
        <v>10749</v>
      </c>
      <c r="E2177" s="4">
        <v>20210528</v>
      </c>
      <c r="F2177" s="4">
        <v>20210528</v>
      </c>
      <c r="G2177" s="4">
        <v>20240528</v>
      </c>
      <c r="H2177" s="4" t="s">
        <v>9780</v>
      </c>
      <c r="J2177" s="4" t="s">
        <v>2822</v>
      </c>
    </row>
    <row r="2178" spans="1:10" hidden="1">
      <c r="A2178" s="4">
        <v>2.0210528422000301E+17</v>
      </c>
      <c r="B2178" s="4">
        <v>3618101655</v>
      </c>
      <c r="C2178" s="4" t="s">
        <v>9779</v>
      </c>
      <c r="D2178" s="4">
        <v>28422</v>
      </c>
      <c r="E2178" s="4">
        <v>20210528</v>
      </c>
      <c r="F2178" s="4">
        <v>20210528</v>
      </c>
      <c r="G2178" s="4">
        <v>20240528</v>
      </c>
      <c r="H2178" s="4" t="s">
        <v>9778</v>
      </c>
      <c r="I2178" s="4" t="s">
        <v>6735</v>
      </c>
      <c r="J2178" s="4" t="s">
        <v>188</v>
      </c>
    </row>
    <row r="2179" spans="1:10" hidden="1">
      <c r="A2179" s="4">
        <v>2.0210523324000301E+17</v>
      </c>
      <c r="B2179" s="4">
        <v>1628801324</v>
      </c>
      <c r="C2179" s="4" t="s">
        <v>9777</v>
      </c>
      <c r="D2179" s="4">
        <v>23324</v>
      </c>
      <c r="E2179" s="4">
        <v>20210528</v>
      </c>
      <c r="F2179" s="4">
        <v>20210528</v>
      </c>
      <c r="G2179" s="4">
        <v>20240528</v>
      </c>
      <c r="H2179" s="4" t="s">
        <v>9776</v>
      </c>
      <c r="J2179" s="4" t="s">
        <v>3323</v>
      </c>
    </row>
    <row r="2180" spans="1:10" hidden="1">
      <c r="A2180" s="4">
        <v>2.0210575992000301E+17</v>
      </c>
      <c r="B2180" s="4">
        <v>7218101667</v>
      </c>
      <c r="C2180" s="4" t="s">
        <v>9775</v>
      </c>
      <c r="D2180" s="4">
        <v>75992</v>
      </c>
      <c r="E2180" s="4">
        <v>20210528</v>
      </c>
      <c r="F2180" s="4">
        <v>20210528</v>
      </c>
      <c r="G2180" s="4">
        <v>20240528</v>
      </c>
      <c r="H2180" s="4" t="s">
        <v>8155</v>
      </c>
      <c r="I2180" s="4" t="s">
        <v>9774</v>
      </c>
      <c r="J2180" s="4" t="s">
        <v>111</v>
      </c>
    </row>
    <row r="2181" spans="1:10" hidden="1">
      <c r="A2181" s="4">
        <v>2.0210529176000301E+17</v>
      </c>
      <c r="B2181" s="4">
        <v>7851801333</v>
      </c>
      <c r="C2181" s="4" t="s">
        <v>9773</v>
      </c>
      <c r="D2181" s="4">
        <v>29176</v>
      </c>
      <c r="E2181" s="4">
        <v>20210528</v>
      </c>
      <c r="F2181" s="4">
        <v>20210528</v>
      </c>
      <c r="G2181" s="4">
        <v>20240528</v>
      </c>
      <c r="H2181" s="4" t="s">
        <v>9772</v>
      </c>
      <c r="I2181" s="4" t="s">
        <v>9771</v>
      </c>
      <c r="J2181" s="4" t="s">
        <v>9770</v>
      </c>
    </row>
    <row r="2182" spans="1:10" hidden="1">
      <c r="A2182" s="4">
        <v>2.0210572911000301E+17</v>
      </c>
      <c r="B2182" s="4">
        <v>6838800142</v>
      </c>
      <c r="C2182" s="4" t="s">
        <v>9769</v>
      </c>
      <c r="D2182" s="4">
        <v>72911</v>
      </c>
      <c r="E2182" s="4">
        <v>20210528</v>
      </c>
      <c r="F2182" s="4">
        <v>20210528</v>
      </c>
      <c r="G2182" s="4">
        <v>20220626</v>
      </c>
      <c r="H2182" s="4" t="s">
        <v>9768</v>
      </c>
      <c r="J2182" s="4" t="s">
        <v>5020</v>
      </c>
    </row>
    <row r="2183" spans="1:10" hidden="1">
      <c r="A2183" s="4">
        <v>2.0210562021000301E+17</v>
      </c>
      <c r="B2183" s="4">
        <v>6148700625</v>
      </c>
      <c r="C2183" s="4" t="s">
        <v>9767</v>
      </c>
      <c r="D2183" s="4">
        <v>62021</v>
      </c>
      <c r="E2183" s="4">
        <v>20210528</v>
      </c>
      <c r="F2183" s="4">
        <v>20210528</v>
      </c>
      <c r="G2183" s="4">
        <v>20240323</v>
      </c>
      <c r="H2183" s="4" t="s">
        <v>9766</v>
      </c>
      <c r="I2183" s="4" t="s">
        <v>3442</v>
      </c>
      <c r="J2183" s="4" t="s">
        <v>1505</v>
      </c>
    </row>
    <row r="2184" spans="1:10" hidden="1">
      <c r="A2184" s="4">
        <v>2.0210533401000301E+17</v>
      </c>
      <c r="B2184" s="4">
        <v>3103101614</v>
      </c>
      <c r="C2184" s="4" t="s">
        <v>9765</v>
      </c>
      <c r="D2184" s="4">
        <v>33401</v>
      </c>
      <c r="E2184" s="4">
        <v>20210528</v>
      </c>
      <c r="F2184" s="4">
        <v>20210528</v>
      </c>
      <c r="G2184" s="4">
        <v>20240528</v>
      </c>
      <c r="H2184" s="4" t="s">
        <v>9764</v>
      </c>
      <c r="I2184" s="4" t="s">
        <v>9763</v>
      </c>
      <c r="J2184" s="4" t="s">
        <v>364</v>
      </c>
    </row>
    <row r="2185" spans="1:10" hidden="1">
      <c r="A2185" s="4">
        <v>2.0210546739000301E+17</v>
      </c>
      <c r="B2185" s="4">
        <v>1808800774</v>
      </c>
      <c r="C2185" s="4" t="s">
        <v>9762</v>
      </c>
      <c r="D2185" s="4">
        <v>46739</v>
      </c>
      <c r="E2185" s="4">
        <v>20210528</v>
      </c>
      <c r="F2185" s="4">
        <v>20210528</v>
      </c>
      <c r="G2185" s="4">
        <v>20240528</v>
      </c>
      <c r="H2185" s="4" t="s">
        <v>9761</v>
      </c>
      <c r="I2185" s="4" t="s">
        <v>185</v>
      </c>
      <c r="J2185" s="4" t="s">
        <v>2551</v>
      </c>
    </row>
    <row r="2186" spans="1:10">
      <c r="A2186" s="4">
        <v>2.0210426223000198E+17</v>
      </c>
      <c r="B2186" s="4">
        <v>8248800990</v>
      </c>
      <c r="C2186" s="4" t="s">
        <v>6443</v>
      </c>
      <c r="D2186" s="4">
        <v>26223</v>
      </c>
      <c r="E2186" s="4">
        <v>20210412</v>
      </c>
      <c r="F2186" s="4">
        <v>20210412</v>
      </c>
      <c r="G2186" s="4">
        <v>20240412</v>
      </c>
      <c r="H2186" s="4" t="s">
        <v>6442</v>
      </c>
      <c r="I2186" s="4" t="s">
        <v>6441</v>
      </c>
      <c r="J2186" s="4" t="s">
        <v>6440</v>
      </c>
    </row>
    <row r="2187" spans="1:10" hidden="1">
      <c r="A2187" s="4">
        <v>2.0210547912000301E+17</v>
      </c>
      <c r="B2187" s="4">
        <v>2323200966</v>
      </c>
      <c r="C2187" s="4" t="s">
        <v>9758</v>
      </c>
      <c r="D2187" s="4">
        <v>47912</v>
      </c>
      <c r="E2187" s="4">
        <v>20210528</v>
      </c>
      <c r="F2187" s="4">
        <v>20210528</v>
      </c>
      <c r="G2187" s="4">
        <v>20240528</v>
      </c>
      <c r="H2187" s="4" t="s">
        <v>9757</v>
      </c>
      <c r="I2187" s="4" t="s">
        <v>9756</v>
      </c>
      <c r="J2187" s="4" t="s">
        <v>78</v>
      </c>
    </row>
    <row r="2188" spans="1:10" hidden="1">
      <c r="A2188" s="4">
        <v>2.0210575992000301E+17</v>
      </c>
      <c r="B2188" s="4">
        <v>6133291287</v>
      </c>
      <c r="C2188" s="4" t="s">
        <v>9755</v>
      </c>
      <c r="D2188" s="4">
        <v>75992</v>
      </c>
      <c r="E2188" s="4">
        <v>20210528</v>
      </c>
      <c r="F2188" s="4">
        <v>20210528</v>
      </c>
      <c r="G2188" s="4">
        <v>20240106</v>
      </c>
      <c r="H2188" s="4" t="s">
        <v>9754</v>
      </c>
      <c r="I2188" s="4" t="s">
        <v>91</v>
      </c>
      <c r="J2188" s="4" t="s">
        <v>111</v>
      </c>
    </row>
    <row r="2189" spans="1:10" hidden="1">
      <c r="A2189" s="4">
        <v>2.0210530310000301E+17</v>
      </c>
      <c r="B2189" s="4">
        <v>3710502093</v>
      </c>
      <c r="C2189" s="4" t="s">
        <v>9918</v>
      </c>
      <c r="D2189" s="4">
        <v>30310</v>
      </c>
      <c r="E2189" s="4">
        <v>20210531</v>
      </c>
      <c r="F2189" s="4">
        <v>20210531</v>
      </c>
      <c r="G2189" s="4">
        <v>20240531</v>
      </c>
      <c r="H2189" s="4" t="s">
        <v>9161</v>
      </c>
      <c r="J2189" s="4" t="s">
        <v>4058</v>
      </c>
    </row>
    <row r="2190" spans="1:10" hidden="1">
      <c r="A2190" s="4">
        <v>2.0210546452000301E+17</v>
      </c>
      <c r="B2190" s="4">
        <v>6332000604</v>
      </c>
      <c r="C2190" s="4" t="s">
        <v>9751</v>
      </c>
      <c r="D2190" s="4">
        <v>46452</v>
      </c>
      <c r="E2190" s="4">
        <v>20210528</v>
      </c>
      <c r="F2190" s="4">
        <v>20210528</v>
      </c>
      <c r="G2190" s="4">
        <v>20240528</v>
      </c>
      <c r="H2190" s="4" t="s">
        <v>9750</v>
      </c>
      <c r="I2190" s="4" t="s">
        <v>9749</v>
      </c>
      <c r="J2190" s="4" t="s">
        <v>516</v>
      </c>
    </row>
    <row r="2191" spans="1:10">
      <c r="A2191" s="4">
        <v>2.02106581900004E+17</v>
      </c>
      <c r="B2191" s="4">
        <v>3153500976</v>
      </c>
      <c r="C2191" s="4" t="s">
        <v>11773</v>
      </c>
      <c r="D2191" s="4">
        <v>58190</v>
      </c>
      <c r="E2191" s="4">
        <v>20210615</v>
      </c>
      <c r="F2191" s="4">
        <v>20210615</v>
      </c>
      <c r="G2191" s="4">
        <v>20240615</v>
      </c>
      <c r="H2191" s="4" t="s">
        <v>11772</v>
      </c>
      <c r="I2191" s="4" t="s">
        <v>91</v>
      </c>
      <c r="J2191" s="4" t="s">
        <v>196</v>
      </c>
    </row>
    <row r="2192" spans="1:10" hidden="1">
      <c r="A2192" s="4">
        <v>2.0210525999000301E+17</v>
      </c>
      <c r="B2192" s="4">
        <v>2280816974</v>
      </c>
      <c r="C2192" s="4" t="s">
        <v>9746</v>
      </c>
      <c r="D2192" s="4">
        <v>25999</v>
      </c>
      <c r="E2192" s="4">
        <v>20210528</v>
      </c>
      <c r="F2192" s="4">
        <v>20210528</v>
      </c>
      <c r="G2192" s="4">
        <v>20240528</v>
      </c>
      <c r="H2192" s="4" t="s">
        <v>9745</v>
      </c>
      <c r="I2192" s="4" t="s">
        <v>9744</v>
      </c>
      <c r="J2192" s="4" t="s">
        <v>301</v>
      </c>
    </row>
    <row r="2193" spans="1:10" hidden="1">
      <c r="A2193" s="4">
        <v>2.0210511112000301E+17</v>
      </c>
      <c r="B2193" s="4">
        <v>2428802008</v>
      </c>
      <c r="C2193" s="4" t="s">
        <v>9743</v>
      </c>
      <c r="D2193" s="4">
        <v>11112</v>
      </c>
      <c r="E2193" s="4">
        <v>20210528</v>
      </c>
      <c r="F2193" s="4">
        <v>20210528</v>
      </c>
      <c r="G2193" s="4">
        <v>20240528</v>
      </c>
      <c r="H2193" s="4" t="s">
        <v>9742</v>
      </c>
      <c r="J2193" s="4" t="s">
        <v>3915</v>
      </c>
    </row>
    <row r="2194" spans="1:10" hidden="1">
      <c r="A2194" s="4">
        <v>2.0210558222000301E+17</v>
      </c>
      <c r="B2194" s="4">
        <v>1275600127</v>
      </c>
      <c r="C2194" s="4" t="s">
        <v>9741</v>
      </c>
      <c r="D2194" s="4">
        <v>58222</v>
      </c>
      <c r="E2194" s="4">
        <v>20210528</v>
      </c>
      <c r="F2194" s="4">
        <v>20210528</v>
      </c>
      <c r="G2194" s="4">
        <v>20221113</v>
      </c>
      <c r="H2194" s="4" t="s">
        <v>9740</v>
      </c>
      <c r="I2194" s="4" t="s">
        <v>185</v>
      </c>
      <c r="J2194" s="4" t="s">
        <v>94</v>
      </c>
    </row>
    <row r="2195" spans="1:10" hidden="1">
      <c r="A2195" s="4">
        <v>2.0210546109000301E+17</v>
      </c>
      <c r="B2195" s="4">
        <v>4837400185</v>
      </c>
      <c r="C2195" s="4" t="s">
        <v>9739</v>
      </c>
      <c r="D2195" s="4">
        <v>46109</v>
      </c>
      <c r="E2195" s="4">
        <v>20210528</v>
      </c>
      <c r="F2195" s="4">
        <v>20210528</v>
      </c>
      <c r="G2195" s="4">
        <v>20240528</v>
      </c>
      <c r="H2195" s="4" t="s">
        <v>9738</v>
      </c>
      <c r="I2195" s="4" t="s">
        <v>9737</v>
      </c>
      <c r="J2195" s="4" t="s">
        <v>133</v>
      </c>
    </row>
    <row r="2196" spans="1:10" hidden="1">
      <c r="A2196" s="4">
        <v>2.0210546109000301E+17</v>
      </c>
      <c r="B2196" s="4">
        <v>3032250774</v>
      </c>
      <c r="C2196" s="4" t="s">
        <v>9736</v>
      </c>
      <c r="D2196" s="4">
        <v>46109</v>
      </c>
      <c r="E2196" s="4">
        <v>20210528</v>
      </c>
      <c r="F2196" s="4">
        <v>20210528</v>
      </c>
      <c r="G2196" s="4">
        <v>20240528</v>
      </c>
      <c r="H2196" s="4" t="s">
        <v>9735</v>
      </c>
      <c r="I2196" s="4" t="s">
        <v>9734</v>
      </c>
      <c r="J2196" s="4" t="s">
        <v>133</v>
      </c>
    </row>
    <row r="2197" spans="1:10" hidden="1">
      <c r="A2197" s="4">
        <v>2.0210542321000301E+17</v>
      </c>
      <c r="B2197" s="4">
        <v>2272193943</v>
      </c>
      <c r="C2197" s="4" t="s">
        <v>9733</v>
      </c>
      <c r="D2197" s="4">
        <v>42321</v>
      </c>
      <c r="E2197" s="4">
        <v>20210528</v>
      </c>
      <c r="F2197" s="4">
        <v>20210528</v>
      </c>
      <c r="G2197" s="4">
        <v>20240528</v>
      </c>
      <c r="H2197" s="4" t="s">
        <v>9732</v>
      </c>
      <c r="I2197" s="4" t="s">
        <v>9731</v>
      </c>
      <c r="J2197" s="4" t="s">
        <v>698</v>
      </c>
    </row>
    <row r="2198" spans="1:10" hidden="1">
      <c r="A2198" s="4">
        <v>2.0210528909000301E+17</v>
      </c>
      <c r="B2198" s="4">
        <v>7257000188</v>
      </c>
      <c r="C2198" s="4" t="s">
        <v>6666</v>
      </c>
      <c r="D2198" s="4">
        <v>28909</v>
      </c>
      <c r="E2198" s="4">
        <v>20210528</v>
      </c>
      <c r="F2198" s="4">
        <v>20210528</v>
      </c>
      <c r="G2198" s="4">
        <v>20240528</v>
      </c>
      <c r="H2198" s="4" t="s">
        <v>9730</v>
      </c>
      <c r="I2198" s="4" t="s">
        <v>591</v>
      </c>
      <c r="J2198" s="4" t="s">
        <v>253</v>
      </c>
    </row>
    <row r="2199" spans="1:10" hidden="1">
      <c r="A2199" s="4">
        <v>2.0210585699000301E+17</v>
      </c>
      <c r="B2199" s="4">
        <v>4268701895</v>
      </c>
      <c r="C2199" s="4" t="s">
        <v>9729</v>
      </c>
      <c r="D2199" s="4">
        <v>85699</v>
      </c>
      <c r="E2199" s="4">
        <v>20210528</v>
      </c>
      <c r="F2199" s="4">
        <v>20210528</v>
      </c>
      <c r="G2199" s="4">
        <v>20240528</v>
      </c>
      <c r="H2199" s="4" t="s">
        <v>9686</v>
      </c>
      <c r="I2199" s="4" t="s">
        <v>9685</v>
      </c>
      <c r="J2199" s="4" t="s">
        <v>2192</v>
      </c>
    </row>
    <row r="2200" spans="1:10" hidden="1">
      <c r="A2200" s="4">
        <v>2.0210516102000301E+17</v>
      </c>
      <c r="B2200" s="4">
        <v>5948800463</v>
      </c>
      <c r="C2200" s="4" t="s">
        <v>9728</v>
      </c>
      <c r="D2200" s="4">
        <v>16102</v>
      </c>
      <c r="E2200" s="4">
        <v>20210528</v>
      </c>
      <c r="F2200" s="4">
        <v>20210528</v>
      </c>
      <c r="G2200" s="4">
        <v>20231017</v>
      </c>
      <c r="H2200" s="4" t="s">
        <v>9727</v>
      </c>
      <c r="I2200" s="4" t="s">
        <v>9726</v>
      </c>
      <c r="J2200" s="4" t="s">
        <v>451</v>
      </c>
    </row>
    <row r="2201" spans="1:10" hidden="1">
      <c r="A2201" s="4">
        <v>2.0210524321000301E+17</v>
      </c>
      <c r="B2201" s="4">
        <v>3128800406</v>
      </c>
      <c r="C2201" s="4" t="s">
        <v>9725</v>
      </c>
      <c r="D2201" s="4">
        <v>24321</v>
      </c>
      <c r="E2201" s="4">
        <v>20210528</v>
      </c>
      <c r="F2201" s="4">
        <v>20210528</v>
      </c>
      <c r="G2201" s="4">
        <v>20230316</v>
      </c>
      <c r="H2201" s="4" t="s">
        <v>9724</v>
      </c>
      <c r="J2201" s="4" t="s">
        <v>5463</v>
      </c>
    </row>
    <row r="2202" spans="1:10" hidden="1">
      <c r="A2202" s="4">
        <v>2.0210529131000301E+17</v>
      </c>
      <c r="B2202" s="4">
        <v>8938601064</v>
      </c>
      <c r="C2202" s="4" t="s">
        <v>9723</v>
      </c>
      <c r="D2202" s="4">
        <v>29131</v>
      </c>
      <c r="E2202" s="4">
        <v>20210528</v>
      </c>
      <c r="F2202" s="4">
        <v>20210528</v>
      </c>
      <c r="G2202" s="4">
        <v>20240528</v>
      </c>
      <c r="H2202" s="4" t="s">
        <v>9722</v>
      </c>
      <c r="I2202" s="4" t="s">
        <v>9721</v>
      </c>
      <c r="J2202" s="4" t="s">
        <v>4077</v>
      </c>
    </row>
    <row r="2203" spans="1:10" hidden="1">
      <c r="A2203" s="4">
        <v>2.02105620210004E+17</v>
      </c>
      <c r="B2203" s="4">
        <v>8718701474</v>
      </c>
      <c r="C2203" s="4" t="s">
        <v>9847</v>
      </c>
      <c r="D2203" s="4">
        <v>62021</v>
      </c>
      <c r="E2203" s="4">
        <v>20210531</v>
      </c>
      <c r="F2203" s="4">
        <v>20210531</v>
      </c>
      <c r="G2203" s="4">
        <v>20240531</v>
      </c>
      <c r="H2203" s="4" t="s">
        <v>9846</v>
      </c>
      <c r="I2203" s="4" t="s">
        <v>149</v>
      </c>
      <c r="J2203" s="4" t="s">
        <v>1505</v>
      </c>
    </row>
    <row r="2204" spans="1:10" hidden="1">
      <c r="A2204" s="4">
        <v>2.0210558222000301E+17</v>
      </c>
      <c r="B2204" s="4">
        <v>8948100398</v>
      </c>
      <c r="C2204" s="4" t="s">
        <v>9717</v>
      </c>
      <c r="D2204" s="4">
        <v>58222</v>
      </c>
      <c r="E2204" s="4">
        <v>20210528</v>
      </c>
      <c r="F2204" s="4">
        <v>20210528</v>
      </c>
      <c r="G2204" s="4">
        <v>20230307</v>
      </c>
      <c r="H2204" s="4" t="s">
        <v>9623</v>
      </c>
      <c r="I2204" s="4">
        <v>801</v>
      </c>
      <c r="J2204" s="4" t="s">
        <v>94</v>
      </c>
    </row>
    <row r="2205" spans="1:10" hidden="1">
      <c r="A2205" s="4">
        <v>2.0210573909000301E+17</v>
      </c>
      <c r="B2205" s="4">
        <v>6338701120</v>
      </c>
      <c r="C2205" s="4" t="s">
        <v>9716</v>
      </c>
      <c r="D2205" s="4">
        <v>73909</v>
      </c>
      <c r="E2205" s="4">
        <v>20210528</v>
      </c>
      <c r="F2205" s="4">
        <v>20210528</v>
      </c>
      <c r="G2205" s="4">
        <v>20240528</v>
      </c>
      <c r="H2205" s="4" t="s">
        <v>9715</v>
      </c>
      <c r="I2205" s="4" t="s">
        <v>9714</v>
      </c>
      <c r="J2205" s="4" t="s">
        <v>293</v>
      </c>
    </row>
    <row r="2206" spans="1:10" hidden="1">
      <c r="A2206" s="4">
        <v>2.0210527199000301E+17</v>
      </c>
      <c r="B2206" s="4">
        <v>7818700115</v>
      </c>
      <c r="C2206" s="4" t="s">
        <v>9713</v>
      </c>
      <c r="D2206" s="4">
        <v>27199</v>
      </c>
      <c r="E2206" s="4">
        <v>20210528</v>
      </c>
      <c r="F2206" s="4">
        <v>20210528</v>
      </c>
      <c r="G2206" s="4">
        <v>20220701</v>
      </c>
      <c r="H2206" s="4" t="s">
        <v>1106</v>
      </c>
      <c r="I2206" s="4" t="s">
        <v>9712</v>
      </c>
      <c r="J2206" s="4" t="s">
        <v>418</v>
      </c>
    </row>
    <row r="2207" spans="1:10" hidden="1">
      <c r="A2207" s="4">
        <v>2.0210558222000301E+17</v>
      </c>
      <c r="B2207" s="4">
        <v>3998701138</v>
      </c>
      <c r="C2207" s="4" t="s">
        <v>9711</v>
      </c>
      <c r="D2207" s="4">
        <v>58222</v>
      </c>
      <c r="E2207" s="4">
        <v>20210528</v>
      </c>
      <c r="F2207" s="4">
        <v>20210528</v>
      </c>
      <c r="G2207" s="4">
        <v>20240528</v>
      </c>
      <c r="H2207" s="4" t="s">
        <v>9710</v>
      </c>
      <c r="I2207" s="4" t="s">
        <v>9709</v>
      </c>
      <c r="J2207" s="4" t="s">
        <v>94</v>
      </c>
    </row>
    <row r="2208" spans="1:10" hidden="1">
      <c r="A2208" s="4">
        <v>2.02105292920004E+17</v>
      </c>
      <c r="B2208" s="4">
        <v>5188800998</v>
      </c>
      <c r="C2208" s="4" t="s">
        <v>9824</v>
      </c>
      <c r="D2208" s="4">
        <v>29292</v>
      </c>
      <c r="E2208" s="4">
        <v>20210531</v>
      </c>
      <c r="F2208" s="4">
        <v>20210531</v>
      </c>
      <c r="G2208" s="4">
        <v>20240531</v>
      </c>
      <c r="H2208" s="4" t="s">
        <v>9825</v>
      </c>
      <c r="I2208" s="4" t="s">
        <v>9824</v>
      </c>
      <c r="J2208" s="4" t="s">
        <v>6927</v>
      </c>
    </row>
    <row r="2209" spans="1:10" hidden="1">
      <c r="A2209" s="4">
        <v>2.0210558221000301E+17</v>
      </c>
      <c r="B2209" s="4">
        <v>2438701155</v>
      </c>
      <c r="C2209" s="4" t="s">
        <v>9706</v>
      </c>
      <c r="D2209" s="4">
        <v>58221</v>
      </c>
      <c r="E2209" s="4">
        <v>20210528</v>
      </c>
      <c r="F2209" s="4">
        <v>20210528</v>
      </c>
      <c r="G2209" s="4">
        <v>20240528</v>
      </c>
      <c r="H2209" s="4" t="s">
        <v>9705</v>
      </c>
      <c r="I2209" s="4" t="s">
        <v>9704</v>
      </c>
      <c r="J2209" s="4" t="s">
        <v>228</v>
      </c>
    </row>
    <row r="2210" spans="1:10" hidden="1">
      <c r="A2210" s="4">
        <v>2.0210562010000301E+17</v>
      </c>
      <c r="B2210" s="4">
        <v>2648143728</v>
      </c>
      <c r="C2210" s="4" t="s">
        <v>9703</v>
      </c>
      <c r="D2210" s="4">
        <v>62010</v>
      </c>
      <c r="E2210" s="4">
        <v>20210528</v>
      </c>
      <c r="F2210" s="4">
        <v>20210528</v>
      </c>
      <c r="G2210" s="4">
        <v>20211015</v>
      </c>
      <c r="H2210" s="4" t="s">
        <v>2791</v>
      </c>
      <c r="I2210" s="4" t="s">
        <v>9702</v>
      </c>
      <c r="J2210" s="4" t="s">
        <v>118</v>
      </c>
    </row>
    <row r="2211" spans="1:10" hidden="1">
      <c r="A2211" s="4">
        <v>2.0210546599000301E+17</v>
      </c>
      <c r="B2211" s="4">
        <v>1688601366</v>
      </c>
      <c r="C2211" s="4" t="s">
        <v>9701</v>
      </c>
      <c r="D2211" s="4">
        <v>46599</v>
      </c>
      <c r="E2211" s="4">
        <v>20210528</v>
      </c>
      <c r="F2211" s="4">
        <v>20210528</v>
      </c>
      <c r="G2211" s="4">
        <v>20240528</v>
      </c>
      <c r="H2211" s="4" t="s">
        <v>9700</v>
      </c>
      <c r="I2211" s="4" t="s">
        <v>9699</v>
      </c>
      <c r="J2211" s="4" t="s">
        <v>2310</v>
      </c>
    </row>
    <row r="2212" spans="1:10" hidden="1">
      <c r="A2212" s="4">
        <v>2.0210523911000301E+17</v>
      </c>
      <c r="B2212" s="4">
        <v>1938100771</v>
      </c>
      <c r="C2212" s="4" t="s">
        <v>9698</v>
      </c>
      <c r="D2212" s="4">
        <v>23911</v>
      </c>
      <c r="E2212" s="4">
        <v>20210528</v>
      </c>
      <c r="F2212" s="4">
        <v>20210528</v>
      </c>
      <c r="G2212" s="4">
        <v>20240525</v>
      </c>
      <c r="H2212" s="4" t="s">
        <v>9697</v>
      </c>
      <c r="J2212" s="4" t="s">
        <v>5988</v>
      </c>
    </row>
    <row r="2213" spans="1:10" hidden="1">
      <c r="A2213" s="4">
        <v>2.0210558221000301E+17</v>
      </c>
      <c r="B2213" s="4">
        <v>2258700347</v>
      </c>
      <c r="C2213" s="4" t="s">
        <v>9696</v>
      </c>
      <c r="D2213" s="4">
        <v>58221</v>
      </c>
      <c r="E2213" s="4">
        <v>20210528</v>
      </c>
      <c r="F2213" s="4">
        <v>20210528</v>
      </c>
      <c r="G2213" s="4">
        <v>20230311</v>
      </c>
      <c r="H2213" s="4" t="s">
        <v>9695</v>
      </c>
      <c r="I2213" s="4" t="s">
        <v>9694</v>
      </c>
      <c r="J2213" s="4" t="s">
        <v>228</v>
      </c>
    </row>
    <row r="2214" spans="1:10" hidden="1">
      <c r="A2214" s="4">
        <v>2.0210510749000301E+17</v>
      </c>
      <c r="B2214" s="4">
        <v>4078702044</v>
      </c>
      <c r="C2214" s="4" t="s">
        <v>9693</v>
      </c>
      <c r="D2214" s="4">
        <v>10749</v>
      </c>
      <c r="E2214" s="4">
        <v>20210528</v>
      </c>
      <c r="F2214" s="4">
        <v>20210528</v>
      </c>
      <c r="G2214" s="4">
        <v>20240528</v>
      </c>
      <c r="H2214" s="4" t="s">
        <v>2004</v>
      </c>
      <c r="I2214" s="4" t="s">
        <v>9692</v>
      </c>
      <c r="J2214" s="4" t="s">
        <v>2822</v>
      </c>
    </row>
    <row r="2215" spans="1:10" hidden="1">
      <c r="A2215" s="4">
        <v>2.0210526429000301E+17</v>
      </c>
      <c r="B2215" s="4">
        <v>7478700492</v>
      </c>
      <c r="C2215" s="4" t="s">
        <v>9691</v>
      </c>
      <c r="D2215" s="4">
        <v>26429</v>
      </c>
      <c r="E2215" s="4">
        <v>20210528</v>
      </c>
      <c r="F2215" s="4">
        <v>20210528</v>
      </c>
      <c r="G2215" s="4">
        <v>20230825</v>
      </c>
      <c r="H2215" s="4" t="s">
        <v>9690</v>
      </c>
      <c r="I2215" s="4" t="s">
        <v>149</v>
      </c>
      <c r="J2215" s="4" t="s">
        <v>422</v>
      </c>
    </row>
    <row r="2216" spans="1:10" hidden="1">
      <c r="A2216" s="4">
        <v>2.0210546592000301E+17</v>
      </c>
      <c r="B2216" s="4">
        <v>7518602022</v>
      </c>
      <c r="C2216" s="4" t="s">
        <v>9689</v>
      </c>
      <c r="D2216" s="4">
        <v>46592</v>
      </c>
      <c r="E2216" s="4">
        <v>20210528</v>
      </c>
      <c r="F2216" s="4">
        <v>20210528</v>
      </c>
      <c r="G2216" s="4">
        <v>20240528</v>
      </c>
      <c r="H2216" s="4" t="s">
        <v>9688</v>
      </c>
      <c r="I2216" s="4" t="s">
        <v>149</v>
      </c>
      <c r="J2216" s="4" t="s">
        <v>148</v>
      </c>
    </row>
    <row r="2217" spans="1:10" hidden="1">
      <c r="A2217" s="4">
        <v>2.0210575210000301E+17</v>
      </c>
      <c r="B2217" s="4">
        <v>2968101948</v>
      </c>
      <c r="C2217" s="4" t="s">
        <v>9687</v>
      </c>
      <c r="D2217" s="4">
        <v>75210</v>
      </c>
      <c r="E2217" s="4">
        <v>20210528</v>
      </c>
      <c r="F2217" s="4">
        <v>20210528</v>
      </c>
      <c r="G2217" s="4">
        <v>20240528</v>
      </c>
      <c r="H2217" s="4" t="s">
        <v>9686</v>
      </c>
      <c r="I2217" s="4" t="s">
        <v>9685</v>
      </c>
      <c r="J2217" s="4" t="s">
        <v>155</v>
      </c>
    </row>
    <row r="2218" spans="1:10" hidden="1">
      <c r="A2218" s="4">
        <v>2.0210524132000301E+17</v>
      </c>
      <c r="B2218" s="4">
        <v>8168100331</v>
      </c>
      <c r="C2218" s="4" t="s">
        <v>9684</v>
      </c>
      <c r="D2218" s="4">
        <v>24132</v>
      </c>
      <c r="E2218" s="4">
        <v>20210528</v>
      </c>
      <c r="F2218" s="4">
        <v>20210528</v>
      </c>
      <c r="G2218" s="4">
        <v>20230112</v>
      </c>
      <c r="H2218" s="4" t="s">
        <v>9683</v>
      </c>
      <c r="I2218" s="4" t="s">
        <v>9682</v>
      </c>
      <c r="J2218" s="4" t="s">
        <v>5701</v>
      </c>
    </row>
    <row r="2219" spans="1:10" hidden="1">
      <c r="A2219" s="4">
        <v>2.0210525111000301E+17</v>
      </c>
      <c r="B2219" s="4">
        <v>7788801677</v>
      </c>
      <c r="C2219" s="4" t="s">
        <v>9681</v>
      </c>
      <c r="D2219" s="4">
        <v>25111</v>
      </c>
      <c r="E2219" s="4">
        <v>20210528</v>
      </c>
      <c r="F2219" s="4">
        <v>20210528</v>
      </c>
      <c r="G2219" s="4">
        <v>20240528</v>
      </c>
      <c r="H2219" s="4" t="s">
        <v>9680</v>
      </c>
      <c r="I2219" s="4" t="s">
        <v>9679</v>
      </c>
      <c r="J2219" s="4" t="s">
        <v>82</v>
      </c>
    </row>
    <row r="2220" spans="1:10" hidden="1">
      <c r="A2220" s="4">
        <v>2.0210525122000301E+17</v>
      </c>
      <c r="B2220" s="4">
        <v>1498801447</v>
      </c>
      <c r="C2220" s="4" t="s">
        <v>9678</v>
      </c>
      <c r="D2220" s="4">
        <v>25122</v>
      </c>
      <c r="E2220" s="4">
        <v>20210528</v>
      </c>
      <c r="F2220" s="4">
        <v>20210528</v>
      </c>
      <c r="G2220" s="4">
        <v>20240528</v>
      </c>
      <c r="H2220" s="4" t="s">
        <v>9677</v>
      </c>
      <c r="J2220" s="4" t="s">
        <v>6195</v>
      </c>
    </row>
    <row r="2221" spans="1:10" hidden="1">
      <c r="A2221" s="4">
        <v>2.0210526529000301E+17</v>
      </c>
      <c r="B2221" s="4">
        <v>2358701469</v>
      </c>
      <c r="C2221" s="4" t="s">
        <v>9676</v>
      </c>
      <c r="D2221" s="4">
        <v>26529</v>
      </c>
      <c r="E2221" s="4">
        <v>20210528</v>
      </c>
      <c r="F2221" s="4">
        <v>20210528</v>
      </c>
      <c r="G2221" s="4">
        <v>20240528</v>
      </c>
      <c r="H2221" s="4" t="s">
        <v>9675</v>
      </c>
      <c r="I2221" s="4" t="s">
        <v>9674</v>
      </c>
      <c r="J2221" s="4" t="s">
        <v>1207</v>
      </c>
    </row>
    <row r="2222" spans="1:10" hidden="1">
      <c r="A2222" s="4">
        <v>2.0210546462000301E+17</v>
      </c>
      <c r="B2222" s="4">
        <v>1047420783</v>
      </c>
      <c r="C2222" s="4" t="s">
        <v>9673</v>
      </c>
      <c r="D2222" s="4">
        <v>46462</v>
      </c>
      <c r="E2222" s="4">
        <v>20210528</v>
      </c>
      <c r="F2222" s="4">
        <v>20210528</v>
      </c>
      <c r="G2222" s="4">
        <v>20221201</v>
      </c>
      <c r="H2222" s="4" t="s">
        <v>9672</v>
      </c>
      <c r="I2222" s="4" t="s">
        <v>2919</v>
      </c>
      <c r="J2222" s="4" t="s">
        <v>9671</v>
      </c>
    </row>
    <row r="2223" spans="1:10" hidden="1">
      <c r="A2223" s="4">
        <v>2.0210528519000301E+17</v>
      </c>
      <c r="B2223" s="4">
        <v>1353273042</v>
      </c>
      <c r="C2223" s="4" t="s">
        <v>9670</v>
      </c>
      <c r="D2223" s="4">
        <v>28519</v>
      </c>
      <c r="E2223" s="4">
        <v>20210528</v>
      </c>
      <c r="F2223" s="4">
        <v>20210528</v>
      </c>
      <c r="G2223" s="4">
        <v>20220115</v>
      </c>
      <c r="H2223" s="4" t="s">
        <v>1222</v>
      </c>
      <c r="I2223" s="4" t="s">
        <v>9669</v>
      </c>
      <c r="J2223" s="4" t="s">
        <v>1412</v>
      </c>
    </row>
    <row r="2224" spans="1:10" hidden="1">
      <c r="A2224" s="4">
        <v>2.0210526299000301E+17</v>
      </c>
      <c r="B2224" s="4">
        <v>3428700851</v>
      </c>
      <c r="C2224" s="4" t="s">
        <v>9667</v>
      </c>
      <c r="D2224" s="4">
        <v>26299</v>
      </c>
      <c r="E2224" s="4">
        <v>20210528</v>
      </c>
      <c r="F2224" s="4">
        <v>20210528</v>
      </c>
      <c r="G2224" s="4">
        <v>20240528</v>
      </c>
      <c r="H2224" s="4" t="s">
        <v>9668</v>
      </c>
      <c r="I2224" s="4" t="s">
        <v>9667</v>
      </c>
      <c r="J2224" s="4" t="s">
        <v>339</v>
      </c>
    </row>
    <row r="2225" spans="1:10" hidden="1">
      <c r="A2225" s="4">
        <v>2.0210525999000301E+17</v>
      </c>
      <c r="B2225" s="4">
        <v>2721900209</v>
      </c>
      <c r="C2225" s="4" t="s">
        <v>9666</v>
      </c>
      <c r="D2225" s="4">
        <v>25999</v>
      </c>
      <c r="E2225" s="4">
        <v>20210528</v>
      </c>
      <c r="F2225" s="4">
        <v>20210528</v>
      </c>
      <c r="G2225" s="4">
        <v>20230201</v>
      </c>
      <c r="H2225" s="4" t="s">
        <v>9665</v>
      </c>
      <c r="I2225" s="4" t="s">
        <v>9664</v>
      </c>
      <c r="J2225" s="4" t="s">
        <v>301</v>
      </c>
    </row>
    <row r="2226" spans="1:10" hidden="1">
      <c r="A2226" s="4">
        <v>2.0210528511000301E+17</v>
      </c>
      <c r="B2226" s="4">
        <v>3650200430</v>
      </c>
      <c r="C2226" s="4" t="s">
        <v>9663</v>
      </c>
      <c r="D2226" s="4">
        <v>28511</v>
      </c>
      <c r="E2226" s="4">
        <v>20210528</v>
      </c>
      <c r="F2226" s="4">
        <v>20210528</v>
      </c>
      <c r="G2226" s="4">
        <v>20230429</v>
      </c>
      <c r="H2226" s="4" t="s">
        <v>7000</v>
      </c>
      <c r="I2226" s="4" t="s">
        <v>7413</v>
      </c>
      <c r="J2226" s="4" t="s">
        <v>928</v>
      </c>
    </row>
    <row r="2227" spans="1:10" hidden="1">
      <c r="A2227" s="4">
        <v>2.0210574211000301E+17</v>
      </c>
      <c r="B2227" s="4">
        <v>3198600062</v>
      </c>
      <c r="C2227" s="4" t="s">
        <v>9662</v>
      </c>
      <c r="D2227" s="4">
        <v>74211</v>
      </c>
      <c r="E2227" s="4">
        <v>20210528</v>
      </c>
      <c r="F2227" s="4">
        <v>20210528</v>
      </c>
      <c r="G2227" s="4">
        <v>20220518</v>
      </c>
      <c r="H2227" s="4" t="s">
        <v>9661</v>
      </c>
      <c r="I2227" s="4" t="s">
        <v>9660</v>
      </c>
      <c r="J2227" s="4" t="s">
        <v>5576</v>
      </c>
    </row>
    <row r="2228" spans="1:10" hidden="1">
      <c r="A2228" s="4">
        <v>2.0210558222000301E+17</v>
      </c>
      <c r="B2228" s="4">
        <v>7448601011</v>
      </c>
      <c r="C2228" s="4" t="s">
        <v>9659</v>
      </c>
      <c r="D2228" s="4">
        <v>58222</v>
      </c>
      <c r="E2228" s="4">
        <v>20210527</v>
      </c>
      <c r="F2228" s="4">
        <v>20210527</v>
      </c>
      <c r="G2228" s="4">
        <v>20221215</v>
      </c>
      <c r="H2228" s="4" t="s">
        <v>9658</v>
      </c>
      <c r="I2228" s="4" t="s">
        <v>9657</v>
      </c>
      <c r="J2228" s="4" t="s">
        <v>94</v>
      </c>
    </row>
    <row r="2229" spans="1:10" hidden="1">
      <c r="A2229" s="4">
        <v>2.0210520321000301E+17</v>
      </c>
      <c r="B2229" s="4">
        <v>8708700808</v>
      </c>
      <c r="C2229" s="4" t="s">
        <v>9656</v>
      </c>
      <c r="D2229" s="4">
        <v>20321</v>
      </c>
      <c r="E2229" s="4">
        <v>20210527</v>
      </c>
      <c r="F2229" s="4">
        <v>20210527</v>
      </c>
      <c r="G2229" s="4">
        <v>20240527</v>
      </c>
      <c r="H2229" s="4" t="s">
        <v>3198</v>
      </c>
      <c r="I2229" s="4" t="s">
        <v>9655</v>
      </c>
      <c r="J2229" s="4" t="s">
        <v>192</v>
      </c>
    </row>
    <row r="2230" spans="1:10" hidden="1">
      <c r="A2230" s="4">
        <v>2.0210558222000301E+17</v>
      </c>
      <c r="B2230" s="4">
        <v>4938800253</v>
      </c>
      <c r="C2230" s="4" t="s">
        <v>9654</v>
      </c>
      <c r="D2230" s="4">
        <v>58222</v>
      </c>
      <c r="E2230" s="4">
        <v>20210527</v>
      </c>
      <c r="F2230" s="4">
        <v>20210527</v>
      </c>
      <c r="G2230" s="4">
        <v>20230212</v>
      </c>
      <c r="H2230" s="4" t="s">
        <v>9653</v>
      </c>
      <c r="I2230" s="4" t="s">
        <v>9652</v>
      </c>
      <c r="J2230" s="4" t="s">
        <v>94</v>
      </c>
    </row>
    <row r="2231" spans="1:10" hidden="1">
      <c r="A2231" s="4">
        <v>2.0210520499000301E+17</v>
      </c>
      <c r="B2231" s="4">
        <v>2648139199</v>
      </c>
      <c r="C2231" s="4" t="s">
        <v>9651</v>
      </c>
      <c r="D2231" s="4">
        <v>20499</v>
      </c>
      <c r="E2231" s="4">
        <v>20210527</v>
      </c>
      <c r="F2231" s="4">
        <v>20210527</v>
      </c>
      <c r="G2231" s="4">
        <v>20210725</v>
      </c>
      <c r="H2231" s="4" t="s">
        <v>9650</v>
      </c>
      <c r="J2231" s="4" t="s">
        <v>406</v>
      </c>
    </row>
    <row r="2232" spans="1:10" hidden="1">
      <c r="A2232" s="4">
        <v>2.0210533999000301E+17</v>
      </c>
      <c r="B2232" s="4">
        <v>6528701723</v>
      </c>
      <c r="C2232" s="4" t="s">
        <v>9649</v>
      </c>
      <c r="D2232" s="4">
        <v>33999</v>
      </c>
      <c r="E2232" s="4">
        <v>20210527</v>
      </c>
      <c r="F2232" s="4">
        <v>20210527</v>
      </c>
      <c r="G2232" s="4">
        <v>20240527</v>
      </c>
      <c r="H2232" s="4" t="s">
        <v>9648</v>
      </c>
      <c r="I2232" s="4" t="s">
        <v>8409</v>
      </c>
      <c r="J2232" s="4" t="s">
        <v>780</v>
      </c>
    </row>
    <row r="2233" spans="1:10" hidden="1">
      <c r="A2233" s="4">
        <v>2.0210558222000301E+17</v>
      </c>
      <c r="B2233" s="4">
        <v>4208600611</v>
      </c>
      <c r="C2233" s="4" t="s">
        <v>9647</v>
      </c>
      <c r="D2233" s="4">
        <v>58222</v>
      </c>
      <c r="E2233" s="4">
        <v>20210527</v>
      </c>
      <c r="F2233" s="4">
        <v>20210527</v>
      </c>
      <c r="G2233" s="4">
        <v>20240111</v>
      </c>
      <c r="H2233" s="4" t="s">
        <v>9646</v>
      </c>
      <c r="I2233" s="4" t="s">
        <v>9645</v>
      </c>
      <c r="J2233" s="4" t="s">
        <v>94</v>
      </c>
    </row>
    <row r="2234" spans="1:10" hidden="1">
      <c r="A2234" s="4">
        <v>2.0210558113000301E+17</v>
      </c>
      <c r="B2234" s="4">
        <v>5532600066</v>
      </c>
      <c r="C2234" s="4" t="s">
        <v>9644</v>
      </c>
      <c r="D2234" s="4">
        <v>58113</v>
      </c>
      <c r="E2234" s="4">
        <v>20210527</v>
      </c>
      <c r="F2234" s="4">
        <v>20210527</v>
      </c>
      <c r="G2234" s="4">
        <v>20220529</v>
      </c>
      <c r="H2234" s="4" t="s">
        <v>9643</v>
      </c>
      <c r="I2234" s="4" t="s">
        <v>185</v>
      </c>
      <c r="J2234" s="4" t="s">
        <v>512</v>
      </c>
    </row>
    <row r="2235" spans="1:10" hidden="1">
      <c r="A2235" s="4">
        <v>2.0210571600000301E+17</v>
      </c>
      <c r="B2235" s="4">
        <v>1338700752</v>
      </c>
      <c r="C2235" s="4" t="s">
        <v>9753</v>
      </c>
      <c r="D2235" s="4">
        <v>71600</v>
      </c>
      <c r="E2235" s="4">
        <v>20210528</v>
      </c>
      <c r="F2235" s="4">
        <v>20210528</v>
      </c>
      <c r="G2235" s="4">
        <v>20240528</v>
      </c>
      <c r="H2235" s="4" t="s">
        <v>774</v>
      </c>
      <c r="I2235" s="4" t="s">
        <v>9752</v>
      </c>
      <c r="J2235" s="4" t="s">
        <v>1783</v>
      </c>
    </row>
    <row r="2236" spans="1:10" hidden="1">
      <c r="A2236" s="4">
        <v>2.0210558222000301E+17</v>
      </c>
      <c r="B2236" s="4">
        <v>2068801662</v>
      </c>
      <c r="C2236" s="4" t="s">
        <v>9640</v>
      </c>
      <c r="D2236" s="4">
        <v>58222</v>
      </c>
      <c r="E2236" s="4">
        <v>20210527</v>
      </c>
      <c r="F2236" s="4">
        <v>20210527</v>
      </c>
      <c r="G2236" s="4">
        <v>20240527</v>
      </c>
      <c r="H2236" s="4" t="s">
        <v>750</v>
      </c>
      <c r="I2236" s="4" t="s">
        <v>9639</v>
      </c>
      <c r="J2236" s="4" t="s">
        <v>94</v>
      </c>
    </row>
    <row r="2237" spans="1:10" hidden="1">
      <c r="A2237" s="4">
        <v>2.0210575992000301E+17</v>
      </c>
      <c r="B2237" s="4">
        <v>6634300453</v>
      </c>
      <c r="C2237" s="4" t="s">
        <v>9638</v>
      </c>
      <c r="D2237" s="4">
        <v>75992</v>
      </c>
      <c r="E2237" s="4">
        <v>20210527</v>
      </c>
      <c r="F2237" s="4">
        <v>20210527</v>
      </c>
      <c r="G2237" s="4">
        <v>20240527</v>
      </c>
      <c r="H2237" s="4" t="s">
        <v>9637</v>
      </c>
      <c r="I2237" s="4" t="s">
        <v>9636</v>
      </c>
      <c r="J2237" s="4" t="s">
        <v>111</v>
      </c>
    </row>
    <row r="2238" spans="1:10" hidden="1">
      <c r="A2238" s="4">
        <v>2.0210590192000301E+17</v>
      </c>
      <c r="B2238" s="4">
        <v>3188801169</v>
      </c>
      <c r="C2238" s="4" t="s">
        <v>9635</v>
      </c>
      <c r="D2238" s="4">
        <v>90192</v>
      </c>
      <c r="E2238" s="4">
        <v>20210527</v>
      </c>
      <c r="F2238" s="4">
        <v>20210527</v>
      </c>
      <c r="G2238" s="4">
        <v>20240527</v>
      </c>
      <c r="H2238" s="4" t="s">
        <v>1096</v>
      </c>
      <c r="I2238" s="4" t="s">
        <v>9634</v>
      </c>
      <c r="J2238" s="4" t="s">
        <v>9633</v>
      </c>
    </row>
    <row r="2239" spans="1:10" hidden="1">
      <c r="A2239" s="4">
        <v>2.0210546329000301E+17</v>
      </c>
      <c r="B2239" s="4">
        <v>5660601777</v>
      </c>
      <c r="C2239" s="4" t="s">
        <v>9632</v>
      </c>
      <c r="D2239" s="4">
        <v>46329</v>
      </c>
      <c r="E2239" s="4">
        <v>20210527</v>
      </c>
      <c r="F2239" s="4">
        <v>20210527</v>
      </c>
      <c r="G2239" s="4">
        <v>20240527</v>
      </c>
      <c r="H2239" s="4" t="s">
        <v>9631</v>
      </c>
      <c r="I2239" s="4" t="s">
        <v>239</v>
      </c>
      <c r="J2239" s="4" t="s">
        <v>830</v>
      </c>
    </row>
    <row r="2240" spans="1:10" hidden="1">
      <c r="A2240" s="4">
        <v>2.0210517222000301E+17</v>
      </c>
      <c r="B2240" s="4">
        <v>5733500645</v>
      </c>
      <c r="C2240" s="4" t="s">
        <v>9629</v>
      </c>
      <c r="D2240" s="4">
        <v>17222</v>
      </c>
      <c r="E2240" s="4">
        <v>20210527</v>
      </c>
      <c r="F2240" s="4">
        <v>20210527</v>
      </c>
      <c r="G2240" s="4">
        <v>20240527</v>
      </c>
      <c r="H2240" s="4" t="s">
        <v>9630</v>
      </c>
      <c r="I2240" s="4" t="s">
        <v>9629</v>
      </c>
      <c r="J2240" s="4" t="s">
        <v>9078</v>
      </c>
    </row>
    <row r="2241" spans="1:10" hidden="1">
      <c r="A2241" s="4">
        <v>2.0210532029000301E+17</v>
      </c>
      <c r="B2241" s="4">
        <v>2488700146</v>
      </c>
      <c r="C2241" s="4" t="s">
        <v>9628</v>
      </c>
      <c r="D2241" s="4">
        <v>32029</v>
      </c>
      <c r="E2241" s="4">
        <v>20210527</v>
      </c>
      <c r="F2241" s="4">
        <v>20210527</v>
      </c>
      <c r="G2241" s="4">
        <v>20220909</v>
      </c>
      <c r="H2241" s="4" t="s">
        <v>9627</v>
      </c>
      <c r="J2241" s="4" t="s">
        <v>637</v>
      </c>
    </row>
    <row r="2242" spans="1:10" hidden="1">
      <c r="A2242" s="4">
        <v>2.0210558222000301E+17</v>
      </c>
      <c r="B2242" s="4">
        <v>5488101039</v>
      </c>
      <c r="C2242" s="4" t="s">
        <v>9626</v>
      </c>
      <c r="D2242" s="4">
        <v>58222</v>
      </c>
      <c r="E2242" s="4">
        <v>20210527</v>
      </c>
      <c r="F2242" s="4">
        <v>20210527</v>
      </c>
      <c r="G2242" s="4">
        <v>20240527</v>
      </c>
      <c r="H2242" s="4" t="s">
        <v>9625</v>
      </c>
      <c r="I2242" s="4" t="s">
        <v>91</v>
      </c>
      <c r="J2242" s="4" t="s">
        <v>94</v>
      </c>
    </row>
    <row r="2243" spans="1:10" hidden="1">
      <c r="A2243" s="4">
        <v>2.0210528423000301E+17</v>
      </c>
      <c r="B2243" s="4">
        <v>3948700755</v>
      </c>
      <c r="C2243" s="4" t="s">
        <v>9624</v>
      </c>
      <c r="D2243" s="4">
        <v>28423</v>
      </c>
      <c r="E2243" s="4">
        <v>20210527</v>
      </c>
      <c r="F2243" s="4">
        <v>20210527</v>
      </c>
      <c r="G2243" s="4">
        <v>20240307</v>
      </c>
      <c r="H2243" s="4" t="s">
        <v>9623</v>
      </c>
      <c r="I2243" s="4" t="s">
        <v>9622</v>
      </c>
      <c r="J2243" s="4" t="s">
        <v>485</v>
      </c>
    </row>
    <row r="2244" spans="1:10" hidden="1">
      <c r="A2244" s="4">
        <v>2.0210542202000301E+17</v>
      </c>
      <c r="B2244" s="4">
        <v>5068601840</v>
      </c>
      <c r="C2244" s="4" t="s">
        <v>9621</v>
      </c>
      <c r="D2244" s="4">
        <v>42202</v>
      </c>
      <c r="E2244" s="4">
        <v>20210527</v>
      </c>
      <c r="F2244" s="4">
        <v>20210527</v>
      </c>
      <c r="G2244" s="4">
        <v>20240527</v>
      </c>
      <c r="H2244" s="4" t="s">
        <v>9620</v>
      </c>
      <c r="J2244" s="4" t="s">
        <v>447</v>
      </c>
    </row>
    <row r="2245" spans="1:10" hidden="1">
      <c r="A2245" s="4">
        <v>2.0210529142000301E+17</v>
      </c>
      <c r="B2245" s="4">
        <v>5848801539</v>
      </c>
      <c r="C2245" s="4" t="s">
        <v>9720</v>
      </c>
      <c r="D2245" s="4">
        <v>29142</v>
      </c>
      <c r="E2245" s="4">
        <v>20210528</v>
      </c>
      <c r="F2245" s="4">
        <v>20210528</v>
      </c>
      <c r="G2245" s="4">
        <v>20240528</v>
      </c>
      <c r="H2245" s="4" t="s">
        <v>9719</v>
      </c>
      <c r="I2245" s="4" t="s">
        <v>9718</v>
      </c>
      <c r="J2245" s="4" t="s">
        <v>8321</v>
      </c>
    </row>
    <row r="2246" spans="1:10" hidden="1">
      <c r="A2246" s="4">
        <v>2.0210542321000301E+17</v>
      </c>
      <c r="B2246" s="4">
        <v>2838100472</v>
      </c>
      <c r="C2246" s="4" t="s">
        <v>9708</v>
      </c>
      <c r="D2246" s="4">
        <v>42321</v>
      </c>
      <c r="E2246" s="4">
        <v>20210528</v>
      </c>
      <c r="F2246" s="4">
        <v>20210528</v>
      </c>
      <c r="G2246" s="4">
        <v>20231212</v>
      </c>
      <c r="H2246" s="4" t="s">
        <v>9707</v>
      </c>
      <c r="I2246" s="4" t="s">
        <v>91</v>
      </c>
      <c r="J2246" s="4" t="s">
        <v>698</v>
      </c>
    </row>
    <row r="2247" spans="1:10" hidden="1">
      <c r="A2247" s="4">
        <v>2.0210573203000301E+17</v>
      </c>
      <c r="B2247" s="4">
        <v>8208700967</v>
      </c>
      <c r="C2247" s="4" t="s">
        <v>9615</v>
      </c>
      <c r="D2247" s="4">
        <v>73203</v>
      </c>
      <c r="E2247" s="4">
        <v>20210527</v>
      </c>
      <c r="F2247" s="4">
        <v>20210527</v>
      </c>
      <c r="G2247" s="4">
        <v>20240527</v>
      </c>
      <c r="H2247" s="4" t="s">
        <v>1295</v>
      </c>
      <c r="J2247" s="4" t="s">
        <v>260</v>
      </c>
    </row>
    <row r="2248" spans="1:10" hidden="1">
      <c r="A2248" s="4">
        <v>2.0210571310000301E+17</v>
      </c>
      <c r="B2248" s="4">
        <v>3488100707</v>
      </c>
      <c r="C2248" s="4" t="s">
        <v>9614</v>
      </c>
      <c r="D2248" s="4">
        <v>71310</v>
      </c>
      <c r="E2248" s="4">
        <v>20210527</v>
      </c>
      <c r="F2248" s="4">
        <v>20210527</v>
      </c>
      <c r="G2248" s="4">
        <v>20240329</v>
      </c>
      <c r="H2248" s="4" t="s">
        <v>9613</v>
      </c>
      <c r="J2248" s="4" t="s">
        <v>426</v>
      </c>
    </row>
    <row r="2249" spans="1:10" hidden="1">
      <c r="A2249" s="4">
        <v>2.0210510751000301E+17</v>
      </c>
      <c r="B2249" s="4">
        <v>1208828275</v>
      </c>
      <c r="C2249" s="4" t="s">
        <v>9612</v>
      </c>
      <c r="D2249" s="4">
        <v>10751</v>
      </c>
      <c r="E2249" s="4">
        <v>20210527</v>
      </c>
      <c r="F2249" s="4">
        <v>20210527</v>
      </c>
      <c r="G2249" s="4">
        <v>20240527</v>
      </c>
      <c r="H2249" s="4" t="s">
        <v>9611</v>
      </c>
      <c r="J2249" s="4" t="s">
        <v>9610</v>
      </c>
    </row>
    <row r="2250" spans="1:10" hidden="1">
      <c r="A2250" s="4">
        <v>2.0210529172000301E+17</v>
      </c>
      <c r="B2250" s="4">
        <v>4218701890</v>
      </c>
      <c r="C2250" s="4" t="s">
        <v>9609</v>
      </c>
      <c r="D2250" s="4">
        <v>29172</v>
      </c>
      <c r="E2250" s="4">
        <v>20210527</v>
      </c>
      <c r="F2250" s="4">
        <v>20210527</v>
      </c>
      <c r="G2250" s="4">
        <v>20240527</v>
      </c>
      <c r="H2250" s="4" t="s">
        <v>474</v>
      </c>
      <c r="I2250" s="4" t="s">
        <v>9608</v>
      </c>
      <c r="J2250" s="4" t="s">
        <v>1204</v>
      </c>
    </row>
    <row r="2251" spans="1:10" hidden="1">
      <c r="A2251" s="4">
        <v>2.0210523919000301E+17</v>
      </c>
      <c r="B2251" s="4">
        <v>8148601362</v>
      </c>
      <c r="C2251" s="4" t="s">
        <v>9607</v>
      </c>
      <c r="D2251" s="4">
        <v>23919</v>
      </c>
      <c r="E2251" s="4">
        <v>20210527</v>
      </c>
      <c r="F2251" s="4">
        <v>20210527</v>
      </c>
      <c r="G2251" s="4">
        <v>20240527</v>
      </c>
      <c r="H2251" s="4" t="s">
        <v>9606</v>
      </c>
      <c r="I2251" s="4" t="s">
        <v>9605</v>
      </c>
      <c r="J2251" s="4" t="s">
        <v>5040</v>
      </c>
    </row>
    <row r="2252" spans="1:10" hidden="1">
      <c r="A2252" s="4">
        <v>2.0210546593000301E+17</v>
      </c>
      <c r="B2252" s="4">
        <v>1871600706</v>
      </c>
      <c r="C2252" s="4" t="s">
        <v>9604</v>
      </c>
      <c r="D2252" s="4">
        <v>46593</v>
      </c>
      <c r="E2252" s="4">
        <v>20210527</v>
      </c>
      <c r="F2252" s="4">
        <v>20210527</v>
      </c>
      <c r="G2252" s="4">
        <v>20240527</v>
      </c>
      <c r="H2252" s="4" t="s">
        <v>9603</v>
      </c>
      <c r="I2252" s="4" t="s">
        <v>9602</v>
      </c>
      <c r="J2252" s="4" t="s">
        <v>1469</v>
      </c>
    </row>
    <row r="2253" spans="1:10" hidden="1">
      <c r="A2253" s="4">
        <v>2.0210528410000301E+17</v>
      </c>
      <c r="B2253" s="4">
        <v>4038183209</v>
      </c>
      <c r="C2253" s="4" t="s">
        <v>9601</v>
      </c>
      <c r="D2253" s="4">
        <v>28410</v>
      </c>
      <c r="E2253" s="4">
        <v>20210527</v>
      </c>
      <c r="F2253" s="4">
        <v>20210527</v>
      </c>
      <c r="G2253" s="4">
        <v>20240404</v>
      </c>
      <c r="H2253" s="4" t="s">
        <v>9600</v>
      </c>
      <c r="J2253" s="4" t="s">
        <v>2199</v>
      </c>
    </row>
    <row r="2254" spans="1:10" hidden="1">
      <c r="A2254" s="4">
        <v>2.0210516291000301E+17</v>
      </c>
      <c r="B2254" s="4">
        <v>2781200080</v>
      </c>
      <c r="C2254" s="4" t="s">
        <v>9599</v>
      </c>
      <c r="D2254" s="4">
        <v>16291</v>
      </c>
      <c r="E2254" s="4">
        <v>20210527</v>
      </c>
      <c r="F2254" s="4">
        <v>20210527</v>
      </c>
      <c r="G2254" s="4">
        <v>20220526</v>
      </c>
      <c r="H2254" s="4" t="s">
        <v>2956</v>
      </c>
      <c r="I2254" s="4" t="s">
        <v>9598</v>
      </c>
      <c r="J2254" s="4" t="s">
        <v>4956</v>
      </c>
    </row>
    <row r="2255" spans="1:10" hidden="1">
      <c r="A2255" s="4">
        <v>2.0210546799000301E+17</v>
      </c>
      <c r="B2255" s="4">
        <v>5276600141</v>
      </c>
      <c r="C2255" s="4" t="s">
        <v>9597</v>
      </c>
      <c r="D2255" s="4">
        <v>46799</v>
      </c>
      <c r="E2255" s="4">
        <v>20210527</v>
      </c>
      <c r="F2255" s="4">
        <v>20210527</v>
      </c>
      <c r="G2255" s="4">
        <v>20240201</v>
      </c>
      <c r="H2255" s="4" t="s">
        <v>9596</v>
      </c>
      <c r="J2255" s="4" t="s">
        <v>2181</v>
      </c>
    </row>
    <row r="2256" spans="1:10" hidden="1">
      <c r="A2256" s="4">
        <v>2.0210547190000301E+17</v>
      </c>
      <c r="B2256" s="4">
        <v>3920601180</v>
      </c>
      <c r="C2256" s="4" t="s">
        <v>9595</v>
      </c>
      <c r="D2256" s="4">
        <v>47190</v>
      </c>
      <c r="E2256" s="4">
        <v>20210527</v>
      </c>
      <c r="F2256" s="4">
        <v>20210527</v>
      </c>
      <c r="G2256" s="4">
        <v>20240527</v>
      </c>
      <c r="H2256" s="4" t="s">
        <v>9594</v>
      </c>
      <c r="I2256" s="4" t="s">
        <v>9593</v>
      </c>
      <c r="J2256" s="4" t="s">
        <v>6297</v>
      </c>
    </row>
    <row r="2257" spans="1:10" hidden="1">
      <c r="A2257" s="4">
        <v>2.0210541122000301E+17</v>
      </c>
      <c r="B2257" s="4">
        <v>1548601445</v>
      </c>
      <c r="C2257" s="4" t="s">
        <v>9592</v>
      </c>
      <c r="D2257" s="4">
        <v>41122</v>
      </c>
      <c r="E2257" s="4">
        <v>20210526</v>
      </c>
      <c r="F2257" s="4">
        <v>20210526</v>
      </c>
      <c r="G2257" s="4">
        <v>20240526</v>
      </c>
      <c r="H2257" s="4" t="s">
        <v>9591</v>
      </c>
      <c r="I2257" s="4" t="s">
        <v>2136</v>
      </c>
      <c r="J2257" s="4" t="s">
        <v>1368</v>
      </c>
    </row>
    <row r="2258" spans="1:10" hidden="1">
      <c r="A2258" s="4">
        <v>2.0210527192000301E+17</v>
      </c>
      <c r="B2258" s="4">
        <v>8628702125</v>
      </c>
      <c r="C2258" s="4" t="s">
        <v>9590</v>
      </c>
      <c r="D2258" s="4">
        <v>27192</v>
      </c>
      <c r="E2258" s="4">
        <v>20210526</v>
      </c>
      <c r="F2258" s="4">
        <v>20210526</v>
      </c>
      <c r="G2258" s="4">
        <v>20240526</v>
      </c>
      <c r="H2258" s="4" t="s">
        <v>9589</v>
      </c>
      <c r="I2258" s="4" t="s">
        <v>149</v>
      </c>
      <c r="J2258" s="4" t="s">
        <v>1033</v>
      </c>
    </row>
    <row r="2259" spans="1:10" hidden="1">
      <c r="A2259" s="4">
        <v>2.0210510802000301E+17</v>
      </c>
      <c r="B2259" s="4">
        <v>1328701006</v>
      </c>
      <c r="C2259" s="4" t="s">
        <v>9588</v>
      </c>
      <c r="D2259" s="4">
        <v>10802</v>
      </c>
      <c r="E2259" s="4">
        <v>20210526</v>
      </c>
      <c r="F2259" s="4">
        <v>20210526</v>
      </c>
      <c r="G2259" s="4">
        <v>20240526</v>
      </c>
      <c r="H2259" s="4" t="s">
        <v>8393</v>
      </c>
      <c r="I2259" s="4" t="s">
        <v>9587</v>
      </c>
      <c r="J2259" s="4" t="s">
        <v>973</v>
      </c>
    </row>
    <row r="2260" spans="1:10" hidden="1">
      <c r="A2260" s="4">
        <v>2.0210542321000301E+17</v>
      </c>
      <c r="B2260" s="4">
        <v>3408801467</v>
      </c>
      <c r="C2260" s="4" t="s">
        <v>9586</v>
      </c>
      <c r="D2260" s="4">
        <v>42321</v>
      </c>
      <c r="E2260" s="4">
        <v>20210526</v>
      </c>
      <c r="F2260" s="4">
        <v>20210526</v>
      </c>
      <c r="G2260" s="4">
        <v>20240526</v>
      </c>
      <c r="H2260" s="4" t="s">
        <v>9585</v>
      </c>
      <c r="I2260" s="4" t="s">
        <v>149</v>
      </c>
      <c r="J2260" s="4" t="s">
        <v>698</v>
      </c>
    </row>
    <row r="2261" spans="1:10" hidden="1">
      <c r="A2261" s="4">
        <v>2.0210533999000301E+17</v>
      </c>
      <c r="B2261" s="4">
        <v>6898700046</v>
      </c>
      <c r="C2261" s="4" t="s">
        <v>9584</v>
      </c>
      <c r="D2261" s="4">
        <v>33999</v>
      </c>
      <c r="E2261" s="4">
        <v>20210526</v>
      </c>
      <c r="F2261" s="4">
        <v>20210526</v>
      </c>
      <c r="G2261" s="4">
        <v>20210901</v>
      </c>
      <c r="H2261" s="4" t="s">
        <v>9583</v>
      </c>
      <c r="I2261" s="4" t="s">
        <v>149</v>
      </c>
      <c r="J2261" s="4" t="s">
        <v>780</v>
      </c>
    </row>
    <row r="2262" spans="1:10" hidden="1">
      <c r="A2262" s="4">
        <v>2.0210549301000301E+17</v>
      </c>
      <c r="B2262" s="4">
        <v>5570502004</v>
      </c>
      <c r="C2262" s="4" t="s">
        <v>9582</v>
      </c>
      <c r="D2262" s="4">
        <v>49301</v>
      </c>
      <c r="E2262" s="4">
        <v>20210526</v>
      </c>
      <c r="F2262" s="4">
        <v>20210526</v>
      </c>
      <c r="G2262" s="4">
        <v>20240526</v>
      </c>
      <c r="H2262" s="4" t="s">
        <v>9581</v>
      </c>
      <c r="I2262" s="4" t="s">
        <v>9580</v>
      </c>
      <c r="J2262" s="4" t="s">
        <v>8479</v>
      </c>
    </row>
    <row r="2263" spans="1:10" hidden="1">
      <c r="A2263" s="4">
        <v>2.0210558222000301E+17</v>
      </c>
      <c r="B2263" s="4">
        <v>2888101632</v>
      </c>
      <c r="C2263" s="4" t="s">
        <v>9579</v>
      </c>
      <c r="D2263" s="4">
        <v>58222</v>
      </c>
      <c r="E2263" s="4">
        <v>20210526</v>
      </c>
      <c r="F2263" s="4">
        <v>20210526</v>
      </c>
      <c r="G2263" s="4">
        <v>20240526</v>
      </c>
      <c r="H2263" s="4" t="s">
        <v>9578</v>
      </c>
      <c r="I2263" s="4" t="s">
        <v>9577</v>
      </c>
      <c r="J2263" s="4" t="s">
        <v>94</v>
      </c>
    </row>
    <row r="2264" spans="1:10" hidden="1">
      <c r="A2264" s="4">
        <v>2.0210528111000301E+17</v>
      </c>
      <c r="B2264" s="4">
        <v>4138700997</v>
      </c>
      <c r="C2264" s="4" t="s">
        <v>9576</v>
      </c>
      <c r="D2264" s="4">
        <v>28111</v>
      </c>
      <c r="E2264" s="4">
        <v>20210526</v>
      </c>
      <c r="F2264" s="4">
        <v>20210526</v>
      </c>
      <c r="G2264" s="4">
        <v>20240526</v>
      </c>
      <c r="H2264" s="4" t="s">
        <v>4859</v>
      </c>
      <c r="I2264" s="4" t="s">
        <v>9575</v>
      </c>
      <c r="J2264" s="4" t="s">
        <v>1614</v>
      </c>
    </row>
    <row r="2265" spans="1:10" hidden="1">
      <c r="A2265" s="4">
        <v>2.0210528519000301E+17</v>
      </c>
      <c r="B2265" s="4">
        <v>5280201141</v>
      </c>
      <c r="C2265" s="4" t="s">
        <v>9574</v>
      </c>
      <c r="D2265" s="4">
        <v>28519</v>
      </c>
      <c r="E2265" s="4">
        <v>20210526</v>
      </c>
      <c r="F2265" s="4">
        <v>20210526</v>
      </c>
      <c r="G2265" s="4">
        <v>20240526</v>
      </c>
      <c r="H2265" s="4" t="s">
        <v>9573</v>
      </c>
      <c r="I2265" s="4" t="s">
        <v>9572</v>
      </c>
      <c r="J2265" s="4" t="s">
        <v>1412</v>
      </c>
    </row>
    <row r="2266" spans="1:10" hidden="1">
      <c r="A2266" s="4">
        <v>2.0210532029000301E+17</v>
      </c>
      <c r="B2266" s="4">
        <v>7491700947</v>
      </c>
      <c r="C2266" s="4" t="s">
        <v>9571</v>
      </c>
      <c r="D2266" s="4">
        <v>32029</v>
      </c>
      <c r="E2266" s="4">
        <v>20210526</v>
      </c>
      <c r="F2266" s="4">
        <v>20210526</v>
      </c>
      <c r="G2266" s="4">
        <v>20240526</v>
      </c>
      <c r="H2266" s="4" t="s">
        <v>9570</v>
      </c>
      <c r="J2266" s="4" t="s">
        <v>637</v>
      </c>
    </row>
    <row r="2267" spans="1:10" hidden="1">
      <c r="A2267" s="4">
        <v>2.0210546593000301E+17</v>
      </c>
      <c r="B2267" s="4">
        <v>4072492255</v>
      </c>
      <c r="C2267" s="4" t="s">
        <v>9569</v>
      </c>
      <c r="D2267" s="4">
        <v>46593</v>
      </c>
      <c r="E2267" s="4">
        <v>20210526</v>
      </c>
      <c r="F2267" s="4">
        <v>20210526</v>
      </c>
      <c r="G2267" s="4">
        <v>20240526</v>
      </c>
      <c r="H2267" s="4" t="s">
        <v>9568</v>
      </c>
      <c r="I2267" s="4" t="s">
        <v>9567</v>
      </c>
      <c r="J2267" s="4" t="s">
        <v>1469</v>
      </c>
    </row>
    <row r="2268" spans="1:10" hidden="1">
      <c r="A2268" s="4">
        <v>2.0210529175000301E+17</v>
      </c>
      <c r="B2268" s="4">
        <v>4390100428</v>
      </c>
      <c r="C2268" s="4" t="s">
        <v>9566</v>
      </c>
      <c r="D2268" s="4">
        <v>29175</v>
      </c>
      <c r="E2268" s="4">
        <v>20210526</v>
      </c>
      <c r="F2268" s="4">
        <v>20210526</v>
      </c>
      <c r="G2268" s="4">
        <v>20230425</v>
      </c>
      <c r="H2268" s="4" t="s">
        <v>9565</v>
      </c>
      <c r="J2268" s="4" t="s">
        <v>232</v>
      </c>
    </row>
    <row r="2269" spans="1:10" hidden="1">
      <c r="A2269" s="4">
        <v>2.0210546799000301E+17</v>
      </c>
      <c r="B2269" s="4">
        <v>2444700513</v>
      </c>
      <c r="C2269" s="4" t="s">
        <v>9564</v>
      </c>
      <c r="D2269" s="4">
        <v>46799</v>
      </c>
      <c r="E2269" s="4">
        <v>20210526</v>
      </c>
      <c r="F2269" s="4">
        <v>20210526</v>
      </c>
      <c r="G2269" s="4">
        <v>20240526</v>
      </c>
      <c r="H2269" s="4" t="s">
        <v>9563</v>
      </c>
      <c r="I2269" s="4" t="s">
        <v>149</v>
      </c>
      <c r="J2269" s="4" t="s">
        <v>2181</v>
      </c>
    </row>
    <row r="2270" spans="1:10" hidden="1">
      <c r="A2270" s="4">
        <v>2.0210546593000301E+17</v>
      </c>
      <c r="B2270" s="4">
        <v>2213661923</v>
      </c>
      <c r="C2270" s="4" t="s">
        <v>9641</v>
      </c>
      <c r="D2270" s="4">
        <v>46593</v>
      </c>
      <c r="E2270" s="4">
        <v>20210527</v>
      </c>
      <c r="F2270" s="4">
        <v>20210527</v>
      </c>
      <c r="G2270" s="4">
        <v>20240527</v>
      </c>
      <c r="H2270" s="4" t="s">
        <v>9642</v>
      </c>
      <c r="I2270" s="4" t="s">
        <v>9641</v>
      </c>
      <c r="J2270" s="4" t="s">
        <v>1469</v>
      </c>
    </row>
    <row r="2271" spans="1:10" hidden="1">
      <c r="A2271" s="4">
        <v>2.0210574220000301E+17</v>
      </c>
      <c r="B2271" s="4">
        <v>8308101433</v>
      </c>
      <c r="C2271" s="4" t="s">
        <v>9560</v>
      </c>
      <c r="D2271" s="4">
        <v>74220</v>
      </c>
      <c r="E2271" s="4">
        <v>20210526</v>
      </c>
      <c r="F2271" s="4">
        <v>20210526</v>
      </c>
      <c r="G2271" s="4">
        <v>20240526</v>
      </c>
      <c r="H2271" s="4" t="s">
        <v>4687</v>
      </c>
      <c r="I2271" s="4" t="s">
        <v>9559</v>
      </c>
      <c r="J2271" s="4" t="s">
        <v>2988</v>
      </c>
    </row>
    <row r="2272" spans="1:10" hidden="1">
      <c r="A2272" s="4">
        <v>2.0210542121000301E+17</v>
      </c>
      <c r="B2272" s="4">
        <v>7998801505</v>
      </c>
      <c r="C2272" s="4" t="s">
        <v>9558</v>
      </c>
      <c r="D2272" s="4">
        <v>42121</v>
      </c>
      <c r="E2272" s="4">
        <v>20210526</v>
      </c>
      <c r="F2272" s="4">
        <v>20210526</v>
      </c>
      <c r="G2272" s="4">
        <v>20240526</v>
      </c>
      <c r="H2272" s="4" t="s">
        <v>9557</v>
      </c>
      <c r="I2272" s="4" t="s">
        <v>149</v>
      </c>
      <c r="J2272" s="4" t="s">
        <v>3103</v>
      </c>
    </row>
    <row r="2273" spans="1:10" hidden="1">
      <c r="A2273" s="4">
        <v>2.0210558221000301E+17</v>
      </c>
      <c r="B2273" s="4">
        <v>2628600499</v>
      </c>
      <c r="C2273" s="4" t="s">
        <v>9556</v>
      </c>
      <c r="D2273" s="4">
        <v>58221</v>
      </c>
      <c r="E2273" s="4">
        <v>20210526</v>
      </c>
      <c r="F2273" s="4">
        <v>20210526</v>
      </c>
      <c r="G2273" s="4">
        <v>20230826</v>
      </c>
      <c r="H2273" s="4" t="s">
        <v>128</v>
      </c>
      <c r="I2273" s="4" t="s">
        <v>9555</v>
      </c>
      <c r="J2273" s="4" t="s">
        <v>228</v>
      </c>
    </row>
    <row r="2274" spans="1:10" hidden="1">
      <c r="A2274" s="4">
        <v>2.0210542412000301E+17</v>
      </c>
      <c r="B2274" s="4">
        <v>5638800343</v>
      </c>
      <c r="C2274" s="4" t="s">
        <v>9554</v>
      </c>
      <c r="D2274" s="4">
        <v>42412</v>
      </c>
      <c r="E2274" s="4">
        <v>20210526</v>
      </c>
      <c r="F2274" s="4">
        <v>20210526</v>
      </c>
      <c r="G2274" s="4">
        <v>20230509</v>
      </c>
      <c r="H2274" s="4" t="s">
        <v>9553</v>
      </c>
      <c r="I2274" s="4" t="s">
        <v>7614</v>
      </c>
      <c r="J2274" s="4" t="s">
        <v>281</v>
      </c>
    </row>
    <row r="2275" spans="1:10" hidden="1">
      <c r="A2275" s="4">
        <v>2.0210533999000301E+17</v>
      </c>
      <c r="B2275" s="4">
        <v>6638101191</v>
      </c>
      <c r="C2275" s="4" t="s">
        <v>9552</v>
      </c>
      <c r="D2275" s="4">
        <v>33999</v>
      </c>
      <c r="E2275" s="4">
        <v>20210526</v>
      </c>
      <c r="F2275" s="4">
        <v>20210526</v>
      </c>
      <c r="G2275" s="4">
        <v>20240526</v>
      </c>
      <c r="H2275" s="4" t="s">
        <v>1319</v>
      </c>
      <c r="I2275" s="4" t="s">
        <v>1780</v>
      </c>
      <c r="J2275" s="4" t="s">
        <v>780</v>
      </c>
    </row>
    <row r="2276" spans="1:10" hidden="1">
      <c r="A2276" s="4">
        <v>2.0210529180000301E+17</v>
      </c>
      <c r="B2276" s="4">
        <v>2018700069</v>
      </c>
      <c r="C2276" s="4" t="s">
        <v>9551</v>
      </c>
      <c r="D2276" s="4">
        <v>29180</v>
      </c>
      <c r="E2276" s="4">
        <v>20210526</v>
      </c>
      <c r="F2276" s="4">
        <v>20210526</v>
      </c>
      <c r="G2276" s="4">
        <v>20220414</v>
      </c>
      <c r="H2276" s="4" t="s">
        <v>9550</v>
      </c>
      <c r="I2276" s="4" t="s">
        <v>9549</v>
      </c>
      <c r="J2276" s="4" t="s">
        <v>609</v>
      </c>
    </row>
    <row r="2277" spans="1:10" hidden="1">
      <c r="A2277" s="4">
        <v>2.0210574220000301E+17</v>
      </c>
      <c r="B2277" s="4">
        <v>8308601705</v>
      </c>
      <c r="C2277" s="4" t="s">
        <v>9548</v>
      </c>
      <c r="D2277" s="4">
        <v>74220</v>
      </c>
      <c r="E2277" s="4">
        <v>20210526</v>
      </c>
      <c r="F2277" s="4">
        <v>20210526</v>
      </c>
      <c r="G2277" s="4">
        <v>20240526</v>
      </c>
      <c r="H2277" s="4" t="s">
        <v>9547</v>
      </c>
      <c r="J2277" s="4" t="s">
        <v>2988</v>
      </c>
    </row>
    <row r="2278" spans="1:10" hidden="1">
      <c r="A2278" s="4">
        <v>2.0210572919000301E+17</v>
      </c>
      <c r="B2278" s="4">
        <v>5148198851</v>
      </c>
      <c r="C2278" s="4" t="s">
        <v>9546</v>
      </c>
      <c r="D2278" s="4">
        <v>72919</v>
      </c>
      <c r="E2278" s="4">
        <v>20210526</v>
      </c>
      <c r="F2278" s="4">
        <v>20210526</v>
      </c>
      <c r="G2278" s="4">
        <v>20230202</v>
      </c>
      <c r="H2278" s="4" t="s">
        <v>3125</v>
      </c>
      <c r="I2278" s="4" t="s">
        <v>9545</v>
      </c>
      <c r="J2278" s="4" t="s">
        <v>6865</v>
      </c>
    </row>
    <row r="2279" spans="1:10" hidden="1">
      <c r="A2279" s="4">
        <v>2.0210516101000301E+17</v>
      </c>
      <c r="B2279" s="4">
        <v>1708700329</v>
      </c>
      <c r="C2279" s="4" t="s">
        <v>9544</v>
      </c>
      <c r="D2279" s="4">
        <v>16101</v>
      </c>
      <c r="E2279" s="4">
        <v>20210526</v>
      </c>
      <c r="F2279" s="4">
        <v>20210526</v>
      </c>
      <c r="G2279" s="4">
        <v>20230421</v>
      </c>
      <c r="H2279" s="4" t="s">
        <v>9543</v>
      </c>
      <c r="J2279" s="4" t="s">
        <v>468</v>
      </c>
    </row>
    <row r="2280" spans="1:10" hidden="1">
      <c r="A2280" s="4">
        <v>2.0210558221000301E+17</v>
      </c>
      <c r="B2280" s="4">
        <v>4388701321</v>
      </c>
      <c r="C2280" s="4" t="s">
        <v>9542</v>
      </c>
      <c r="D2280" s="4">
        <v>58221</v>
      </c>
      <c r="E2280" s="4">
        <v>20210526</v>
      </c>
      <c r="F2280" s="4">
        <v>20210526</v>
      </c>
      <c r="G2280" s="4">
        <v>20240526</v>
      </c>
      <c r="H2280" s="4" t="s">
        <v>6326</v>
      </c>
      <c r="I2280" s="4" t="s">
        <v>9541</v>
      </c>
      <c r="J2280" s="4" t="s">
        <v>228</v>
      </c>
    </row>
    <row r="2281" spans="1:10" hidden="1">
      <c r="A2281" s="4">
        <v>2.0210528422000301E+17</v>
      </c>
      <c r="B2281" s="4">
        <v>4308701195</v>
      </c>
      <c r="C2281" s="4" t="s">
        <v>9540</v>
      </c>
      <c r="D2281" s="4">
        <v>28422</v>
      </c>
      <c r="E2281" s="4">
        <v>20210526</v>
      </c>
      <c r="F2281" s="4">
        <v>20210526</v>
      </c>
      <c r="G2281" s="4">
        <v>20240526</v>
      </c>
      <c r="H2281" s="4" t="s">
        <v>9539</v>
      </c>
      <c r="I2281" s="4" t="s">
        <v>855</v>
      </c>
      <c r="J2281" s="4" t="s">
        <v>188</v>
      </c>
    </row>
    <row r="2282" spans="1:10" hidden="1">
      <c r="A2282" s="4">
        <v>2.0210571531000301E+17</v>
      </c>
      <c r="B2282" s="4">
        <v>6398101602</v>
      </c>
      <c r="C2282" s="4" t="s">
        <v>9538</v>
      </c>
      <c r="D2282" s="4">
        <v>71531</v>
      </c>
      <c r="E2282" s="4">
        <v>20210526</v>
      </c>
      <c r="F2282" s="4">
        <v>20210526</v>
      </c>
      <c r="G2282" s="4">
        <v>20240526</v>
      </c>
      <c r="H2282" s="4" t="s">
        <v>9537</v>
      </c>
      <c r="I2282" s="4" t="s">
        <v>9536</v>
      </c>
      <c r="J2282" s="4" t="s">
        <v>87</v>
      </c>
    </row>
    <row r="2283" spans="1:10" hidden="1">
      <c r="A2283" s="4">
        <v>2.0210532099000301E+17</v>
      </c>
      <c r="B2283" s="4">
        <v>5358601979</v>
      </c>
      <c r="C2283" s="4" t="s">
        <v>9534</v>
      </c>
      <c r="D2283" s="4">
        <v>32099</v>
      </c>
      <c r="E2283" s="4">
        <v>20210526</v>
      </c>
      <c r="F2283" s="4">
        <v>20210526</v>
      </c>
      <c r="G2283" s="4">
        <v>20240526</v>
      </c>
      <c r="H2283" s="4" t="s">
        <v>9535</v>
      </c>
      <c r="I2283" s="4" t="s">
        <v>9534</v>
      </c>
      <c r="J2283" s="4" t="s">
        <v>162</v>
      </c>
    </row>
    <row r="2284" spans="1:10" hidden="1">
      <c r="A2284" s="4">
        <v>2.0210542311000301E+17</v>
      </c>
      <c r="B2284" s="4">
        <v>1658700555</v>
      </c>
      <c r="C2284" s="4" t="s">
        <v>9533</v>
      </c>
      <c r="D2284" s="4">
        <v>42311</v>
      </c>
      <c r="E2284" s="4">
        <v>20210526</v>
      </c>
      <c r="F2284" s="4">
        <v>20210526</v>
      </c>
      <c r="G2284" s="4">
        <v>20240526</v>
      </c>
      <c r="H2284" s="4" t="s">
        <v>9532</v>
      </c>
      <c r="I2284" s="4" t="s">
        <v>185</v>
      </c>
      <c r="J2284" s="4" t="s">
        <v>718</v>
      </c>
    </row>
    <row r="2285" spans="1:10" hidden="1">
      <c r="A2285" s="4">
        <v>2.0210526299000301E+17</v>
      </c>
      <c r="B2285" s="4">
        <v>3188701672</v>
      </c>
      <c r="C2285" s="4" t="s">
        <v>9531</v>
      </c>
      <c r="D2285" s="4">
        <v>26299</v>
      </c>
      <c r="E2285" s="4">
        <v>20210526</v>
      </c>
      <c r="F2285" s="4">
        <v>20210526</v>
      </c>
      <c r="G2285" s="4">
        <v>20240526</v>
      </c>
      <c r="H2285" s="4" t="s">
        <v>9530</v>
      </c>
      <c r="J2285" s="4" t="s">
        <v>339</v>
      </c>
    </row>
    <row r="2286" spans="1:10" hidden="1">
      <c r="A2286" s="4">
        <v>2.0210513229000301E+17</v>
      </c>
      <c r="B2286" s="4">
        <v>6308601731</v>
      </c>
      <c r="C2286" s="4" t="s">
        <v>9529</v>
      </c>
      <c r="D2286" s="4">
        <v>13229</v>
      </c>
      <c r="E2286" s="4">
        <v>20210526</v>
      </c>
      <c r="F2286" s="4">
        <v>20210526</v>
      </c>
      <c r="G2286" s="4">
        <v>20240526</v>
      </c>
      <c r="H2286" s="4" t="s">
        <v>9528</v>
      </c>
      <c r="J2286" s="4" t="s">
        <v>115</v>
      </c>
    </row>
    <row r="2287" spans="1:10" hidden="1">
      <c r="A2287" s="4">
        <v>2.0210529172000301E+17</v>
      </c>
      <c r="B2287" s="4">
        <v>6042121267</v>
      </c>
      <c r="C2287" s="4" t="s">
        <v>9527</v>
      </c>
      <c r="D2287" s="4">
        <v>29172</v>
      </c>
      <c r="E2287" s="4">
        <v>20210526</v>
      </c>
      <c r="F2287" s="4">
        <v>20210526</v>
      </c>
      <c r="G2287" s="4">
        <v>20240526</v>
      </c>
      <c r="H2287" s="4" t="s">
        <v>9526</v>
      </c>
      <c r="J2287" s="4" t="s">
        <v>1204</v>
      </c>
    </row>
    <row r="2288" spans="1:10" hidden="1">
      <c r="A2288" s="4">
        <v>2.0210526299000301E+17</v>
      </c>
      <c r="B2288" s="4">
        <v>3958601560</v>
      </c>
      <c r="C2288" s="4" t="s">
        <v>9525</v>
      </c>
      <c r="D2288" s="4">
        <v>26299</v>
      </c>
      <c r="E2288" s="4">
        <v>20210526</v>
      </c>
      <c r="F2288" s="4">
        <v>20210526</v>
      </c>
      <c r="G2288" s="4">
        <v>20240526</v>
      </c>
      <c r="H2288" s="4" t="s">
        <v>9524</v>
      </c>
      <c r="J2288" s="4" t="s">
        <v>339</v>
      </c>
    </row>
    <row r="2289" spans="1:10" hidden="1">
      <c r="A2289" s="4">
        <v>2.0210523911000301E+17</v>
      </c>
      <c r="B2289" s="4">
        <v>7741000866</v>
      </c>
      <c r="C2289" s="4" t="s">
        <v>9523</v>
      </c>
      <c r="D2289" s="4">
        <v>23911</v>
      </c>
      <c r="E2289" s="4">
        <v>20210526</v>
      </c>
      <c r="F2289" s="4">
        <v>20210526</v>
      </c>
      <c r="G2289" s="4">
        <v>20240526</v>
      </c>
      <c r="H2289" s="4" t="s">
        <v>9522</v>
      </c>
      <c r="I2289" s="4" t="s">
        <v>9521</v>
      </c>
      <c r="J2289" s="4" t="s">
        <v>5988</v>
      </c>
    </row>
    <row r="2290" spans="1:10" hidden="1">
      <c r="A2290" s="4">
        <v>2.0210514111000301E+17</v>
      </c>
      <c r="B2290" s="4">
        <v>1338801286</v>
      </c>
      <c r="C2290" s="4" t="s">
        <v>9520</v>
      </c>
      <c r="D2290" s="4">
        <v>14111</v>
      </c>
      <c r="E2290" s="4">
        <v>20210526</v>
      </c>
      <c r="F2290" s="4">
        <v>20210526</v>
      </c>
      <c r="G2290" s="4">
        <v>20240526</v>
      </c>
      <c r="H2290" s="4" t="s">
        <v>9519</v>
      </c>
      <c r="J2290" s="4" t="s">
        <v>2462</v>
      </c>
    </row>
    <row r="2291" spans="1:10" hidden="1">
      <c r="A2291" s="4">
        <v>2.0210572911000301E+17</v>
      </c>
      <c r="B2291" s="4">
        <v>2115062275</v>
      </c>
      <c r="C2291" s="4" t="s">
        <v>9518</v>
      </c>
      <c r="D2291" s="4">
        <v>72911</v>
      </c>
      <c r="E2291" s="4">
        <v>20210526</v>
      </c>
      <c r="F2291" s="4">
        <v>20210526</v>
      </c>
      <c r="G2291" s="4">
        <v>20240526</v>
      </c>
      <c r="H2291" s="4" t="s">
        <v>9517</v>
      </c>
      <c r="I2291" s="4" t="s">
        <v>9516</v>
      </c>
      <c r="J2291" s="4" t="s">
        <v>5020</v>
      </c>
    </row>
    <row r="2292" spans="1:10" hidden="1">
      <c r="A2292" s="4">
        <v>2.0210529199000301E+17</v>
      </c>
      <c r="B2292" s="4">
        <v>2898801901</v>
      </c>
      <c r="C2292" s="4" t="s">
        <v>9515</v>
      </c>
      <c r="D2292" s="4">
        <v>29199</v>
      </c>
      <c r="E2292" s="4">
        <v>20210525</v>
      </c>
      <c r="F2292" s="4">
        <v>20210525</v>
      </c>
      <c r="G2292" s="4">
        <v>20240525</v>
      </c>
      <c r="H2292" s="4" t="s">
        <v>9514</v>
      </c>
      <c r="J2292" s="4" t="s">
        <v>166</v>
      </c>
    </row>
    <row r="2293" spans="1:10" hidden="1">
      <c r="A2293" s="4">
        <v>2.0210528429000301E+17</v>
      </c>
      <c r="B2293" s="4">
        <v>7288100956</v>
      </c>
      <c r="C2293" s="4" t="s">
        <v>9513</v>
      </c>
      <c r="D2293" s="4">
        <v>28429</v>
      </c>
      <c r="E2293" s="4">
        <v>20210525</v>
      </c>
      <c r="F2293" s="4">
        <v>20210525</v>
      </c>
      <c r="G2293" s="4">
        <v>20240525</v>
      </c>
      <c r="H2293" s="4" t="s">
        <v>9512</v>
      </c>
      <c r="I2293" s="4" t="s">
        <v>9511</v>
      </c>
      <c r="J2293" s="4" t="s">
        <v>765</v>
      </c>
    </row>
    <row r="2294" spans="1:10" hidden="1">
      <c r="A2294" s="4">
        <v>2.0210528123000301E+17</v>
      </c>
      <c r="B2294" s="4">
        <v>8768801345</v>
      </c>
      <c r="C2294" s="4" t="s">
        <v>9619</v>
      </c>
      <c r="D2294" s="4">
        <v>28123</v>
      </c>
      <c r="E2294" s="4">
        <v>20210527</v>
      </c>
      <c r="F2294" s="4">
        <v>20210527</v>
      </c>
      <c r="G2294" s="4">
        <v>20240527</v>
      </c>
      <c r="H2294" s="4" t="s">
        <v>9618</v>
      </c>
      <c r="I2294" s="4" t="s">
        <v>811</v>
      </c>
      <c r="J2294" s="4" t="s">
        <v>640</v>
      </c>
    </row>
    <row r="2295" spans="1:10" hidden="1">
      <c r="A2295" s="4">
        <v>2.0210501152000301E+17</v>
      </c>
      <c r="B2295" s="4">
        <v>1539601494</v>
      </c>
      <c r="C2295" s="4" t="s">
        <v>9507</v>
      </c>
      <c r="D2295" s="4">
        <v>1152</v>
      </c>
      <c r="E2295" s="4">
        <v>20210525</v>
      </c>
      <c r="F2295" s="4">
        <v>20210525</v>
      </c>
      <c r="G2295" s="4">
        <v>20240525</v>
      </c>
      <c r="H2295" s="4" t="s">
        <v>9506</v>
      </c>
      <c r="J2295" s="4" t="s">
        <v>8098</v>
      </c>
    </row>
    <row r="2296" spans="1:10" hidden="1">
      <c r="A2296" s="4">
        <v>2.0210526421000301E+17</v>
      </c>
      <c r="B2296" s="4">
        <v>3884300606</v>
      </c>
      <c r="C2296" s="4" t="s">
        <v>9505</v>
      </c>
      <c r="D2296" s="4">
        <v>26421</v>
      </c>
      <c r="E2296" s="4">
        <v>20210525</v>
      </c>
      <c r="F2296" s="4">
        <v>20210525</v>
      </c>
      <c r="G2296" s="4">
        <v>20240525</v>
      </c>
      <c r="H2296" s="4" t="s">
        <v>9504</v>
      </c>
      <c r="I2296" s="4" t="s">
        <v>9503</v>
      </c>
      <c r="J2296" s="4" t="s">
        <v>1767</v>
      </c>
    </row>
    <row r="2297" spans="1:10" hidden="1">
      <c r="A2297" s="4">
        <v>2.0210528423000301E+17</v>
      </c>
      <c r="B2297" s="4">
        <v>7103100611</v>
      </c>
      <c r="C2297" s="4" t="s">
        <v>9502</v>
      </c>
      <c r="D2297" s="4">
        <v>28423</v>
      </c>
      <c r="E2297" s="4">
        <v>20210525</v>
      </c>
      <c r="F2297" s="4">
        <v>20210525</v>
      </c>
      <c r="G2297" s="4">
        <v>20240525</v>
      </c>
      <c r="H2297" s="4" t="s">
        <v>4162</v>
      </c>
      <c r="J2297" s="4" t="s">
        <v>485</v>
      </c>
    </row>
    <row r="2298" spans="1:10" hidden="1">
      <c r="A2298" s="4">
        <v>2.0210517229000301E+17</v>
      </c>
      <c r="B2298" s="4">
        <v>8413700799</v>
      </c>
      <c r="C2298" s="4" t="s">
        <v>9501</v>
      </c>
      <c r="D2298" s="4">
        <v>17229</v>
      </c>
      <c r="E2298" s="4">
        <v>20210525</v>
      </c>
      <c r="F2298" s="4">
        <v>20210525</v>
      </c>
      <c r="G2298" s="4">
        <v>20240525</v>
      </c>
      <c r="H2298" s="4" t="s">
        <v>9500</v>
      </c>
      <c r="I2298" s="4" t="s">
        <v>9499</v>
      </c>
      <c r="J2298" s="4" t="s">
        <v>9498</v>
      </c>
    </row>
    <row r="2299" spans="1:10" hidden="1">
      <c r="A2299" s="4">
        <v>2.0210513211000301E+17</v>
      </c>
      <c r="B2299" s="4">
        <v>1500601363</v>
      </c>
      <c r="C2299" s="4" t="s">
        <v>9497</v>
      </c>
      <c r="D2299" s="4">
        <v>13211</v>
      </c>
      <c r="E2299" s="4">
        <v>20210525</v>
      </c>
      <c r="F2299" s="4">
        <v>20210525</v>
      </c>
      <c r="G2299" s="4">
        <v>20240525</v>
      </c>
      <c r="H2299" s="4" t="s">
        <v>9496</v>
      </c>
      <c r="I2299" s="4" t="s">
        <v>149</v>
      </c>
      <c r="J2299" s="4" t="s">
        <v>9495</v>
      </c>
    </row>
    <row r="2300" spans="1:10" hidden="1">
      <c r="A2300" s="4">
        <v>2.0210546510000301E+17</v>
      </c>
      <c r="B2300" s="4">
        <v>4022459436</v>
      </c>
      <c r="C2300" s="4" t="s">
        <v>9494</v>
      </c>
      <c r="D2300" s="4">
        <v>46510</v>
      </c>
      <c r="E2300" s="4">
        <v>20210525</v>
      </c>
      <c r="F2300" s="4">
        <v>20210525</v>
      </c>
      <c r="G2300" s="4">
        <v>20210901</v>
      </c>
      <c r="H2300" s="4" t="s">
        <v>9493</v>
      </c>
      <c r="I2300" s="4" t="s">
        <v>9492</v>
      </c>
      <c r="J2300" s="4" t="s">
        <v>126</v>
      </c>
    </row>
    <row r="2301" spans="1:10" hidden="1">
      <c r="A2301" s="4">
        <v>2.0210558222000301E+17</v>
      </c>
      <c r="B2301" s="4">
        <v>2518701078</v>
      </c>
      <c r="C2301" s="4" t="s">
        <v>9491</v>
      </c>
      <c r="D2301" s="4">
        <v>58222</v>
      </c>
      <c r="E2301" s="4">
        <v>20210525</v>
      </c>
      <c r="F2301" s="4">
        <v>20210525</v>
      </c>
      <c r="G2301" s="4">
        <v>20240525</v>
      </c>
      <c r="H2301" s="4" t="s">
        <v>497</v>
      </c>
      <c r="I2301" s="4" t="s">
        <v>9490</v>
      </c>
      <c r="J2301" s="4" t="s">
        <v>94</v>
      </c>
    </row>
    <row r="2302" spans="1:10" hidden="1">
      <c r="A2302" s="4">
        <v>2.0210528901000301E+17</v>
      </c>
      <c r="B2302" s="4">
        <v>8968801859</v>
      </c>
      <c r="C2302" s="4" t="s">
        <v>9489</v>
      </c>
      <c r="D2302" s="4">
        <v>28901</v>
      </c>
      <c r="E2302" s="4">
        <v>20210525</v>
      </c>
      <c r="F2302" s="4">
        <v>20210525</v>
      </c>
      <c r="G2302" s="4">
        <v>20240525</v>
      </c>
      <c r="H2302" s="4" t="s">
        <v>1546</v>
      </c>
      <c r="I2302" s="4" t="s">
        <v>9488</v>
      </c>
      <c r="J2302" s="4" t="s">
        <v>4186</v>
      </c>
    </row>
    <row r="2303" spans="1:10" hidden="1">
      <c r="A2303" s="4">
        <v>2.0210531312000301E+17</v>
      </c>
      <c r="B2303" s="4">
        <v>5788700988</v>
      </c>
      <c r="C2303" s="4" t="s">
        <v>9617</v>
      </c>
      <c r="D2303" s="4">
        <v>31312</v>
      </c>
      <c r="E2303" s="4">
        <v>20210527</v>
      </c>
      <c r="F2303" s="4">
        <v>20210527</v>
      </c>
      <c r="G2303" s="4">
        <v>20240527</v>
      </c>
      <c r="H2303" s="4" t="s">
        <v>9486</v>
      </c>
      <c r="I2303" s="4" t="s">
        <v>9616</v>
      </c>
      <c r="J2303" s="4" t="s">
        <v>748</v>
      </c>
    </row>
    <row r="2304" spans="1:10" hidden="1">
      <c r="A2304" s="4">
        <v>2.0210527219000301E+17</v>
      </c>
      <c r="B2304" s="4">
        <v>6298801768</v>
      </c>
      <c r="C2304" s="4" t="s">
        <v>9484</v>
      </c>
      <c r="D2304" s="4">
        <v>27219</v>
      </c>
      <c r="E2304" s="4">
        <v>20210525</v>
      </c>
      <c r="F2304" s="4">
        <v>20210525</v>
      </c>
      <c r="G2304" s="4">
        <v>20240525</v>
      </c>
      <c r="H2304" s="4" t="s">
        <v>9483</v>
      </c>
      <c r="I2304" s="4" t="s">
        <v>9482</v>
      </c>
      <c r="J2304" s="4" t="s">
        <v>1454</v>
      </c>
    </row>
    <row r="2305" spans="1:10" hidden="1">
      <c r="A2305" s="4">
        <v>2.0210542492000301E+17</v>
      </c>
      <c r="B2305" s="4">
        <v>5828801095</v>
      </c>
      <c r="C2305" s="4" t="s">
        <v>9481</v>
      </c>
      <c r="D2305" s="4">
        <v>42492</v>
      </c>
      <c r="E2305" s="4">
        <v>20210525</v>
      </c>
      <c r="F2305" s="4">
        <v>20210525</v>
      </c>
      <c r="G2305" s="4">
        <v>20240525</v>
      </c>
      <c r="H2305" s="4" t="s">
        <v>9480</v>
      </c>
      <c r="I2305" s="4" t="s">
        <v>185</v>
      </c>
      <c r="J2305" s="4" t="s">
        <v>3977</v>
      </c>
    </row>
    <row r="2306" spans="1:10" hidden="1">
      <c r="A2306" s="4">
        <v>2.0210525999000301E+17</v>
      </c>
      <c r="B2306" s="4">
        <v>6498600736</v>
      </c>
      <c r="C2306" s="4" t="s">
        <v>9479</v>
      </c>
      <c r="D2306" s="4">
        <v>25999</v>
      </c>
      <c r="E2306" s="4">
        <v>20210525</v>
      </c>
      <c r="F2306" s="4">
        <v>20210525</v>
      </c>
      <c r="G2306" s="4">
        <v>20240525</v>
      </c>
      <c r="H2306" s="4" t="s">
        <v>9478</v>
      </c>
      <c r="I2306" s="4" t="s">
        <v>9477</v>
      </c>
      <c r="J2306" s="4" t="s">
        <v>301</v>
      </c>
    </row>
    <row r="2307" spans="1:10" hidden="1">
      <c r="A2307" s="4">
        <v>2.0210525119000301E+17</v>
      </c>
      <c r="B2307" s="4">
        <v>3698102304</v>
      </c>
      <c r="C2307" s="4" t="s">
        <v>9476</v>
      </c>
      <c r="D2307" s="4">
        <v>25119</v>
      </c>
      <c r="E2307" s="4">
        <v>20210525</v>
      </c>
      <c r="F2307" s="4">
        <v>20210525</v>
      </c>
      <c r="G2307" s="4">
        <v>20240525</v>
      </c>
      <c r="H2307" s="4" t="s">
        <v>9475</v>
      </c>
      <c r="I2307" s="4" t="s">
        <v>9474</v>
      </c>
      <c r="J2307" s="4" t="s">
        <v>679</v>
      </c>
    </row>
    <row r="2308" spans="1:10" hidden="1">
      <c r="A2308" s="4">
        <v>2.0210528422000301E+17</v>
      </c>
      <c r="B2308" s="4">
        <v>4898800410</v>
      </c>
      <c r="C2308" s="4" t="s">
        <v>9473</v>
      </c>
      <c r="D2308" s="4">
        <v>28422</v>
      </c>
      <c r="E2308" s="4">
        <v>20210525</v>
      </c>
      <c r="F2308" s="4">
        <v>20210525</v>
      </c>
      <c r="G2308" s="4">
        <v>20230720</v>
      </c>
      <c r="H2308" s="4" t="s">
        <v>9472</v>
      </c>
      <c r="J2308" s="4" t="s">
        <v>188</v>
      </c>
    </row>
    <row r="2309" spans="1:10" hidden="1">
      <c r="A2309" s="4">
        <v>2.0210542311000301E+17</v>
      </c>
      <c r="B2309" s="4">
        <v>6888601986</v>
      </c>
      <c r="C2309" s="4" t="s">
        <v>9562</v>
      </c>
      <c r="D2309" s="4">
        <v>42311</v>
      </c>
      <c r="E2309" s="4">
        <v>20210526</v>
      </c>
      <c r="F2309" s="4">
        <v>20210526</v>
      </c>
      <c r="G2309" s="4">
        <v>20240526</v>
      </c>
      <c r="H2309" s="4" t="s">
        <v>9561</v>
      </c>
      <c r="I2309" s="4" t="s">
        <v>4068</v>
      </c>
      <c r="J2309" s="4" t="s">
        <v>718</v>
      </c>
    </row>
    <row r="2310" spans="1:10" hidden="1">
      <c r="A2310" s="4">
        <v>2.0210558221000301E+17</v>
      </c>
      <c r="B2310" s="4">
        <v>6018800437</v>
      </c>
      <c r="C2310" s="4" t="s">
        <v>9469</v>
      </c>
      <c r="D2310" s="4">
        <v>58221</v>
      </c>
      <c r="E2310" s="4">
        <v>20210524</v>
      </c>
      <c r="F2310" s="4">
        <v>20210524</v>
      </c>
      <c r="G2310" s="4">
        <v>20230530</v>
      </c>
      <c r="H2310" s="4" t="s">
        <v>9468</v>
      </c>
      <c r="I2310" s="4" t="s">
        <v>9467</v>
      </c>
      <c r="J2310" s="4" t="s">
        <v>228</v>
      </c>
    </row>
    <row r="2311" spans="1:10" hidden="1">
      <c r="A2311" s="4">
        <v>2.0210547912000301E+17</v>
      </c>
      <c r="B2311" s="4">
        <v>7948600754</v>
      </c>
      <c r="C2311" s="4" t="s">
        <v>9466</v>
      </c>
      <c r="D2311" s="4">
        <v>47912</v>
      </c>
      <c r="E2311" s="4">
        <v>20210524</v>
      </c>
      <c r="F2311" s="4">
        <v>20210524</v>
      </c>
      <c r="G2311" s="4">
        <v>20240524</v>
      </c>
      <c r="H2311" s="4" t="s">
        <v>9465</v>
      </c>
      <c r="I2311" s="4" t="s">
        <v>9464</v>
      </c>
      <c r="J2311" s="4" t="s">
        <v>78</v>
      </c>
    </row>
    <row r="2312" spans="1:10" hidden="1">
      <c r="A2312" s="4">
        <v>2.0210528422000301E+17</v>
      </c>
      <c r="B2312" s="4">
        <v>1318800578</v>
      </c>
      <c r="C2312" s="4" t="s">
        <v>9462</v>
      </c>
      <c r="D2312" s="4">
        <v>28422</v>
      </c>
      <c r="E2312" s="4">
        <v>20210524</v>
      </c>
      <c r="F2312" s="4">
        <v>20210524</v>
      </c>
      <c r="G2312" s="4">
        <v>20230707</v>
      </c>
      <c r="H2312" s="4" t="s">
        <v>9463</v>
      </c>
      <c r="I2312" s="4" t="s">
        <v>9462</v>
      </c>
      <c r="J2312" s="4" t="s">
        <v>188</v>
      </c>
    </row>
    <row r="2313" spans="1:10" hidden="1">
      <c r="A2313" s="4">
        <v>2.0210528422000301E+17</v>
      </c>
      <c r="B2313" s="4">
        <v>2748801345</v>
      </c>
      <c r="C2313" s="4" t="s">
        <v>9461</v>
      </c>
      <c r="D2313" s="4">
        <v>28422</v>
      </c>
      <c r="E2313" s="4">
        <v>20210524</v>
      </c>
      <c r="F2313" s="4">
        <v>20210524</v>
      </c>
      <c r="G2313" s="4">
        <v>20240524</v>
      </c>
      <c r="H2313" s="4" t="s">
        <v>9460</v>
      </c>
      <c r="J2313" s="4" t="s">
        <v>188</v>
      </c>
    </row>
    <row r="2314" spans="1:10" hidden="1">
      <c r="A2314" s="4">
        <v>2.0210520202000301E+17</v>
      </c>
      <c r="B2314" s="4">
        <v>8850801594</v>
      </c>
      <c r="C2314" s="4" t="s">
        <v>9459</v>
      </c>
      <c r="D2314" s="4">
        <v>20202</v>
      </c>
      <c r="E2314" s="4">
        <v>20210524</v>
      </c>
      <c r="F2314" s="4">
        <v>20210524</v>
      </c>
      <c r="G2314" s="4">
        <v>20240524</v>
      </c>
      <c r="H2314" s="4" t="s">
        <v>9458</v>
      </c>
      <c r="J2314" s="4" t="s">
        <v>224</v>
      </c>
    </row>
    <row r="2315" spans="1:10" hidden="1">
      <c r="A2315" s="4">
        <v>2.0210570129000301E+17</v>
      </c>
      <c r="B2315" s="4">
        <v>2936200459</v>
      </c>
      <c r="C2315" s="4" t="s">
        <v>9457</v>
      </c>
      <c r="D2315" s="4">
        <v>70129</v>
      </c>
      <c r="E2315" s="4">
        <v>20210524</v>
      </c>
      <c r="F2315" s="4">
        <v>20210524</v>
      </c>
      <c r="G2315" s="4">
        <v>20240524</v>
      </c>
      <c r="H2315" s="4" t="s">
        <v>3668</v>
      </c>
      <c r="J2315" s="4" t="s">
        <v>937</v>
      </c>
    </row>
    <row r="2316" spans="1:10" hidden="1">
      <c r="A2316" s="4">
        <v>2.0210520312000301E+17</v>
      </c>
      <c r="B2316" s="4">
        <v>5758700688</v>
      </c>
      <c r="C2316" s="4" t="s">
        <v>9456</v>
      </c>
      <c r="D2316" s="4">
        <v>20312</v>
      </c>
      <c r="E2316" s="4">
        <v>20210524</v>
      </c>
      <c r="F2316" s="4">
        <v>20210524</v>
      </c>
      <c r="G2316" s="4">
        <v>20240524</v>
      </c>
      <c r="H2316" s="4" t="s">
        <v>9455</v>
      </c>
      <c r="I2316" s="4" t="s">
        <v>149</v>
      </c>
      <c r="J2316" s="4" t="s">
        <v>1167</v>
      </c>
    </row>
    <row r="2317" spans="1:10" hidden="1">
      <c r="A2317" s="4">
        <v>2.0210532029000301E+17</v>
      </c>
      <c r="B2317" s="4">
        <v>2793100686</v>
      </c>
      <c r="C2317" s="4" t="s">
        <v>9454</v>
      </c>
      <c r="D2317" s="4">
        <v>32029</v>
      </c>
      <c r="E2317" s="4">
        <v>20210524</v>
      </c>
      <c r="F2317" s="4">
        <v>20210524</v>
      </c>
      <c r="G2317" s="4">
        <v>20240524</v>
      </c>
      <c r="H2317" s="4" t="s">
        <v>9453</v>
      </c>
      <c r="I2317" s="4" t="s">
        <v>247</v>
      </c>
      <c r="J2317" s="4" t="s">
        <v>637</v>
      </c>
    </row>
    <row r="2318" spans="1:10" hidden="1">
      <c r="A2318" s="4">
        <v>2.0210528421000301E+17</v>
      </c>
      <c r="B2318" s="4">
        <v>3608101706</v>
      </c>
      <c r="C2318" s="4" t="s">
        <v>9452</v>
      </c>
      <c r="D2318" s="4">
        <v>28421</v>
      </c>
      <c r="E2318" s="4">
        <v>20210524</v>
      </c>
      <c r="F2318" s="4">
        <v>20210524</v>
      </c>
      <c r="G2318" s="4">
        <v>20240524</v>
      </c>
      <c r="H2318" s="4" t="s">
        <v>2379</v>
      </c>
      <c r="I2318" s="4" t="s">
        <v>9451</v>
      </c>
      <c r="J2318" s="4" t="s">
        <v>9450</v>
      </c>
    </row>
    <row r="2319" spans="1:10" hidden="1">
      <c r="A2319" s="4">
        <v>2.0210528410000301E+17</v>
      </c>
      <c r="B2319" s="4">
        <v>7998800622</v>
      </c>
      <c r="C2319" s="4" t="s">
        <v>9449</v>
      </c>
      <c r="D2319" s="4">
        <v>28410</v>
      </c>
      <c r="E2319" s="4">
        <v>20210524</v>
      </c>
      <c r="F2319" s="4">
        <v>20210524</v>
      </c>
      <c r="G2319" s="4">
        <v>20211023</v>
      </c>
      <c r="H2319" s="4" t="s">
        <v>1736</v>
      </c>
      <c r="I2319" s="4" t="s">
        <v>1922</v>
      </c>
      <c r="J2319" s="4" t="s">
        <v>2199</v>
      </c>
    </row>
    <row r="2320" spans="1:10" hidden="1">
      <c r="A2320" s="4">
        <v>2.0210585699000301E+17</v>
      </c>
      <c r="B2320" s="4">
        <v>4338102075</v>
      </c>
      <c r="C2320" s="4" t="s">
        <v>9448</v>
      </c>
      <c r="D2320" s="4">
        <v>85699</v>
      </c>
      <c r="E2320" s="4">
        <v>20210524</v>
      </c>
      <c r="F2320" s="4">
        <v>20210524</v>
      </c>
      <c r="G2320" s="4">
        <v>20240524</v>
      </c>
      <c r="H2320" s="4" t="s">
        <v>9447</v>
      </c>
      <c r="I2320" s="4" t="s">
        <v>9446</v>
      </c>
      <c r="J2320" s="4" t="s">
        <v>2192</v>
      </c>
    </row>
    <row r="2321" spans="1:10" hidden="1">
      <c r="A2321" s="4">
        <v>2.0210572921000301E+17</v>
      </c>
      <c r="B2321" s="4">
        <v>4228800697</v>
      </c>
      <c r="C2321" s="4" t="s">
        <v>9445</v>
      </c>
      <c r="D2321" s="4">
        <v>72921</v>
      </c>
      <c r="E2321" s="4">
        <v>20210524</v>
      </c>
      <c r="F2321" s="4">
        <v>20210524</v>
      </c>
      <c r="G2321" s="4">
        <v>20240210</v>
      </c>
      <c r="H2321" s="4" t="s">
        <v>9444</v>
      </c>
      <c r="I2321" s="4" t="s">
        <v>1813</v>
      </c>
      <c r="J2321" s="4" t="s">
        <v>2880</v>
      </c>
    </row>
    <row r="2322" spans="1:10" hidden="1">
      <c r="A2322" s="4">
        <v>2.0210527212000301E+17</v>
      </c>
      <c r="B2322" s="4">
        <v>2798100885</v>
      </c>
      <c r="C2322" s="4" t="s">
        <v>9443</v>
      </c>
      <c r="D2322" s="4">
        <v>27212</v>
      </c>
      <c r="E2322" s="4">
        <v>20210524</v>
      </c>
      <c r="F2322" s="4">
        <v>20210524</v>
      </c>
      <c r="G2322" s="4">
        <v>20240524</v>
      </c>
      <c r="H2322" s="4" t="s">
        <v>9442</v>
      </c>
      <c r="I2322" s="4" t="s">
        <v>91</v>
      </c>
      <c r="J2322" s="4" t="s">
        <v>200</v>
      </c>
    </row>
    <row r="2323" spans="1:10" hidden="1">
      <c r="A2323" s="4">
        <v>2.0210546721000301E+17</v>
      </c>
      <c r="B2323" s="4">
        <v>3548101185</v>
      </c>
      <c r="C2323" s="4" t="s">
        <v>9441</v>
      </c>
      <c r="D2323" s="4">
        <v>46721</v>
      </c>
      <c r="E2323" s="4">
        <v>20210524</v>
      </c>
      <c r="F2323" s="4">
        <v>20210524</v>
      </c>
      <c r="G2323" s="4">
        <v>20240524</v>
      </c>
      <c r="H2323" s="4" t="s">
        <v>9142</v>
      </c>
      <c r="I2323" s="4" t="s">
        <v>9440</v>
      </c>
      <c r="J2323" s="4" t="s">
        <v>4335</v>
      </c>
    </row>
    <row r="2324" spans="1:10" hidden="1">
      <c r="A2324" s="4">
        <v>2.0210542204000301E+17</v>
      </c>
      <c r="B2324" s="4">
        <v>1918601385</v>
      </c>
      <c r="C2324" s="4" t="s">
        <v>9439</v>
      </c>
      <c r="D2324" s="4">
        <v>42204</v>
      </c>
      <c r="E2324" s="4">
        <v>20210524</v>
      </c>
      <c r="F2324" s="4">
        <v>20210524</v>
      </c>
      <c r="G2324" s="4">
        <v>20240524</v>
      </c>
      <c r="H2324" s="4" t="s">
        <v>9438</v>
      </c>
      <c r="I2324" s="4" t="s">
        <v>657</v>
      </c>
      <c r="J2324" s="4" t="s">
        <v>7487</v>
      </c>
    </row>
    <row r="2325" spans="1:10" hidden="1">
      <c r="A2325" s="4">
        <v>2.0210542412000301E+17</v>
      </c>
      <c r="B2325" s="4">
        <v>2718600926</v>
      </c>
      <c r="C2325" s="4" t="s">
        <v>9437</v>
      </c>
      <c r="D2325" s="4">
        <v>42412</v>
      </c>
      <c r="E2325" s="4">
        <v>20210524</v>
      </c>
      <c r="F2325" s="4">
        <v>20210524</v>
      </c>
      <c r="G2325" s="4">
        <v>20240524</v>
      </c>
      <c r="H2325" s="4" t="s">
        <v>9436</v>
      </c>
      <c r="J2325" s="4" t="s">
        <v>281</v>
      </c>
    </row>
    <row r="2326" spans="1:10" hidden="1">
      <c r="A2326" s="4">
        <v>2.0210528423000301E+17</v>
      </c>
      <c r="B2326" s="4">
        <v>7028100842</v>
      </c>
      <c r="C2326" s="4" t="s">
        <v>9435</v>
      </c>
      <c r="D2326" s="4">
        <v>28423</v>
      </c>
      <c r="E2326" s="4">
        <v>20210524</v>
      </c>
      <c r="F2326" s="4">
        <v>20210524</v>
      </c>
      <c r="G2326" s="4">
        <v>20240524</v>
      </c>
      <c r="H2326" s="4" t="s">
        <v>5845</v>
      </c>
      <c r="I2326" s="4" t="s">
        <v>9434</v>
      </c>
      <c r="J2326" s="4" t="s">
        <v>485</v>
      </c>
    </row>
    <row r="2327" spans="1:10" hidden="1">
      <c r="A2327" s="4">
        <v>2.0210563991000301E+17</v>
      </c>
      <c r="B2327" s="4">
        <v>3518102297</v>
      </c>
      <c r="C2327" s="4" t="s">
        <v>9433</v>
      </c>
      <c r="D2327" s="4">
        <v>63991</v>
      </c>
      <c r="E2327" s="4">
        <v>20210524</v>
      </c>
      <c r="F2327" s="4">
        <v>20210524</v>
      </c>
      <c r="G2327" s="4">
        <v>20240524</v>
      </c>
      <c r="H2327" s="4" t="s">
        <v>1230</v>
      </c>
      <c r="J2327" s="4" t="s">
        <v>395</v>
      </c>
    </row>
    <row r="2328" spans="1:10" hidden="1">
      <c r="A2328" s="4">
        <v>2.0210572129000301E+17</v>
      </c>
      <c r="B2328" s="4">
        <v>5228800100</v>
      </c>
      <c r="C2328" s="4" t="s">
        <v>9432</v>
      </c>
      <c r="D2328" s="4">
        <v>72129</v>
      </c>
      <c r="E2328" s="4">
        <v>20210524</v>
      </c>
      <c r="F2328" s="4">
        <v>20210524</v>
      </c>
      <c r="G2328" s="4">
        <v>20220608</v>
      </c>
      <c r="H2328" s="4" t="s">
        <v>9431</v>
      </c>
      <c r="I2328" s="4" t="s">
        <v>9430</v>
      </c>
      <c r="J2328" s="4" t="s">
        <v>1679</v>
      </c>
    </row>
    <row r="2329" spans="1:10" hidden="1">
      <c r="A2329" s="4">
        <v>2.0210526421000301E+17</v>
      </c>
      <c r="B2329" s="4">
        <v>6698701041</v>
      </c>
      <c r="C2329" s="4" t="s">
        <v>9429</v>
      </c>
      <c r="D2329" s="4">
        <v>26421</v>
      </c>
      <c r="E2329" s="4">
        <v>20210524</v>
      </c>
      <c r="F2329" s="4">
        <v>20210524</v>
      </c>
      <c r="G2329" s="4">
        <v>20240524</v>
      </c>
      <c r="H2329" s="4" t="s">
        <v>3137</v>
      </c>
      <c r="I2329" s="4" t="s">
        <v>9428</v>
      </c>
      <c r="J2329" s="4" t="s">
        <v>1767</v>
      </c>
    </row>
    <row r="2330" spans="1:10" hidden="1">
      <c r="A2330" s="4">
        <v>2.0210516221000301E+17</v>
      </c>
      <c r="B2330" s="4">
        <v>5558600033</v>
      </c>
      <c r="C2330" s="4" t="s">
        <v>9427</v>
      </c>
      <c r="D2330" s="4">
        <v>16221</v>
      </c>
      <c r="E2330" s="4">
        <v>20210524</v>
      </c>
      <c r="F2330" s="4">
        <v>20210524</v>
      </c>
      <c r="G2330" s="4">
        <v>20220227</v>
      </c>
      <c r="H2330" s="4" t="s">
        <v>9426</v>
      </c>
      <c r="J2330" s="4" t="s">
        <v>5645</v>
      </c>
    </row>
    <row r="2331" spans="1:10" hidden="1">
      <c r="A2331" s="4">
        <v>2.0210523324000301E+17</v>
      </c>
      <c r="B2331" s="4">
        <v>6748100867</v>
      </c>
      <c r="C2331" s="4" t="s">
        <v>9425</v>
      </c>
      <c r="D2331" s="4">
        <v>23324</v>
      </c>
      <c r="E2331" s="4">
        <v>20210524</v>
      </c>
      <c r="F2331" s="4">
        <v>20210524</v>
      </c>
      <c r="G2331" s="4">
        <v>20240524</v>
      </c>
      <c r="H2331" s="4" t="s">
        <v>9424</v>
      </c>
      <c r="I2331" s="4" t="s">
        <v>9423</v>
      </c>
      <c r="J2331" s="4" t="s">
        <v>3323</v>
      </c>
    </row>
    <row r="2332" spans="1:10" hidden="1">
      <c r="A2332" s="4">
        <v>2.0210562010000301E+17</v>
      </c>
      <c r="B2332" s="4">
        <v>3088801987</v>
      </c>
      <c r="C2332" s="4" t="s">
        <v>9422</v>
      </c>
      <c r="D2332" s="4">
        <v>62010</v>
      </c>
      <c r="E2332" s="4">
        <v>20210524</v>
      </c>
      <c r="F2332" s="4">
        <v>20210524</v>
      </c>
      <c r="G2332" s="4">
        <v>20240524</v>
      </c>
      <c r="H2332" s="4" t="s">
        <v>9421</v>
      </c>
      <c r="I2332" s="4" t="s">
        <v>9420</v>
      </c>
      <c r="J2332" s="4" t="s">
        <v>118</v>
      </c>
    </row>
    <row r="2333" spans="1:10" hidden="1">
      <c r="A2333" s="4">
        <v>2.0210542321000301E+17</v>
      </c>
      <c r="B2333" s="4">
        <v>8038701317</v>
      </c>
      <c r="C2333" s="4" t="s">
        <v>9419</v>
      </c>
      <c r="D2333" s="4">
        <v>42321</v>
      </c>
      <c r="E2333" s="4">
        <v>20210524</v>
      </c>
      <c r="F2333" s="4">
        <v>20210524</v>
      </c>
      <c r="G2333" s="4">
        <v>20240524</v>
      </c>
      <c r="H2333" s="4" t="s">
        <v>9418</v>
      </c>
      <c r="J2333" s="4" t="s">
        <v>698</v>
      </c>
    </row>
    <row r="2334" spans="1:10" hidden="1">
      <c r="A2334" s="4">
        <v>2.0210552914000301E+17</v>
      </c>
      <c r="B2334" s="4">
        <v>5508601041</v>
      </c>
      <c r="C2334" s="4" t="s">
        <v>9417</v>
      </c>
      <c r="D2334" s="4">
        <v>52914</v>
      </c>
      <c r="E2334" s="4">
        <v>20210524</v>
      </c>
      <c r="F2334" s="4">
        <v>20210524</v>
      </c>
      <c r="G2334" s="4">
        <v>20240524</v>
      </c>
      <c r="H2334" s="4" t="s">
        <v>2884</v>
      </c>
      <c r="I2334" s="4" t="s">
        <v>9416</v>
      </c>
      <c r="J2334" s="4" t="s">
        <v>9415</v>
      </c>
    </row>
    <row r="2335" spans="1:10" hidden="1">
      <c r="A2335" s="4">
        <v>2.0210523324000301E+17</v>
      </c>
      <c r="B2335" s="4">
        <v>7068701317</v>
      </c>
      <c r="C2335" s="4" t="s">
        <v>9414</v>
      </c>
      <c r="D2335" s="4">
        <v>23324</v>
      </c>
      <c r="E2335" s="4">
        <v>20210524</v>
      </c>
      <c r="F2335" s="4">
        <v>20210524</v>
      </c>
      <c r="G2335" s="4">
        <v>20240524</v>
      </c>
      <c r="H2335" s="4" t="s">
        <v>9413</v>
      </c>
      <c r="J2335" s="4" t="s">
        <v>3323</v>
      </c>
    </row>
    <row r="2336" spans="1:10" hidden="1">
      <c r="A2336" s="4">
        <v>2.0210526410000301E+17</v>
      </c>
      <c r="B2336" s="4">
        <v>8778700134</v>
      </c>
      <c r="C2336" s="4" t="s">
        <v>9412</v>
      </c>
      <c r="D2336" s="4">
        <v>26410</v>
      </c>
      <c r="E2336" s="4">
        <v>20210522</v>
      </c>
      <c r="F2336" s="4">
        <v>20210522</v>
      </c>
      <c r="G2336" s="4">
        <v>20220624</v>
      </c>
      <c r="H2336" s="4" t="s">
        <v>1423</v>
      </c>
      <c r="I2336" s="4" t="s">
        <v>9411</v>
      </c>
      <c r="J2336" s="4" t="s">
        <v>1102</v>
      </c>
    </row>
    <row r="2337" spans="1:10" hidden="1">
      <c r="A2337" s="4">
        <v>2.0210556130000301E+17</v>
      </c>
      <c r="B2337" s="4">
        <v>8398102119</v>
      </c>
      <c r="C2337" s="4" t="s">
        <v>9509</v>
      </c>
      <c r="D2337" s="4">
        <v>56130</v>
      </c>
      <c r="E2337" s="4">
        <v>20210525</v>
      </c>
      <c r="F2337" s="4">
        <v>20210525</v>
      </c>
      <c r="G2337" s="4">
        <v>20240525</v>
      </c>
      <c r="H2337" s="4" t="s">
        <v>9510</v>
      </c>
      <c r="I2337" s="4" t="s">
        <v>9509</v>
      </c>
      <c r="J2337" s="4" t="s">
        <v>9508</v>
      </c>
    </row>
    <row r="2338" spans="1:10" hidden="1">
      <c r="A2338" s="4">
        <v>2.0210541121000301E+17</v>
      </c>
      <c r="B2338" s="4">
        <v>2862500247</v>
      </c>
      <c r="C2338" s="4" t="s">
        <v>9409</v>
      </c>
      <c r="D2338" s="4">
        <v>41121</v>
      </c>
      <c r="E2338" s="4">
        <v>20210522</v>
      </c>
      <c r="F2338" s="4">
        <v>20210522</v>
      </c>
      <c r="G2338" s="4">
        <v>20230115</v>
      </c>
      <c r="H2338" s="4" t="s">
        <v>2573</v>
      </c>
      <c r="I2338" s="4" t="s">
        <v>9408</v>
      </c>
      <c r="J2338" s="4" t="s">
        <v>2302</v>
      </c>
    </row>
    <row r="2339" spans="1:10" hidden="1">
      <c r="A2339" s="4">
        <v>2.0210529222000301E+17</v>
      </c>
      <c r="B2339" s="4">
        <v>6650901473</v>
      </c>
      <c r="C2339" s="4" t="s">
        <v>9407</v>
      </c>
      <c r="D2339" s="4">
        <v>29222</v>
      </c>
      <c r="E2339" s="4">
        <v>20210522</v>
      </c>
      <c r="F2339" s="4">
        <v>20210522</v>
      </c>
      <c r="G2339" s="4">
        <v>20240522</v>
      </c>
      <c r="H2339" s="4" t="s">
        <v>4085</v>
      </c>
      <c r="I2339" s="4" t="s">
        <v>9406</v>
      </c>
      <c r="J2339" s="4" t="s">
        <v>4276</v>
      </c>
    </row>
    <row r="2340" spans="1:10" hidden="1">
      <c r="A2340" s="4">
        <v>2.0210513229000301E+17</v>
      </c>
      <c r="B2340" s="4">
        <v>1748101560</v>
      </c>
      <c r="C2340" s="4" t="s">
        <v>9405</v>
      </c>
      <c r="D2340" s="4">
        <v>13229</v>
      </c>
      <c r="E2340" s="4">
        <v>20210522</v>
      </c>
      <c r="F2340" s="4">
        <v>20210522</v>
      </c>
      <c r="G2340" s="4">
        <v>20240522</v>
      </c>
      <c r="H2340" s="4" t="s">
        <v>9404</v>
      </c>
      <c r="J2340" s="4" t="s">
        <v>115</v>
      </c>
    </row>
    <row r="2341" spans="1:10" hidden="1">
      <c r="A2341" s="4">
        <v>2.0210529172000301E+17</v>
      </c>
      <c r="B2341" s="4">
        <v>6378101625</v>
      </c>
      <c r="C2341" s="4" t="s">
        <v>9487</v>
      </c>
      <c r="D2341" s="4">
        <v>29172</v>
      </c>
      <c r="E2341" s="4">
        <v>20210525</v>
      </c>
      <c r="F2341" s="4">
        <v>20210525</v>
      </c>
      <c r="G2341" s="4">
        <v>20240525</v>
      </c>
      <c r="H2341" s="4" t="s">
        <v>9486</v>
      </c>
      <c r="I2341" s="4" t="s">
        <v>9485</v>
      </c>
      <c r="J2341" s="4" t="s">
        <v>1204</v>
      </c>
    </row>
    <row r="2342" spans="1:10" hidden="1">
      <c r="A2342" s="4">
        <v>2.0210571531000301E+17</v>
      </c>
      <c r="B2342" s="4">
        <v>1198801446</v>
      </c>
      <c r="C2342" s="4" t="s">
        <v>9402</v>
      </c>
      <c r="D2342" s="4">
        <v>71531</v>
      </c>
      <c r="E2342" s="4">
        <v>20210521</v>
      </c>
      <c r="F2342" s="4">
        <v>20210521</v>
      </c>
      <c r="G2342" s="4">
        <v>20240521</v>
      </c>
      <c r="H2342" s="4" t="s">
        <v>9401</v>
      </c>
      <c r="I2342" s="4" t="s">
        <v>9400</v>
      </c>
      <c r="J2342" s="4" t="s">
        <v>87</v>
      </c>
    </row>
    <row r="2343" spans="1:10" hidden="1">
      <c r="A2343" s="4">
        <v>2.0210532029000301E+17</v>
      </c>
      <c r="B2343" s="4">
        <v>5458701274</v>
      </c>
      <c r="C2343" s="4" t="s">
        <v>9471</v>
      </c>
      <c r="D2343" s="4">
        <v>32029</v>
      </c>
      <c r="E2343" s="4">
        <v>20210524</v>
      </c>
      <c r="F2343" s="4">
        <v>20210524</v>
      </c>
      <c r="G2343" s="4">
        <v>20240524</v>
      </c>
      <c r="H2343" s="4" t="s">
        <v>9470</v>
      </c>
      <c r="J2343" s="4" t="s">
        <v>637</v>
      </c>
    </row>
    <row r="2344" spans="1:10" hidden="1">
      <c r="A2344" s="4">
        <v>2.0210514192000301E+17</v>
      </c>
      <c r="B2344" s="4">
        <v>6528701077</v>
      </c>
      <c r="C2344" s="4" t="s">
        <v>9397</v>
      </c>
      <c r="D2344" s="4">
        <v>14192</v>
      </c>
      <c r="E2344" s="4">
        <v>20210521</v>
      </c>
      <c r="F2344" s="4">
        <v>20210521</v>
      </c>
      <c r="G2344" s="4">
        <v>20240521</v>
      </c>
      <c r="H2344" s="4" t="s">
        <v>9396</v>
      </c>
      <c r="I2344" s="4" t="s">
        <v>91</v>
      </c>
      <c r="J2344" s="4" t="s">
        <v>4910</v>
      </c>
    </row>
    <row r="2345" spans="1:10" hidden="1">
      <c r="A2345" s="4">
        <v>2.0210542420000301E+17</v>
      </c>
      <c r="B2345" s="4">
        <v>7478600646</v>
      </c>
      <c r="C2345" s="4" t="s">
        <v>9395</v>
      </c>
      <c r="D2345" s="4">
        <v>42420</v>
      </c>
      <c r="E2345" s="4">
        <v>20210521</v>
      </c>
      <c r="F2345" s="4">
        <v>20210521</v>
      </c>
      <c r="G2345" s="4">
        <v>20240515</v>
      </c>
      <c r="H2345" s="4" t="s">
        <v>9394</v>
      </c>
      <c r="I2345" s="4" t="s">
        <v>149</v>
      </c>
      <c r="J2345" s="4" t="s">
        <v>1649</v>
      </c>
    </row>
    <row r="2346" spans="1:10" hidden="1">
      <c r="A2346" s="4">
        <v>2.0210530310000301E+17</v>
      </c>
      <c r="B2346" s="4">
        <v>3301101435</v>
      </c>
      <c r="C2346" s="4" t="s">
        <v>9410</v>
      </c>
      <c r="D2346" s="4">
        <v>30310</v>
      </c>
      <c r="E2346" s="4">
        <v>20210522</v>
      </c>
      <c r="F2346" s="4">
        <v>20210522</v>
      </c>
      <c r="G2346" s="4">
        <v>20240522</v>
      </c>
      <c r="H2346" s="4" t="s">
        <v>9161</v>
      </c>
      <c r="J2346" s="4" t="s">
        <v>4058</v>
      </c>
    </row>
    <row r="2347" spans="1:10" hidden="1">
      <c r="A2347" s="4">
        <v>2.0210542311000301E+17</v>
      </c>
      <c r="B2347" s="4">
        <v>6448100376</v>
      </c>
      <c r="C2347" s="4" t="s">
        <v>9390</v>
      </c>
      <c r="D2347" s="4">
        <v>42311</v>
      </c>
      <c r="E2347" s="4">
        <v>20210521</v>
      </c>
      <c r="F2347" s="4">
        <v>20210521</v>
      </c>
      <c r="G2347" s="4">
        <v>20231013</v>
      </c>
      <c r="H2347" s="4" t="s">
        <v>9389</v>
      </c>
      <c r="J2347" s="4" t="s">
        <v>718</v>
      </c>
    </row>
    <row r="2348" spans="1:10" hidden="1">
      <c r="A2348" s="4">
        <v>2.0210515129000301E+17</v>
      </c>
      <c r="B2348" s="4">
        <v>8428700313</v>
      </c>
      <c r="C2348" s="4" t="s">
        <v>9388</v>
      </c>
      <c r="D2348" s="4">
        <v>15129</v>
      </c>
      <c r="E2348" s="4">
        <v>20210521</v>
      </c>
      <c r="F2348" s="4">
        <v>20210521</v>
      </c>
      <c r="G2348" s="4">
        <v>20221217</v>
      </c>
      <c r="H2348" s="4" t="s">
        <v>9387</v>
      </c>
      <c r="I2348" s="4" t="s">
        <v>3680</v>
      </c>
      <c r="J2348" s="4" t="s">
        <v>2024</v>
      </c>
    </row>
    <row r="2349" spans="1:10" hidden="1">
      <c r="A2349" s="4">
        <v>2.0210558222000301E+17</v>
      </c>
      <c r="B2349" s="4">
        <v>2408101998</v>
      </c>
      <c r="C2349" s="4" t="s">
        <v>9386</v>
      </c>
      <c r="D2349" s="4">
        <v>58222</v>
      </c>
      <c r="E2349" s="4">
        <v>20210521</v>
      </c>
      <c r="F2349" s="4">
        <v>20210521</v>
      </c>
      <c r="G2349" s="4">
        <v>20240521</v>
      </c>
      <c r="H2349" s="4" t="s">
        <v>9385</v>
      </c>
      <c r="I2349" s="4" t="s">
        <v>9384</v>
      </c>
      <c r="J2349" s="4" t="s">
        <v>94</v>
      </c>
    </row>
    <row r="2350" spans="1:10" hidden="1">
      <c r="A2350" s="4">
        <v>2.0210525112000301E+17</v>
      </c>
      <c r="B2350" s="4">
        <v>5328102111</v>
      </c>
      <c r="C2350" s="4" t="s">
        <v>9383</v>
      </c>
      <c r="D2350" s="4">
        <v>25112</v>
      </c>
      <c r="E2350" s="4">
        <v>20210521</v>
      </c>
      <c r="F2350" s="4">
        <v>20210521</v>
      </c>
      <c r="G2350" s="4">
        <v>20240521</v>
      </c>
      <c r="H2350" s="4" t="s">
        <v>9382</v>
      </c>
      <c r="J2350" s="4" t="s">
        <v>320</v>
      </c>
    </row>
    <row r="2351" spans="1:10" hidden="1">
      <c r="A2351" s="4">
        <v>2.0210529133000301E+17</v>
      </c>
      <c r="B2351" s="4">
        <v>1728601778</v>
      </c>
      <c r="C2351" s="4" t="s">
        <v>9381</v>
      </c>
      <c r="D2351" s="4">
        <v>29133</v>
      </c>
      <c r="E2351" s="4">
        <v>20210521</v>
      </c>
      <c r="F2351" s="4">
        <v>20210521</v>
      </c>
      <c r="G2351" s="4">
        <v>20240521</v>
      </c>
      <c r="H2351" s="4" t="s">
        <v>9380</v>
      </c>
      <c r="I2351" s="4" t="s">
        <v>9379</v>
      </c>
      <c r="J2351" s="4" t="s">
        <v>990</v>
      </c>
    </row>
    <row r="2352" spans="1:10" hidden="1">
      <c r="A2352" s="4">
        <v>2.0210526310000301E+17</v>
      </c>
      <c r="B2352" s="4">
        <v>1818701876</v>
      </c>
      <c r="C2352" s="4" t="s">
        <v>9378</v>
      </c>
      <c r="D2352" s="4">
        <v>26310</v>
      </c>
      <c r="E2352" s="4">
        <v>20210521</v>
      </c>
      <c r="F2352" s="4">
        <v>20210521</v>
      </c>
      <c r="G2352" s="4">
        <v>20240521</v>
      </c>
      <c r="H2352" s="4" t="s">
        <v>9377</v>
      </c>
      <c r="I2352" s="4" t="s">
        <v>91</v>
      </c>
      <c r="J2352" s="4" t="s">
        <v>372</v>
      </c>
    </row>
    <row r="2353" spans="1:10" hidden="1">
      <c r="A2353" s="4">
        <v>2.0210525941000301E+17</v>
      </c>
      <c r="B2353" s="4">
        <v>6068661681</v>
      </c>
      <c r="C2353" s="4" t="s">
        <v>9375</v>
      </c>
      <c r="D2353" s="4">
        <v>25941</v>
      </c>
      <c r="E2353" s="4">
        <v>20210521</v>
      </c>
      <c r="F2353" s="4">
        <v>20210521</v>
      </c>
      <c r="G2353" s="4">
        <v>20220108</v>
      </c>
      <c r="H2353" s="4" t="s">
        <v>9376</v>
      </c>
      <c r="I2353" s="4" t="s">
        <v>9375</v>
      </c>
      <c r="J2353" s="4" t="s">
        <v>5755</v>
      </c>
    </row>
    <row r="2354" spans="1:10" hidden="1">
      <c r="A2354" s="4">
        <v>2.0210573202000301E+17</v>
      </c>
      <c r="B2354" s="4">
        <v>6403400915</v>
      </c>
      <c r="C2354" s="4" t="s">
        <v>9374</v>
      </c>
      <c r="D2354" s="4">
        <v>73202</v>
      </c>
      <c r="E2354" s="4">
        <v>20210521</v>
      </c>
      <c r="F2354" s="4">
        <v>20210521</v>
      </c>
      <c r="G2354" s="4">
        <v>20240521</v>
      </c>
      <c r="H2354" s="4" t="s">
        <v>9373</v>
      </c>
      <c r="I2354" s="4" t="s">
        <v>9372</v>
      </c>
      <c r="J2354" s="4" t="s">
        <v>605</v>
      </c>
    </row>
    <row r="2355" spans="1:10" hidden="1">
      <c r="A2355" s="4">
        <v>2.0210546800000301E+17</v>
      </c>
      <c r="B2355" s="4">
        <v>6878102027</v>
      </c>
      <c r="C2355" s="4" t="s">
        <v>3865</v>
      </c>
      <c r="D2355" s="4">
        <v>46800</v>
      </c>
      <c r="E2355" s="4">
        <v>20210521</v>
      </c>
      <c r="F2355" s="4">
        <v>20210521</v>
      </c>
      <c r="G2355" s="4">
        <v>20240521</v>
      </c>
      <c r="H2355" s="4" t="s">
        <v>3864</v>
      </c>
      <c r="I2355" s="4" t="s">
        <v>3098</v>
      </c>
      <c r="J2355" s="4" t="s">
        <v>979</v>
      </c>
    </row>
    <row r="2356" spans="1:10" hidden="1">
      <c r="A2356" s="4">
        <v>2.0210530310000301E+17</v>
      </c>
      <c r="B2356" s="4">
        <v>1297500328</v>
      </c>
      <c r="C2356" s="4" t="s">
        <v>9403</v>
      </c>
      <c r="D2356" s="4">
        <v>30310</v>
      </c>
      <c r="E2356" s="4">
        <v>20210522</v>
      </c>
      <c r="F2356" s="4">
        <v>20210522</v>
      </c>
      <c r="G2356" s="4">
        <v>20240522</v>
      </c>
      <c r="H2356" s="4" t="s">
        <v>9161</v>
      </c>
      <c r="J2356" s="4" t="s">
        <v>4058</v>
      </c>
    </row>
    <row r="2357" spans="1:10" hidden="1">
      <c r="A2357" s="4">
        <v>2.0210529210000301E+17</v>
      </c>
      <c r="B2357" s="4">
        <v>5234600137</v>
      </c>
      <c r="C2357" s="4" t="s">
        <v>9367</v>
      </c>
      <c r="D2357" s="4">
        <v>29210</v>
      </c>
      <c r="E2357" s="4">
        <v>20210521</v>
      </c>
      <c r="F2357" s="4">
        <v>20210521</v>
      </c>
      <c r="G2357" s="4">
        <v>20230429</v>
      </c>
      <c r="H2357" s="4" t="s">
        <v>7329</v>
      </c>
      <c r="I2357" s="4" t="s">
        <v>9366</v>
      </c>
      <c r="J2357" s="4" t="s">
        <v>1274</v>
      </c>
    </row>
    <row r="2358" spans="1:10" hidden="1">
      <c r="A2358" s="4">
        <v>2.0210516300000301E+17</v>
      </c>
      <c r="B2358" s="4">
        <v>5138189155</v>
      </c>
      <c r="C2358" s="4" t="s">
        <v>9399</v>
      </c>
      <c r="D2358" s="4">
        <v>16300</v>
      </c>
      <c r="E2358" s="4">
        <v>20210521</v>
      </c>
      <c r="F2358" s="4">
        <v>20210521</v>
      </c>
      <c r="G2358" s="4">
        <v>20220205</v>
      </c>
      <c r="H2358" s="4" t="s">
        <v>9398</v>
      </c>
      <c r="I2358" s="4">
        <v>1783</v>
      </c>
      <c r="J2358" s="4" t="s">
        <v>4865</v>
      </c>
    </row>
    <row r="2359" spans="1:10" hidden="1">
      <c r="A2359" s="4">
        <v>2.0210546595000301E+17</v>
      </c>
      <c r="B2359" s="4">
        <v>5894500692</v>
      </c>
      <c r="C2359" s="4" t="s">
        <v>9363</v>
      </c>
      <c r="D2359" s="4">
        <v>46595</v>
      </c>
      <c r="E2359" s="4">
        <v>20210521</v>
      </c>
      <c r="F2359" s="4">
        <v>20210521</v>
      </c>
      <c r="G2359" s="4">
        <v>20240521</v>
      </c>
      <c r="H2359" s="4" t="s">
        <v>9362</v>
      </c>
      <c r="I2359" s="4" t="s">
        <v>9361</v>
      </c>
      <c r="J2359" s="4" t="s">
        <v>960</v>
      </c>
    </row>
    <row r="2360" spans="1:10" hidden="1">
      <c r="A2360" s="4">
        <v>2.0210520422000301E+17</v>
      </c>
      <c r="B2360" s="4">
        <v>4631501261</v>
      </c>
      <c r="C2360" s="4" t="s">
        <v>9360</v>
      </c>
      <c r="D2360" s="4">
        <v>20422</v>
      </c>
      <c r="E2360" s="4">
        <v>20210521</v>
      </c>
      <c r="F2360" s="4">
        <v>20210521</v>
      </c>
      <c r="G2360" s="4">
        <v>20240521</v>
      </c>
      <c r="H2360" s="4" t="s">
        <v>9359</v>
      </c>
      <c r="J2360" s="4" t="s">
        <v>392</v>
      </c>
    </row>
    <row r="2361" spans="1:10" hidden="1">
      <c r="A2361" s="4">
        <v>2.0210525119000301E+17</v>
      </c>
      <c r="B2361" s="4">
        <v>3100724515</v>
      </c>
      <c r="C2361" s="4" t="s">
        <v>9358</v>
      </c>
      <c r="D2361" s="4">
        <v>25119</v>
      </c>
      <c r="E2361" s="4">
        <v>20210521</v>
      </c>
      <c r="F2361" s="4">
        <v>20210521</v>
      </c>
      <c r="G2361" s="4">
        <v>20220106</v>
      </c>
      <c r="H2361" s="4" t="s">
        <v>9357</v>
      </c>
      <c r="J2361" s="4" t="s">
        <v>679</v>
      </c>
    </row>
    <row r="2362" spans="1:10" hidden="1">
      <c r="A2362" s="4">
        <v>2.0210510794000301E+17</v>
      </c>
      <c r="B2362" s="4">
        <v>5448700796</v>
      </c>
      <c r="C2362" s="4" t="s">
        <v>9393</v>
      </c>
      <c r="D2362" s="4">
        <v>10794</v>
      </c>
      <c r="E2362" s="4">
        <v>20210521</v>
      </c>
      <c r="F2362" s="4">
        <v>20210521</v>
      </c>
      <c r="G2362" s="4">
        <v>20240521</v>
      </c>
      <c r="H2362" s="4" t="s">
        <v>9392</v>
      </c>
      <c r="J2362" s="4" t="s">
        <v>9391</v>
      </c>
    </row>
    <row r="2363" spans="1:10" hidden="1">
      <c r="A2363" s="4">
        <v>2.0210501123000301E+17</v>
      </c>
      <c r="B2363" s="4">
        <v>4198602036</v>
      </c>
      <c r="C2363" s="4" t="s">
        <v>9371</v>
      </c>
      <c r="D2363" s="4">
        <v>1123</v>
      </c>
      <c r="E2363" s="4">
        <v>20210521</v>
      </c>
      <c r="F2363" s="4">
        <v>20210521</v>
      </c>
      <c r="G2363" s="4">
        <v>20240521</v>
      </c>
      <c r="H2363" s="4" t="s">
        <v>9370</v>
      </c>
      <c r="I2363" s="4" t="s">
        <v>9369</v>
      </c>
      <c r="J2363" s="4" t="s">
        <v>9368</v>
      </c>
    </row>
    <row r="2364" spans="1:10" hidden="1">
      <c r="A2364" s="4">
        <v>2.0210561299000301E+17</v>
      </c>
      <c r="B2364" s="4">
        <v>5318101818</v>
      </c>
      <c r="C2364" s="4" t="s">
        <v>9353</v>
      </c>
      <c r="D2364" s="4">
        <v>61299</v>
      </c>
      <c r="E2364" s="4">
        <v>20210521</v>
      </c>
      <c r="F2364" s="4">
        <v>20210521</v>
      </c>
      <c r="G2364" s="4">
        <v>20240521</v>
      </c>
      <c r="H2364" s="4" t="s">
        <v>9352</v>
      </c>
      <c r="I2364" s="4" t="s">
        <v>149</v>
      </c>
      <c r="J2364" s="4" t="s">
        <v>1501</v>
      </c>
    </row>
    <row r="2365" spans="1:10" hidden="1">
      <c r="A2365" s="4">
        <v>2.0210546326000301E+17</v>
      </c>
      <c r="B2365" s="4">
        <v>4708102171</v>
      </c>
      <c r="C2365" s="4" t="s">
        <v>9351</v>
      </c>
      <c r="D2365" s="4">
        <v>46326</v>
      </c>
      <c r="E2365" s="4">
        <v>20210521</v>
      </c>
      <c r="F2365" s="4">
        <v>20210521</v>
      </c>
      <c r="G2365" s="4">
        <v>20240521</v>
      </c>
      <c r="H2365" s="4" t="s">
        <v>9350</v>
      </c>
      <c r="I2365" s="4" t="s">
        <v>9349</v>
      </c>
      <c r="J2365" s="4" t="s">
        <v>9348</v>
      </c>
    </row>
    <row r="2366" spans="1:10" hidden="1">
      <c r="A2366" s="4">
        <v>2.0210542321000301E+17</v>
      </c>
      <c r="B2366" s="4">
        <v>7691001183</v>
      </c>
      <c r="C2366" s="4" t="s">
        <v>9347</v>
      </c>
      <c r="D2366" s="4">
        <v>42321</v>
      </c>
      <c r="E2366" s="4">
        <v>20210521</v>
      </c>
      <c r="F2366" s="4">
        <v>20210521</v>
      </c>
      <c r="G2366" s="4">
        <v>20240521</v>
      </c>
      <c r="H2366" s="4" t="s">
        <v>9346</v>
      </c>
      <c r="I2366" s="4" t="s">
        <v>9345</v>
      </c>
      <c r="J2366" s="4" t="s">
        <v>698</v>
      </c>
    </row>
    <row r="2367" spans="1:10" hidden="1">
      <c r="A2367" s="4">
        <v>2.0210541229000301E+17</v>
      </c>
      <c r="B2367" s="4">
        <v>3158602035</v>
      </c>
      <c r="C2367" s="4" t="s">
        <v>9344</v>
      </c>
      <c r="D2367" s="4">
        <v>41229</v>
      </c>
      <c r="E2367" s="4">
        <v>20210521</v>
      </c>
      <c r="F2367" s="4">
        <v>20210521</v>
      </c>
      <c r="G2367" s="4">
        <v>20240521</v>
      </c>
      <c r="H2367" s="4" t="s">
        <v>9343</v>
      </c>
      <c r="I2367" s="4" t="s">
        <v>91</v>
      </c>
      <c r="J2367" s="4" t="s">
        <v>5083</v>
      </c>
    </row>
    <row r="2368" spans="1:10" hidden="1">
      <c r="A2368" s="4">
        <v>2.0210526521000301E+17</v>
      </c>
      <c r="B2368" s="4">
        <v>7597200036</v>
      </c>
      <c r="C2368" s="4" t="s">
        <v>9342</v>
      </c>
      <c r="D2368" s="4">
        <v>26521</v>
      </c>
      <c r="E2368" s="4">
        <v>20210521</v>
      </c>
      <c r="F2368" s="4">
        <v>20210521</v>
      </c>
      <c r="G2368" s="4">
        <v>20230125</v>
      </c>
      <c r="H2368" s="4" t="s">
        <v>8429</v>
      </c>
      <c r="I2368" s="4" t="s">
        <v>9341</v>
      </c>
      <c r="J2368" s="4" t="s">
        <v>9340</v>
      </c>
    </row>
    <row r="2369" spans="1:10" hidden="1">
      <c r="A2369" s="4">
        <v>2.0210563991000301E+17</v>
      </c>
      <c r="B2369" s="4">
        <v>7394000711</v>
      </c>
      <c r="C2369" s="4" t="s">
        <v>9339</v>
      </c>
      <c r="D2369" s="4">
        <v>63991</v>
      </c>
      <c r="E2369" s="4">
        <v>20210521</v>
      </c>
      <c r="F2369" s="4">
        <v>20210521</v>
      </c>
      <c r="G2369" s="4">
        <v>20240521</v>
      </c>
      <c r="H2369" s="4" t="s">
        <v>9338</v>
      </c>
      <c r="I2369" s="4" t="s">
        <v>9337</v>
      </c>
      <c r="J2369" s="4" t="s">
        <v>395</v>
      </c>
    </row>
    <row r="2370" spans="1:10" hidden="1">
      <c r="A2370" s="4">
        <v>2.0210517901000301E+17</v>
      </c>
      <c r="B2370" s="4">
        <v>4548601549</v>
      </c>
      <c r="C2370" s="4" t="s">
        <v>9336</v>
      </c>
      <c r="D2370" s="4">
        <v>17901</v>
      </c>
      <c r="E2370" s="4">
        <v>20210521</v>
      </c>
      <c r="F2370" s="4">
        <v>20210521</v>
      </c>
      <c r="G2370" s="4">
        <v>20240521</v>
      </c>
      <c r="H2370" s="4" t="s">
        <v>9335</v>
      </c>
      <c r="J2370" s="4" t="s">
        <v>5641</v>
      </c>
    </row>
    <row r="2371" spans="1:10" hidden="1">
      <c r="A2371" s="4">
        <v>2.0210572121000301E+17</v>
      </c>
      <c r="B2371" s="4">
        <v>4238701111</v>
      </c>
      <c r="C2371" s="4" t="s">
        <v>9334</v>
      </c>
      <c r="D2371" s="4">
        <v>72121</v>
      </c>
      <c r="E2371" s="4">
        <v>20210521</v>
      </c>
      <c r="F2371" s="4">
        <v>20210521</v>
      </c>
      <c r="G2371" s="4">
        <v>20240521</v>
      </c>
      <c r="H2371" s="4" t="s">
        <v>9333</v>
      </c>
      <c r="I2371" s="4" t="s">
        <v>9332</v>
      </c>
      <c r="J2371" s="4" t="s">
        <v>2243</v>
      </c>
    </row>
    <row r="2372" spans="1:10" hidden="1">
      <c r="A2372" s="4">
        <v>2.0210528123000301E+17</v>
      </c>
      <c r="B2372" s="4">
        <v>2178701286</v>
      </c>
      <c r="C2372" s="4" t="s">
        <v>9331</v>
      </c>
      <c r="D2372" s="4">
        <v>28123</v>
      </c>
      <c r="E2372" s="4">
        <v>20210521</v>
      </c>
      <c r="F2372" s="4">
        <v>20210521</v>
      </c>
      <c r="G2372" s="4">
        <v>20240521</v>
      </c>
      <c r="H2372" s="4" t="s">
        <v>1142</v>
      </c>
      <c r="I2372" s="4" t="s">
        <v>9330</v>
      </c>
      <c r="J2372" s="4" t="s">
        <v>640</v>
      </c>
    </row>
    <row r="2373" spans="1:10" hidden="1">
      <c r="A2373" s="4">
        <v>2.0210521300000301E+17</v>
      </c>
      <c r="B2373" s="4">
        <v>5048701744</v>
      </c>
      <c r="C2373" s="4" t="s">
        <v>9329</v>
      </c>
      <c r="D2373" s="4">
        <v>21300</v>
      </c>
      <c r="E2373" s="4">
        <v>20210521</v>
      </c>
      <c r="F2373" s="4">
        <v>20210521</v>
      </c>
      <c r="G2373" s="4">
        <v>20240521</v>
      </c>
      <c r="H2373" s="4" t="s">
        <v>9328</v>
      </c>
      <c r="J2373" s="4" t="s">
        <v>530</v>
      </c>
    </row>
    <row r="2374" spans="1:10" hidden="1">
      <c r="A2374" s="4">
        <v>2.0210513999000301E+17</v>
      </c>
      <c r="B2374" s="4">
        <v>4448101834</v>
      </c>
      <c r="C2374" s="4" t="s">
        <v>9327</v>
      </c>
      <c r="D2374" s="4">
        <v>13999</v>
      </c>
      <c r="E2374" s="4">
        <v>20210521</v>
      </c>
      <c r="F2374" s="4">
        <v>20210521</v>
      </c>
      <c r="G2374" s="4">
        <v>20240521</v>
      </c>
      <c r="H2374" s="4" t="s">
        <v>9326</v>
      </c>
      <c r="I2374" s="4" t="s">
        <v>9325</v>
      </c>
      <c r="J2374" s="4" t="s">
        <v>130</v>
      </c>
    </row>
    <row r="2375" spans="1:10" hidden="1">
      <c r="A2375" s="4">
        <v>2.0210510301000301E+17</v>
      </c>
      <c r="B2375" s="4">
        <v>2728100225</v>
      </c>
      <c r="C2375" s="4" t="s">
        <v>9323</v>
      </c>
      <c r="D2375" s="4">
        <v>10301</v>
      </c>
      <c r="E2375" s="4">
        <v>20210521</v>
      </c>
      <c r="F2375" s="4">
        <v>20210521</v>
      </c>
      <c r="G2375" s="4">
        <v>20221105</v>
      </c>
      <c r="H2375" s="4" t="s">
        <v>9324</v>
      </c>
      <c r="I2375" s="4" t="s">
        <v>9323</v>
      </c>
      <c r="J2375" s="4" t="s">
        <v>9322</v>
      </c>
    </row>
    <row r="2376" spans="1:10" hidden="1">
      <c r="A2376" s="4">
        <v>2.0210558222000301E+17</v>
      </c>
      <c r="B2376" s="4">
        <v>3068701679</v>
      </c>
      <c r="C2376" s="4" t="s">
        <v>9321</v>
      </c>
      <c r="D2376" s="4">
        <v>58222</v>
      </c>
      <c r="E2376" s="4">
        <v>20210521</v>
      </c>
      <c r="F2376" s="4">
        <v>20210521</v>
      </c>
      <c r="G2376" s="4">
        <v>20240521</v>
      </c>
      <c r="H2376" s="4" t="s">
        <v>9320</v>
      </c>
      <c r="J2376" s="4" t="s">
        <v>94</v>
      </c>
    </row>
    <row r="2377" spans="1:10" hidden="1">
      <c r="A2377" s="4">
        <v>2.0210542321000301E+17</v>
      </c>
      <c r="B2377" s="4">
        <v>3388801483</v>
      </c>
      <c r="C2377" s="4" t="s">
        <v>9319</v>
      </c>
      <c r="D2377" s="4">
        <v>42321</v>
      </c>
      <c r="E2377" s="4">
        <v>20210521</v>
      </c>
      <c r="F2377" s="4">
        <v>20210521</v>
      </c>
      <c r="G2377" s="4">
        <v>20240521</v>
      </c>
      <c r="H2377" s="4" t="s">
        <v>9318</v>
      </c>
      <c r="I2377" s="4" t="s">
        <v>9317</v>
      </c>
      <c r="J2377" s="4" t="s">
        <v>698</v>
      </c>
    </row>
    <row r="2378" spans="1:10" hidden="1">
      <c r="A2378" s="4">
        <v>2.0210516221000301E+17</v>
      </c>
      <c r="B2378" s="4">
        <v>7708801386</v>
      </c>
      <c r="C2378" s="4" t="s">
        <v>9316</v>
      </c>
      <c r="D2378" s="4">
        <v>16221</v>
      </c>
      <c r="E2378" s="4">
        <v>20210521</v>
      </c>
      <c r="F2378" s="4">
        <v>20210521</v>
      </c>
      <c r="G2378" s="4">
        <v>20240521</v>
      </c>
      <c r="H2378" s="4" t="s">
        <v>9315</v>
      </c>
      <c r="J2378" s="4" t="s">
        <v>5645</v>
      </c>
    </row>
    <row r="2379" spans="1:10" hidden="1">
      <c r="A2379" s="4">
        <v>2.0210542412000301E+17</v>
      </c>
      <c r="B2379" s="4">
        <v>6238601640</v>
      </c>
      <c r="C2379" s="4" t="s">
        <v>9314</v>
      </c>
      <c r="D2379" s="4">
        <v>42412</v>
      </c>
      <c r="E2379" s="4">
        <v>20210521</v>
      </c>
      <c r="F2379" s="4">
        <v>20210521</v>
      </c>
      <c r="G2379" s="4">
        <v>20240521</v>
      </c>
      <c r="H2379" s="4" t="s">
        <v>9313</v>
      </c>
      <c r="I2379" s="4" t="s">
        <v>185</v>
      </c>
      <c r="J2379" s="4" t="s">
        <v>281</v>
      </c>
    </row>
    <row r="2380" spans="1:10" hidden="1">
      <c r="A2380" s="4">
        <v>2.0210546599000301E+17</v>
      </c>
      <c r="B2380" s="4">
        <v>2438701228</v>
      </c>
      <c r="C2380" s="4" t="s">
        <v>9312</v>
      </c>
      <c r="D2380" s="4">
        <v>46599</v>
      </c>
      <c r="E2380" s="4">
        <v>20210521</v>
      </c>
      <c r="F2380" s="4">
        <v>20210521</v>
      </c>
      <c r="G2380" s="4">
        <v>20240521</v>
      </c>
      <c r="H2380" s="4" t="s">
        <v>9311</v>
      </c>
      <c r="I2380" s="4" t="s">
        <v>9310</v>
      </c>
      <c r="J2380" s="4" t="s">
        <v>2310</v>
      </c>
    </row>
    <row r="2381" spans="1:10" hidden="1">
      <c r="A2381" s="4">
        <v>2.0210520423000301E+17</v>
      </c>
      <c r="B2381" s="4">
        <v>4328600588</v>
      </c>
      <c r="C2381" s="4" t="s">
        <v>9309</v>
      </c>
      <c r="D2381" s="4">
        <v>20423</v>
      </c>
      <c r="E2381" s="4">
        <v>20210521</v>
      </c>
      <c r="F2381" s="4">
        <v>20210521</v>
      </c>
      <c r="G2381" s="4">
        <v>20240123</v>
      </c>
      <c r="H2381" s="4" t="s">
        <v>8279</v>
      </c>
      <c r="I2381" s="4" t="s">
        <v>9308</v>
      </c>
      <c r="J2381" s="4" t="s">
        <v>368</v>
      </c>
    </row>
    <row r="2382" spans="1:10" hidden="1">
      <c r="A2382" s="4">
        <v>2.0210542131000301E+17</v>
      </c>
      <c r="B2382" s="4">
        <v>5101893340</v>
      </c>
      <c r="C2382" s="4" t="s">
        <v>9365</v>
      </c>
      <c r="D2382" s="4">
        <v>42131</v>
      </c>
      <c r="E2382" s="4">
        <v>20210521</v>
      </c>
      <c r="F2382" s="4">
        <v>20210521</v>
      </c>
      <c r="G2382" s="4">
        <v>20240521</v>
      </c>
      <c r="H2382" s="4" t="s">
        <v>9364</v>
      </c>
      <c r="J2382" s="4" t="s">
        <v>772</v>
      </c>
    </row>
    <row r="2383" spans="1:10" hidden="1">
      <c r="A2383" s="4">
        <v>2.0210510219000301E+17</v>
      </c>
      <c r="B2383" s="4">
        <v>5238701556</v>
      </c>
      <c r="C2383" s="4" t="s">
        <v>9305</v>
      </c>
      <c r="D2383" s="4">
        <v>10219</v>
      </c>
      <c r="E2383" s="4">
        <v>20210521</v>
      </c>
      <c r="F2383" s="4">
        <v>20210521</v>
      </c>
      <c r="G2383" s="4">
        <v>20240521</v>
      </c>
      <c r="H2383" s="4" t="s">
        <v>9304</v>
      </c>
      <c r="I2383" s="4" t="s">
        <v>9303</v>
      </c>
      <c r="J2383" s="4" t="s">
        <v>9302</v>
      </c>
    </row>
    <row r="2384" spans="1:10" hidden="1">
      <c r="A2384" s="4">
        <v>2.0210547912000301E+17</v>
      </c>
      <c r="B2384" s="4">
        <v>1093564185</v>
      </c>
      <c r="C2384" s="4" t="s">
        <v>9301</v>
      </c>
      <c r="D2384" s="4">
        <v>47912</v>
      </c>
      <c r="E2384" s="4">
        <v>20210521</v>
      </c>
      <c r="F2384" s="4">
        <v>20210521</v>
      </c>
      <c r="G2384" s="4">
        <v>20240521</v>
      </c>
      <c r="H2384" s="4" t="s">
        <v>9300</v>
      </c>
      <c r="I2384" s="4" t="s">
        <v>91</v>
      </c>
      <c r="J2384" s="4" t="s">
        <v>78</v>
      </c>
    </row>
    <row r="2385" spans="1:10" hidden="1">
      <c r="A2385" s="4">
        <v>2.0210528429000301E+17</v>
      </c>
      <c r="B2385" s="4">
        <v>7128700782</v>
      </c>
      <c r="C2385" s="4" t="s">
        <v>9299</v>
      </c>
      <c r="D2385" s="4">
        <v>28429</v>
      </c>
      <c r="E2385" s="4">
        <v>20210521</v>
      </c>
      <c r="F2385" s="4">
        <v>20210521</v>
      </c>
      <c r="G2385" s="4">
        <v>20240521</v>
      </c>
      <c r="H2385" s="4" t="s">
        <v>9298</v>
      </c>
      <c r="I2385" s="4" t="s">
        <v>91</v>
      </c>
      <c r="J2385" s="4" t="s">
        <v>765</v>
      </c>
    </row>
    <row r="2386" spans="1:10" hidden="1">
      <c r="A2386" s="4">
        <v>2.0210546595000301E+17</v>
      </c>
      <c r="B2386" s="4">
        <v>1548802263</v>
      </c>
      <c r="C2386" s="4" t="s">
        <v>9297</v>
      </c>
      <c r="D2386" s="4">
        <v>46595</v>
      </c>
      <c r="E2386" s="4">
        <v>20210521</v>
      </c>
      <c r="F2386" s="4">
        <v>20210521</v>
      </c>
      <c r="G2386" s="4">
        <v>20240521</v>
      </c>
      <c r="H2386" s="4" t="s">
        <v>9296</v>
      </c>
      <c r="I2386" s="4" t="s">
        <v>657</v>
      </c>
      <c r="J2386" s="4" t="s">
        <v>960</v>
      </c>
    </row>
    <row r="2387" spans="1:10" hidden="1">
      <c r="A2387" s="4">
        <v>2.0210542322000301E+17</v>
      </c>
      <c r="B2387" s="4">
        <v>1688600896</v>
      </c>
      <c r="C2387" s="4" t="s">
        <v>9295</v>
      </c>
      <c r="D2387" s="4">
        <v>42322</v>
      </c>
      <c r="E2387" s="4">
        <v>20210520</v>
      </c>
      <c r="F2387" s="4">
        <v>20210520</v>
      </c>
      <c r="G2387" s="4">
        <v>20240520</v>
      </c>
      <c r="H2387" s="4" t="s">
        <v>9294</v>
      </c>
      <c r="I2387" s="4" t="s">
        <v>149</v>
      </c>
      <c r="J2387" s="4" t="s">
        <v>2524</v>
      </c>
    </row>
    <row r="2388" spans="1:10" hidden="1">
      <c r="A2388" s="4">
        <v>2.0210523324000301E+17</v>
      </c>
      <c r="B2388" s="4">
        <v>4038181763</v>
      </c>
      <c r="C2388" s="4" t="s">
        <v>9293</v>
      </c>
      <c r="D2388" s="4">
        <v>23324</v>
      </c>
      <c r="E2388" s="4">
        <v>20210520</v>
      </c>
      <c r="F2388" s="4">
        <v>20210520</v>
      </c>
      <c r="G2388" s="4">
        <v>20211128</v>
      </c>
      <c r="H2388" s="4" t="s">
        <v>9292</v>
      </c>
      <c r="I2388" s="4" t="s">
        <v>149</v>
      </c>
      <c r="J2388" s="4" t="s">
        <v>3323</v>
      </c>
    </row>
    <row r="2389" spans="1:10" hidden="1">
      <c r="A2389" s="4">
        <v>2.0210523325000301E+17</v>
      </c>
      <c r="B2389" s="4">
        <v>1258626865</v>
      </c>
      <c r="C2389" s="4" t="s">
        <v>9291</v>
      </c>
      <c r="D2389" s="4">
        <v>23325</v>
      </c>
      <c r="E2389" s="4">
        <v>20210520</v>
      </c>
      <c r="F2389" s="4">
        <v>20210520</v>
      </c>
      <c r="G2389" s="4">
        <v>20211014</v>
      </c>
      <c r="H2389" s="4" t="s">
        <v>9290</v>
      </c>
      <c r="J2389" s="4" t="s">
        <v>2588</v>
      </c>
    </row>
    <row r="2390" spans="1:10" hidden="1">
      <c r="A2390" s="4">
        <v>2.0210513229000301E+17</v>
      </c>
      <c r="B2390" s="4">
        <v>8708701321</v>
      </c>
      <c r="C2390" s="4" t="s">
        <v>9288</v>
      </c>
      <c r="D2390" s="4">
        <v>13229</v>
      </c>
      <c r="E2390" s="4">
        <v>20210520</v>
      </c>
      <c r="F2390" s="4">
        <v>20210520</v>
      </c>
      <c r="G2390" s="4">
        <v>20240520</v>
      </c>
      <c r="H2390" s="4" t="s">
        <v>9289</v>
      </c>
      <c r="I2390" s="4" t="s">
        <v>9288</v>
      </c>
      <c r="J2390" s="4" t="s">
        <v>115</v>
      </c>
    </row>
    <row r="2391" spans="1:10" hidden="1">
      <c r="A2391" s="4">
        <v>2.0210552109000301E+17</v>
      </c>
      <c r="B2391" s="4">
        <v>1588101549</v>
      </c>
      <c r="C2391" s="4" t="s">
        <v>9287</v>
      </c>
      <c r="D2391" s="4">
        <v>52109</v>
      </c>
      <c r="E2391" s="4">
        <v>20210520</v>
      </c>
      <c r="F2391" s="4">
        <v>20210520</v>
      </c>
      <c r="G2391" s="4">
        <v>20240520</v>
      </c>
      <c r="H2391" s="4" t="s">
        <v>9286</v>
      </c>
      <c r="I2391" s="4" t="s">
        <v>9285</v>
      </c>
      <c r="J2391" s="4" t="s">
        <v>8776</v>
      </c>
    </row>
    <row r="2392" spans="1:10" hidden="1">
      <c r="A2392" s="4">
        <v>2.0210529271000301E+17</v>
      </c>
      <c r="B2392" s="4">
        <v>7345000748</v>
      </c>
      <c r="C2392" s="4" t="s">
        <v>9284</v>
      </c>
      <c r="D2392" s="4">
        <v>29271</v>
      </c>
      <c r="E2392" s="4">
        <v>20210520</v>
      </c>
      <c r="F2392" s="4">
        <v>20210520</v>
      </c>
      <c r="G2392" s="4">
        <v>20240520</v>
      </c>
      <c r="H2392" s="4" t="s">
        <v>9283</v>
      </c>
      <c r="I2392" s="4" t="s">
        <v>9282</v>
      </c>
      <c r="J2392" s="4" t="s">
        <v>285</v>
      </c>
    </row>
    <row r="2393" spans="1:10" hidden="1">
      <c r="A2393" s="4">
        <v>2.0210523211000301E+17</v>
      </c>
      <c r="B2393" s="4">
        <v>7470201820</v>
      </c>
      <c r="C2393" s="4" t="s">
        <v>9281</v>
      </c>
      <c r="D2393" s="4">
        <v>23211</v>
      </c>
      <c r="E2393" s="4">
        <v>20210520</v>
      </c>
      <c r="F2393" s="4">
        <v>20210520</v>
      </c>
      <c r="G2393" s="4">
        <v>20240520</v>
      </c>
      <c r="H2393" s="4" t="s">
        <v>9280</v>
      </c>
      <c r="I2393" s="4" t="s">
        <v>2340</v>
      </c>
      <c r="J2393" s="4" t="s">
        <v>9032</v>
      </c>
    </row>
    <row r="2394" spans="1:10" hidden="1">
      <c r="A2394" s="4">
        <v>2.0210533999000301E+17</v>
      </c>
      <c r="B2394" s="4">
        <v>3730701721</v>
      </c>
      <c r="C2394" s="4" t="s">
        <v>9279</v>
      </c>
      <c r="D2394" s="4">
        <v>33999</v>
      </c>
      <c r="E2394" s="4">
        <v>20210520</v>
      </c>
      <c r="F2394" s="4">
        <v>20210520</v>
      </c>
      <c r="G2394" s="4">
        <v>20240520</v>
      </c>
      <c r="H2394" s="4" t="s">
        <v>9278</v>
      </c>
      <c r="J2394" s="4" t="s">
        <v>780</v>
      </c>
    </row>
    <row r="2395" spans="1:10" hidden="1">
      <c r="A2395" s="4">
        <v>2.0210547911000301E+17</v>
      </c>
      <c r="B2395" s="4">
        <v>5416600278</v>
      </c>
      <c r="C2395" s="4" t="s">
        <v>9277</v>
      </c>
      <c r="D2395" s="4">
        <v>47911</v>
      </c>
      <c r="E2395" s="4">
        <v>20210520</v>
      </c>
      <c r="F2395" s="4">
        <v>20210520</v>
      </c>
      <c r="G2395" s="4">
        <v>20240520</v>
      </c>
      <c r="H2395" s="4" t="s">
        <v>9276</v>
      </c>
      <c r="I2395" s="4" t="s">
        <v>1490</v>
      </c>
      <c r="J2395" s="4" t="s">
        <v>440</v>
      </c>
    </row>
    <row r="2396" spans="1:10" hidden="1">
      <c r="A2396" s="4">
        <v>2.0210542311000301E+17</v>
      </c>
      <c r="B2396" s="4">
        <v>8998100729</v>
      </c>
      <c r="C2396" s="4" t="s">
        <v>9275</v>
      </c>
      <c r="D2396" s="4">
        <v>42311</v>
      </c>
      <c r="E2396" s="4">
        <v>20210520</v>
      </c>
      <c r="F2396" s="4">
        <v>20210520</v>
      </c>
      <c r="G2396" s="4">
        <v>20231206</v>
      </c>
      <c r="H2396" s="4" t="s">
        <v>9274</v>
      </c>
      <c r="I2396" s="4" t="s">
        <v>149</v>
      </c>
      <c r="J2396" s="4" t="s">
        <v>718</v>
      </c>
    </row>
    <row r="2397" spans="1:10" hidden="1">
      <c r="A2397" s="4">
        <v>2.0210523112000301E+17</v>
      </c>
      <c r="B2397" s="4">
        <v>8588600534</v>
      </c>
      <c r="C2397" s="4" t="s">
        <v>9273</v>
      </c>
      <c r="D2397" s="4">
        <v>23112</v>
      </c>
      <c r="E2397" s="4">
        <v>20210520</v>
      </c>
      <c r="F2397" s="4">
        <v>20210520</v>
      </c>
      <c r="G2397" s="4">
        <v>20231108</v>
      </c>
      <c r="H2397" s="4" t="s">
        <v>9272</v>
      </c>
      <c r="J2397" s="4" t="s">
        <v>9271</v>
      </c>
    </row>
    <row r="2398" spans="1:10" hidden="1">
      <c r="A2398" s="4">
        <v>2.0210525111000301E+17</v>
      </c>
      <c r="B2398" s="4">
        <v>8866500359</v>
      </c>
      <c r="C2398" s="4" t="s">
        <v>9355</v>
      </c>
      <c r="D2398" s="4">
        <v>25111</v>
      </c>
      <c r="E2398" s="4">
        <v>20210521</v>
      </c>
      <c r="F2398" s="4">
        <v>20210521</v>
      </c>
      <c r="G2398" s="4">
        <v>20240521</v>
      </c>
      <c r="H2398" s="4" t="s">
        <v>9356</v>
      </c>
      <c r="I2398" s="4" t="s">
        <v>9355</v>
      </c>
      <c r="J2398" s="4" t="s">
        <v>82</v>
      </c>
    </row>
    <row r="2399" spans="1:10" hidden="1">
      <c r="A2399" s="4">
        <v>2.0210533910000301E+17</v>
      </c>
      <c r="B2399" s="4">
        <v>7208101228</v>
      </c>
      <c r="C2399" s="4" t="s">
        <v>9268</v>
      </c>
      <c r="D2399" s="4">
        <v>33910</v>
      </c>
      <c r="E2399" s="4">
        <v>20210520</v>
      </c>
      <c r="F2399" s="4">
        <v>20210520</v>
      </c>
      <c r="G2399" s="4">
        <v>20240520</v>
      </c>
      <c r="H2399" s="4" t="s">
        <v>2650</v>
      </c>
      <c r="I2399" s="4" t="s">
        <v>2482</v>
      </c>
      <c r="J2399" s="4" t="s">
        <v>310</v>
      </c>
    </row>
    <row r="2400" spans="1:10" hidden="1">
      <c r="A2400" s="4">
        <v>2.0210520411000301E+17</v>
      </c>
      <c r="B2400" s="4">
        <v>4718600768</v>
      </c>
      <c r="C2400" s="4" t="s">
        <v>9267</v>
      </c>
      <c r="D2400" s="4">
        <v>20411</v>
      </c>
      <c r="E2400" s="4">
        <v>20210520</v>
      </c>
      <c r="F2400" s="4">
        <v>20210520</v>
      </c>
      <c r="G2400" s="4">
        <v>20240520</v>
      </c>
      <c r="H2400" s="4" t="s">
        <v>9266</v>
      </c>
      <c r="J2400" s="4" t="s">
        <v>694</v>
      </c>
    </row>
    <row r="2401" spans="1:10" hidden="1">
      <c r="A2401" s="4">
        <v>2.0210513229000301E+17</v>
      </c>
      <c r="B2401" s="4">
        <v>3708801833</v>
      </c>
      <c r="C2401" s="4" t="s">
        <v>9264</v>
      </c>
      <c r="D2401" s="4">
        <v>13229</v>
      </c>
      <c r="E2401" s="4">
        <v>20210520</v>
      </c>
      <c r="F2401" s="4">
        <v>20210520</v>
      </c>
      <c r="G2401" s="4">
        <v>20240520</v>
      </c>
      <c r="H2401" s="4" t="s">
        <v>9265</v>
      </c>
      <c r="I2401" s="4" t="s">
        <v>9264</v>
      </c>
      <c r="J2401" s="4" t="s">
        <v>115</v>
      </c>
    </row>
    <row r="2402" spans="1:10" hidden="1">
      <c r="A2402" s="4">
        <v>2.0210558221000301E+17</v>
      </c>
      <c r="B2402" s="4">
        <v>6278801971</v>
      </c>
      <c r="C2402" s="4" t="s">
        <v>9263</v>
      </c>
      <c r="D2402" s="4">
        <v>58221</v>
      </c>
      <c r="E2402" s="4">
        <v>20210520</v>
      </c>
      <c r="F2402" s="4">
        <v>20210520</v>
      </c>
      <c r="G2402" s="4">
        <v>20240520</v>
      </c>
      <c r="H2402" s="4" t="s">
        <v>9262</v>
      </c>
      <c r="I2402" s="4" t="s">
        <v>175</v>
      </c>
      <c r="J2402" s="4" t="s">
        <v>228</v>
      </c>
    </row>
    <row r="2403" spans="1:10" hidden="1">
      <c r="A2403" s="4">
        <v>2.0210558222000301E+17</v>
      </c>
      <c r="B2403" s="4">
        <v>1438801532</v>
      </c>
      <c r="C2403" s="4" t="s">
        <v>9261</v>
      </c>
      <c r="D2403" s="4">
        <v>58222</v>
      </c>
      <c r="E2403" s="4">
        <v>20210520</v>
      </c>
      <c r="F2403" s="4">
        <v>20210520</v>
      </c>
      <c r="G2403" s="4">
        <v>20240520</v>
      </c>
      <c r="H2403" s="4" t="s">
        <v>4222</v>
      </c>
      <c r="I2403" s="4" t="s">
        <v>9260</v>
      </c>
      <c r="J2403" s="4" t="s">
        <v>94</v>
      </c>
    </row>
    <row r="2404" spans="1:10" hidden="1">
      <c r="A2404" s="4">
        <v>2.0210571531000301E+17</v>
      </c>
      <c r="B2404" s="4">
        <v>1858600926</v>
      </c>
      <c r="C2404" s="4" t="s">
        <v>9259</v>
      </c>
      <c r="D2404" s="4">
        <v>71531</v>
      </c>
      <c r="E2404" s="4">
        <v>20210520</v>
      </c>
      <c r="F2404" s="4">
        <v>20210520</v>
      </c>
      <c r="G2404" s="4">
        <v>20240520</v>
      </c>
      <c r="H2404" s="4" t="s">
        <v>9258</v>
      </c>
      <c r="I2404" s="4">
        <v>1716</v>
      </c>
      <c r="J2404" s="4" t="s">
        <v>87</v>
      </c>
    </row>
    <row r="2405" spans="1:10" hidden="1">
      <c r="A2405" s="4">
        <v>2.0210520423000301E+17</v>
      </c>
      <c r="B2405" s="4">
        <v>6298701290</v>
      </c>
      <c r="C2405" s="4" t="s">
        <v>9257</v>
      </c>
      <c r="D2405" s="4">
        <v>20423</v>
      </c>
      <c r="E2405" s="4">
        <v>20210520</v>
      </c>
      <c r="F2405" s="4">
        <v>20210520</v>
      </c>
      <c r="G2405" s="4">
        <v>20240520</v>
      </c>
      <c r="H2405" s="4" t="s">
        <v>1061</v>
      </c>
      <c r="I2405" s="4" t="s">
        <v>4215</v>
      </c>
      <c r="J2405" s="4" t="s">
        <v>368</v>
      </c>
    </row>
    <row r="2406" spans="1:10" hidden="1">
      <c r="A2406" s="4">
        <v>2.0210558221000301E+17</v>
      </c>
      <c r="B2406" s="4">
        <v>7608101944</v>
      </c>
      <c r="C2406" s="4" t="s">
        <v>9256</v>
      </c>
      <c r="D2406" s="4">
        <v>58221</v>
      </c>
      <c r="E2406" s="4">
        <v>20210520</v>
      </c>
      <c r="F2406" s="4">
        <v>20210520</v>
      </c>
      <c r="G2406" s="4">
        <v>20240520</v>
      </c>
      <c r="H2406" s="4" t="s">
        <v>341</v>
      </c>
      <c r="I2406" s="4" t="s">
        <v>4228</v>
      </c>
      <c r="J2406" s="4" t="s">
        <v>228</v>
      </c>
    </row>
    <row r="2407" spans="1:10" hidden="1">
      <c r="A2407" s="4">
        <v>2.0210546499000301E+17</v>
      </c>
      <c r="B2407" s="4">
        <v>4748801775</v>
      </c>
      <c r="C2407" s="4" t="s">
        <v>9255</v>
      </c>
      <c r="D2407" s="4">
        <v>46499</v>
      </c>
      <c r="E2407" s="4">
        <v>20210520</v>
      </c>
      <c r="F2407" s="4">
        <v>20210520</v>
      </c>
      <c r="G2407" s="4">
        <v>20240520</v>
      </c>
      <c r="H2407" s="4" t="s">
        <v>9254</v>
      </c>
      <c r="I2407" s="4" t="s">
        <v>9253</v>
      </c>
      <c r="J2407" s="4" t="s">
        <v>184</v>
      </c>
    </row>
    <row r="2408" spans="1:10" hidden="1">
      <c r="A2408" s="4">
        <v>2.0210558222000301E+17</v>
      </c>
      <c r="B2408" s="4">
        <v>5668601537</v>
      </c>
      <c r="C2408" s="4" t="s">
        <v>9252</v>
      </c>
      <c r="D2408" s="4">
        <v>58222</v>
      </c>
      <c r="E2408" s="4">
        <v>20210520</v>
      </c>
      <c r="F2408" s="4">
        <v>20210520</v>
      </c>
      <c r="G2408" s="4">
        <v>20240520</v>
      </c>
      <c r="H2408" s="4" t="s">
        <v>9251</v>
      </c>
      <c r="I2408" s="4" t="s">
        <v>9250</v>
      </c>
      <c r="J2408" s="4" t="s">
        <v>94</v>
      </c>
    </row>
    <row r="2409" spans="1:10" hidden="1">
      <c r="A2409" s="4">
        <v>2.0210542420000301E+17</v>
      </c>
      <c r="B2409" s="4">
        <v>1538101864</v>
      </c>
      <c r="C2409" s="4" t="s">
        <v>9249</v>
      </c>
      <c r="D2409" s="4">
        <v>42420</v>
      </c>
      <c r="E2409" s="4">
        <v>20210520</v>
      </c>
      <c r="F2409" s="4">
        <v>20210520</v>
      </c>
      <c r="G2409" s="4">
        <v>20240520</v>
      </c>
      <c r="H2409" s="4" t="s">
        <v>9248</v>
      </c>
      <c r="I2409" s="4" t="s">
        <v>9247</v>
      </c>
      <c r="J2409" s="4" t="s">
        <v>1649</v>
      </c>
    </row>
    <row r="2410" spans="1:10" hidden="1">
      <c r="A2410" s="4">
        <v>2.0210558222000301E+17</v>
      </c>
      <c r="B2410" s="4">
        <v>6878101936</v>
      </c>
      <c r="C2410" s="4" t="s">
        <v>9246</v>
      </c>
      <c r="D2410" s="4">
        <v>58222</v>
      </c>
      <c r="E2410" s="4">
        <v>20210520</v>
      </c>
      <c r="F2410" s="4">
        <v>20210520</v>
      </c>
      <c r="G2410" s="4">
        <v>20240520</v>
      </c>
      <c r="H2410" s="4" t="s">
        <v>9245</v>
      </c>
      <c r="I2410" s="4" t="s">
        <v>149</v>
      </c>
      <c r="J2410" s="4" t="s">
        <v>94</v>
      </c>
    </row>
    <row r="2411" spans="1:10" hidden="1">
      <c r="A2411" s="4">
        <v>2.0210513229000301E+17</v>
      </c>
      <c r="B2411" s="4">
        <v>6498701713</v>
      </c>
      <c r="C2411" s="4" t="s">
        <v>9244</v>
      </c>
      <c r="D2411" s="4">
        <v>13229</v>
      </c>
      <c r="E2411" s="4">
        <v>20210520</v>
      </c>
      <c r="F2411" s="4">
        <v>20210520</v>
      </c>
      <c r="G2411" s="4">
        <v>20240520</v>
      </c>
      <c r="H2411" s="4" t="s">
        <v>9243</v>
      </c>
      <c r="I2411" s="4" t="s">
        <v>9242</v>
      </c>
      <c r="J2411" s="4" t="s">
        <v>115</v>
      </c>
    </row>
    <row r="2412" spans="1:10" hidden="1">
      <c r="A2412" s="4">
        <v>2.0210532029000301E+17</v>
      </c>
      <c r="B2412" s="4">
        <v>2262212959</v>
      </c>
      <c r="C2412" s="4" t="s">
        <v>9241</v>
      </c>
      <c r="D2412" s="4">
        <v>32029</v>
      </c>
      <c r="E2412" s="4">
        <v>20210520</v>
      </c>
      <c r="F2412" s="4">
        <v>20210520</v>
      </c>
      <c r="G2412" s="4">
        <v>20240520</v>
      </c>
      <c r="H2412" s="4" t="s">
        <v>9240</v>
      </c>
      <c r="J2412" s="4" t="s">
        <v>637</v>
      </c>
    </row>
    <row r="2413" spans="1:10" hidden="1">
      <c r="A2413" s="4">
        <v>2.0210530399000301E+17</v>
      </c>
      <c r="B2413" s="4">
        <v>2021624953</v>
      </c>
      <c r="C2413" s="4" t="s">
        <v>9239</v>
      </c>
      <c r="D2413" s="4">
        <v>30399</v>
      </c>
      <c r="E2413" s="4">
        <v>20210520</v>
      </c>
      <c r="F2413" s="4">
        <v>20210520</v>
      </c>
      <c r="G2413" s="4">
        <v>20240520</v>
      </c>
      <c r="H2413" s="4" t="s">
        <v>9238</v>
      </c>
      <c r="I2413" s="4" t="s">
        <v>9237</v>
      </c>
      <c r="J2413" s="4" t="s">
        <v>1763</v>
      </c>
    </row>
    <row r="2414" spans="1:10" hidden="1">
      <c r="A2414" s="4">
        <v>2.0210547217000301E+17</v>
      </c>
      <c r="B2414" s="4">
        <v>7178700114</v>
      </c>
      <c r="C2414" s="4" t="s">
        <v>9236</v>
      </c>
      <c r="D2414" s="4">
        <v>47217</v>
      </c>
      <c r="E2414" s="4">
        <v>20210520</v>
      </c>
      <c r="F2414" s="4">
        <v>20210520</v>
      </c>
      <c r="G2414" s="4">
        <v>20220709</v>
      </c>
      <c r="H2414" s="4" t="s">
        <v>9235</v>
      </c>
      <c r="I2414" s="4" t="s">
        <v>3363</v>
      </c>
      <c r="J2414" s="4" t="s">
        <v>4425</v>
      </c>
    </row>
    <row r="2415" spans="1:10" hidden="1">
      <c r="A2415" s="4">
        <v>2.0210530399000301E+17</v>
      </c>
      <c r="B2415" s="4">
        <v>8317400287</v>
      </c>
      <c r="C2415" s="4" t="s">
        <v>9354</v>
      </c>
      <c r="D2415" s="4">
        <v>30399</v>
      </c>
      <c r="E2415" s="4">
        <v>20210521</v>
      </c>
      <c r="F2415" s="4">
        <v>20210521</v>
      </c>
      <c r="G2415" s="4">
        <v>20240521</v>
      </c>
      <c r="H2415" s="4" t="s">
        <v>9159</v>
      </c>
      <c r="J2415" s="4" t="s">
        <v>1763</v>
      </c>
    </row>
    <row r="2416" spans="1:10" hidden="1">
      <c r="A2416" s="4">
        <v>2.0210542491000301E+17</v>
      </c>
      <c r="B2416" s="4">
        <v>5218101897</v>
      </c>
      <c r="C2416" s="4" t="s">
        <v>9233</v>
      </c>
      <c r="D2416" s="4">
        <v>42491</v>
      </c>
      <c r="E2416" s="4">
        <v>20210519</v>
      </c>
      <c r="F2416" s="4">
        <v>20210519</v>
      </c>
      <c r="G2416" s="4">
        <v>20240519</v>
      </c>
      <c r="H2416" s="4" t="s">
        <v>9232</v>
      </c>
      <c r="I2416" s="4" t="s">
        <v>9231</v>
      </c>
      <c r="J2416" s="4" t="s">
        <v>883</v>
      </c>
    </row>
    <row r="2417" spans="1:10" hidden="1">
      <c r="A2417" s="4">
        <v>2.0210510122000301E+17</v>
      </c>
      <c r="B2417" s="4">
        <v>1378651159</v>
      </c>
      <c r="C2417" s="4" t="s">
        <v>9230</v>
      </c>
      <c r="D2417" s="4">
        <v>10122</v>
      </c>
      <c r="E2417" s="4">
        <v>20210519</v>
      </c>
      <c r="F2417" s="4">
        <v>20210519</v>
      </c>
      <c r="G2417" s="4">
        <v>20211202</v>
      </c>
      <c r="H2417" s="4" t="s">
        <v>9229</v>
      </c>
      <c r="J2417" s="4" t="s">
        <v>1361</v>
      </c>
    </row>
    <row r="2418" spans="1:10" hidden="1">
      <c r="A2418" s="4">
        <v>2.0210547911000301E+17</v>
      </c>
      <c r="B2418" s="4">
        <v>7814500186</v>
      </c>
      <c r="C2418" s="4" t="s">
        <v>9228</v>
      </c>
      <c r="D2418" s="4">
        <v>47911</v>
      </c>
      <c r="E2418" s="4">
        <v>20210519</v>
      </c>
      <c r="F2418" s="4">
        <v>20210519</v>
      </c>
      <c r="G2418" s="4">
        <v>20240217</v>
      </c>
      <c r="H2418" s="4" t="s">
        <v>9227</v>
      </c>
      <c r="I2418" s="4" t="s">
        <v>2919</v>
      </c>
      <c r="J2418" s="4" t="s">
        <v>440</v>
      </c>
    </row>
    <row r="2419" spans="1:10" hidden="1">
      <c r="A2419" s="4">
        <v>2.0210570111000301E+17</v>
      </c>
      <c r="B2419" s="4">
        <v>1308708468</v>
      </c>
      <c r="C2419" s="4" t="s">
        <v>9226</v>
      </c>
      <c r="D2419" s="4">
        <v>70111</v>
      </c>
      <c r="E2419" s="4">
        <v>20210519</v>
      </c>
      <c r="F2419" s="4">
        <v>20210519</v>
      </c>
      <c r="G2419" s="4">
        <v>20240519</v>
      </c>
      <c r="H2419" s="4" t="s">
        <v>9225</v>
      </c>
      <c r="J2419" s="4" t="s">
        <v>399</v>
      </c>
    </row>
    <row r="2420" spans="1:10" hidden="1">
      <c r="A2420" s="4">
        <v>2.0210524222000301E+17</v>
      </c>
      <c r="B2420" s="4">
        <v>6028600246</v>
      </c>
      <c r="C2420" s="4" t="s">
        <v>9224</v>
      </c>
      <c r="D2420" s="4">
        <v>24222</v>
      </c>
      <c r="E2420" s="4">
        <v>20210519</v>
      </c>
      <c r="F2420" s="4">
        <v>20210519</v>
      </c>
      <c r="G2420" s="4">
        <v>20221103</v>
      </c>
      <c r="H2420" s="4" t="s">
        <v>9223</v>
      </c>
      <c r="J2420" s="4" t="s">
        <v>3148</v>
      </c>
    </row>
    <row r="2421" spans="1:10" hidden="1">
      <c r="A2421" s="4">
        <v>2.0210546329000301E+17</v>
      </c>
      <c r="B2421" s="4">
        <v>2124300726</v>
      </c>
      <c r="C2421" s="4" t="s">
        <v>9222</v>
      </c>
      <c r="D2421" s="4">
        <v>46329</v>
      </c>
      <c r="E2421" s="4">
        <v>20210519</v>
      </c>
      <c r="F2421" s="4">
        <v>20210519</v>
      </c>
      <c r="G2421" s="4">
        <v>20240519</v>
      </c>
      <c r="H2421" s="4" t="s">
        <v>9221</v>
      </c>
      <c r="J2421" s="4" t="s">
        <v>830</v>
      </c>
    </row>
    <row r="2422" spans="1:10" hidden="1">
      <c r="A2422" s="4">
        <v>2.0210558221000301E+17</v>
      </c>
      <c r="B2422" s="4">
        <v>8158701042</v>
      </c>
      <c r="C2422" s="4" t="s">
        <v>9220</v>
      </c>
      <c r="D2422" s="4">
        <v>58221</v>
      </c>
      <c r="E2422" s="4">
        <v>20210518</v>
      </c>
      <c r="F2422" s="4">
        <v>20210518</v>
      </c>
      <c r="G2422" s="4">
        <v>20240518</v>
      </c>
      <c r="H2422" s="4" t="s">
        <v>2146</v>
      </c>
      <c r="I2422" s="4" t="s">
        <v>9219</v>
      </c>
      <c r="J2422" s="4" t="s">
        <v>228</v>
      </c>
    </row>
    <row r="2423" spans="1:10" hidden="1">
      <c r="A2423" s="4">
        <v>2.0210558222000301E+17</v>
      </c>
      <c r="B2423" s="4">
        <v>5498601677</v>
      </c>
      <c r="C2423" s="4" t="s">
        <v>9218</v>
      </c>
      <c r="D2423" s="4">
        <v>58222</v>
      </c>
      <c r="E2423" s="4">
        <v>20210518</v>
      </c>
      <c r="F2423" s="4">
        <v>20210518</v>
      </c>
      <c r="G2423" s="4">
        <v>20240518</v>
      </c>
      <c r="H2423" s="4" t="s">
        <v>7381</v>
      </c>
      <c r="I2423" s="4" t="s">
        <v>9217</v>
      </c>
      <c r="J2423" s="4" t="s">
        <v>94</v>
      </c>
    </row>
    <row r="2424" spans="1:10" hidden="1">
      <c r="A2424" s="4">
        <v>2.0210542201000301E+17</v>
      </c>
      <c r="B2424" s="4">
        <v>6728701144</v>
      </c>
      <c r="C2424" s="4" t="s">
        <v>9216</v>
      </c>
      <c r="D2424" s="4">
        <v>42201</v>
      </c>
      <c r="E2424" s="4">
        <v>20210518</v>
      </c>
      <c r="F2424" s="4">
        <v>20210518</v>
      </c>
      <c r="G2424" s="4">
        <v>20240518</v>
      </c>
      <c r="H2424" s="4" t="s">
        <v>9215</v>
      </c>
      <c r="I2424" s="4" t="s">
        <v>9214</v>
      </c>
      <c r="J2424" s="4" t="s">
        <v>1710</v>
      </c>
    </row>
    <row r="2425" spans="1:10" hidden="1">
      <c r="A2425" s="4">
        <v>2.0210590191000301E+17</v>
      </c>
      <c r="B2425" s="4">
        <v>3168601271</v>
      </c>
      <c r="C2425" s="4" t="s">
        <v>9213</v>
      </c>
      <c r="D2425" s="4">
        <v>90191</v>
      </c>
      <c r="E2425" s="4">
        <v>20210518</v>
      </c>
      <c r="F2425" s="4">
        <v>20210518</v>
      </c>
      <c r="G2425" s="4">
        <v>20240518</v>
      </c>
      <c r="H2425" s="4" t="s">
        <v>9212</v>
      </c>
      <c r="I2425" s="4" t="s">
        <v>9211</v>
      </c>
      <c r="J2425" s="4" t="s">
        <v>3866</v>
      </c>
    </row>
    <row r="2426" spans="1:10" hidden="1">
      <c r="A2426" s="4">
        <v>2.0210528410000301E+17</v>
      </c>
      <c r="B2426" s="4">
        <v>8868600602</v>
      </c>
      <c r="C2426" s="4" t="s">
        <v>9210</v>
      </c>
      <c r="D2426" s="4">
        <v>28410</v>
      </c>
      <c r="E2426" s="4">
        <v>20210518</v>
      </c>
      <c r="F2426" s="4">
        <v>20210518</v>
      </c>
      <c r="G2426" s="4">
        <v>20240103</v>
      </c>
      <c r="H2426" s="4" t="s">
        <v>9209</v>
      </c>
      <c r="J2426" s="4" t="s">
        <v>2199</v>
      </c>
    </row>
    <row r="2427" spans="1:10" hidden="1">
      <c r="A2427" s="4">
        <v>2.0210570209000301E+17</v>
      </c>
      <c r="B2427" s="4">
        <v>8328101502</v>
      </c>
      <c r="C2427" s="4" t="s">
        <v>9208</v>
      </c>
      <c r="D2427" s="4">
        <v>70209</v>
      </c>
      <c r="E2427" s="4">
        <v>20210518</v>
      </c>
      <c r="F2427" s="4">
        <v>20210518</v>
      </c>
      <c r="G2427" s="4">
        <v>20240518</v>
      </c>
      <c r="H2427" s="4" t="s">
        <v>531</v>
      </c>
      <c r="I2427" s="4" t="s">
        <v>5624</v>
      </c>
      <c r="J2427" s="4" t="s">
        <v>242</v>
      </c>
    </row>
    <row r="2428" spans="1:10" hidden="1">
      <c r="A2428" s="4">
        <v>2.0210575210000301E+17</v>
      </c>
      <c r="B2428" s="4">
        <v>5068189860</v>
      </c>
      <c r="C2428" s="4" t="s">
        <v>9207</v>
      </c>
      <c r="D2428" s="4">
        <v>75210</v>
      </c>
      <c r="E2428" s="4">
        <v>20210518</v>
      </c>
      <c r="F2428" s="4">
        <v>20210518</v>
      </c>
      <c r="G2428" s="4">
        <v>20210818</v>
      </c>
      <c r="H2428" s="4" t="s">
        <v>9206</v>
      </c>
      <c r="I2428" s="4" t="s">
        <v>185</v>
      </c>
      <c r="J2428" s="4" t="s">
        <v>155</v>
      </c>
    </row>
    <row r="2429" spans="1:10" hidden="1">
      <c r="A2429" s="4">
        <v>2.0210532029000301E+17</v>
      </c>
      <c r="B2429" s="4">
        <v>4528100457</v>
      </c>
      <c r="C2429" s="4" t="s">
        <v>9205</v>
      </c>
      <c r="D2429" s="4">
        <v>32029</v>
      </c>
      <c r="E2429" s="4">
        <v>20210518</v>
      </c>
      <c r="F2429" s="4">
        <v>20210518</v>
      </c>
      <c r="G2429" s="4">
        <v>20230628</v>
      </c>
      <c r="H2429" s="4" t="s">
        <v>9204</v>
      </c>
      <c r="I2429" s="4" t="s">
        <v>9203</v>
      </c>
      <c r="J2429" s="4" t="s">
        <v>637</v>
      </c>
    </row>
    <row r="2430" spans="1:10" hidden="1">
      <c r="A2430" s="4">
        <v>2.0210546599000301E+17</v>
      </c>
      <c r="B2430" s="4">
        <v>3598601152</v>
      </c>
      <c r="C2430" s="4" t="s">
        <v>9202</v>
      </c>
      <c r="D2430" s="4">
        <v>46599</v>
      </c>
      <c r="E2430" s="4">
        <v>20210518</v>
      </c>
      <c r="F2430" s="4">
        <v>20210518</v>
      </c>
      <c r="G2430" s="4">
        <v>20230624</v>
      </c>
      <c r="H2430" s="4" t="s">
        <v>9201</v>
      </c>
      <c r="I2430" s="4" t="s">
        <v>9200</v>
      </c>
      <c r="J2430" s="4" t="s">
        <v>2310</v>
      </c>
    </row>
    <row r="2431" spans="1:10" hidden="1">
      <c r="A2431" s="4">
        <v>2.0210516211000301E+17</v>
      </c>
      <c r="B2431" s="4">
        <v>5394900564</v>
      </c>
      <c r="C2431" s="4" t="s">
        <v>9199</v>
      </c>
      <c r="D2431" s="4">
        <v>16211</v>
      </c>
      <c r="E2431" s="4">
        <v>20210518</v>
      </c>
      <c r="F2431" s="4">
        <v>20210518</v>
      </c>
      <c r="G2431" s="4">
        <v>20240518</v>
      </c>
      <c r="H2431" s="4" t="s">
        <v>9198</v>
      </c>
      <c r="I2431" s="4" t="s">
        <v>9197</v>
      </c>
      <c r="J2431" s="4" t="s">
        <v>1402</v>
      </c>
    </row>
    <row r="2432" spans="1:10" hidden="1">
      <c r="A2432" s="4">
        <v>2.0210573203000301E+17</v>
      </c>
      <c r="B2432" s="4">
        <v>6173709130</v>
      </c>
      <c r="C2432" s="4" t="s">
        <v>9196</v>
      </c>
      <c r="D2432" s="4">
        <v>73203</v>
      </c>
      <c r="E2432" s="4">
        <v>20210518</v>
      </c>
      <c r="F2432" s="4">
        <v>20210518</v>
      </c>
      <c r="G2432" s="4">
        <v>20210815</v>
      </c>
      <c r="H2432" s="4" t="s">
        <v>3905</v>
      </c>
      <c r="I2432" s="4" t="s">
        <v>9195</v>
      </c>
      <c r="J2432" s="4" t="s">
        <v>260</v>
      </c>
    </row>
    <row r="2433" spans="1:10" hidden="1">
      <c r="A2433" s="4">
        <v>2.0210573909000301E+17</v>
      </c>
      <c r="B2433" s="4">
        <v>2627600321</v>
      </c>
      <c r="C2433" s="4" t="s">
        <v>9194</v>
      </c>
      <c r="D2433" s="4">
        <v>73909</v>
      </c>
      <c r="E2433" s="4">
        <v>20210518</v>
      </c>
      <c r="F2433" s="4">
        <v>20210518</v>
      </c>
      <c r="G2433" s="4">
        <v>20240518</v>
      </c>
      <c r="H2433" s="4" t="s">
        <v>9193</v>
      </c>
      <c r="I2433" s="4" t="s">
        <v>9192</v>
      </c>
      <c r="J2433" s="4" t="s">
        <v>293</v>
      </c>
    </row>
    <row r="2434" spans="1:10" hidden="1">
      <c r="A2434" s="4">
        <v>2.0210532029000301E+17</v>
      </c>
      <c r="B2434" s="4">
        <v>3784700553</v>
      </c>
      <c r="C2434" s="4" t="s">
        <v>9191</v>
      </c>
      <c r="D2434" s="4">
        <v>32029</v>
      </c>
      <c r="E2434" s="4">
        <v>20210518</v>
      </c>
      <c r="F2434" s="4">
        <v>20210518</v>
      </c>
      <c r="G2434" s="4">
        <v>20240518</v>
      </c>
      <c r="H2434" s="4" t="s">
        <v>9190</v>
      </c>
      <c r="J2434" s="4" t="s">
        <v>637</v>
      </c>
    </row>
    <row r="2435" spans="1:10" hidden="1">
      <c r="A2435" s="4">
        <v>2.0210542311000301E+17</v>
      </c>
      <c r="B2435" s="4">
        <v>8608801146</v>
      </c>
      <c r="C2435" s="4" t="s">
        <v>9307</v>
      </c>
      <c r="D2435" s="4">
        <v>42311</v>
      </c>
      <c r="E2435" s="4">
        <v>20210521</v>
      </c>
      <c r="F2435" s="4">
        <v>20210521</v>
      </c>
      <c r="G2435" s="4">
        <v>20240521</v>
      </c>
      <c r="H2435" s="4" t="s">
        <v>9306</v>
      </c>
      <c r="J2435" s="4" t="s">
        <v>718</v>
      </c>
    </row>
    <row r="2436" spans="1:10" hidden="1">
      <c r="A2436" s="4">
        <v>2.0210542321000301E+17</v>
      </c>
      <c r="B2436" s="4">
        <v>1615000464</v>
      </c>
      <c r="C2436" s="4" t="s">
        <v>7279</v>
      </c>
      <c r="D2436" s="4">
        <v>42321</v>
      </c>
      <c r="E2436" s="4">
        <v>20210518</v>
      </c>
      <c r="F2436" s="4">
        <v>20210518</v>
      </c>
      <c r="G2436" s="4">
        <v>20240518</v>
      </c>
      <c r="H2436" s="4" t="s">
        <v>3627</v>
      </c>
      <c r="I2436" s="4" t="s">
        <v>9188</v>
      </c>
      <c r="J2436" s="4" t="s">
        <v>698</v>
      </c>
    </row>
    <row r="2437" spans="1:10" hidden="1">
      <c r="A2437" s="4">
        <v>2.0210529299000301E+17</v>
      </c>
      <c r="B2437" s="4">
        <v>8848601283</v>
      </c>
      <c r="C2437" s="4" t="s">
        <v>9187</v>
      </c>
      <c r="D2437" s="4">
        <v>29299</v>
      </c>
      <c r="E2437" s="4">
        <v>20210518</v>
      </c>
      <c r="F2437" s="4">
        <v>20210518</v>
      </c>
      <c r="G2437" s="4">
        <v>20240518</v>
      </c>
      <c r="H2437" s="4" t="s">
        <v>9186</v>
      </c>
      <c r="I2437" s="4" t="s">
        <v>9185</v>
      </c>
      <c r="J2437" s="4" t="s">
        <v>137</v>
      </c>
    </row>
    <row r="2438" spans="1:10" hidden="1">
      <c r="A2438" s="4">
        <v>2.0210562010000301E+17</v>
      </c>
      <c r="B2438" s="4">
        <v>4538101143</v>
      </c>
      <c r="C2438" s="4" t="s">
        <v>9184</v>
      </c>
      <c r="D2438" s="4">
        <v>62010</v>
      </c>
      <c r="E2438" s="4">
        <v>20210518</v>
      </c>
      <c r="F2438" s="4">
        <v>20210518</v>
      </c>
      <c r="G2438" s="4">
        <v>20240518</v>
      </c>
      <c r="H2438" s="4" t="s">
        <v>3905</v>
      </c>
      <c r="J2438" s="4" t="s">
        <v>118</v>
      </c>
    </row>
    <row r="2439" spans="1:10" hidden="1">
      <c r="A2439" s="4">
        <v>2.0210532011000301E+17</v>
      </c>
      <c r="B2439" s="4">
        <v>4544500396</v>
      </c>
      <c r="C2439" s="4" t="s">
        <v>9183</v>
      </c>
      <c r="D2439" s="4">
        <v>32011</v>
      </c>
      <c r="E2439" s="4">
        <v>20210518</v>
      </c>
      <c r="F2439" s="4">
        <v>20210518</v>
      </c>
      <c r="G2439" s="4">
        <v>20240518</v>
      </c>
      <c r="H2439" s="4" t="s">
        <v>9182</v>
      </c>
      <c r="I2439" s="4" t="s">
        <v>9181</v>
      </c>
      <c r="J2439" s="4" t="s">
        <v>3949</v>
      </c>
    </row>
    <row r="2440" spans="1:10" hidden="1">
      <c r="A2440" s="4">
        <v>2.0210575999000301E+17</v>
      </c>
      <c r="B2440" s="4">
        <v>8091300993</v>
      </c>
      <c r="C2440" s="4" t="s">
        <v>9180</v>
      </c>
      <c r="D2440" s="4">
        <v>75999</v>
      </c>
      <c r="E2440" s="4">
        <v>20210518</v>
      </c>
      <c r="F2440" s="4">
        <v>20210518</v>
      </c>
      <c r="G2440" s="4">
        <v>20240518</v>
      </c>
      <c r="H2440" s="4" t="s">
        <v>9179</v>
      </c>
      <c r="I2440" s="4" t="s">
        <v>9178</v>
      </c>
      <c r="J2440" s="4" t="s">
        <v>158</v>
      </c>
    </row>
    <row r="2441" spans="1:10">
      <c r="A2441" s="4">
        <v>2.0210318119000099E+17</v>
      </c>
      <c r="B2441" s="4">
        <v>3180133447</v>
      </c>
      <c r="C2441" s="4" t="s">
        <v>4030</v>
      </c>
      <c r="D2441" s="4">
        <v>18119</v>
      </c>
      <c r="E2441" s="4">
        <v>20210311</v>
      </c>
      <c r="F2441" s="4">
        <v>20210311</v>
      </c>
      <c r="G2441" s="4">
        <v>20211014</v>
      </c>
      <c r="H2441" s="4" t="s">
        <v>4029</v>
      </c>
      <c r="I2441" s="4" t="s">
        <v>149</v>
      </c>
      <c r="J2441" s="4" t="s">
        <v>707</v>
      </c>
    </row>
    <row r="2442" spans="1:10" hidden="1">
      <c r="A2442" s="4">
        <v>2.0210525113000301E+17</v>
      </c>
      <c r="B2442" s="4">
        <v>3128675602</v>
      </c>
      <c r="C2442" s="4" t="s">
        <v>9175</v>
      </c>
      <c r="D2442" s="4">
        <v>25113</v>
      </c>
      <c r="E2442" s="4">
        <v>20210518</v>
      </c>
      <c r="F2442" s="4">
        <v>20210518</v>
      </c>
      <c r="G2442" s="4">
        <v>20220114</v>
      </c>
      <c r="H2442" s="4" t="s">
        <v>9174</v>
      </c>
      <c r="J2442" s="4" t="s">
        <v>250</v>
      </c>
    </row>
    <row r="2443" spans="1:10" hidden="1">
      <c r="A2443" s="4">
        <v>2.0210525944000301E+17</v>
      </c>
      <c r="B2443" s="4">
        <v>3088145031</v>
      </c>
      <c r="C2443" s="4" t="s">
        <v>9173</v>
      </c>
      <c r="D2443" s="4">
        <v>25944</v>
      </c>
      <c r="E2443" s="4">
        <v>20210518</v>
      </c>
      <c r="F2443" s="4">
        <v>20210518</v>
      </c>
      <c r="G2443" s="4">
        <v>20240518</v>
      </c>
      <c r="H2443" s="4" t="s">
        <v>9172</v>
      </c>
      <c r="J2443" s="4" t="s">
        <v>1334</v>
      </c>
    </row>
    <row r="2444" spans="1:10" hidden="1">
      <c r="A2444" s="4">
        <v>2.0210531312000301E+17</v>
      </c>
      <c r="B2444" s="4">
        <v>5978800894</v>
      </c>
      <c r="C2444" s="4" t="s">
        <v>9171</v>
      </c>
      <c r="D2444" s="4">
        <v>31312</v>
      </c>
      <c r="E2444" s="4">
        <v>20210518</v>
      </c>
      <c r="F2444" s="4">
        <v>20210518</v>
      </c>
      <c r="G2444" s="4">
        <v>20240518</v>
      </c>
      <c r="H2444" s="4" t="s">
        <v>9170</v>
      </c>
      <c r="J2444" s="4" t="s">
        <v>748</v>
      </c>
    </row>
    <row r="2445" spans="1:10" hidden="1">
      <c r="A2445" s="4">
        <v>2.0210562010000301E+17</v>
      </c>
      <c r="B2445" s="4">
        <v>4118701520</v>
      </c>
      <c r="C2445" s="4" t="s">
        <v>9169</v>
      </c>
      <c r="D2445" s="4">
        <v>62010</v>
      </c>
      <c r="E2445" s="4">
        <v>20210518</v>
      </c>
      <c r="F2445" s="4">
        <v>20210518</v>
      </c>
      <c r="G2445" s="4">
        <v>20240518</v>
      </c>
      <c r="H2445" s="4" t="s">
        <v>9168</v>
      </c>
      <c r="J2445" s="4" t="s">
        <v>118</v>
      </c>
    </row>
    <row r="2446" spans="1:10" hidden="1">
      <c r="A2446" s="4">
        <v>2.0210533301000301E+17</v>
      </c>
      <c r="B2446" s="4">
        <v>4078801488</v>
      </c>
      <c r="C2446" s="4" t="s">
        <v>9167</v>
      </c>
      <c r="D2446" s="4">
        <v>33301</v>
      </c>
      <c r="E2446" s="4">
        <v>20210518</v>
      </c>
      <c r="F2446" s="4">
        <v>20210518</v>
      </c>
      <c r="G2446" s="4">
        <v>20240518</v>
      </c>
      <c r="H2446" s="4" t="s">
        <v>9166</v>
      </c>
      <c r="I2446" s="4" t="s">
        <v>9165</v>
      </c>
      <c r="J2446" s="4" t="s">
        <v>902</v>
      </c>
    </row>
    <row r="2447" spans="1:10" hidden="1">
      <c r="A2447" s="4">
        <v>2.0210574211000301E+17</v>
      </c>
      <c r="B2447" s="4">
        <v>4848701644</v>
      </c>
      <c r="C2447" s="4" t="s">
        <v>9164</v>
      </c>
      <c r="D2447" s="4">
        <v>74211</v>
      </c>
      <c r="E2447" s="4">
        <v>20210518</v>
      </c>
      <c r="F2447" s="4">
        <v>20210518</v>
      </c>
      <c r="G2447" s="4">
        <v>20240518</v>
      </c>
      <c r="H2447" s="4" t="s">
        <v>9163</v>
      </c>
      <c r="J2447" s="4" t="s">
        <v>5576</v>
      </c>
    </row>
    <row r="2448" spans="1:10" hidden="1">
      <c r="A2448" s="4">
        <v>2.0210525111000301E+17</v>
      </c>
      <c r="B2448" s="4">
        <v>5608701273</v>
      </c>
      <c r="C2448" s="4" t="s">
        <v>9269</v>
      </c>
      <c r="D2448" s="4">
        <v>25111</v>
      </c>
      <c r="E2448" s="4">
        <v>20210520</v>
      </c>
      <c r="F2448" s="4">
        <v>20210520</v>
      </c>
      <c r="G2448" s="4">
        <v>20240520</v>
      </c>
      <c r="H2448" s="4" t="s">
        <v>9270</v>
      </c>
      <c r="I2448" s="4" t="s">
        <v>9269</v>
      </c>
      <c r="J2448" s="4" t="s">
        <v>82</v>
      </c>
    </row>
    <row r="2449" spans="1:10" hidden="1">
      <c r="A2449" s="4">
        <v>2.0210530399000301E+17</v>
      </c>
      <c r="B2449" s="4">
        <v>6527200360</v>
      </c>
      <c r="C2449" s="4" t="s">
        <v>9234</v>
      </c>
      <c r="D2449" s="4">
        <v>30399</v>
      </c>
      <c r="E2449" s="4">
        <v>20210520</v>
      </c>
      <c r="F2449" s="4">
        <v>20210520</v>
      </c>
      <c r="G2449" s="4">
        <v>20240520</v>
      </c>
      <c r="H2449" s="4" t="s">
        <v>9159</v>
      </c>
      <c r="J2449" s="4" t="s">
        <v>1763</v>
      </c>
    </row>
    <row r="2450" spans="1:10" hidden="1">
      <c r="A2450" s="4">
        <v>2.0210528122000301E+17</v>
      </c>
      <c r="B2450" s="4">
        <v>1128153963</v>
      </c>
      <c r="C2450" s="4" t="s">
        <v>9158</v>
      </c>
      <c r="D2450" s="4">
        <v>28122</v>
      </c>
      <c r="E2450" s="4">
        <v>20210517</v>
      </c>
      <c r="F2450" s="4">
        <v>20210517</v>
      </c>
      <c r="G2450" s="4">
        <v>20230720</v>
      </c>
      <c r="H2450" s="4" t="s">
        <v>1891</v>
      </c>
      <c r="I2450" s="4" t="s">
        <v>9157</v>
      </c>
      <c r="J2450" s="4" t="s">
        <v>837</v>
      </c>
    </row>
    <row r="2451" spans="1:10" hidden="1">
      <c r="A2451" s="4">
        <v>2.0210520202000301E+17</v>
      </c>
      <c r="B2451" s="4">
        <v>5708102374</v>
      </c>
      <c r="C2451" s="4" t="s">
        <v>9156</v>
      </c>
      <c r="D2451" s="4">
        <v>20202</v>
      </c>
      <c r="E2451" s="4">
        <v>20210517</v>
      </c>
      <c r="F2451" s="4">
        <v>20210517</v>
      </c>
      <c r="G2451" s="4">
        <v>20240517</v>
      </c>
      <c r="H2451" s="4" t="s">
        <v>9155</v>
      </c>
      <c r="I2451" s="4" t="s">
        <v>9154</v>
      </c>
      <c r="J2451" s="4" t="s">
        <v>224</v>
      </c>
    </row>
    <row r="2452" spans="1:10" hidden="1">
      <c r="A2452" s="4">
        <v>2.0210542311000301E+17</v>
      </c>
      <c r="B2452" s="4">
        <v>1328800270</v>
      </c>
      <c r="C2452" s="4" t="s">
        <v>9153</v>
      </c>
      <c r="D2452" s="4">
        <v>42311</v>
      </c>
      <c r="E2452" s="4">
        <v>20210517</v>
      </c>
      <c r="F2452" s="4">
        <v>20210517</v>
      </c>
      <c r="G2452" s="4">
        <v>20230114</v>
      </c>
      <c r="H2452" s="4" t="s">
        <v>9152</v>
      </c>
      <c r="I2452" s="4" t="s">
        <v>5116</v>
      </c>
      <c r="J2452" s="4" t="s">
        <v>718</v>
      </c>
    </row>
    <row r="2453" spans="1:10" hidden="1">
      <c r="A2453" s="4">
        <v>2.0210522299000301E+17</v>
      </c>
      <c r="B2453" s="4">
        <v>2728100512</v>
      </c>
      <c r="C2453" s="4" t="s">
        <v>9151</v>
      </c>
      <c r="D2453" s="4">
        <v>22299</v>
      </c>
      <c r="E2453" s="4">
        <v>20210517</v>
      </c>
      <c r="F2453" s="4">
        <v>20210517</v>
      </c>
      <c r="G2453" s="4">
        <v>20231021</v>
      </c>
      <c r="H2453" s="4" t="s">
        <v>9150</v>
      </c>
      <c r="I2453" s="4" t="s">
        <v>134</v>
      </c>
      <c r="J2453" s="4" t="s">
        <v>384</v>
      </c>
    </row>
    <row r="2454" spans="1:10" hidden="1">
      <c r="A2454" s="4">
        <v>2.0210571310000301E+17</v>
      </c>
      <c r="B2454" s="4">
        <v>2728701814</v>
      </c>
      <c r="C2454" s="4" t="s">
        <v>9149</v>
      </c>
      <c r="D2454" s="4">
        <v>71310</v>
      </c>
      <c r="E2454" s="4">
        <v>20210517</v>
      </c>
      <c r="F2454" s="4">
        <v>20210517</v>
      </c>
      <c r="G2454" s="4">
        <v>20240517</v>
      </c>
      <c r="H2454" s="4" t="s">
        <v>9148</v>
      </c>
      <c r="I2454" s="4" t="s">
        <v>9147</v>
      </c>
      <c r="J2454" s="4" t="s">
        <v>426</v>
      </c>
    </row>
    <row r="2455" spans="1:10" hidden="1">
      <c r="A2455" s="4">
        <v>2.0210531312000301E+17</v>
      </c>
      <c r="B2455" s="4">
        <v>4438800582</v>
      </c>
      <c r="C2455" s="4" t="s">
        <v>9146</v>
      </c>
      <c r="D2455" s="4">
        <v>31312</v>
      </c>
      <c r="E2455" s="4">
        <v>20210517</v>
      </c>
      <c r="F2455" s="4">
        <v>20210517</v>
      </c>
      <c r="G2455" s="4">
        <v>20240117</v>
      </c>
      <c r="H2455" s="4" t="s">
        <v>9145</v>
      </c>
      <c r="I2455" s="4" t="s">
        <v>9144</v>
      </c>
      <c r="J2455" s="4" t="s">
        <v>748</v>
      </c>
    </row>
    <row r="2456" spans="1:10" hidden="1">
      <c r="A2456" s="4">
        <v>2.0210520499000301E+17</v>
      </c>
      <c r="B2456" s="4">
        <v>7918601088</v>
      </c>
      <c r="C2456" s="4" t="s">
        <v>9143</v>
      </c>
      <c r="D2456" s="4">
        <v>20499</v>
      </c>
      <c r="E2456" s="4">
        <v>20210517</v>
      </c>
      <c r="F2456" s="4">
        <v>20210517</v>
      </c>
      <c r="G2456" s="4">
        <v>20240517</v>
      </c>
      <c r="H2456" s="4" t="s">
        <v>9142</v>
      </c>
      <c r="I2456" s="4" t="s">
        <v>9141</v>
      </c>
      <c r="J2456" s="4" t="s">
        <v>406</v>
      </c>
    </row>
    <row r="2457" spans="1:10" hidden="1">
      <c r="A2457" s="4">
        <v>2.0210574211000301E+17</v>
      </c>
      <c r="B2457" s="4">
        <v>7588801479</v>
      </c>
      <c r="C2457" s="4" t="s">
        <v>9140</v>
      </c>
      <c r="D2457" s="4">
        <v>74211</v>
      </c>
      <c r="E2457" s="4">
        <v>20210517</v>
      </c>
      <c r="F2457" s="4">
        <v>20210517</v>
      </c>
      <c r="G2457" s="4">
        <v>20240517</v>
      </c>
      <c r="H2457" s="4" t="s">
        <v>9139</v>
      </c>
      <c r="I2457" s="4" t="s">
        <v>185</v>
      </c>
      <c r="J2457" s="4" t="s">
        <v>5576</v>
      </c>
    </row>
    <row r="2458" spans="1:10" hidden="1">
      <c r="A2458" s="4">
        <v>2.0210542499000301E+17</v>
      </c>
      <c r="B2458" s="4">
        <v>1783900297</v>
      </c>
      <c r="C2458" s="4" t="s">
        <v>9138</v>
      </c>
      <c r="D2458" s="4">
        <v>42499</v>
      </c>
      <c r="E2458" s="4">
        <v>20210517</v>
      </c>
      <c r="F2458" s="4">
        <v>20210517</v>
      </c>
      <c r="G2458" s="4">
        <v>20240517</v>
      </c>
      <c r="H2458" s="4" t="s">
        <v>9137</v>
      </c>
      <c r="J2458" s="4" t="s">
        <v>505</v>
      </c>
    </row>
    <row r="2459" spans="1:10" hidden="1">
      <c r="A2459" s="4">
        <v>2.0210525924000301E+17</v>
      </c>
      <c r="B2459" s="4">
        <v>3634400512</v>
      </c>
      <c r="C2459" s="4" t="s">
        <v>9136</v>
      </c>
      <c r="D2459" s="4">
        <v>25924</v>
      </c>
      <c r="E2459" s="4">
        <v>20210517</v>
      </c>
      <c r="F2459" s="4">
        <v>20210517</v>
      </c>
      <c r="G2459" s="4">
        <v>20240517</v>
      </c>
      <c r="H2459" s="4" t="s">
        <v>9135</v>
      </c>
      <c r="J2459" s="4" t="s">
        <v>757</v>
      </c>
    </row>
    <row r="2460" spans="1:10" hidden="1">
      <c r="A2460" s="4">
        <v>2.0210523321000301E+17</v>
      </c>
      <c r="B2460" s="4">
        <v>4388701883</v>
      </c>
      <c r="C2460" s="4" t="s">
        <v>9134</v>
      </c>
      <c r="D2460" s="4">
        <v>23321</v>
      </c>
      <c r="E2460" s="4">
        <v>20210517</v>
      </c>
      <c r="F2460" s="4">
        <v>20210517</v>
      </c>
      <c r="G2460" s="4">
        <v>20240517</v>
      </c>
      <c r="H2460" s="4" t="s">
        <v>9133</v>
      </c>
      <c r="I2460" s="4" t="s">
        <v>1403</v>
      </c>
      <c r="J2460" s="4" t="s">
        <v>1337</v>
      </c>
    </row>
    <row r="2461" spans="1:10" hidden="1">
      <c r="A2461" s="4">
        <v>2.0210571310000301E+17</v>
      </c>
      <c r="B2461" s="4">
        <v>5630401279</v>
      </c>
      <c r="C2461" s="4" t="s">
        <v>9132</v>
      </c>
      <c r="D2461" s="4">
        <v>71310</v>
      </c>
      <c r="E2461" s="4">
        <v>20210517</v>
      </c>
      <c r="F2461" s="4">
        <v>20210517</v>
      </c>
      <c r="G2461" s="4">
        <v>20240517</v>
      </c>
      <c r="H2461" s="4" t="s">
        <v>9131</v>
      </c>
      <c r="I2461" s="4" t="s">
        <v>657</v>
      </c>
      <c r="J2461" s="4" t="s">
        <v>426</v>
      </c>
    </row>
    <row r="2462" spans="1:10" hidden="1">
      <c r="A2462" s="4">
        <v>2.0210558222000301E+17</v>
      </c>
      <c r="B2462" s="4">
        <v>7043100498</v>
      </c>
      <c r="C2462" s="4" t="s">
        <v>9130</v>
      </c>
      <c r="D2462" s="4">
        <v>58222</v>
      </c>
      <c r="E2462" s="4">
        <v>20210517</v>
      </c>
      <c r="F2462" s="4">
        <v>20210517</v>
      </c>
      <c r="G2462" s="4">
        <v>20240517</v>
      </c>
      <c r="H2462" s="4" t="s">
        <v>9129</v>
      </c>
      <c r="I2462" s="4" t="s">
        <v>9128</v>
      </c>
      <c r="J2462" s="4" t="s">
        <v>94</v>
      </c>
    </row>
    <row r="2463" spans="1:10" hidden="1">
      <c r="A2463" s="4">
        <v>2.0210547822000301E+17</v>
      </c>
      <c r="B2463" s="4">
        <v>5942201035</v>
      </c>
      <c r="C2463" s="4" t="s">
        <v>9127</v>
      </c>
      <c r="D2463" s="4">
        <v>47822</v>
      </c>
      <c r="E2463" s="4">
        <v>20210517</v>
      </c>
      <c r="F2463" s="4">
        <v>20210517</v>
      </c>
      <c r="G2463" s="4">
        <v>20240517</v>
      </c>
      <c r="H2463" s="4" t="s">
        <v>9126</v>
      </c>
      <c r="J2463" s="4" t="s">
        <v>9125</v>
      </c>
    </row>
    <row r="2464" spans="1:10" hidden="1">
      <c r="A2464" s="4">
        <v>2.0210546699000301E+17</v>
      </c>
      <c r="B2464" s="4">
        <v>4130266013</v>
      </c>
      <c r="C2464" s="4" t="s">
        <v>9124</v>
      </c>
      <c r="D2464" s="4">
        <v>46699</v>
      </c>
      <c r="E2464" s="4">
        <v>20210517</v>
      </c>
      <c r="F2464" s="4">
        <v>20210517</v>
      </c>
      <c r="G2464" s="4">
        <v>20240517</v>
      </c>
      <c r="H2464" s="4" t="s">
        <v>9123</v>
      </c>
      <c r="J2464" s="4" t="s">
        <v>208</v>
      </c>
    </row>
    <row r="2465" spans="1:10" hidden="1">
      <c r="A2465" s="4">
        <v>2.0210520411000301E+17</v>
      </c>
      <c r="B2465" s="4">
        <v>1238800806</v>
      </c>
      <c r="C2465" s="4" t="s">
        <v>9122</v>
      </c>
      <c r="D2465" s="4">
        <v>20411</v>
      </c>
      <c r="E2465" s="4">
        <v>20210517</v>
      </c>
      <c r="F2465" s="4">
        <v>20210517</v>
      </c>
      <c r="G2465" s="4">
        <v>20240517</v>
      </c>
      <c r="H2465" s="4" t="s">
        <v>9121</v>
      </c>
      <c r="I2465" s="4" t="s">
        <v>9120</v>
      </c>
      <c r="J2465" s="4" t="s">
        <v>694</v>
      </c>
    </row>
    <row r="2466" spans="1:10" hidden="1">
      <c r="A2466" s="4">
        <v>2.0210559113000301E+17</v>
      </c>
      <c r="B2466" s="4">
        <v>2268601809</v>
      </c>
      <c r="C2466" s="4" t="s">
        <v>9119</v>
      </c>
      <c r="D2466" s="4">
        <v>59113</v>
      </c>
      <c r="E2466" s="4">
        <v>20210517</v>
      </c>
      <c r="F2466" s="4">
        <v>20210517</v>
      </c>
      <c r="G2466" s="4">
        <v>20240517</v>
      </c>
      <c r="H2466" s="4" t="s">
        <v>1096</v>
      </c>
      <c r="I2466" s="4" t="s">
        <v>9118</v>
      </c>
      <c r="J2466" s="4" t="s">
        <v>3651</v>
      </c>
    </row>
    <row r="2467" spans="1:10" hidden="1">
      <c r="A2467" s="4">
        <v>2.0210528119000301E+17</v>
      </c>
      <c r="B2467" s="4">
        <v>2308112182</v>
      </c>
      <c r="C2467" s="4" t="s">
        <v>9117</v>
      </c>
      <c r="D2467" s="4">
        <v>28119</v>
      </c>
      <c r="E2467" s="4">
        <v>20210517</v>
      </c>
      <c r="F2467" s="4">
        <v>20210517</v>
      </c>
      <c r="G2467" s="4">
        <v>20240517</v>
      </c>
      <c r="H2467" s="4" t="s">
        <v>9116</v>
      </c>
      <c r="I2467" s="4" t="s">
        <v>9115</v>
      </c>
      <c r="J2467" s="4" t="s">
        <v>1816</v>
      </c>
    </row>
    <row r="2468" spans="1:10" hidden="1">
      <c r="A2468" s="4">
        <v>2.0210552101000301E+17</v>
      </c>
      <c r="B2468" s="4">
        <v>7458801852</v>
      </c>
      <c r="C2468" s="4" t="s">
        <v>9114</v>
      </c>
      <c r="D2468" s="4">
        <v>52101</v>
      </c>
      <c r="E2468" s="4">
        <v>20210517</v>
      </c>
      <c r="F2468" s="4">
        <v>20210517</v>
      </c>
      <c r="G2468" s="4">
        <v>20240517</v>
      </c>
      <c r="H2468" s="4" t="s">
        <v>9113</v>
      </c>
      <c r="I2468" s="4" t="s">
        <v>938</v>
      </c>
      <c r="J2468" s="4" t="s">
        <v>9112</v>
      </c>
    </row>
    <row r="2469" spans="1:10" hidden="1">
      <c r="A2469" s="4">
        <v>2.0210516292000301E+17</v>
      </c>
      <c r="B2469" s="4">
        <v>3298801534</v>
      </c>
      <c r="C2469" s="4" t="s">
        <v>9111</v>
      </c>
      <c r="D2469" s="4">
        <v>16292</v>
      </c>
      <c r="E2469" s="4">
        <v>20210517</v>
      </c>
      <c r="F2469" s="4">
        <v>20210517</v>
      </c>
      <c r="G2469" s="4">
        <v>20240517</v>
      </c>
      <c r="H2469" s="4" t="s">
        <v>9110</v>
      </c>
      <c r="I2469" s="4" t="s">
        <v>9109</v>
      </c>
      <c r="J2469" s="4" t="s">
        <v>9108</v>
      </c>
    </row>
    <row r="2470" spans="1:10" hidden="1">
      <c r="A2470" s="4">
        <v>2.0210522214000301E+17</v>
      </c>
      <c r="B2470" s="4">
        <v>3218801277</v>
      </c>
      <c r="C2470" s="4" t="s">
        <v>9107</v>
      </c>
      <c r="D2470" s="4">
        <v>22214</v>
      </c>
      <c r="E2470" s="4">
        <v>20210517</v>
      </c>
      <c r="F2470" s="4">
        <v>20210517</v>
      </c>
      <c r="G2470" s="4">
        <v>20240517</v>
      </c>
      <c r="H2470" s="4" t="s">
        <v>9106</v>
      </c>
      <c r="J2470" s="4" t="s">
        <v>9105</v>
      </c>
    </row>
    <row r="2471" spans="1:10" hidden="1">
      <c r="A2471" s="4">
        <v>2.0210541229000301E+17</v>
      </c>
      <c r="B2471" s="4">
        <v>3068137777</v>
      </c>
      <c r="C2471" s="4" t="s">
        <v>9104</v>
      </c>
      <c r="D2471" s="4">
        <v>41229</v>
      </c>
      <c r="E2471" s="4">
        <v>20210517</v>
      </c>
      <c r="F2471" s="4">
        <v>20210517</v>
      </c>
      <c r="G2471" s="4">
        <v>20240517</v>
      </c>
      <c r="H2471" s="4" t="s">
        <v>1478</v>
      </c>
      <c r="I2471" s="4" t="s">
        <v>9103</v>
      </c>
      <c r="J2471" s="4" t="s">
        <v>5083</v>
      </c>
    </row>
    <row r="2472" spans="1:10" hidden="1">
      <c r="A2472" s="4">
        <v>2.0210530310000301E+17</v>
      </c>
      <c r="B2472" s="4">
        <v>8640601652</v>
      </c>
      <c r="C2472" s="4" t="s">
        <v>9189</v>
      </c>
      <c r="D2472" s="4">
        <v>30310</v>
      </c>
      <c r="E2472" s="4">
        <v>20210518</v>
      </c>
      <c r="F2472" s="4">
        <v>20210518</v>
      </c>
      <c r="G2472" s="4">
        <v>20240518</v>
      </c>
      <c r="H2472" s="4" t="s">
        <v>9161</v>
      </c>
      <c r="J2472" s="4" t="s">
        <v>4058</v>
      </c>
    </row>
    <row r="2473" spans="1:10" hidden="1">
      <c r="A2473" s="4">
        <v>2.0210530310000301E+17</v>
      </c>
      <c r="B2473" s="4">
        <v>6801601446</v>
      </c>
      <c r="C2473" s="4" t="s">
        <v>9162</v>
      </c>
      <c r="D2473" s="4">
        <v>30310</v>
      </c>
      <c r="E2473" s="4">
        <v>20210518</v>
      </c>
      <c r="F2473" s="4">
        <v>20210518</v>
      </c>
      <c r="G2473" s="4">
        <v>20240518</v>
      </c>
      <c r="H2473" s="4" t="s">
        <v>9161</v>
      </c>
      <c r="J2473" s="4" t="s">
        <v>4058</v>
      </c>
    </row>
    <row r="2474" spans="1:10" hidden="1">
      <c r="A2474" s="4">
        <v>2.0210547512000301E+17</v>
      </c>
      <c r="B2474" s="4">
        <v>4370901354</v>
      </c>
      <c r="C2474" s="4" t="s">
        <v>5217</v>
      </c>
      <c r="D2474" s="4">
        <v>47512</v>
      </c>
      <c r="E2474" s="4">
        <v>20210517</v>
      </c>
      <c r="F2474" s="4">
        <v>20210517</v>
      </c>
      <c r="G2474" s="4">
        <v>20240517</v>
      </c>
      <c r="H2474" s="4" t="s">
        <v>9099</v>
      </c>
      <c r="I2474" s="4" t="s">
        <v>175</v>
      </c>
      <c r="J2474" s="4" t="s">
        <v>3052</v>
      </c>
    </row>
    <row r="2475" spans="1:10" hidden="1">
      <c r="A2475" s="4">
        <v>2.0210571400000301E+17</v>
      </c>
      <c r="B2475" s="4">
        <v>3090328129</v>
      </c>
      <c r="C2475" s="4" t="s">
        <v>9098</v>
      </c>
      <c r="D2475" s="4">
        <v>71400</v>
      </c>
      <c r="E2475" s="4">
        <v>20210517</v>
      </c>
      <c r="F2475" s="4">
        <v>20210517</v>
      </c>
      <c r="G2475" s="4">
        <v>20240517</v>
      </c>
      <c r="H2475" s="4" t="s">
        <v>9097</v>
      </c>
      <c r="I2475" s="4" t="s">
        <v>9096</v>
      </c>
      <c r="J2475" s="4" t="s">
        <v>1629</v>
      </c>
    </row>
    <row r="2476" spans="1:10" hidden="1">
      <c r="A2476" s="4">
        <v>2.0210572924000301E+17</v>
      </c>
      <c r="B2476" s="4">
        <v>6548801274</v>
      </c>
      <c r="C2476" s="4" t="s">
        <v>9095</v>
      </c>
      <c r="D2476" s="4">
        <v>72924</v>
      </c>
      <c r="E2476" s="4">
        <v>20210517</v>
      </c>
      <c r="F2476" s="4">
        <v>20210517</v>
      </c>
      <c r="G2476" s="4">
        <v>20240517</v>
      </c>
      <c r="H2476" s="4" t="s">
        <v>2815</v>
      </c>
      <c r="I2476" s="4" t="s">
        <v>9094</v>
      </c>
      <c r="J2476" s="4" t="s">
        <v>9093</v>
      </c>
    </row>
    <row r="2477" spans="1:10" hidden="1">
      <c r="A2477" s="4">
        <v>2.0210526129000301E+17</v>
      </c>
      <c r="B2477" s="4">
        <v>5618701621</v>
      </c>
      <c r="C2477" s="4" t="s">
        <v>9092</v>
      </c>
      <c r="D2477" s="4">
        <v>26129</v>
      </c>
      <c r="E2477" s="4">
        <v>20210515</v>
      </c>
      <c r="F2477" s="4">
        <v>20210515</v>
      </c>
      <c r="G2477" s="4">
        <v>20240515</v>
      </c>
      <c r="H2477" s="4" t="s">
        <v>9091</v>
      </c>
      <c r="J2477" s="4" t="s">
        <v>403</v>
      </c>
    </row>
    <row r="2478" spans="1:10" hidden="1">
      <c r="A2478" s="4">
        <v>2.0210546314000301E+17</v>
      </c>
      <c r="B2478" s="4">
        <v>5539700687</v>
      </c>
      <c r="C2478" s="4" t="s">
        <v>9090</v>
      </c>
      <c r="D2478" s="4">
        <v>46314</v>
      </c>
      <c r="E2478" s="4">
        <v>20210515</v>
      </c>
      <c r="F2478" s="4">
        <v>20210515</v>
      </c>
      <c r="G2478" s="4">
        <v>20240515</v>
      </c>
      <c r="H2478" s="4" t="s">
        <v>9089</v>
      </c>
      <c r="J2478" s="4" t="s">
        <v>9088</v>
      </c>
    </row>
    <row r="2479" spans="1:10" hidden="1">
      <c r="A2479" s="4">
        <v>2.0210571600000301E+17</v>
      </c>
      <c r="B2479" s="4">
        <v>1530501481</v>
      </c>
      <c r="C2479" s="4" t="s">
        <v>9087</v>
      </c>
      <c r="D2479" s="4">
        <v>71600</v>
      </c>
      <c r="E2479" s="4">
        <v>20210515</v>
      </c>
      <c r="F2479" s="4">
        <v>20210515</v>
      </c>
      <c r="G2479" s="4">
        <v>20240515</v>
      </c>
      <c r="H2479" s="4" t="s">
        <v>9086</v>
      </c>
      <c r="J2479" s="4" t="s">
        <v>1783</v>
      </c>
    </row>
    <row r="2480" spans="1:10" hidden="1">
      <c r="A2480" s="4">
        <v>2.0210530399000301E+17</v>
      </c>
      <c r="B2480" s="4">
        <v>3661001820</v>
      </c>
      <c r="C2480" s="4" t="s">
        <v>9160</v>
      </c>
      <c r="D2480" s="4">
        <v>30399</v>
      </c>
      <c r="E2480" s="4">
        <v>20210518</v>
      </c>
      <c r="F2480" s="4">
        <v>20210518</v>
      </c>
      <c r="G2480" s="4">
        <v>20240518</v>
      </c>
      <c r="H2480" s="4" t="s">
        <v>9159</v>
      </c>
      <c r="J2480" s="4" t="s">
        <v>1763</v>
      </c>
    </row>
    <row r="2481" spans="1:10" hidden="1">
      <c r="A2481" s="4">
        <v>2.0210570113000301E+17</v>
      </c>
      <c r="B2481" s="4">
        <v>2918101244</v>
      </c>
      <c r="C2481" s="4" t="s">
        <v>9083</v>
      </c>
      <c r="D2481" s="4">
        <v>70113</v>
      </c>
      <c r="E2481" s="4">
        <v>20210515</v>
      </c>
      <c r="F2481" s="4">
        <v>20210515</v>
      </c>
      <c r="G2481" s="4">
        <v>20240515</v>
      </c>
      <c r="H2481" s="4" t="s">
        <v>1562</v>
      </c>
      <c r="I2481" s="4" t="s">
        <v>9082</v>
      </c>
      <c r="J2481" s="4" t="s">
        <v>1173</v>
      </c>
    </row>
    <row r="2482" spans="1:10" hidden="1">
      <c r="A2482" s="4">
        <v>2.0210520499000301E+17</v>
      </c>
      <c r="B2482" s="4">
        <v>4398101924</v>
      </c>
      <c r="C2482" s="4" t="s">
        <v>9081</v>
      </c>
      <c r="D2482" s="4">
        <v>20499</v>
      </c>
      <c r="E2482" s="4">
        <v>20210515</v>
      </c>
      <c r="F2482" s="4">
        <v>20210515</v>
      </c>
      <c r="G2482" s="4">
        <v>20240515</v>
      </c>
      <c r="H2482" s="4" t="s">
        <v>1867</v>
      </c>
      <c r="I2482" s="4" t="s">
        <v>3490</v>
      </c>
      <c r="J2482" s="4" t="s">
        <v>406</v>
      </c>
    </row>
    <row r="2483" spans="1:10" hidden="1">
      <c r="A2483" s="4">
        <v>2.0210517222000301E+17</v>
      </c>
      <c r="B2483" s="4">
        <v>2080514267</v>
      </c>
      <c r="C2483" s="4" t="s">
        <v>9080</v>
      </c>
      <c r="D2483" s="4">
        <v>17222</v>
      </c>
      <c r="E2483" s="4">
        <v>20210515</v>
      </c>
      <c r="F2483" s="4">
        <v>20210515</v>
      </c>
      <c r="G2483" s="4">
        <v>20240515</v>
      </c>
      <c r="H2483" s="4" t="s">
        <v>9079</v>
      </c>
      <c r="I2483" s="4" t="s">
        <v>149</v>
      </c>
      <c r="J2483" s="4" t="s">
        <v>9078</v>
      </c>
    </row>
    <row r="2484" spans="1:10" hidden="1">
      <c r="A2484" s="4">
        <v>2.0210525112000301E+17</v>
      </c>
      <c r="B2484" s="4">
        <v>3138701959</v>
      </c>
      <c r="C2484" s="4" t="s">
        <v>9077</v>
      </c>
      <c r="D2484" s="4">
        <v>25112</v>
      </c>
      <c r="E2484" s="4">
        <v>20210514</v>
      </c>
      <c r="F2484" s="4">
        <v>20210514</v>
      </c>
      <c r="G2484" s="4">
        <v>20240514</v>
      </c>
      <c r="H2484" s="4" t="s">
        <v>9076</v>
      </c>
      <c r="I2484" s="4" t="s">
        <v>9075</v>
      </c>
      <c r="J2484" s="4" t="s">
        <v>320</v>
      </c>
    </row>
    <row r="2485" spans="1:10" hidden="1">
      <c r="A2485" s="4">
        <v>2.0210575992000301E+17</v>
      </c>
      <c r="B2485" s="4">
        <v>3142826728</v>
      </c>
      <c r="C2485" s="4" t="s">
        <v>9074</v>
      </c>
      <c r="D2485" s="4">
        <v>75992</v>
      </c>
      <c r="E2485" s="4">
        <v>20210514</v>
      </c>
      <c r="F2485" s="4">
        <v>20210514</v>
      </c>
      <c r="G2485" s="4">
        <v>20211106</v>
      </c>
      <c r="H2485" s="4" t="s">
        <v>9073</v>
      </c>
      <c r="I2485" s="4" t="s">
        <v>9072</v>
      </c>
      <c r="J2485" s="4" t="s">
        <v>111</v>
      </c>
    </row>
    <row r="2486" spans="1:10" hidden="1">
      <c r="A2486" s="4">
        <v>2.0210542312000301E+17</v>
      </c>
      <c r="B2486" s="4">
        <v>3954500229</v>
      </c>
      <c r="C2486" s="4" t="s">
        <v>9071</v>
      </c>
      <c r="D2486" s="4">
        <v>42312</v>
      </c>
      <c r="E2486" s="4">
        <v>20210514</v>
      </c>
      <c r="F2486" s="4">
        <v>20210514</v>
      </c>
      <c r="G2486" s="4">
        <v>20230120</v>
      </c>
      <c r="H2486" s="4" t="s">
        <v>9070</v>
      </c>
      <c r="J2486" s="4" t="s">
        <v>6044</v>
      </c>
    </row>
    <row r="2487" spans="1:10" hidden="1">
      <c r="A2487" s="4">
        <v>2.0210527213000301E+17</v>
      </c>
      <c r="B2487" s="4">
        <v>2777000151</v>
      </c>
      <c r="C2487" s="4" t="s">
        <v>9069</v>
      </c>
      <c r="D2487" s="4">
        <v>27213</v>
      </c>
      <c r="E2487" s="4">
        <v>20210514</v>
      </c>
      <c r="F2487" s="4">
        <v>20210514</v>
      </c>
      <c r="G2487" s="4">
        <v>20230901</v>
      </c>
      <c r="H2487" s="4" t="s">
        <v>497</v>
      </c>
      <c r="J2487" s="4" t="s">
        <v>264</v>
      </c>
    </row>
    <row r="2488" spans="1:10" hidden="1">
      <c r="A2488" s="4">
        <v>2.0210513225000301E+17</v>
      </c>
      <c r="B2488" s="4">
        <v>4853000547</v>
      </c>
      <c r="C2488" s="4" t="s">
        <v>9068</v>
      </c>
      <c r="D2488" s="4">
        <v>13225</v>
      </c>
      <c r="E2488" s="4">
        <v>20210514</v>
      </c>
      <c r="F2488" s="4">
        <v>20210514</v>
      </c>
      <c r="G2488" s="4">
        <v>20240514</v>
      </c>
      <c r="H2488" s="4" t="s">
        <v>9067</v>
      </c>
      <c r="J2488" s="4" t="s">
        <v>2307</v>
      </c>
    </row>
    <row r="2489" spans="1:10" hidden="1">
      <c r="A2489" s="4">
        <v>2.0210528422000301E+17</v>
      </c>
      <c r="B2489" s="4">
        <v>5835200386</v>
      </c>
      <c r="C2489" s="4" t="s">
        <v>9066</v>
      </c>
      <c r="D2489" s="4">
        <v>28422</v>
      </c>
      <c r="E2489" s="4">
        <v>20210514</v>
      </c>
      <c r="F2489" s="4">
        <v>20210514</v>
      </c>
      <c r="G2489" s="4">
        <v>20240514</v>
      </c>
      <c r="H2489" s="4" t="s">
        <v>3538</v>
      </c>
      <c r="I2489" s="4" t="s">
        <v>9065</v>
      </c>
      <c r="J2489" s="4" t="s">
        <v>188</v>
      </c>
    </row>
    <row r="2490" spans="1:10" hidden="1">
      <c r="A2490" s="4">
        <v>2.0210524132000301E+17</v>
      </c>
      <c r="B2490" s="4">
        <v>5948801273</v>
      </c>
      <c r="C2490" s="4" t="s">
        <v>9102</v>
      </c>
      <c r="D2490" s="4">
        <v>24132</v>
      </c>
      <c r="E2490" s="4">
        <v>20210517</v>
      </c>
      <c r="F2490" s="4">
        <v>20210517</v>
      </c>
      <c r="G2490" s="4">
        <v>20240517</v>
      </c>
      <c r="H2490" s="4" t="s">
        <v>9101</v>
      </c>
      <c r="J2490" s="4" t="s">
        <v>5701</v>
      </c>
    </row>
    <row r="2491" spans="1:10" hidden="1">
      <c r="A2491" s="4">
        <v>2.0210527214000301E+17</v>
      </c>
      <c r="B2491" s="4">
        <v>5841101105</v>
      </c>
      <c r="C2491" s="4" t="s">
        <v>9062</v>
      </c>
      <c r="D2491" s="4">
        <v>27214</v>
      </c>
      <c r="E2491" s="4">
        <v>20210514</v>
      </c>
      <c r="F2491" s="4">
        <v>20210514</v>
      </c>
      <c r="G2491" s="4">
        <v>20240514</v>
      </c>
      <c r="H2491" s="4" t="s">
        <v>1525</v>
      </c>
      <c r="I2491" s="4" t="s">
        <v>9061</v>
      </c>
      <c r="J2491" s="4" t="s">
        <v>4937</v>
      </c>
    </row>
    <row r="2492" spans="1:10" hidden="1">
      <c r="A2492" s="4">
        <v>2.0210542134000301E+17</v>
      </c>
      <c r="B2492" s="4">
        <v>6448801393</v>
      </c>
      <c r="C2492" s="4" t="s">
        <v>9060</v>
      </c>
      <c r="D2492" s="4">
        <v>42134</v>
      </c>
      <c r="E2492" s="4">
        <v>20210514</v>
      </c>
      <c r="F2492" s="4">
        <v>20210514</v>
      </c>
      <c r="G2492" s="4">
        <v>20240514</v>
      </c>
      <c r="H2492" s="4" t="s">
        <v>9059</v>
      </c>
      <c r="I2492" s="4" t="s">
        <v>149</v>
      </c>
      <c r="J2492" s="4" t="s">
        <v>3573</v>
      </c>
    </row>
    <row r="2493" spans="1:10" hidden="1">
      <c r="A2493" s="4">
        <v>2.0210586202000301E+17</v>
      </c>
      <c r="B2493" s="4">
        <v>3130610293</v>
      </c>
      <c r="C2493" s="4" t="s">
        <v>9058</v>
      </c>
      <c r="D2493" s="4">
        <v>86202</v>
      </c>
      <c r="E2493" s="4">
        <v>20210514</v>
      </c>
      <c r="F2493" s="4">
        <v>20210514</v>
      </c>
      <c r="G2493" s="4">
        <v>20240514</v>
      </c>
      <c r="H2493" s="4" t="s">
        <v>9057</v>
      </c>
      <c r="I2493" s="4" t="s">
        <v>9056</v>
      </c>
      <c r="J2493" s="4" t="s">
        <v>6242</v>
      </c>
    </row>
    <row r="2494" spans="1:10" hidden="1">
      <c r="A2494" s="4">
        <v>2.0210519221000301E+17</v>
      </c>
      <c r="B2494" s="4">
        <v>5361200098</v>
      </c>
      <c r="C2494" s="4" t="s">
        <v>9055</v>
      </c>
      <c r="D2494" s="4">
        <v>19221</v>
      </c>
      <c r="E2494" s="4">
        <v>20210514</v>
      </c>
      <c r="F2494" s="4">
        <v>20210514</v>
      </c>
      <c r="G2494" s="4">
        <v>20220519</v>
      </c>
      <c r="H2494" s="4" t="s">
        <v>9054</v>
      </c>
      <c r="J2494" s="4" t="s">
        <v>9053</v>
      </c>
    </row>
    <row r="2495" spans="1:10" hidden="1">
      <c r="A2495" s="4">
        <v>2.0210573202000301E+17</v>
      </c>
      <c r="B2495" s="4">
        <v>2593300686</v>
      </c>
      <c r="C2495" s="4" t="s">
        <v>9052</v>
      </c>
      <c r="D2495" s="4">
        <v>73202</v>
      </c>
      <c r="E2495" s="4">
        <v>20210514</v>
      </c>
      <c r="F2495" s="4">
        <v>20210514</v>
      </c>
      <c r="G2495" s="4">
        <v>20240514</v>
      </c>
      <c r="H2495" s="4" t="s">
        <v>9051</v>
      </c>
      <c r="J2495" s="4" t="s">
        <v>605</v>
      </c>
    </row>
    <row r="2496" spans="1:10" hidden="1">
      <c r="A2496" s="4">
        <v>2.0210546452000301E+17</v>
      </c>
      <c r="B2496" s="4">
        <v>1013675045</v>
      </c>
      <c r="C2496" s="4" t="s">
        <v>9050</v>
      </c>
      <c r="D2496" s="4">
        <v>46452</v>
      </c>
      <c r="E2496" s="4">
        <v>20210514</v>
      </c>
      <c r="F2496" s="4">
        <v>20210514</v>
      </c>
      <c r="G2496" s="4">
        <v>20240514</v>
      </c>
      <c r="H2496" s="4" t="s">
        <v>9049</v>
      </c>
      <c r="I2496" s="4" t="s">
        <v>149</v>
      </c>
      <c r="J2496" s="4" t="s">
        <v>516</v>
      </c>
    </row>
    <row r="2497" spans="1:10" hidden="1">
      <c r="A2497" s="4">
        <v>2.0210542499000301E+17</v>
      </c>
      <c r="B2497" s="4">
        <v>6840101842</v>
      </c>
      <c r="C2497" s="4" t="s">
        <v>9048</v>
      </c>
      <c r="D2497" s="4">
        <v>42499</v>
      </c>
      <c r="E2497" s="4">
        <v>20210514</v>
      </c>
      <c r="F2497" s="4">
        <v>20210514</v>
      </c>
      <c r="G2497" s="4">
        <v>20240514</v>
      </c>
      <c r="H2497" s="4" t="s">
        <v>9047</v>
      </c>
      <c r="J2497" s="4" t="s">
        <v>505</v>
      </c>
    </row>
    <row r="2498" spans="1:10">
      <c r="A2498" s="4">
        <v>2.0210218119E+17</v>
      </c>
      <c r="B2498" s="4">
        <v>7768801405</v>
      </c>
      <c r="C2498" s="4" t="s">
        <v>1411</v>
      </c>
      <c r="D2498" s="4">
        <v>18119</v>
      </c>
      <c r="E2498" s="4">
        <v>20210209</v>
      </c>
      <c r="F2498" s="4">
        <v>20210209</v>
      </c>
      <c r="G2498" s="4">
        <v>20240209</v>
      </c>
      <c r="H2498" s="4" t="s">
        <v>1410</v>
      </c>
      <c r="I2498" s="4" t="s">
        <v>1409</v>
      </c>
      <c r="J2498" s="4" t="s">
        <v>707</v>
      </c>
    </row>
    <row r="2499" spans="1:10" hidden="1">
      <c r="A2499" s="4">
        <v>2.0210528422000301E+17</v>
      </c>
      <c r="B2499" s="4">
        <v>1768601372</v>
      </c>
      <c r="C2499" s="4" t="s">
        <v>9044</v>
      </c>
      <c r="D2499" s="4">
        <v>28422</v>
      </c>
      <c r="E2499" s="4">
        <v>20210514</v>
      </c>
      <c r="F2499" s="4">
        <v>20210514</v>
      </c>
      <c r="G2499" s="4">
        <v>20240514</v>
      </c>
      <c r="H2499" s="4" t="s">
        <v>9043</v>
      </c>
      <c r="I2499" s="4" t="s">
        <v>9042</v>
      </c>
      <c r="J2499" s="4" t="s">
        <v>188</v>
      </c>
    </row>
    <row r="2500" spans="1:10" hidden="1">
      <c r="A2500" s="4">
        <v>2.0210528121000301E+17</v>
      </c>
      <c r="B2500" s="4">
        <v>2218701188</v>
      </c>
      <c r="C2500" s="4" t="s">
        <v>9041</v>
      </c>
      <c r="D2500" s="4">
        <v>28121</v>
      </c>
      <c r="E2500" s="4">
        <v>20210514</v>
      </c>
      <c r="F2500" s="4">
        <v>20210514</v>
      </c>
      <c r="G2500" s="4">
        <v>20240514</v>
      </c>
      <c r="H2500" s="4" t="s">
        <v>9040</v>
      </c>
      <c r="I2500" s="4" t="s">
        <v>91</v>
      </c>
      <c r="J2500" s="4" t="s">
        <v>682</v>
      </c>
    </row>
    <row r="2501" spans="1:10" hidden="1">
      <c r="A2501" s="4">
        <v>2.0210510129000301E+17</v>
      </c>
      <c r="B2501" s="4">
        <v>2088600952</v>
      </c>
      <c r="C2501" s="4" t="s">
        <v>9039</v>
      </c>
      <c r="D2501" s="4">
        <v>10129</v>
      </c>
      <c r="E2501" s="4">
        <v>20210514</v>
      </c>
      <c r="F2501" s="4">
        <v>20210514</v>
      </c>
      <c r="G2501" s="4">
        <v>20240514</v>
      </c>
      <c r="H2501" s="4" t="s">
        <v>9038</v>
      </c>
      <c r="J2501" s="4" t="s">
        <v>2842</v>
      </c>
    </row>
    <row r="2502" spans="1:10" hidden="1">
      <c r="A2502" s="4">
        <v>2.0210528410000301E+17</v>
      </c>
      <c r="B2502" s="4">
        <v>8328600658</v>
      </c>
      <c r="C2502" s="4" t="s">
        <v>9037</v>
      </c>
      <c r="D2502" s="4">
        <v>28410</v>
      </c>
      <c r="E2502" s="4">
        <v>20210514</v>
      </c>
      <c r="F2502" s="4">
        <v>20210514</v>
      </c>
      <c r="G2502" s="4">
        <v>20220422</v>
      </c>
      <c r="H2502" s="4" t="s">
        <v>9036</v>
      </c>
      <c r="I2502" s="4" t="s">
        <v>9035</v>
      </c>
      <c r="J2502" s="4" t="s">
        <v>2199</v>
      </c>
    </row>
    <row r="2503" spans="1:10" hidden="1">
      <c r="A2503" s="4">
        <v>2.0210530399000301E+17</v>
      </c>
      <c r="B2503" s="4">
        <v>1912701108</v>
      </c>
      <c r="C2503" s="4" t="s">
        <v>9100</v>
      </c>
      <c r="D2503" s="4">
        <v>30399</v>
      </c>
      <c r="E2503" s="4">
        <v>20210517</v>
      </c>
      <c r="F2503" s="4">
        <v>20210517</v>
      </c>
      <c r="G2503" s="4">
        <v>20240517</v>
      </c>
      <c r="H2503" s="4" t="s">
        <v>9063</v>
      </c>
      <c r="J2503" s="4" t="s">
        <v>1763</v>
      </c>
    </row>
    <row r="2504" spans="1:10" hidden="1">
      <c r="A2504" s="4">
        <v>2.0210528519000301E+17</v>
      </c>
      <c r="B2504" s="4">
        <v>7948801591</v>
      </c>
      <c r="C2504" s="4" t="s">
        <v>9031</v>
      </c>
      <c r="D2504" s="4">
        <v>28519</v>
      </c>
      <c r="E2504" s="4">
        <v>20210514</v>
      </c>
      <c r="F2504" s="4">
        <v>20210514</v>
      </c>
      <c r="G2504" s="4">
        <v>20240514</v>
      </c>
      <c r="H2504" s="4" t="s">
        <v>8211</v>
      </c>
      <c r="I2504" s="4" t="s">
        <v>9030</v>
      </c>
      <c r="J2504" s="4" t="s">
        <v>1412</v>
      </c>
    </row>
    <row r="2505" spans="1:10" hidden="1">
      <c r="A2505" s="4">
        <v>2.0210547912000301E+17</v>
      </c>
      <c r="B2505" s="4">
        <v>5750401893</v>
      </c>
      <c r="C2505" s="4" t="s">
        <v>9029</v>
      </c>
      <c r="D2505" s="4">
        <v>47912</v>
      </c>
      <c r="E2505" s="4">
        <v>20210514</v>
      </c>
      <c r="F2505" s="4">
        <v>20210514</v>
      </c>
      <c r="G2505" s="4">
        <v>20240514</v>
      </c>
      <c r="H2505" s="4" t="s">
        <v>2474</v>
      </c>
      <c r="I2505" s="4" t="s">
        <v>9028</v>
      </c>
      <c r="J2505" s="4" t="s">
        <v>78</v>
      </c>
    </row>
    <row r="2506" spans="1:10" hidden="1">
      <c r="A2506" s="4">
        <v>2.0210524132000301E+17</v>
      </c>
      <c r="B2506" s="4">
        <v>3568801201</v>
      </c>
      <c r="C2506" s="4" t="s">
        <v>9026</v>
      </c>
      <c r="D2506" s="4">
        <v>24132</v>
      </c>
      <c r="E2506" s="4">
        <v>20210513</v>
      </c>
      <c r="F2506" s="4">
        <v>20210513</v>
      </c>
      <c r="G2506" s="4">
        <v>20240513</v>
      </c>
      <c r="H2506" s="4" t="s">
        <v>9027</v>
      </c>
      <c r="I2506" s="4" t="s">
        <v>9026</v>
      </c>
      <c r="J2506" s="4" t="s">
        <v>5701</v>
      </c>
    </row>
    <row r="2507" spans="1:10" hidden="1">
      <c r="A2507" s="4">
        <v>2.0210542420000301E+17</v>
      </c>
      <c r="B2507" s="4">
        <v>3378800900</v>
      </c>
      <c r="C2507" s="4" t="s">
        <v>9025</v>
      </c>
      <c r="D2507" s="4">
        <v>42420</v>
      </c>
      <c r="E2507" s="4">
        <v>20210513</v>
      </c>
      <c r="F2507" s="4">
        <v>20210513</v>
      </c>
      <c r="G2507" s="4">
        <v>20240513</v>
      </c>
      <c r="H2507" s="4" t="s">
        <v>9024</v>
      </c>
      <c r="J2507" s="4" t="s">
        <v>1649</v>
      </c>
    </row>
    <row r="2508" spans="1:10" hidden="1">
      <c r="A2508" s="4">
        <v>2.0210523221000301E+17</v>
      </c>
      <c r="B2508" s="4">
        <v>8788600237</v>
      </c>
      <c r="C2508" s="4" t="s">
        <v>9023</v>
      </c>
      <c r="D2508" s="4">
        <v>23221</v>
      </c>
      <c r="E2508" s="4">
        <v>20210513</v>
      </c>
      <c r="F2508" s="4">
        <v>20210513</v>
      </c>
      <c r="G2508" s="4">
        <v>20221014</v>
      </c>
      <c r="H2508" s="4" t="s">
        <v>9022</v>
      </c>
      <c r="I2508" s="4" t="s">
        <v>9021</v>
      </c>
      <c r="J2508" s="4" t="s">
        <v>9020</v>
      </c>
    </row>
    <row r="2509" spans="1:10" hidden="1">
      <c r="A2509" s="4">
        <v>2.0210520424000301E+17</v>
      </c>
      <c r="B2509" s="4">
        <v>7488701873</v>
      </c>
      <c r="C2509" s="4" t="s">
        <v>9019</v>
      </c>
      <c r="D2509" s="4">
        <v>20424</v>
      </c>
      <c r="E2509" s="4">
        <v>20210513</v>
      </c>
      <c r="F2509" s="4">
        <v>20210513</v>
      </c>
      <c r="G2509" s="4">
        <v>20240513</v>
      </c>
      <c r="H2509" s="4" t="s">
        <v>9018</v>
      </c>
      <c r="I2509" s="4" t="s">
        <v>221</v>
      </c>
      <c r="J2509" s="4" t="s">
        <v>2964</v>
      </c>
    </row>
    <row r="2510" spans="1:10" hidden="1">
      <c r="A2510" s="4">
        <v>2.0210516103000301E+17</v>
      </c>
      <c r="B2510" s="4">
        <v>4188800102</v>
      </c>
      <c r="C2510" s="4" t="s">
        <v>9017</v>
      </c>
      <c r="D2510" s="4">
        <v>16103</v>
      </c>
      <c r="E2510" s="4">
        <v>20210513</v>
      </c>
      <c r="F2510" s="4">
        <v>20210513</v>
      </c>
      <c r="G2510" s="4">
        <v>20220709</v>
      </c>
      <c r="H2510" s="4" t="s">
        <v>1423</v>
      </c>
      <c r="I2510" s="4" t="s">
        <v>9016</v>
      </c>
      <c r="J2510" s="4" t="s">
        <v>912</v>
      </c>
    </row>
    <row r="2511" spans="1:10" hidden="1">
      <c r="A2511" s="4">
        <v>2.0210562021000301E+17</v>
      </c>
      <c r="B2511" s="4">
        <v>2278700964</v>
      </c>
      <c r="C2511" s="4" t="s">
        <v>9015</v>
      </c>
      <c r="D2511" s="4">
        <v>62021</v>
      </c>
      <c r="E2511" s="4">
        <v>20210513</v>
      </c>
      <c r="F2511" s="4">
        <v>20210513</v>
      </c>
      <c r="G2511" s="4">
        <v>20240513</v>
      </c>
      <c r="H2511" s="4" t="s">
        <v>9014</v>
      </c>
      <c r="I2511" s="4" t="s">
        <v>9013</v>
      </c>
      <c r="J2511" s="4" t="s">
        <v>1505</v>
      </c>
    </row>
    <row r="2512" spans="1:10" hidden="1">
      <c r="A2512" s="4">
        <v>2.0210528519000301E+17</v>
      </c>
      <c r="B2512" s="4">
        <v>2468700214</v>
      </c>
      <c r="C2512" s="4" t="s">
        <v>9012</v>
      </c>
      <c r="D2512" s="4">
        <v>28519</v>
      </c>
      <c r="E2512" s="4">
        <v>20210513</v>
      </c>
      <c r="F2512" s="4">
        <v>20210513</v>
      </c>
      <c r="G2512" s="4">
        <v>20230105</v>
      </c>
      <c r="H2512" s="4" t="s">
        <v>2259</v>
      </c>
      <c r="I2512" s="4" t="s">
        <v>9011</v>
      </c>
      <c r="J2512" s="4" t="s">
        <v>1412</v>
      </c>
    </row>
    <row r="2513" spans="1:10" hidden="1">
      <c r="A2513" s="4">
        <v>2.0210549309000301E+17</v>
      </c>
      <c r="B2513" s="4">
        <v>2558801873</v>
      </c>
      <c r="C2513" s="4" t="s">
        <v>9010</v>
      </c>
      <c r="D2513" s="4">
        <v>49309</v>
      </c>
      <c r="E2513" s="4">
        <v>20210513</v>
      </c>
      <c r="F2513" s="4">
        <v>20210513</v>
      </c>
      <c r="G2513" s="4">
        <v>20240513</v>
      </c>
      <c r="H2513" s="4" t="s">
        <v>9009</v>
      </c>
      <c r="I2513" s="4" t="s">
        <v>91</v>
      </c>
      <c r="J2513" s="4" t="s">
        <v>9008</v>
      </c>
    </row>
    <row r="2514" spans="1:10" hidden="1">
      <c r="A2514" s="4">
        <v>2.0210527214000301E+17</v>
      </c>
      <c r="B2514" s="4">
        <v>1828100198</v>
      </c>
      <c r="C2514" s="4" t="s">
        <v>9007</v>
      </c>
      <c r="D2514" s="4">
        <v>27214</v>
      </c>
      <c r="E2514" s="4">
        <v>20210513</v>
      </c>
      <c r="F2514" s="4">
        <v>20210513</v>
      </c>
      <c r="G2514" s="4">
        <v>20220821</v>
      </c>
      <c r="H2514" s="4" t="s">
        <v>9006</v>
      </c>
      <c r="J2514" s="4" t="s">
        <v>4937</v>
      </c>
    </row>
    <row r="2515" spans="1:10" hidden="1">
      <c r="A2515" s="4">
        <v>2.0210513221000301E+17</v>
      </c>
      <c r="B2515" s="4">
        <v>3878701926</v>
      </c>
      <c r="C2515" s="4" t="s">
        <v>9005</v>
      </c>
      <c r="D2515" s="4">
        <v>13221</v>
      </c>
      <c r="E2515" s="4">
        <v>20210513</v>
      </c>
      <c r="F2515" s="4">
        <v>20210513</v>
      </c>
      <c r="G2515" s="4">
        <v>20240513</v>
      </c>
      <c r="H2515" s="4" t="s">
        <v>9004</v>
      </c>
      <c r="I2515" s="4" t="s">
        <v>91</v>
      </c>
      <c r="J2515" s="4" t="s">
        <v>307</v>
      </c>
    </row>
    <row r="2516" spans="1:10" hidden="1">
      <c r="A2516" s="4">
        <v>2.0210532029000301E+17</v>
      </c>
      <c r="B2516" s="4">
        <v>3061293661</v>
      </c>
      <c r="C2516" s="4" t="s">
        <v>9002</v>
      </c>
      <c r="D2516" s="4">
        <v>32029</v>
      </c>
      <c r="E2516" s="4">
        <v>20210513</v>
      </c>
      <c r="F2516" s="4">
        <v>20210513</v>
      </c>
      <c r="G2516" s="4">
        <v>20240513</v>
      </c>
      <c r="H2516" s="4" t="s">
        <v>9003</v>
      </c>
      <c r="I2516" s="4" t="s">
        <v>9002</v>
      </c>
      <c r="J2516" s="4" t="s">
        <v>637</v>
      </c>
    </row>
    <row r="2517" spans="1:10" hidden="1">
      <c r="A2517" s="4">
        <v>2.0210541129000301E+17</v>
      </c>
      <c r="B2517" s="4">
        <v>1638601527</v>
      </c>
      <c r="C2517" s="4" t="s">
        <v>9001</v>
      </c>
      <c r="D2517" s="4">
        <v>41129</v>
      </c>
      <c r="E2517" s="4">
        <v>20210513</v>
      </c>
      <c r="F2517" s="4">
        <v>20210513</v>
      </c>
      <c r="G2517" s="4">
        <v>20240513</v>
      </c>
      <c r="H2517" s="4" t="s">
        <v>9000</v>
      </c>
      <c r="J2517" s="4" t="s">
        <v>4352</v>
      </c>
    </row>
    <row r="2518" spans="1:10" hidden="1">
      <c r="A2518" s="4">
        <v>2.0210516212000301E+17</v>
      </c>
      <c r="B2518" s="4">
        <v>1578602031</v>
      </c>
      <c r="C2518" s="4" t="s">
        <v>8999</v>
      </c>
      <c r="D2518" s="4">
        <v>16212</v>
      </c>
      <c r="E2518" s="4">
        <v>20210513</v>
      </c>
      <c r="F2518" s="4">
        <v>20210513</v>
      </c>
      <c r="G2518" s="4">
        <v>20240513</v>
      </c>
      <c r="H2518" s="4" t="s">
        <v>8998</v>
      </c>
      <c r="J2518" s="4" t="s">
        <v>6966</v>
      </c>
    </row>
    <row r="2519" spans="1:10" hidden="1">
      <c r="A2519" s="4">
        <v>2.0210510802000301E+17</v>
      </c>
      <c r="B2519" s="4">
        <v>3308101267</v>
      </c>
      <c r="C2519" s="4" t="s">
        <v>8997</v>
      </c>
      <c r="D2519" s="4">
        <v>10802</v>
      </c>
      <c r="E2519" s="4">
        <v>20210513</v>
      </c>
      <c r="F2519" s="4">
        <v>20210513</v>
      </c>
      <c r="G2519" s="4">
        <v>20240513</v>
      </c>
      <c r="H2519" s="4" t="s">
        <v>8996</v>
      </c>
      <c r="J2519" s="4" t="s">
        <v>973</v>
      </c>
    </row>
    <row r="2520" spans="1:10" hidden="1">
      <c r="A2520" s="4">
        <v>2.0210574100000301E+17</v>
      </c>
      <c r="B2520" s="4">
        <v>1508102132</v>
      </c>
      <c r="C2520" s="4" t="s">
        <v>8995</v>
      </c>
      <c r="D2520" s="4">
        <v>74100</v>
      </c>
      <c r="E2520" s="4">
        <v>20210513</v>
      </c>
      <c r="F2520" s="4">
        <v>20210513</v>
      </c>
      <c r="G2520" s="4">
        <v>20240513</v>
      </c>
      <c r="H2520" s="4" t="s">
        <v>8994</v>
      </c>
      <c r="I2520" s="4" t="s">
        <v>8993</v>
      </c>
      <c r="J2520" s="4" t="s">
        <v>2207</v>
      </c>
    </row>
    <row r="2521" spans="1:10" hidden="1">
      <c r="A2521" s="4">
        <v>2.0210523324000301E+17</v>
      </c>
      <c r="B2521" s="4">
        <v>8648800101</v>
      </c>
      <c r="C2521" s="4" t="s">
        <v>8992</v>
      </c>
      <c r="D2521" s="4">
        <v>23324</v>
      </c>
      <c r="E2521" s="4">
        <v>20210513</v>
      </c>
      <c r="F2521" s="4">
        <v>20210513</v>
      </c>
      <c r="G2521" s="4">
        <v>20220616</v>
      </c>
      <c r="H2521" s="4" t="s">
        <v>8991</v>
      </c>
      <c r="J2521" s="4" t="s">
        <v>3323</v>
      </c>
    </row>
    <row r="2522" spans="1:10" hidden="1">
      <c r="A2522" s="4">
        <v>2.0210546433000301E+17</v>
      </c>
      <c r="B2522" s="4">
        <v>2778601748</v>
      </c>
      <c r="C2522" s="4" t="s">
        <v>8990</v>
      </c>
      <c r="D2522" s="4">
        <v>46433</v>
      </c>
      <c r="E2522" s="4">
        <v>20210513</v>
      </c>
      <c r="F2522" s="4">
        <v>20210513</v>
      </c>
      <c r="G2522" s="4">
        <v>20240513</v>
      </c>
      <c r="H2522" s="4" t="s">
        <v>8989</v>
      </c>
      <c r="I2522" s="4" t="s">
        <v>8988</v>
      </c>
      <c r="J2522" s="4" t="s">
        <v>4201</v>
      </c>
    </row>
    <row r="2523" spans="1:10" hidden="1">
      <c r="A2523" s="4">
        <v>2.0210532029000301E+17</v>
      </c>
      <c r="B2523" s="4">
        <v>4837900273</v>
      </c>
      <c r="C2523" s="4" t="s">
        <v>8987</v>
      </c>
      <c r="D2523" s="4">
        <v>32029</v>
      </c>
      <c r="E2523" s="4">
        <v>20210513</v>
      </c>
      <c r="F2523" s="4">
        <v>20210513</v>
      </c>
      <c r="G2523" s="4">
        <v>20240513</v>
      </c>
      <c r="H2523" s="4" t="s">
        <v>8986</v>
      </c>
      <c r="I2523" s="4" t="s">
        <v>8985</v>
      </c>
      <c r="J2523" s="4" t="s">
        <v>637</v>
      </c>
    </row>
    <row r="2524" spans="1:10" hidden="1">
      <c r="A2524" s="4">
        <v>2.0210590199000301E+17</v>
      </c>
      <c r="B2524" s="4">
        <v>4951201194</v>
      </c>
      <c r="C2524" s="4" t="s">
        <v>8984</v>
      </c>
      <c r="D2524" s="4">
        <v>90199</v>
      </c>
      <c r="E2524" s="4">
        <v>20210513</v>
      </c>
      <c r="F2524" s="4">
        <v>20210513</v>
      </c>
      <c r="G2524" s="4">
        <v>20240513</v>
      </c>
      <c r="H2524" s="4" t="s">
        <v>8088</v>
      </c>
      <c r="I2524" s="4" t="s">
        <v>8983</v>
      </c>
      <c r="J2524" s="4" t="s">
        <v>7732</v>
      </c>
    </row>
    <row r="2525" spans="1:10" hidden="1">
      <c r="A2525" s="4">
        <v>2.0210558221000301E+17</v>
      </c>
      <c r="B2525" s="4">
        <v>1128601043</v>
      </c>
      <c r="C2525" s="4" t="s">
        <v>8982</v>
      </c>
      <c r="D2525" s="4">
        <v>58221</v>
      </c>
      <c r="E2525" s="4">
        <v>20210513</v>
      </c>
      <c r="F2525" s="4">
        <v>20210513</v>
      </c>
      <c r="G2525" s="4">
        <v>20240513</v>
      </c>
      <c r="H2525" s="4" t="s">
        <v>8981</v>
      </c>
      <c r="I2525" s="4" t="s">
        <v>938</v>
      </c>
      <c r="J2525" s="4" t="s">
        <v>228</v>
      </c>
    </row>
    <row r="2526" spans="1:10" hidden="1">
      <c r="A2526" s="4">
        <v>2.0210513999000301E+17</v>
      </c>
      <c r="B2526" s="4">
        <v>8301701320</v>
      </c>
      <c r="C2526" s="4" t="s">
        <v>8980</v>
      </c>
      <c r="D2526" s="4">
        <v>13999</v>
      </c>
      <c r="E2526" s="4">
        <v>20210513</v>
      </c>
      <c r="F2526" s="4">
        <v>20210513</v>
      </c>
      <c r="G2526" s="4">
        <v>20240513</v>
      </c>
      <c r="H2526" s="4" t="s">
        <v>8979</v>
      </c>
      <c r="J2526" s="4" t="s">
        <v>130</v>
      </c>
    </row>
    <row r="2527" spans="1:10" hidden="1">
      <c r="A2527" s="4">
        <v>2.0210585699000301E+17</v>
      </c>
      <c r="B2527" s="4">
        <v>8121300970</v>
      </c>
      <c r="C2527" s="4" t="s">
        <v>8978</v>
      </c>
      <c r="D2527" s="4">
        <v>85699</v>
      </c>
      <c r="E2527" s="4">
        <v>20210513</v>
      </c>
      <c r="F2527" s="4">
        <v>20210513</v>
      </c>
      <c r="G2527" s="4">
        <v>20240513</v>
      </c>
      <c r="H2527" s="4" t="s">
        <v>8977</v>
      </c>
      <c r="I2527" s="4" t="s">
        <v>4360</v>
      </c>
      <c r="J2527" s="4" t="s">
        <v>2192</v>
      </c>
    </row>
    <row r="2528" spans="1:10" hidden="1">
      <c r="A2528" s="4">
        <v>2.0210514112000301E+17</v>
      </c>
      <c r="B2528" s="4">
        <v>6451200655</v>
      </c>
      <c r="C2528" s="4" t="s">
        <v>8976</v>
      </c>
      <c r="D2528" s="4">
        <v>14112</v>
      </c>
      <c r="E2528" s="4">
        <v>20210513</v>
      </c>
      <c r="F2528" s="4">
        <v>20210513</v>
      </c>
      <c r="G2528" s="4">
        <v>20240513</v>
      </c>
      <c r="H2528" s="4" t="s">
        <v>8975</v>
      </c>
      <c r="I2528" s="4" t="s">
        <v>8974</v>
      </c>
      <c r="J2528" s="4" t="s">
        <v>8973</v>
      </c>
    </row>
    <row r="2529" spans="1:10" hidden="1">
      <c r="A2529" s="4">
        <v>2.0210510122000301E+17</v>
      </c>
      <c r="B2529" s="4">
        <v>8478601154</v>
      </c>
      <c r="C2529" s="4" t="s">
        <v>8972</v>
      </c>
      <c r="D2529" s="4">
        <v>10122</v>
      </c>
      <c r="E2529" s="4">
        <v>20210513</v>
      </c>
      <c r="F2529" s="4">
        <v>20210513</v>
      </c>
      <c r="G2529" s="4">
        <v>20240513</v>
      </c>
      <c r="H2529" s="4" t="s">
        <v>8971</v>
      </c>
      <c r="J2529" s="4" t="s">
        <v>1361</v>
      </c>
    </row>
    <row r="2530" spans="1:10" hidden="1">
      <c r="A2530" s="4">
        <v>2.0210517902000301E+17</v>
      </c>
      <c r="B2530" s="4">
        <v>3488701372</v>
      </c>
      <c r="C2530" s="4" t="s">
        <v>8970</v>
      </c>
      <c r="D2530" s="4">
        <v>17902</v>
      </c>
      <c r="E2530" s="4">
        <v>20210513</v>
      </c>
      <c r="F2530" s="4">
        <v>20210513</v>
      </c>
      <c r="G2530" s="4">
        <v>20240513</v>
      </c>
      <c r="H2530" s="4" t="s">
        <v>8969</v>
      </c>
      <c r="J2530" s="4" t="s">
        <v>6653</v>
      </c>
    </row>
    <row r="2531" spans="1:10" hidden="1">
      <c r="A2531" s="4">
        <v>2.0210525121000301E+17</v>
      </c>
      <c r="B2531" s="4">
        <v>4118601111</v>
      </c>
      <c r="C2531" s="4" t="s">
        <v>8968</v>
      </c>
      <c r="D2531" s="4">
        <v>25121</v>
      </c>
      <c r="E2531" s="4">
        <v>20210513</v>
      </c>
      <c r="F2531" s="4">
        <v>20210513</v>
      </c>
      <c r="G2531" s="4">
        <v>20240513</v>
      </c>
      <c r="H2531" s="4" t="s">
        <v>8967</v>
      </c>
      <c r="I2531" s="4" t="s">
        <v>8966</v>
      </c>
      <c r="J2531" s="4" t="s">
        <v>8462</v>
      </c>
    </row>
    <row r="2532" spans="1:10" hidden="1">
      <c r="A2532" s="4">
        <v>2.0210558221000301E+17</v>
      </c>
      <c r="B2532" s="4">
        <v>3268600134</v>
      </c>
      <c r="C2532" s="4" t="s">
        <v>8965</v>
      </c>
      <c r="D2532" s="4">
        <v>58221</v>
      </c>
      <c r="E2532" s="4">
        <v>20210513</v>
      </c>
      <c r="F2532" s="4">
        <v>20210513</v>
      </c>
      <c r="G2532" s="4">
        <v>20220518</v>
      </c>
      <c r="H2532" s="4" t="s">
        <v>8964</v>
      </c>
      <c r="I2532" s="4" t="s">
        <v>591</v>
      </c>
      <c r="J2532" s="4" t="s">
        <v>228</v>
      </c>
    </row>
    <row r="2533" spans="1:10" hidden="1">
      <c r="A2533" s="4">
        <v>2.0210542412000301E+17</v>
      </c>
      <c r="B2533" s="4">
        <v>7858601327</v>
      </c>
      <c r="C2533" s="4" t="s">
        <v>8963</v>
      </c>
      <c r="D2533" s="4">
        <v>42412</v>
      </c>
      <c r="E2533" s="4">
        <v>20210513</v>
      </c>
      <c r="F2533" s="4">
        <v>20210513</v>
      </c>
      <c r="G2533" s="4">
        <v>20240513</v>
      </c>
      <c r="H2533" s="4" t="s">
        <v>2824</v>
      </c>
      <c r="I2533" s="4" t="s">
        <v>8962</v>
      </c>
      <c r="J2533" s="4" t="s">
        <v>281</v>
      </c>
    </row>
    <row r="2534" spans="1:10" hidden="1">
      <c r="A2534" s="4">
        <v>2.0210558221000301E+17</v>
      </c>
      <c r="B2534" s="4">
        <v>4518100075</v>
      </c>
      <c r="C2534" s="4" t="s">
        <v>8961</v>
      </c>
      <c r="D2534" s="4">
        <v>58221</v>
      </c>
      <c r="E2534" s="4">
        <v>20210513</v>
      </c>
      <c r="F2534" s="4">
        <v>20210513</v>
      </c>
      <c r="G2534" s="4">
        <v>20220410</v>
      </c>
      <c r="H2534" s="4" t="s">
        <v>8960</v>
      </c>
      <c r="I2534" s="4" t="s">
        <v>8959</v>
      </c>
      <c r="J2534" s="4" t="s">
        <v>228</v>
      </c>
    </row>
    <row r="2535" spans="1:10" hidden="1">
      <c r="A2535" s="4">
        <v>2.0210529299000301E+17</v>
      </c>
      <c r="B2535" s="4">
        <v>5328601887</v>
      </c>
      <c r="C2535" s="4" t="s">
        <v>8958</v>
      </c>
      <c r="D2535" s="4">
        <v>29299</v>
      </c>
      <c r="E2535" s="4">
        <v>20210513</v>
      </c>
      <c r="F2535" s="4">
        <v>20210513</v>
      </c>
      <c r="G2535" s="4">
        <v>20240513</v>
      </c>
      <c r="H2535" s="4" t="s">
        <v>8957</v>
      </c>
      <c r="I2535" s="4" t="s">
        <v>142</v>
      </c>
      <c r="J2535" s="4" t="s">
        <v>137</v>
      </c>
    </row>
    <row r="2536" spans="1:10" hidden="1">
      <c r="A2536" s="4">
        <v>2.0210572111000301E+17</v>
      </c>
      <c r="B2536" s="4">
        <v>4148800527</v>
      </c>
      <c r="C2536" s="4" t="s">
        <v>8956</v>
      </c>
      <c r="D2536" s="4">
        <v>72111</v>
      </c>
      <c r="E2536" s="4">
        <v>20210513</v>
      </c>
      <c r="F2536" s="4">
        <v>20210513</v>
      </c>
      <c r="G2536" s="4">
        <v>20240316</v>
      </c>
      <c r="H2536" s="4" t="s">
        <v>8955</v>
      </c>
      <c r="I2536" s="4" t="s">
        <v>8954</v>
      </c>
      <c r="J2536" s="4" t="s">
        <v>3461</v>
      </c>
    </row>
    <row r="2537" spans="1:10" hidden="1">
      <c r="A2537" s="4">
        <v>2.0210528901000301E+17</v>
      </c>
      <c r="B2537" s="4">
        <v>7448701357</v>
      </c>
      <c r="C2537" s="4" t="s">
        <v>8953</v>
      </c>
      <c r="D2537" s="4">
        <v>28901</v>
      </c>
      <c r="E2537" s="4">
        <v>20210513</v>
      </c>
      <c r="F2537" s="4">
        <v>20210513</v>
      </c>
      <c r="G2537" s="4">
        <v>20240513</v>
      </c>
      <c r="H2537" s="4" t="s">
        <v>8952</v>
      </c>
      <c r="I2537" s="4" t="s">
        <v>8951</v>
      </c>
      <c r="J2537" s="4" t="s">
        <v>4186</v>
      </c>
    </row>
    <row r="2538" spans="1:10" hidden="1">
      <c r="A2538" s="4">
        <v>2.0210547912000301E+17</v>
      </c>
      <c r="B2538" s="4">
        <v>8918102043</v>
      </c>
      <c r="C2538" s="4" t="s">
        <v>8950</v>
      </c>
      <c r="D2538" s="4">
        <v>47912</v>
      </c>
      <c r="E2538" s="4">
        <v>20210513</v>
      </c>
      <c r="F2538" s="4">
        <v>20210513</v>
      </c>
      <c r="G2538" s="4">
        <v>20240513</v>
      </c>
      <c r="H2538" s="4" t="s">
        <v>1410</v>
      </c>
      <c r="I2538" s="4" t="s">
        <v>8949</v>
      </c>
      <c r="J2538" s="4" t="s">
        <v>78</v>
      </c>
    </row>
    <row r="2539" spans="1:10" hidden="1">
      <c r="A2539" s="4">
        <v>2.0210533309000301E+17</v>
      </c>
      <c r="B2539" s="4">
        <v>4368701077</v>
      </c>
      <c r="C2539" s="4" t="s">
        <v>8948</v>
      </c>
      <c r="D2539" s="4">
        <v>33309</v>
      </c>
      <c r="E2539" s="4">
        <v>20210513</v>
      </c>
      <c r="F2539" s="4">
        <v>20210513</v>
      </c>
      <c r="G2539" s="4">
        <v>20240513</v>
      </c>
      <c r="H2539" s="4" t="s">
        <v>744</v>
      </c>
      <c r="I2539" s="4" t="s">
        <v>8947</v>
      </c>
      <c r="J2539" s="4" t="s">
        <v>238</v>
      </c>
    </row>
    <row r="2540" spans="1:10" hidden="1">
      <c r="A2540" s="4">
        <v>2.0210531322000301E+17</v>
      </c>
      <c r="B2540" s="4">
        <v>7463500845</v>
      </c>
      <c r="C2540" s="4" t="s">
        <v>7293</v>
      </c>
      <c r="D2540" s="4">
        <v>31322</v>
      </c>
      <c r="E2540" s="4">
        <v>20210515</v>
      </c>
      <c r="F2540" s="4">
        <v>20210515</v>
      </c>
      <c r="G2540" s="4">
        <v>20240515</v>
      </c>
      <c r="H2540" s="4" t="s">
        <v>9085</v>
      </c>
      <c r="I2540" s="4" t="s">
        <v>9084</v>
      </c>
      <c r="J2540" s="4" t="s">
        <v>3546</v>
      </c>
    </row>
    <row r="2541" spans="1:10" hidden="1">
      <c r="A2541" s="4">
        <v>2.0210570130000301E+17</v>
      </c>
      <c r="B2541" s="4">
        <v>4738601889</v>
      </c>
      <c r="C2541" s="4" t="s">
        <v>8944</v>
      </c>
      <c r="D2541" s="4">
        <v>70130</v>
      </c>
      <c r="E2541" s="4">
        <v>20210513</v>
      </c>
      <c r="F2541" s="4">
        <v>20210513</v>
      </c>
      <c r="G2541" s="4">
        <v>20240513</v>
      </c>
      <c r="H2541" s="4" t="s">
        <v>8943</v>
      </c>
      <c r="I2541" s="4" t="s">
        <v>3363</v>
      </c>
      <c r="J2541" s="4" t="s">
        <v>170</v>
      </c>
    </row>
    <row r="2542" spans="1:10" hidden="1">
      <c r="A2542" s="4">
        <v>2.0210572129000301E+17</v>
      </c>
      <c r="B2542" s="4">
        <v>2878700665</v>
      </c>
      <c r="C2542" s="4" t="s">
        <v>8942</v>
      </c>
      <c r="D2542" s="4">
        <v>72129</v>
      </c>
      <c r="E2542" s="4">
        <v>20210513</v>
      </c>
      <c r="F2542" s="4">
        <v>20210513</v>
      </c>
      <c r="G2542" s="4">
        <v>20231013</v>
      </c>
      <c r="H2542" s="4" t="s">
        <v>8941</v>
      </c>
      <c r="J2542" s="4" t="s">
        <v>1679</v>
      </c>
    </row>
    <row r="2543" spans="1:10" hidden="1">
      <c r="A2543" s="4">
        <v>2.0210530399000301E+17</v>
      </c>
      <c r="B2543" s="4">
        <v>8811701482</v>
      </c>
      <c r="C2543" s="4" t="s">
        <v>9064</v>
      </c>
      <c r="D2543" s="4">
        <v>30399</v>
      </c>
      <c r="E2543" s="4">
        <v>20210514</v>
      </c>
      <c r="F2543" s="4">
        <v>20210514</v>
      </c>
      <c r="G2543" s="4">
        <v>20240514</v>
      </c>
      <c r="H2543" s="4" t="s">
        <v>9063</v>
      </c>
      <c r="J2543" s="4" t="s">
        <v>1763</v>
      </c>
    </row>
    <row r="2544" spans="1:10" hidden="1">
      <c r="A2544" s="4">
        <v>2.0210520312000301E+17</v>
      </c>
      <c r="B2544" s="4">
        <v>7768800672</v>
      </c>
      <c r="C2544" s="4" t="s">
        <v>8937</v>
      </c>
      <c r="D2544" s="4">
        <v>20312</v>
      </c>
      <c r="E2544" s="4">
        <v>20210513</v>
      </c>
      <c r="F2544" s="4">
        <v>20210513</v>
      </c>
      <c r="G2544" s="4">
        <v>20240414</v>
      </c>
      <c r="H2544" s="4" t="s">
        <v>8936</v>
      </c>
      <c r="I2544" s="4" t="s">
        <v>8935</v>
      </c>
      <c r="J2544" s="4" t="s">
        <v>1167</v>
      </c>
    </row>
    <row r="2545" spans="1:10" hidden="1">
      <c r="A2545" s="4">
        <v>2.0210532029000301E+17</v>
      </c>
      <c r="B2545" s="4">
        <v>8998101413</v>
      </c>
      <c r="C2545" s="4" t="s">
        <v>8934</v>
      </c>
      <c r="D2545" s="4">
        <v>32029</v>
      </c>
      <c r="E2545" s="4">
        <v>20210513</v>
      </c>
      <c r="F2545" s="4">
        <v>20210513</v>
      </c>
      <c r="G2545" s="4">
        <v>20240513</v>
      </c>
      <c r="H2545" s="4" t="s">
        <v>8933</v>
      </c>
      <c r="I2545" s="4" t="s">
        <v>8932</v>
      </c>
      <c r="J2545" s="4" t="s">
        <v>637</v>
      </c>
    </row>
    <row r="2546" spans="1:10" hidden="1">
      <c r="A2546" s="4">
        <v>2.0210517903000301E+17</v>
      </c>
      <c r="B2546" s="4">
        <v>6268101663</v>
      </c>
      <c r="C2546" s="4" t="s">
        <v>8930</v>
      </c>
      <c r="D2546" s="4">
        <v>17903</v>
      </c>
      <c r="E2546" s="4">
        <v>20210513</v>
      </c>
      <c r="F2546" s="4">
        <v>20210513</v>
      </c>
      <c r="G2546" s="4">
        <v>20240513</v>
      </c>
      <c r="H2546" s="4" t="s">
        <v>8931</v>
      </c>
      <c r="I2546" s="4" t="s">
        <v>8930</v>
      </c>
      <c r="J2546" s="4" t="s">
        <v>8929</v>
      </c>
    </row>
    <row r="2547" spans="1:10" hidden="1">
      <c r="A2547" s="4">
        <v>2.0210523329000301E+17</v>
      </c>
      <c r="B2547" s="4">
        <v>6138801860</v>
      </c>
      <c r="C2547" s="4" t="s">
        <v>8928</v>
      </c>
      <c r="D2547" s="4">
        <v>23329</v>
      </c>
      <c r="E2547" s="4">
        <v>20210513</v>
      </c>
      <c r="F2547" s="4">
        <v>20210513</v>
      </c>
      <c r="G2547" s="4">
        <v>20240513</v>
      </c>
      <c r="H2547" s="4" t="s">
        <v>8927</v>
      </c>
      <c r="I2547" s="4" t="s">
        <v>8926</v>
      </c>
      <c r="J2547" s="4" t="s">
        <v>6281</v>
      </c>
    </row>
    <row r="2548" spans="1:10" hidden="1">
      <c r="A2548" s="4">
        <v>2.0210525112000301E+17</v>
      </c>
      <c r="B2548" s="4">
        <v>2918801923</v>
      </c>
      <c r="C2548" s="4" t="s">
        <v>8925</v>
      </c>
      <c r="D2548" s="4">
        <v>25112</v>
      </c>
      <c r="E2548" s="4">
        <v>20210513</v>
      </c>
      <c r="F2548" s="4">
        <v>20210513</v>
      </c>
      <c r="G2548" s="4">
        <v>20240513</v>
      </c>
      <c r="H2548" s="4" t="s">
        <v>8924</v>
      </c>
      <c r="J2548" s="4" t="s">
        <v>320</v>
      </c>
    </row>
    <row r="2549" spans="1:10" hidden="1">
      <c r="A2549" s="4">
        <v>2.0210533301000301E+17</v>
      </c>
      <c r="B2549" s="4">
        <v>6834400298</v>
      </c>
      <c r="C2549" s="4" t="s">
        <v>8923</v>
      </c>
      <c r="D2549" s="4">
        <v>33301</v>
      </c>
      <c r="E2549" s="4">
        <v>20210513</v>
      </c>
      <c r="F2549" s="4">
        <v>20210513</v>
      </c>
      <c r="G2549" s="4">
        <v>20240330</v>
      </c>
      <c r="H2549" s="4" t="s">
        <v>8922</v>
      </c>
      <c r="J2549" s="4" t="s">
        <v>902</v>
      </c>
    </row>
    <row r="2550" spans="1:10" hidden="1">
      <c r="A2550" s="4">
        <v>2.0210574211000301E+17</v>
      </c>
      <c r="B2550" s="4">
        <v>5831000936</v>
      </c>
      <c r="C2550" s="4" t="s">
        <v>8921</v>
      </c>
      <c r="D2550" s="4">
        <v>74211</v>
      </c>
      <c r="E2550" s="4">
        <v>20210513</v>
      </c>
      <c r="F2550" s="4">
        <v>20210513</v>
      </c>
      <c r="G2550" s="4">
        <v>20240513</v>
      </c>
      <c r="H2550" s="4" t="s">
        <v>7317</v>
      </c>
      <c r="I2550" s="4" t="s">
        <v>8920</v>
      </c>
      <c r="J2550" s="4" t="s">
        <v>5576</v>
      </c>
    </row>
    <row r="2551" spans="1:10" hidden="1">
      <c r="A2551" s="4">
        <v>2.0210526295000301E+17</v>
      </c>
      <c r="B2551" s="4">
        <v>5731601435</v>
      </c>
      <c r="C2551" s="4" t="s">
        <v>8919</v>
      </c>
      <c r="D2551" s="4">
        <v>26295</v>
      </c>
      <c r="E2551" s="4">
        <v>20210513</v>
      </c>
      <c r="F2551" s="4">
        <v>20210513</v>
      </c>
      <c r="G2551" s="4">
        <v>20240513</v>
      </c>
      <c r="H2551" s="4" t="s">
        <v>5178</v>
      </c>
      <c r="I2551" s="4" t="s">
        <v>8918</v>
      </c>
      <c r="J2551" s="4" t="s">
        <v>174</v>
      </c>
    </row>
    <row r="2552" spans="1:10" hidden="1">
      <c r="A2552" s="4">
        <v>2.0210523324000301E+17</v>
      </c>
      <c r="B2552" s="4">
        <v>8288800731</v>
      </c>
      <c r="C2552" s="4" t="s">
        <v>8916</v>
      </c>
      <c r="D2552" s="4">
        <v>23324</v>
      </c>
      <c r="E2552" s="4">
        <v>20210512</v>
      </c>
      <c r="F2552" s="4">
        <v>20210512</v>
      </c>
      <c r="G2552" s="4">
        <v>20240510</v>
      </c>
      <c r="H2552" s="4" t="s">
        <v>8917</v>
      </c>
      <c r="I2552" s="4" t="s">
        <v>8916</v>
      </c>
      <c r="J2552" s="4" t="s">
        <v>3323</v>
      </c>
    </row>
    <row r="2553" spans="1:10" hidden="1">
      <c r="A2553" s="4">
        <v>2.0210525992000301E+17</v>
      </c>
      <c r="B2553" s="4">
        <v>8338801881</v>
      </c>
      <c r="C2553" s="4" t="s">
        <v>8915</v>
      </c>
      <c r="D2553" s="4">
        <v>25992</v>
      </c>
      <c r="E2553" s="4">
        <v>20210512</v>
      </c>
      <c r="F2553" s="4">
        <v>20210512</v>
      </c>
      <c r="G2553" s="4">
        <v>20240512</v>
      </c>
      <c r="H2553" s="4" t="s">
        <v>8914</v>
      </c>
      <c r="J2553" s="4" t="s">
        <v>6165</v>
      </c>
    </row>
    <row r="2554" spans="1:10" hidden="1">
      <c r="A2554" s="4">
        <v>2.0210542420000301E+17</v>
      </c>
      <c r="B2554" s="4">
        <v>1988601692</v>
      </c>
      <c r="C2554" s="4" t="s">
        <v>8913</v>
      </c>
      <c r="D2554" s="4">
        <v>42420</v>
      </c>
      <c r="E2554" s="4">
        <v>20210512</v>
      </c>
      <c r="F2554" s="4">
        <v>20210512</v>
      </c>
      <c r="G2554" s="4">
        <v>20240512</v>
      </c>
      <c r="H2554" s="4" t="s">
        <v>8912</v>
      </c>
      <c r="I2554" s="4" t="s">
        <v>8911</v>
      </c>
      <c r="J2554" s="4" t="s">
        <v>1649</v>
      </c>
    </row>
    <row r="2555" spans="1:10" hidden="1">
      <c r="A2555" s="4">
        <v>2.0210546452000301E+17</v>
      </c>
      <c r="B2555" s="4">
        <v>3958700549</v>
      </c>
      <c r="C2555" s="4" t="s">
        <v>8910</v>
      </c>
      <c r="D2555" s="4">
        <v>46452</v>
      </c>
      <c r="E2555" s="4">
        <v>20210512</v>
      </c>
      <c r="F2555" s="4">
        <v>20210512</v>
      </c>
      <c r="G2555" s="4">
        <v>20231123</v>
      </c>
      <c r="H2555" s="4" t="s">
        <v>8909</v>
      </c>
      <c r="I2555" s="4" t="s">
        <v>149</v>
      </c>
      <c r="J2555" s="4" t="s">
        <v>516</v>
      </c>
    </row>
    <row r="2556" spans="1:10" hidden="1">
      <c r="A2556" s="4">
        <v>2.0210542321000301E+17</v>
      </c>
      <c r="B2556" s="4">
        <v>5668700627</v>
      </c>
      <c r="C2556" s="4" t="s">
        <v>8908</v>
      </c>
      <c r="D2556" s="4">
        <v>42321</v>
      </c>
      <c r="E2556" s="4">
        <v>20210512</v>
      </c>
      <c r="F2556" s="4">
        <v>20210512</v>
      </c>
      <c r="G2556" s="4">
        <v>20240310</v>
      </c>
      <c r="H2556" s="4" t="s">
        <v>8907</v>
      </c>
      <c r="I2556" s="4" t="s">
        <v>3490</v>
      </c>
      <c r="J2556" s="4" t="s">
        <v>698</v>
      </c>
    </row>
    <row r="2557" spans="1:10" hidden="1">
      <c r="A2557" s="4">
        <v>2.0210559130000301E+17</v>
      </c>
      <c r="B2557" s="4">
        <v>4438701468</v>
      </c>
      <c r="C2557" s="4" t="s">
        <v>8906</v>
      </c>
      <c r="D2557" s="4">
        <v>59130</v>
      </c>
      <c r="E2557" s="4">
        <v>20210512</v>
      </c>
      <c r="F2557" s="4">
        <v>20210512</v>
      </c>
      <c r="G2557" s="4">
        <v>20240512</v>
      </c>
      <c r="H2557" s="4" t="s">
        <v>8905</v>
      </c>
      <c r="I2557" s="4" t="s">
        <v>8904</v>
      </c>
      <c r="J2557" s="4" t="s">
        <v>8391</v>
      </c>
    </row>
    <row r="2558" spans="1:10" hidden="1">
      <c r="A2558" s="4">
        <v>2.0210525992000301E+17</v>
      </c>
      <c r="B2558" s="4">
        <v>7388701823</v>
      </c>
      <c r="C2558" s="4" t="s">
        <v>8903</v>
      </c>
      <c r="D2558" s="4">
        <v>25992</v>
      </c>
      <c r="E2558" s="4">
        <v>20210512</v>
      </c>
      <c r="F2558" s="4">
        <v>20210512</v>
      </c>
      <c r="G2558" s="4">
        <v>20240512</v>
      </c>
      <c r="H2558" s="4" t="s">
        <v>8902</v>
      </c>
      <c r="J2558" s="4" t="s">
        <v>6165</v>
      </c>
    </row>
    <row r="2559" spans="1:10" hidden="1">
      <c r="A2559" s="4">
        <v>2.0210526519000301E+17</v>
      </c>
      <c r="B2559" s="4">
        <v>5628701696</v>
      </c>
      <c r="C2559" s="4" t="s">
        <v>8901</v>
      </c>
      <c r="D2559" s="4">
        <v>26519</v>
      </c>
      <c r="E2559" s="4">
        <v>20210512</v>
      </c>
      <c r="F2559" s="4">
        <v>20210512</v>
      </c>
      <c r="G2559" s="4">
        <v>20240512</v>
      </c>
      <c r="H2559" s="4" t="s">
        <v>2581</v>
      </c>
      <c r="I2559" s="4" t="s">
        <v>8900</v>
      </c>
      <c r="J2559" s="4" t="s">
        <v>668</v>
      </c>
    </row>
    <row r="2560" spans="1:10" hidden="1">
      <c r="A2560" s="4">
        <v>2.0210523211000301E+17</v>
      </c>
      <c r="B2560" s="4">
        <v>7038100151</v>
      </c>
      <c r="C2560" s="4" t="s">
        <v>9034</v>
      </c>
      <c r="D2560" s="4">
        <v>23211</v>
      </c>
      <c r="E2560" s="4">
        <v>20210514</v>
      </c>
      <c r="F2560" s="4">
        <v>20210514</v>
      </c>
      <c r="G2560" s="4">
        <v>20221023</v>
      </c>
      <c r="H2560" s="4" t="s">
        <v>9033</v>
      </c>
      <c r="J2560" s="4" t="s">
        <v>9032</v>
      </c>
    </row>
    <row r="2561" spans="1:10" hidden="1">
      <c r="A2561" s="4">
        <v>2.0210571531000301E+17</v>
      </c>
      <c r="B2561" s="4">
        <v>3338702025</v>
      </c>
      <c r="C2561" s="4" t="s">
        <v>8898</v>
      </c>
      <c r="D2561" s="4">
        <v>71531</v>
      </c>
      <c r="E2561" s="4">
        <v>20210512</v>
      </c>
      <c r="F2561" s="4">
        <v>20210512</v>
      </c>
      <c r="G2561" s="4">
        <v>20240512</v>
      </c>
      <c r="H2561" s="4" t="s">
        <v>8897</v>
      </c>
      <c r="J2561" s="4" t="s">
        <v>87</v>
      </c>
    </row>
    <row r="2562" spans="1:10" hidden="1">
      <c r="A2562" s="4">
        <v>2.0210562021000301E+17</v>
      </c>
      <c r="B2562" s="4">
        <v>8878701445</v>
      </c>
      <c r="C2562" s="4" t="s">
        <v>8896</v>
      </c>
      <c r="D2562" s="4">
        <v>62021</v>
      </c>
      <c r="E2562" s="4">
        <v>20210512</v>
      </c>
      <c r="F2562" s="4">
        <v>20210512</v>
      </c>
      <c r="G2562" s="4">
        <v>20240512</v>
      </c>
      <c r="H2562" s="4" t="s">
        <v>1509</v>
      </c>
      <c r="I2562" s="4" t="s">
        <v>8895</v>
      </c>
      <c r="J2562" s="4" t="s">
        <v>1505</v>
      </c>
    </row>
    <row r="2563" spans="1:10" hidden="1">
      <c r="A2563" s="4">
        <v>2.0210532099000301E+17</v>
      </c>
      <c r="B2563" s="4">
        <v>6828600806</v>
      </c>
      <c r="C2563" s="4" t="s">
        <v>8894</v>
      </c>
      <c r="D2563" s="4">
        <v>32099</v>
      </c>
      <c r="E2563" s="4">
        <v>20210512</v>
      </c>
      <c r="F2563" s="4">
        <v>20210512</v>
      </c>
      <c r="G2563" s="4">
        <v>20240512</v>
      </c>
      <c r="H2563" s="4" t="s">
        <v>8893</v>
      </c>
      <c r="I2563" s="4" t="s">
        <v>8892</v>
      </c>
      <c r="J2563" s="4" t="s">
        <v>162</v>
      </c>
    </row>
    <row r="2564" spans="1:10" hidden="1">
      <c r="A2564" s="4">
        <v>2.0210559120000301E+17</v>
      </c>
      <c r="B2564" s="4">
        <v>4368701437</v>
      </c>
      <c r="C2564" s="4" t="s">
        <v>8891</v>
      </c>
      <c r="D2564" s="4">
        <v>59120</v>
      </c>
      <c r="E2564" s="4">
        <v>20210512</v>
      </c>
      <c r="F2564" s="4">
        <v>20210512</v>
      </c>
      <c r="G2564" s="4">
        <v>20240512</v>
      </c>
      <c r="H2564" s="4" t="s">
        <v>8890</v>
      </c>
      <c r="I2564" s="4" t="s">
        <v>91</v>
      </c>
      <c r="J2564" s="4" t="s">
        <v>2961</v>
      </c>
    </row>
    <row r="2565" spans="1:10" hidden="1">
      <c r="A2565" s="4">
        <v>2.0210528422000301E+17</v>
      </c>
      <c r="B2565" s="4">
        <v>7373200312</v>
      </c>
      <c r="C2565" s="4" t="s">
        <v>8889</v>
      </c>
      <c r="D2565" s="4">
        <v>28422</v>
      </c>
      <c r="E2565" s="4">
        <v>20210512</v>
      </c>
      <c r="F2565" s="4">
        <v>20210512</v>
      </c>
      <c r="G2565" s="4">
        <v>20231208</v>
      </c>
      <c r="H2565" s="4" t="s">
        <v>8888</v>
      </c>
      <c r="J2565" s="4" t="s">
        <v>188</v>
      </c>
    </row>
    <row r="2566" spans="1:10" hidden="1">
      <c r="A2566" s="4">
        <v>2.0210542209000301E+17</v>
      </c>
      <c r="B2566" s="4">
        <v>5955800343</v>
      </c>
      <c r="C2566" s="4" t="s">
        <v>8887</v>
      </c>
      <c r="D2566" s="4">
        <v>42209</v>
      </c>
      <c r="E2566" s="4">
        <v>20210512</v>
      </c>
      <c r="F2566" s="4">
        <v>20210512</v>
      </c>
      <c r="G2566" s="4">
        <v>20240512</v>
      </c>
      <c r="H2566" s="4" t="s">
        <v>8886</v>
      </c>
      <c r="I2566" s="4" t="s">
        <v>146</v>
      </c>
      <c r="J2566" s="4" t="s">
        <v>7717</v>
      </c>
    </row>
    <row r="2567" spans="1:10" hidden="1">
      <c r="A2567" s="4">
        <v>2.0210546209000301E+17</v>
      </c>
      <c r="B2567" s="4">
        <v>7905300623</v>
      </c>
      <c r="C2567" s="4" t="s">
        <v>8885</v>
      </c>
      <c r="D2567" s="4">
        <v>46209</v>
      </c>
      <c r="E2567" s="4">
        <v>20210512</v>
      </c>
      <c r="F2567" s="4">
        <v>20210512</v>
      </c>
      <c r="G2567" s="4">
        <v>20240512</v>
      </c>
      <c r="H2567" s="4" t="s">
        <v>8884</v>
      </c>
      <c r="I2567" s="4" t="s">
        <v>91</v>
      </c>
      <c r="J2567" s="4" t="s">
        <v>3851</v>
      </c>
    </row>
    <row r="2568" spans="1:10" hidden="1">
      <c r="A2568" s="4">
        <v>2.0210529299000301E+17</v>
      </c>
      <c r="B2568" s="4">
        <v>2183500578</v>
      </c>
      <c r="C2568" s="4" t="s">
        <v>8883</v>
      </c>
      <c r="D2568" s="4">
        <v>29299</v>
      </c>
      <c r="E2568" s="4">
        <v>20210512</v>
      </c>
      <c r="F2568" s="4">
        <v>20210512</v>
      </c>
      <c r="G2568" s="4">
        <v>20240512</v>
      </c>
      <c r="H2568" s="4" t="s">
        <v>8882</v>
      </c>
      <c r="I2568" s="4" t="s">
        <v>8881</v>
      </c>
      <c r="J2568" s="4" t="s">
        <v>137</v>
      </c>
    </row>
    <row r="2569" spans="1:10" hidden="1">
      <c r="A2569" s="4">
        <v>2.0210528903000301E+17</v>
      </c>
      <c r="B2569" s="4">
        <v>7490601751</v>
      </c>
      <c r="C2569" s="4" t="s">
        <v>8880</v>
      </c>
      <c r="D2569" s="4">
        <v>28903</v>
      </c>
      <c r="E2569" s="4">
        <v>20210512</v>
      </c>
      <c r="F2569" s="4">
        <v>20210512</v>
      </c>
      <c r="G2569" s="4">
        <v>20240512</v>
      </c>
      <c r="H2569" s="4" t="s">
        <v>8879</v>
      </c>
      <c r="I2569" s="4" t="s">
        <v>6253</v>
      </c>
      <c r="J2569" s="4" t="s">
        <v>460</v>
      </c>
    </row>
    <row r="2570" spans="1:10" hidden="1">
      <c r="A2570" s="4">
        <v>2.0210516291000301E+17</v>
      </c>
      <c r="B2570" s="4">
        <v>2978800446</v>
      </c>
      <c r="C2570" s="4" t="s">
        <v>8946</v>
      </c>
      <c r="D2570" s="4">
        <v>16291</v>
      </c>
      <c r="E2570" s="4">
        <v>20210513</v>
      </c>
      <c r="F2570" s="4">
        <v>20210513</v>
      </c>
      <c r="G2570" s="4">
        <v>20230711</v>
      </c>
      <c r="H2570" s="4" t="s">
        <v>8945</v>
      </c>
      <c r="J2570" s="4" t="s">
        <v>4956</v>
      </c>
    </row>
    <row r="2571" spans="1:10" hidden="1">
      <c r="A2571" s="4">
        <v>2.0210563991000301E+17</v>
      </c>
      <c r="B2571" s="4">
        <v>4593200727</v>
      </c>
      <c r="C2571" s="4" t="s">
        <v>8876</v>
      </c>
      <c r="D2571" s="4">
        <v>63991</v>
      </c>
      <c r="E2571" s="4">
        <v>20210512</v>
      </c>
      <c r="F2571" s="4">
        <v>20210512</v>
      </c>
      <c r="G2571" s="4">
        <v>20240512</v>
      </c>
      <c r="H2571" s="4" t="s">
        <v>8875</v>
      </c>
      <c r="I2571" s="4" t="s">
        <v>8874</v>
      </c>
      <c r="J2571" s="4" t="s">
        <v>395</v>
      </c>
    </row>
    <row r="2572" spans="1:10" hidden="1">
      <c r="A2572" s="4">
        <v>2.0210546109000301E+17</v>
      </c>
      <c r="B2572" s="4">
        <v>3115400432</v>
      </c>
      <c r="C2572" s="4" t="s">
        <v>8873</v>
      </c>
      <c r="D2572" s="4">
        <v>46109</v>
      </c>
      <c r="E2572" s="4">
        <v>20210512</v>
      </c>
      <c r="F2572" s="4">
        <v>20210512</v>
      </c>
      <c r="G2572" s="4">
        <v>20240512</v>
      </c>
      <c r="H2572" s="4" t="s">
        <v>8872</v>
      </c>
      <c r="I2572" s="4" t="s">
        <v>8871</v>
      </c>
      <c r="J2572" s="4" t="s">
        <v>133</v>
      </c>
    </row>
    <row r="2573" spans="1:10">
      <c r="A2573" s="4">
        <v>2.0210729293000499E+17</v>
      </c>
      <c r="B2573" s="4">
        <v>3180131304</v>
      </c>
      <c r="C2573" s="4" t="s">
        <v>14108</v>
      </c>
      <c r="D2573" s="4">
        <v>29293</v>
      </c>
      <c r="E2573" s="4">
        <v>20210702</v>
      </c>
      <c r="F2573" s="4">
        <v>20210702</v>
      </c>
      <c r="G2573" s="4">
        <v>20210922</v>
      </c>
      <c r="H2573" s="4" t="s">
        <v>1423</v>
      </c>
      <c r="I2573" s="4" t="s">
        <v>14107</v>
      </c>
      <c r="J2573" s="4" t="s">
        <v>4895</v>
      </c>
    </row>
    <row r="2574" spans="1:10" hidden="1">
      <c r="A2574" s="4">
        <v>2.0210547912000301E+17</v>
      </c>
      <c r="B2574" s="4">
        <v>7975900534</v>
      </c>
      <c r="C2574" s="4" t="s">
        <v>8868</v>
      </c>
      <c r="D2574" s="4">
        <v>47912</v>
      </c>
      <c r="E2574" s="4">
        <v>20210512</v>
      </c>
      <c r="F2574" s="4">
        <v>20210512</v>
      </c>
      <c r="G2574" s="4">
        <v>20240512</v>
      </c>
      <c r="H2574" s="4" t="s">
        <v>8867</v>
      </c>
      <c r="I2574" s="4" t="s">
        <v>8866</v>
      </c>
      <c r="J2574" s="4" t="s">
        <v>78</v>
      </c>
    </row>
    <row r="2575" spans="1:10" hidden="1">
      <c r="A2575" s="4">
        <v>2.0210562021000301E+17</v>
      </c>
      <c r="B2575" s="4">
        <v>2138701931</v>
      </c>
      <c r="C2575" s="4" t="s">
        <v>8865</v>
      </c>
      <c r="D2575" s="4">
        <v>62021</v>
      </c>
      <c r="E2575" s="4">
        <v>20210512</v>
      </c>
      <c r="F2575" s="4">
        <v>20210512</v>
      </c>
      <c r="G2575" s="4">
        <v>20240512</v>
      </c>
      <c r="H2575" s="4" t="s">
        <v>8864</v>
      </c>
      <c r="I2575" s="4" t="s">
        <v>6385</v>
      </c>
      <c r="J2575" s="4" t="s">
        <v>1505</v>
      </c>
    </row>
    <row r="2576" spans="1:10" hidden="1">
      <c r="A2576" s="4">
        <v>2.0210513101000301E+17</v>
      </c>
      <c r="B2576" s="4">
        <v>1188601376</v>
      </c>
      <c r="C2576" s="4" t="s">
        <v>8863</v>
      </c>
      <c r="D2576" s="4">
        <v>13101</v>
      </c>
      <c r="E2576" s="4">
        <v>20210512</v>
      </c>
      <c r="F2576" s="4">
        <v>20210512</v>
      </c>
      <c r="G2576" s="4">
        <v>20240512</v>
      </c>
      <c r="H2576" s="4" t="s">
        <v>8862</v>
      </c>
      <c r="I2576" s="4" t="s">
        <v>8861</v>
      </c>
      <c r="J2576" s="4" t="s">
        <v>8860</v>
      </c>
    </row>
    <row r="2577" spans="1:10" hidden="1">
      <c r="A2577" s="4">
        <v>2.0210533932000301E+17</v>
      </c>
      <c r="B2577" s="4">
        <v>3041109836</v>
      </c>
      <c r="C2577" s="4" t="s">
        <v>8859</v>
      </c>
      <c r="D2577" s="4">
        <v>33932</v>
      </c>
      <c r="E2577" s="4">
        <v>20210512</v>
      </c>
      <c r="F2577" s="4">
        <v>20210512</v>
      </c>
      <c r="G2577" s="4">
        <v>20240512</v>
      </c>
      <c r="H2577" s="4" t="s">
        <v>2745</v>
      </c>
      <c r="J2577" s="4" t="s">
        <v>178</v>
      </c>
    </row>
    <row r="2578" spans="1:10" hidden="1">
      <c r="A2578" s="4">
        <v>2.0210525932000301E+17</v>
      </c>
      <c r="B2578" s="4">
        <v>5197000318</v>
      </c>
      <c r="C2578" s="4" t="s">
        <v>8858</v>
      </c>
      <c r="D2578" s="4">
        <v>25932</v>
      </c>
      <c r="E2578" s="4">
        <v>20210512</v>
      </c>
      <c r="F2578" s="4">
        <v>20210512</v>
      </c>
      <c r="G2578" s="4">
        <v>20240512</v>
      </c>
      <c r="H2578" s="4" t="s">
        <v>8857</v>
      </c>
      <c r="J2578" s="4" t="s">
        <v>246</v>
      </c>
    </row>
    <row r="2579" spans="1:10" hidden="1">
      <c r="A2579" s="4">
        <v>2.0210527213000301E+17</v>
      </c>
      <c r="B2579" s="4">
        <v>2117400300</v>
      </c>
      <c r="C2579" s="4" t="s">
        <v>8856</v>
      </c>
      <c r="D2579" s="4">
        <v>27213</v>
      </c>
      <c r="E2579" s="4">
        <v>20210512</v>
      </c>
      <c r="F2579" s="4">
        <v>20210512</v>
      </c>
      <c r="G2579" s="4">
        <v>20240512</v>
      </c>
      <c r="H2579" s="4" t="s">
        <v>8855</v>
      </c>
      <c r="I2579" s="4" t="s">
        <v>657</v>
      </c>
      <c r="J2579" s="4" t="s">
        <v>264</v>
      </c>
    </row>
    <row r="2580" spans="1:10" hidden="1">
      <c r="A2580" s="4">
        <v>2.0210546203000301E+17</v>
      </c>
      <c r="B2580" s="4">
        <v>2018801861</v>
      </c>
      <c r="C2580" s="4" t="s">
        <v>8854</v>
      </c>
      <c r="D2580" s="4">
        <v>46203</v>
      </c>
      <c r="E2580" s="4">
        <v>20210512</v>
      </c>
      <c r="F2580" s="4">
        <v>20210512</v>
      </c>
      <c r="G2580" s="4">
        <v>20240512</v>
      </c>
      <c r="H2580" s="4" t="s">
        <v>8853</v>
      </c>
      <c r="I2580" s="4" t="s">
        <v>8852</v>
      </c>
      <c r="J2580" s="4" t="s">
        <v>3762</v>
      </c>
    </row>
    <row r="2581" spans="1:10" hidden="1">
      <c r="A2581" s="4">
        <v>2.0210526410000301E+17</v>
      </c>
      <c r="B2581" s="4">
        <v>2422500719</v>
      </c>
      <c r="C2581" s="4" t="s">
        <v>8851</v>
      </c>
      <c r="D2581" s="4">
        <v>26410</v>
      </c>
      <c r="E2581" s="4">
        <v>20210512</v>
      </c>
      <c r="F2581" s="4">
        <v>20210512</v>
      </c>
      <c r="G2581" s="4">
        <v>20240512</v>
      </c>
      <c r="H2581" s="4" t="s">
        <v>8850</v>
      </c>
      <c r="I2581" s="4" t="s">
        <v>8849</v>
      </c>
      <c r="J2581" s="4" t="s">
        <v>1102</v>
      </c>
    </row>
    <row r="2582" spans="1:10" hidden="1">
      <c r="A2582" s="4">
        <v>2.0210546109000301E+17</v>
      </c>
      <c r="B2582" s="4">
        <v>6053817691</v>
      </c>
      <c r="C2582" s="4" t="s">
        <v>8848</v>
      </c>
      <c r="D2582" s="4">
        <v>46109</v>
      </c>
      <c r="E2582" s="4">
        <v>20210512</v>
      </c>
      <c r="F2582" s="4">
        <v>20210512</v>
      </c>
      <c r="G2582" s="4">
        <v>20220824</v>
      </c>
      <c r="H2582" s="4" t="s">
        <v>8847</v>
      </c>
      <c r="I2582" s="4" t="s">
        <v>8846</v>
      </c>
      <c r="J2582" s="4" t="s">
        <v>133</v>
      </c>
    </row>
    <row r="2583" spans="1:10" hidden="1">
      <c r="A2583" s="4">
        <v>2.0210546800000301E+17</v>
      </c>
      <c r="B2583" s="4">
        <v>6884600531</v>
      </c>
      <c r="C2583" s="4" t="s">
        <v>8845</v>
      </c>
      <c r="D2583" s="4">
        <v>46800</v>
      </c>
      <c r="E2583" s="4">
        <v>20210512</v>
      </c>
      <c r="F2583" s="4">
        <v>20210512</v>
      </c>
      <c r="G2583" s="4">
        <v>20240512</v>
      </c>
      <c r="H2583" s="4" t="s">
        <v>8844</v>
      </c>
      <c r="I2583" s="4">
        <v>104</v>
      </c>
      <c r="J2583" s="4" t="s">
        <v>979</v>
      </c>
    </row>
    <row r="2584" spans="1:10" hidden="1">
      <c r="A2584" s="4">
        <v>2.0210528519000301E+17</v>
      </c>
      <c r="B2584" s="4">
        <v>5688601187</v>
      </c>
      <c r="C2584" s="4" t="s">
        <v>8843</v>
      </c>
      <c r="D2584" s="4">
        <v>28519</v>
      </c>
      <c r="E2584" s="4">
        <v>20210512</v>
      </c>
      <c r="F2584" s="4">
        <v>20210512</v>
      </c>
      <c r="G2584" s="4">
        <v>20240512</v>
      </c>
      <c r="H2584" s="4" t="s">
        <v>5669</v>
      </c>
      <c r="I2584" s="4" t="s">
        <v>8834</v>
      </c>
      <c r="J2584" s="4" t="s">
        <v>1412</v>
      </c>
    </row>
    <row r="2585" spans="1:10" hidden="1">
      <c r="A2585" s="4">
        <v>2.0210526310000301E+17</v>
      </c>
      <c r="B2585" s="4">
        <v>2048701219</v>
      </c>
      <c r="C2585" s="4" t="s">
        <v>8842</v>
      </c>
      <c r="D2585" s="4">
        <v>26310</v>
      </c>
      <c r="E2585" s="4">
        <v>20210512</v>
      </c>
      <c r="F2585" s="4">
        <v>20210512</v>
      </c>
      <c r="G2585" s="4">
        <v>20240512</v>
      </c>
      <c r="H2585" s="4" t="s">
        <v>8841</v>
      </c>
      <c r="I2585" s="4" t="s">
        <v>8840</v>
      </c>
      <c r="J2585" s="4" t="s">
        <v>372</v>
      </c>
    </row>
    <row r="2586" spans="1:10" hidden="1">
      <c r="A2586" s="4">
        <v>2.0210546533000301E+17</v>
      </c>
      <c r="B2586" s="4">
        <v>6388701692</v>
      </c>
      <c r="C2586" s="4" t="s">
        <v>8839</v>
      </c>
      <c r="D2586" s="4">
        <v>46533</v>
      </c>
      <c r="E2586" s="4">
        <v>20210512</v>
      </c>
      <c r="F2586" s="4">
        <v>20210512</v>
      </c>
      <c r="G2586" s="4">
        <v>20240512</v>
      </c>
      <c r="H2586" s="4" t="s">
        <v>8838</v>
      </c>
      <c r="I2586" s="4" t="s">
        <v>91</v>
      </c>
      <c r="J2586" s="4" t="s">
        <v>8837</v>
      </c>
    </row>
    <row r="2587" spans="1:10" hidden="1">
      <c r="A2587" s="4">
        <v>2.0210542411000301E+17</v>
      </c>
      <c r="B2587" s="4">
        <v>5788700616</v>
      </c>
      <c r="C2587" s="4" t="s">
        <v>8836</v>
      </c>
      <c r="D2587" s="4">
        <v>42411</v>
      </c>
      <c r="E2587" s="4">
        <v>20210512</v>
      </c>
      <c r="F2587" s="4">
        <v>20210512</v>
      </c>
      <c r="G2587" s="4">
        <v>20240512</v>
      </c>
      <c r="H2587" s="4" t="s">
        <v>8835</v>
      </c>
      <c r="I2587" s="4" t="s">
        <v>8834</v>
      </c>
      <c r="J2587" s="4" t="s">
        <v>2211</v>
      </c>
    </row>
    <row r="2588" spans="1:10" hidden="1">
      <c r="A2588" s="4">
        <v>2.0210528423000301E+17</v>
      </c>
      <c r="B2588" s="4">
        <v>2098800852</v>
      </c>
      <c r="C2588" s="4" t="s">
        <v>8940</v>
      </c>
      <c r="D2588" s="4">
        <v>28423</v>
      </c>
      <c r="E2588" s="4">
        <v>20210513</v>
      </c>
      <c r="F2588" s="4">
        <v>20210513</v>
      </c>
      <c r="G2588" s="4">
        <v>20240513</v>
      </c>
      <c r="H2588" s="4" t="s">
        <v>8939</v>
      </c>
      <c r="I2588" s="4" t="s">
        <v>8938</v>
      </c>
      <c r="J2588" s="4" t="s">
        <v>485</v>
      </c>
    </row>
    <row r="2589" spans="1:10" hidden="1">
      <c r="A2589" s="4">
        <v>2.0210563120000301E+17</v>
      </c>
      <c r="B2589" s="4">
        <v>8838601897</v>
      </c>
      <c r="C2589" s="4" t="s">
        <v>8831</v>
      </c>
      <c r="D2589" s="4">
        <v>63120</v>
      </c>
      <c r="E2589" s="4">
        <v>20210512</v>
      </c>
      <c r="F2589" s="4">
        <v>20210512</v>
      </c>
      <c r="G2589" s="4">
        <v>20240512</v>
      </c>
      <c r="H2589" s="4" t="s">
        <v>8830</v>
      </c>
      <c r="J2589" s="4" t="s">
        <v>632</v>
      </c>
    </row>
    <row r="2590" spans="1:10" hidden="1">
      <c r="A2590" s="4">
        <v>2.0210533301000301E+17</v>
      </c>
      <c r="B2590" s="4">
        <v>5288800938</v>
      </c>
      <c r="C2590" s="4" t="s">
        <v>8829</v>
      </c>
      <c r="D2590" s="4">
        <v>33301</v>
      </c>
      <c r="E2590" s="4">
        <v>20210512</v>
      </c>
      <c r="F2590" s="4">
        <v>20210512</v>
      </c>
      <c r="G2590" s="4">
        <v>20240512</v>
      </c>
      <c r="H2590" s="4" t="s">
        <v>497</v>
      </c>
      <c r="I2590" s="4" t="s">
        <v>8730</v>
      </c>
      <c r="J2590" s="4" t="s">
        <v>902</v>
      </c>
    </row>
    <row r="2591" spans="1:10" hidden="1">
      <c r="A2591" s="4">
        <v>2.0210556111000301E+17</v>
      </c>
      <c r="B2591" s="4">
        <v>2668600943</v>
      </c>
      <c r="C2591" s="4" t="s">
        <v>8828</v>
      </c>
      <c r="D2591" s="4">
        <v>56111</v>
      </c>
      <c r="E2591" s="4">
        <v>20210512</v>
      </c>
      <c r="F2591" s="4">
        <v>20210512</v>
      </c>
      <c r="G2591" s="4">
        <v>20240512</v>
      </c>
      <c r="H2591" s="4" t="s">
        <v>8827</v>
      </c>
      <c r="J2591" s="4" t="s">
        <v>6538</v>
      </c>
    </row>
    <row r="2592" spans="1:10" hidden="1">
      <c r="A2592" s="4">
        <v>2.0210528422000301E+17</v>
      </c>
      <c r="B2592" s="4">
        <v>3148801982</v>
      </c>
      <c r="C2592" s="4" t="s">
        <v>8826</v>
      </c>
      <c r="D2592" s="4">
        <v>28422</v>
      </c>
      <c r="E2592" s="4">
        <v>20210512</v>
      </c>
      <c r="F2592" s="4">
        <v>20210512</v>
      </c>
      <c r="G2592" s="4">
        <v>20240512</v>
      </c>
      <c r="H2592" s="4" t="s">
        <v>2681</v>
      </c>
      <c r="I2592" s="4" t="s">
        <v>8825</v>
      </c>
      <c r="J2592" s="4" t="s">
        <v>188</v>
      </c>
    </row>
    <row r="2593" spans="1:10" hidden="1">
      <c r="A2593" s="4">
        <v>2.0210542311000301E+17</v>
      </c>
      <c r="B2593" s="4">
        <v>5988801159</v>
      </c>
      <c r="C2593" s="4" t="s">
        <v>8824</v>
      </c>
      <c r="D2593" s="4">
        <v>42311</v>
      </c>
      <c r="E2593" s="4">
        <v>20210512</v>
      </c>
      <c r="F2593" s="4">
        <v>20210512</v>
      </c>
      <c r="G2593" s="4">
        <v>20240512</v>
      </c>
      <c r="H2593" s="4" t="s">
        <v>8823</v>
      </c>
      <c r="I2593" s="4" t="s">
        <v>596</v>
      </c>
      <c r="J2593" s="4" t="s">
        <v>718</v>
      </c>
    </row>
    <row r="2594" spans="1:10" hidden="1">
      <c r="A2594" s="4">
        <v>2.0210572122000301E+17</v>
      </c>
      <c r="B2594" s="4">
        <v>8378102151</v>
      </c>
      <c r="C2594" s="4" t="s">
        <v>8822</v>
      </c>
      <c r="D2594" s="4">
        <v>72122</v>
      </c>
      <c r="E2594" s="4">
        <v>20210512</v>
      </c>
      <c r="F2594" s="4">
        <v>20210512</v>
      </c>
      <c r="G2594" s="4">
        <v>20240512</v>
      </c>
      <c r="H2594" s="4" t="s">
        <v>449</v>
      </c>
      <c r="I2594" s="4" t="s">
        <v>8821</v>
      </c>
      <c r="J2594" s="4" t="s">
        <v>2484</v>
      </c>
    </row>
    <row r="2595" spans="1:10" hidden="1">
      <c r="A2595" s="4">
        <v>2.0210528422000301E+17</v>
      </c>
      <c r="B2595" s="4">
        <v>6738101539</v>
      </c>
      <c r="C2595" s="4" t="s">
        <v>8820</v>
      </c>
      <c r="D2595" s="4">
        <v>28422</v>
      </c>
      <c r="E2595" s="4">
        <v>20210512</v>
      </c>
      <c r="F2595" s="4">
        <v>20210512</v>
      </c>
      <c r="G2595" s="4">
        <v>20240512</v>
      </c>
      <c r="H2595" s="4" t="s">
        <v>8819</v>
      </c>
      <c r="I2595" s="4" t="s">
        <v>149</v>
      </c>
      <c r="J2595" s="4" t="s">
        <v>188</v>
      </c>
    </row>
    <row r="2596" spans="1:10" hidden="1">
      <c r="A2596" s="4">
        <v>2.0210546109000301E+17</v>
      </c>
      <c r="B2596" s="4">
        <v>3508601290</v>
      </c>
      <c r="C2596" s="4" t="s">
        <v>8818</v>
      </c>
      <c r="D2596" s="4">
        <v>46109</v>
      </c>
      <c r="E2596" s="4">
        <v>20210512</v>
      </c>
      <c r="F2596" s="4">
        <v>20210512</v>
      </c>
      <c r="G2596" s="4">
        <v>20240512</v>
      </c>
      <c r="H2596" s="4" t="s">
        <v>8817</v>
      </c>
      <c r="I2596" s="4" t="s">
        <v>8816</v>
      </c>
      <c r="J2596" s="4" t="s">
        <v>133</v>
      </c>
    </row>
    <row r="2597" spans="1:10" hidden="1">
      <c r="A2597" s="4">
        <v>2.0210524321000301E+17</v>
      </c>
      <c r="B2597" s="4">
        <v>1888701182</v>
      </c>
      <c r="C2597" s="4" t="s">
        <v>8815</v>
      </c>
      <c r="D2597" s="4">
        <v>24321</v>
      </c>
      <c r="E2597" s="4">
        <v>20210512</v>
      </c>
      <c r="F2597" s="4">
        <v>20210512</v>
      </c>
      <c r="G2597" s="4">
        <v>20240512</v>
      </c>
      <c r="H2597" s="4" t="s">
        <v>8814</v>
      </c>
      <c r="I2597" s="4" t="s">
        <v>149</v>
      </c>
      <c r="J2597" s="4" t="s">
        <v>5463</v>
      </c>
    </row>
    <row r="2598" spans="1:10" hidden="1">
      <c r="A2598" s="4">
        <v>2.0210523222000301E+17</v>
      </c>
      <c r="B2598" s="4">
        <v>6728601491</v>
      </c>
      <c r="C2598" s="4" t="s">
        <v>8813</v>
      </c>
      <c r="D2598" s="4">
        <v>23222</v>
      </c>
      <c r="E2598" s="4">
        <v>20210512</v>
      </c>
      <c r="F2598" s="4">
        <v>20210512</v>
      </c>
      <c r="G2598" s="4">
        <v>20240512</v>
      </c>
      <c r="H2598" s="4" t="s">
        <v>8812</v>
      </c>
      <c r="J2598" s="4" t="s">
        <v>8811</v>
      </c>
    </row>
    <row r="2599" spans="1:10" hidden="1">
      <c r="A2599" s="4">
        <v>2.0210542500000301E+17</v>
      </c>
      <c r="B2599" s="4">
        <v>8978101208</v>
      </c>
      <c r="C2599" s="4" t="s">
        <v>8810</v>
      </c>
      <c r="D2599" s="4">
        <v>42500</v>
      </c>
      <c r="E2599" s="4">
        <v>20210512</v>
      </c>
      <c r="F2599" s="4">
        <v>20210512</v>
      </c>
      <c r="G2599" s="4">
        <v>20240512</v>
      </c>
      <c r="H2599" s="4" t="s">
        <v>8809</v>
      </c>
      <c r="I2599" s="4" t="s">
        <v>8808</v>
      </c>
      <c r="J2599" s="4" t="s">
        <v>740</v>
      </c>
    </row>
    <row r="2600" spans="1:10" hidden="1">
      <c r="A2600" s="4">
        <v>2.0210516102000301E+17</v>
      </c>
      <c r="B2600" s="4">
        <v>6838101157</v>
      </c>
      <c r="C2600" s="4" t="s">
        <v>8807</v>
      </c>
      <c r="D2600" s="4">
        <v>16102</v>
      </c>
      <c r="E2600" s="4">
        <v>20210512</v>
      </c>
      <c r="F2600" s="4">
        <v>20210512</v>
      </c>
      <c r="G2600" s="4">
        <v>20240512</v>
      </c>
      <c r="H2600" s="4" t="s">
        <v>8806</v>
      </c>
      <c r="I2600" s="4" t="s">
        <v>8805</v>
      </c>
      <c r="J2600" s="4" t="s">
        <v>451</v>
      </c>
    </row>
    <row r="2601" spans="1:10" hidden="1">
      <c r="A2601" s="4">
        <v>2.0210528903000301E+17</v>
      </c>
      <c r="B2601" s="4">
        <v>8988800574</v>
      </c>
      <c r="C2601" s="4" t="s">
        <v>8804</v>
      </c>
      <c r="D2601" s="4">
        <v>28903</v>
      </c>
      <c r="E2601" s="4">
        <v>20210512</v>
      </c>
      <c r="F2601" s="4">
        <v>20210512</v>
      </c>
      <c r="G2601" s="4">
        <v>20240215</v>
      </c>
      <c r="H2601" s="4" t="s">
        <v>2399</v>
      </c>
      <c r="I2601" s="4" t="s">
        <v>8803</v>
      </c>
      <c r="J2601" s="4" t="s">
        <v>460</v>
      </c>
    </row>
    <row r="2602" spans="1:10" hidden="1">
      <c r="A2602" s="4">
        <v>2.0210573203000301E+17</v>
      </c>
      <c r="B2602" s="4">
        <v>4758801370</v>
      </c>
      <c r="C2602" s="4" t="s">
        <v>8802</v>
      </c>
      <c r="D2602" s="4">
        <v>73203</v>
      </c>
      <c r="E2602" s="4">
        <v>20210512</v>
      </c>
      <c r="F2602" s="4">
        <v>20210512</v>
      </c>
      <c r="G2602" s="4">
        <v>20240512</v>
      </c>
      <c r="H2602" s="4" t="s">
        <v>8801</v>
      </c>
      <c r="J2602" s="4" t="s">
        <v>260</v>
      </c>
    </row>
    <row r="2603" spans="1:10" hidden="1">
      <c r="A2603" s="4">
        <v>2.0210542420000301E+17</v>
      </c>
      <c r="B2603" s="4">
        <v>7478800257</v>
      </c>
      <c r="C2603" s="4" t="s">
        <v>8800</v>
      </c>
      <c r="D2603" s="4">
        <v>42420</v>
      </c>
      <c r="E2603" s="4">
        <v>20210512</v>
      </c>
      <c r="F2603" s="4">
        <v>20210512</v>
      </c>
      <c r="G2603" s="4">
        <v>20221014</v>
      </c>
      <c r="H2603" s="4" t="s">
        <v>8799</v>
      </c>
      <c r="J2603" s="4" t="s">
        <v>1649</v>
      </c>
    </row>
    <row r="2604" spans="1:10" hidden="1">
      <c r="A2604" s="4">
        <v>2.0210563991000301E+17</v>
      </c>
      <c r="B2604" s="4">
        <v>4878600195</v>
      </c>
      <c r="C2604" s="4" t="s">
        <v>8798</v>
      </c>
      <c r="D2604" s="4">
        <v>63991</v>
      </c>
      <c r="E2604" s="4">
        <v>20210512</v>
      </c>
      <c r="F2604" s="4">
        <v>20210512</v>
      </c>
      <c r="G2604" s="4">
        <v>20220907</v>
      </c>
      <c r="H2604" s="4" t="s">
        <v>8797</v>
      </c>
      <c r="I2604" s="4" t="s">
        <v>8796</v>
      </c>
      <c r="J2604" s="4" t="s">
        <v>395</v>
      </c>
    </row>
    <row r="2605" spans="1:10" hidden="1">
      <c r="A2605" s="4">
        <v>2.0210529299000301E+17</v>
      </c>
      <c r="B2605" s="4">
        <v>1128601058</v>
      </c>
      <c r="C2605" s="4" t="s">
        <v>8795</v>
      </c>
      <c r="D2605" s="4">
        <v>29299</v>
      </c>
      <c r="E2605" s="4">
        <v>20210512</v>
      </c>
      <c r="F2605" s="4">
        <v>20210512</v>
      </c>
      <c r="G2605" s="4">
        <v>20240512</v>
      </c>
      <c r="H2605" s="4" t="s">
        <v>8794</v>
      </c>
      <c r="J2605" s="4" t="s">
        <v>137</v>
      </c>
    </row>
    <row r="2606" spans="1:10" hidden="1">
      <c r="A2606" s="4">
        <v>2.0210527199000301E+17</v>
      </c>
      <c r="B2606" s="4">
        <v>7708600063</v>
      </c>
      <c r="C2606" s="4" t="s">
        <v>8793</v>
      </c>
      <c r="D2606" s="4">
        <v>27199</v>
      </c>
      <c r="E2606" s="4">
        <v>20210512</v>
      </c>
      <c r="F2606" s="4">
        <v>20210512</v>
      </c>
      <c r="G2606" s="4">
        <v>20220331</v>
      </c>
      <c r="H2606" s="4" t="s">
        <v>8792</v>
      </c>
      <c r="I2606" s="4" t="s">
        <v>8791</v>
      </c>
      <c r="J2606" s="4" t="s">
        <v>418</v>
      </c>
    </row>
    <row r="2607" spans="1:10" hidden="1">
      <c r="A2607" s="4">
        <v>2.0210562090000301E+17</v>
      </c>
      <c r="B2607" s="4">
        <v>2378800371</v>
      </c>
      <c r="C2607" s="4" t="s">
        <v>8790</v>
      </c>
      <c r="D2607" s="4">
        <v>62090</v>
      </c>
      <c r="E2607" s="4">
        <v>20210512</v>
      </c>
      <c r="F2607" s="4">
        <v>20210512</v>
      </c>
      <c r="G2607" s="4">
        <v>20230316</v>
      </c>
      <c r="H2607" s="4" t="s">
        <v>2718</v>
      </c>
      <c r="I2607" s="4" t="s">
        <v>209</v>
      </c>
      <c r="J2607" s="4" t="s">
        <v>2030</v>
      </c>
    </row>
    <row r="2608" spans="1:10" hidden="1">
      <c r="A2608" s="4">
        <v>2.0210585709000301E+17</v>
      </c>
      <c r="B2608" s="4">
        <v>2818801611</v>
      </c>
      <c r="C2608" s="4" t="s">
        <v>8789</v>
      </c>
      <c r="D2608" s="4">
        <v>85709</v>
      </c>
      <c r="E2608" s="4">
        <v>20210512</v>
      </c>
      <c r="F2608" s="4">
        <v>20210512</v>
      </c>
      <c r="G2608" s="4">
        <v>20240512</v>
      </c>
      <c r="H2608" s="4" t="s">
        <v>8788</v>
      </c>
      <c r="I2608" s="4" t="s">
        <v>8787</v>
      </c>
      <c r="J2608" s="4" t="s">
        <v>141</v>
      </c>
    </row>
    <row r="2609" spans="1:10" s="5" customFormat="1" hidden="1">
      <c r="A2609" s="4">
        <v>2.0210520499000301E+17</v>
      </c>
      <c r="B2609" s="4">
        <v>7158601916</v>
      </c>
      <c r="C2609" s="4" t="s">
        <v>8899</v>
      </c>
      <c r="D2609" s="4">
        <v>20499</v>
      </c>
      <c r="E2609" s="4">
        <v>20210512</v>
      </c>
      <c r="F2609" s="4">
        <v>20210512</v>
      </c>
      <c r="G2609" s="4">
        <v>20240512</v>
      </c>
      <c r="H2609" s="4" t="s">
        <v>3581</v>
      </c>
      <c r="I2609" s="4" t="s">
        <v>549</v>
      </c>
      <c r="J2609" s="4" t="s">
        <v>406</v>
      </c>
    </row>
    <row r="2610" spans="1:10" hidden="1">
      <c r="A2610" s="4">
        <v>2.0210525992000301E+17</v>
      </c>
      <c r="B2610" s="4">
        <v>4466600425</v>
      </c>
      <c r="C2610" s="4" t="s">
        <v>8784</v>
      </c>
      <c r="D2610" s="4">
        <v>25992</v>
      </c>
      <c r="E2610" s="4">
        <v>20210512</v>
      </c>
      <c r="F2610" s="4">
        <v>20210512</v>
      </c>
      <c r="G2610" s="4">
        <v>20240512</v>
      </c>
      <c r="H2610" s="4" t="s">
        <v>8783</v>
      </c>
      <c r="J2610" s="4" t="s">
        <v>6165</v>
      </c>
    </row>
    <row r="2611" spans="1:10" hidden="1">
      <c r="A2611" s="4">
        <v>2.0210572129000301E+17</v>
      </c>
      <c r="B2611" s="4">
        <v>4388600650</v>
      </c>
      <c r="C2611" s="4" t="s">
        <v>8782</v>
      </c>
      <c r="D2611" s="4">
        <v>72129</v>
      </c>
      <c r="E2611" s="4">
        <v>20210512</v>
      </c>
      <c r="F2611" s="4">
        <v>20210512</v>
      </c>
      <c r="G2611" s="4">
        <v>20240329</v>
      </c>
      <c r="H2611" s="4" t="s">
        <v>8781</v>
      </c>
      <c r="I2611" s="4" t="s">
        <v>142</v>
      </c>
      <c r="J2611" s="4" t="s">
        <v>1679</v>
      </c>
    </row>
    <row r="2612" spans="1:10" hidden="1">
      <c r="A2612" s="4">
        <v>2.0210528909000301E+17</v>
      </c>
      <c r="B2612" s="4">
        <v>6658101052</v>
      </c>
      <c r="C2612" s="4" t="s">
        <v>8780</v>
      </c>
      <c r="D2612" s="4">
        <v>28909</v>
      </c>
      <c r="E2612" s="4">
        <v>20210511</v>
      </c>
      <c r="F2612" s="4">
        <v>20210511</v>
      </c>
      <c r="G2612" s="4">
        <v>20240511</v>
      </c>
      <c r="H2612" s="4" t="s">
        <v>8779</v>
      </c>
      <c r="J2612" s="4" t="s">
        <v>253</v>
      </c>
    </row>
    <row r="2613" spans="1:10" hidden="1">
      <c r="A2613" s="4">
        <v>2.0210552109000301E+17</v>
      </c>
      <c r="B2613" s="4">
        <v>1418801652</v>
      </c>
      <c r="C2613" s="4" t="s">
        <v>8778</v>
      </c>
      <c r="D2613" s="4">
        <v>52109</v>
      </c>
      <c r="E2613" s="4">
        <v>20210511</v>
      </c>
      <c r="F2613" s="4">
        <v>20210511</v>
      </c>
      <c r="G2613" s="4">
        <v>20240511</v>
      </c>
      <c r="H2613" s="4" t="s">
        <v>8777</v>
      </c>
      <c r="J2613" s="4" t="s">
        <v>8776</v>
      </c>
    </row>
    <row r="2614" spans="1:10" hidden="1">
      <c r="A2614" s="4">
        <v>2.0210542311000301E+17</v>
      </c>
      <c r="B2614" s="4">
        <v>8938801146</v>
      </c>
      <c r="C2614" s="4" t="s">
        <v>8775</v>
      </c>
      <c r="D2614" s="4">
        <v>42311</v>
      </c>
      <c r="E2614" s="4">
        <v>20210511</v>
      </c>
      <c r="F2614" s="4">
        <v>20210511</v>
      </c>
      <c r="G2614" s="4">
        <v>20240511</v>
      </c>
      <c r="H2614" s="4" t="s">
        <v>8774</v>
      </c>
      <c r="I2614" s="4" t="s">
        <v>149</v>
      </c>
      <c r="J2614" s="4" t="s">
        <v>718</v>
      </c>
    </row>
    <row r="2615" spans="1:10" hidden="1">
      <c r="A2615" s="4">
        <v>2.0210545211000301E+17</v>
      </c>
      <c r="B2615" s="4">
        <v>7738600704</v>
      </c>
      <c r="C2615" s="4" t="s">
        <v>8773</v>
      </c>
      <c r="D2615" s="4">
        <v>45211</v>
      </c>
      <c r="E2615" s="4">
        <v>20210511</v>
      </c>
      <c r="F2615" s="4">
        <v>20210511</v>
      </c>
      <c r="G2615" s="4">
        <v>20240406</v>
      </c>
      <c r="H2615" s="4" t="s">
        <v>8772</v>
      </c>
      <c r="I2615" s="4" t="s">
        <v>91</v>
      </c>
      <c r="J2615" s="4" t="s">
        <v>8771</v>
      </c>
    </row>
    <row r="2616" spans="1:10" hidden="1">
      <c r="A2616" s="4">
        <v>2.0210525994000301E+17</v>
      </c>
      <c r="B2616" s="4">
        <v>5568801932</v>
      </c>
      <c r="C2616" s="4" t="s">
        <v>8770</v>
      </c>
      <c r="D2616" s="4">
        <v>25994</v>
      </c>
      <c r="E2616" s="4">
        <v>20210511</v>
      </c>
      <c r="F2616" s="4">
        <v>20210511</v>
      </c>
      <c r="G2616" s="4">
        <v>20240511</v>
      </c>
      <c r="H2616" s="4" t="s">
        <v>8769</v>
      </c>
      <c r="I2616" s="4" t="s">
        <v>8768</v>
      </c>
      <c r="J2616" s="4" t="s">
        <v>847</v>
      </c>
    </row>
    <row r="2617" spans="1:10" hidden="1">
      <c r="A2617" s="4">
        <v>2.0210514499000301E+17</v>
      </c>
      <c r="B2617" s="4">
        <v>6421801206</v>
      </c>
      <c r="C2617" s="4" t="s">
        <v>8878</v>
      </c>
      <c r="D2617" s="4">
        <v>14499</v>
      </c>
      <c r="E2617" s="4">
        <v>20210512</v>
      </c>
      <c r="F2617" s="4">
        <v>20210512</v>
      </c>
      <c r="G2617" s="4">
        <v>20240512</v>
      </c>
      <c r="H2617" s="4" t="s">
        <v>8877</v>
      </c>
      <c r="I2617" s="4" t="s">
        <v>149</v>
      </c>
      <c r="J2617" s="4" t="s">
        <v>502</v>
      </c>
    </row>
    <row r="2618" spans="1:10" hidden="1">
      <c r="A2618" s="4">
        <v>2.0210525914000301E+17</v>
      </c>
      <c r="B2618" s="4">
        <v>3168601285</v>
      </c>
      <c r="C2618" s="4" t="s">
        <v>8833</v>
      </c>
      <c r="D2618" s="4">
        <v>25914</v>
      </c>
      <c r="E2618" s="4">
        <v>20210512</v>
      </c>
      <c r="F2618" s="4">
        <v>20210512</v>
      </c>
      <c r="G2618" s="4">
        <v>20240512</v>
      </c>
      <c r="H2618" s="4" t="s">
        <v>8832</v>
      </c>
      <c r="J2618" s="4" t="s">
        <v>1012</v>
      </c>
    </row>
    <row r="2619" spans="1:10" hidden="1">
      <c r="A2619" s="4">
        <v>2.0210529175000301E+17</v>
      </c>
      <c r="B2619" s="4">
        <v>4348102011</v>
      </c>
      <c r="C2619" s="4" t="s">
        <v>8763</v>
      </c>
      <c r="D2619" s="4">
        <v>29175</v>
      </c>
      <c r="E2619" s="4">
        <v>20210511</v>
      </c>
      <c r="F2619" s="4">
        <v>20210511</v>
      </c>
      <c r="G2619" s="4">
        <v>20240511</v>
      </c>
      <c r="H2619" s="4" t="s">
        <v>8764</v>
      </c>
      <c r="I2619" s="4" t="s">
        <v>8763</v>
      </c>
      <c r="J2619" s="4" t="s">
        <v>232</v>
      </c>
    </row>
    <row r="2620" spans="1:10" hidden="1">
      <c r="A2620" s="4">
        <v>2.0210575310000301E+17</v>
      </c>
      <c r="B2620" s="4">
        <v>2058700299</v>
      </c>
      <c r="C2620" s="4" t="s">
        <v>8762</v>
      </c>
      <c r="D2620" s="4">
        <v>75310</v>
      </c>
      <c r="E2620" s="4">
        <v>20210511</v>
      </c>
      <c r="F2620" s="4">
        <v>20210511</v>
      </c>
      <c r="G2620" s="4">
        <v>20221109</v>
      </c>
      <c r="H2620" s="4" t="s">
        <v>8761</v>
      </c>
      <c r="J2620" s="4" t="s">
        <v>7690</v>
      </c>
    </row>
    <row r="2621" spans="1:10" hidden="1">
      <c r="A2621" s="4">
        <v>2.0210572111000301E+17</v>
      </c>
      <c r="B2621" s="4">
        <v>5648800399</v>
      </c>
      <c r="C2621" s="4" t="s">
        <v>8760</v>
      </c>
      <c r="D2621" s="4">
        <v>72111</v>
      </c>
      <c r="E2621" s="4">
        <v>20210511</v>
      </c>
      <c r="F2621" s="4">
        <v>20210511</v>
      </c>
      <c r="G2621" s="4">
        <v>20230824</v>
      </c>
      <c r="H2621" s="4" t="s">
        <v>3483</v>
      </c>
      <c r="I2621" s="4" t="s">
        <v>8759</v>
      </c>
      <c r="J2621" s="4" t="s">
        <v>3461</v>
      </c>
    </row>
    <row r="2622" spans="1:10" hidden="1">
      <c r="A2622" s="4">
        <v>2.0210571531000301E+17</v>
      </c>
      <c r="B2622" s="4">
        <v>2978601058</v>
      </c>
      <c r="C2622" s="4" t="s">
        <v>8758</v>
      </c>
      <c r="D2622" s="4">
        <v>71531</v>
      </c>
      <c r="E2622" s="4">
        <v>20210511</v>
      </c>
      <c r="F2622" s="4">
        <v>20210511</v>
      </c>
      <c r="G2622" s="4">
        <v>20240511</v>
      </c>
      <c r="H2622" s="4" t="s">
        <v>8757</v>
      </c>
      <c r="I2622" s="4" t="s">
        <v>8756</v>
      </c>
      <c r="J2622" s="4" t="s">
        <v>87</v>
      </c>
    </row>
    <row r="2623" spans="1:10" hidden="1">
      <c r="A2623" s="4">
        <v>2.0210528123000301E+17</v>
      </c>
      <c r="B2623" s="4">
        <v>5218102028</v>
      </c>
      <c r="C2623" s="4" t="s">
        <v>8755</v>
      </c>
      <c r="D2623" s="4">
        <v>28123</v>
      </c>
      <c r="E2623" s="4">
        <v>20210511</v>
      </c>
      <c r="F2623" s="4">
        <v>20210511</v>
      </c>
      <c r="G2623" s="4">
        <v>20240511</v>
      </c>
      <c r="H2623" s="4" t="s">
        <v>8754</v>
      </c>
      <c r="J2623" s="4" t="s">
        <v>640</v>
      </c>
    </row>
    <row r="2624" spans="1:10" hidden="1">
      <c r="A2624" s="4">
        <v>2.0210547612000301E+17</v>
      </c>
      <c r="B2624" s="4">
        <v>6881800479</v>
      </c>
      <c r="C2624" s="4" t="s">
        <v>8753</v>
      </c>
      <c r="D2624" s="4">
        <v>47612</v>
      </c>
      <c r="E2624" s="4">
        <v>20210511</v>
      </c>
      <c r="F2624" s="4">
        <v>20210511</v>
      </c>
      <c r="G2624" s="4">
        <v>20240502</v>
      </c>
      <c r="H2624" s="4" t="s">
        <v>8752</v>
      </c>
      <c r="J2624" s="4" t="s">
        <v>8751</v>
      </c>
    </row>
    <row r="2625" spans="1:10" hidden="1">
      <c r="A2625" s="4">
        <v>2.0210525112000301E+17</v>
      </c>
      <c r="B2625" s="4">
        <v>6418701951</v>
      </c>
      <c r="C2625" s="4" t="s">
        <v>8750</v>
      </c>
      <c r="D2625" s="4">
        <v>25112</v>
      </c>
      <c r="E2625" s="4">
        <v>20210511</v>
      </c>
      <c r="F2625" s="4">
        <v>20210511</v>
      </c>
      <c r="G2625" s="4">
        <v>20240511</v>
      </c>
      <c r="H2625" s="4" t="s">
        <v>8749</v>
      </c>
      <c r="J2625" s="4" t="s">
        <v>320</v>
      </c>
    </row>
    <row r="2626" spans="1:10" hidden="1">
      <c r="A2626" s="4">
        <v>2.0210529163000301E+17</v>
      </c>
      <c r="B2626" s="4">
        <v>1712600995</v>
      </c>
      <c r="C2626" s="4" t="s">
        <v>3687</v>
      </c>
      <c r="D2626" s="4">
        <v>29163</v>
      </c>
      <c r="E2626" s="4">
        <v>20210511</v>
      </c>
      <c r="F2626" s="4">
        <v>20210511</v>
      </c>
      <c r="G2626" s="4">
        <v>20240511</v>
      </c>
      <c r="H2626" s="4" t="s">
        <v>8748</v>
      </c>
      <c r="J2626" s="4" t="s">
        <v>313</v>
      </c>
    </row>
    <row r="2627" spans="1:10" hidden="1">
      <c r="A2627" s="4">
        <v>2.0210546592000301E+17</v>
      </c>
      <c r="B2627" s="4">
        <v>3728801917</v>
      </c>
      <c r="C2627" s="4" t="s">
        <v>8747</v>
      </c>
      <c r="D2627" s="4">
        <v>46592</v>
      </c>
      <c r="E2627" s="4">
        <v>20210511</v>
      </c>
      <c r="F2627" s="4">
        <v>20210511</v>
      </c>
      <c r="G2627" s="4">
        <v>20240511</v>
      </c>
      <c r="H2627" s="4" t="s">
        <v>8746</v>
      </c>
      <c r="I2627" s="4" t="s">
        <v>91</v>
      </c>
      <c r="J2627" s="4" t="s">
        <v>148</v>
      </c>
    </row>
    <row r="2628" spans="1:10" hidden="1">
      <c r="A2628" s="4">
        <v>2.0210527199000301E+17</v>
      </c>
      <c r="B2628" s="4">
        <v>4228101945</v>
      </c>
      <c r="C2628" s="4" t="s">
        <v>8745</v>
      </c>
      <c r="D2628" s="4">
        <v>27199</v>
      </c>
      <c r="E2628" s="4">
        <v>20210511</v>
      </c>
      <c r="F2628" s="4">
        <v>20210511</v>
      </c>
      <c r="G2628" s="4">
        <v>20240511</v>
      </c>
      <c r="H2628" s="4" t="s">
        <v>344</v>
      </c>
      <c r="I2628" s="4" t="s">
        <v>8744</v>
      </c>
      <c r="J2628" s="4" t="s">
        <v>418</v>
      </c>
    </row>
    <row r="2629" spans="1:10" hidden="1">
      <c r="A2629" s="4">
        <v>2.0210558222000301E+17</v>
      </c>
      <c r="B2629" s="4">
        <v>1348801988</v>
      </c>
      <c r="C2629" s="4" t="s">
        <v>8743</v>
      </c>
      <c r="D2629" s="4">
        <v>58222</v>
      </c>
      <c r="E2629" s="4">
        <v>20210511</v>
      </c>
      <c r="F2629" s="4">
        <v>20210511</v>
      </c>
      <c r="G2629" s="4">
        <v>20240511</v>
      </c>
      <c r="H2629" s="4" t="s">
        <v>113</v>
      </c>
      <c r="I2629" s="4" t="s">
        <v>8742</v>
      </c>
      <c r="J2629" s="4" t="s">
        <v>94</v>
      </c>
    </row>
    <row r="2630" spans="1:10" hidden="1">
      <c r="A2630" s="4">
        <v>2.0210528123000301E+17</v>
      </c>
      <c r="B2630" s="4">
        <v>6488801736</v>
      </c>
      <c r="C2630" s="4" t="s">
        <v>8741</v>
      </c>
      <c r="D2630" s="4">
        <v>28123</v>
      </c>
      <c r="E2630" s="4">
        <v>20210511</v>
      </c>
      <c r="F2630" s="4">
        <v>20210511</v>
      </c>
      <c r="G2630" s="4">
        <v>20240511</v>
      </c>
      <c r="H2630" s="4" t="s">
        <v>8740</v>
      </c>
      <c r="J2630" s="4" t="s">
        <v>640</v>
      </c>
    </row>
    <row r="2631" spans="1:10" hidden="1">
      <c r="A2631" s="4">
        <v>2.0210562090000301E+17</v>
      </c>
      <c r="B2631" s="4">
        <v>2638801398</v>
      </c>
      <c r="C2631" s="4" t="s">
        <v>8739</v>
      </c>
      <c r="D2631" s="4">
        <v>62090</v>
      </c>
      <c r="E2631" s="4">
        <v>20210511</v>
      </c>
      <c r="F2631" s="4">
        <v>20210511</v>
      </c>
      <c r="G2631" s="4">
        <v>20240511</v>
      </c>
      <c r="H2631" s="4" t="s">
        <v>8738</v>
      </c>
      <c r="I2631" s="4" t="s">
        <v>938</v>
      </c>
      <c r="J2631" s="4" t="s">
        <v>2030</v>
      </c>
    </row>
    <row r="2632" spans="1:10" hidden="1">
      <c r="A2632" s="4">
        <v>2.0210529224000301E+17</v>
      </c>
      <c r="B2632" s="4">
        <v>4214400730</v>
      </c>
      <c r="C2632" s="4" t="s">
        <v>8737</v>
      </c>
      <c r="D2632" s="4">
        <v>29224</v>
      </c>
      <c r="E2632" s="4">
        <v>20210511</v>
      </c>
      <c r="F2632" s="4">
        <v>20210511</v>
      </c>
      <c r="G2632" s="4">
        <v>20240511</v>
      </c>
      <c r="H2632" s="4" t="s">
        <v>8736</v>
      </c>
      <c r="I2632" s="4" t="s">
        <v>8735</v>
      </c>
      <c r="J2632" s="4" t="s">
        <v>3190</v>
      </c>
    </row>
    <row r="2633" spans="1:10" hidden="1">
      <c r="A2633" s="4">
        <v>2.0210525112000301E+17</v>
      </c>
      <c r="B2633" s="4">
        <v>2451001197</v>
      </c>
      <c r="C2633" s="4" t="s">
        <v>8734</v>
      </c>
      <c r="D2633" s="4">
        <v>25112</v>
      </c>
      <c r="E2633" s="4">
        <v>20210511</v>
      </c>
      <c r="F2633" s="4">
        <v>20210511</v>
      </c>
      <c r="G2633" s="4">
        <v>20240511</v>
      </c>
      <c r="H2633" s="4" t="s">
        <v>8733</v>
      </c>
      <c r="I2633" s="4" t="s">
        <v>8732</v>
      </c>
      <c r="J2633" s="4" t="s">
        <v>320</v>
      </c>
    </row>
    <row r="2634" spans="1:10" hidden="1">
      <c r="A2634" s="4">
        <v>2.0210558222000301E+17</v>
      </c>
      <c r="B2634" s="4">
        <v>3078601715</v>
      </c>
      <c r="C2634" s="4" t="s">
        <v>8731</v>
      </c>
      <c r="D2634" s="4">
        <v>58222</v>
      </c>
      <c r="E2634" s="4">
        <v>20210511</v>
      </c>
      <c r="F2634" s="4">
        <v>20210511</v>
      </c>
      <c r="G2634" s="4">
        <v>20240511</v>
      </c>
      <c r="H2634" s="4" t="s">
        <v>497</v>
      </c>
      <c r="I2634" s="4" t="s">
        <v>8730</v>
      </c>
      <c r="J2634" s="4" t="s">
        <v>94</v>
      </c>
    </row>
    <row r="2635" spans="1:10" hidden="1">
      <c r="A2635" s="4">
        <v>2.0210546595000301E+17</v>
      </c>
      <c r="B2635" s="4">
        <v>3114200477</v>
      </c>
      <c r="C2635" s="4" t="s">
        <v>8729</v>
      </c>
      <c r="D2635" s="4">
        <v>46595</v>
      </c>
      <c r="E2635" s="4">
        <v>20210511</v>
      </c>
      <c r="F2635" s="4">
        <v>20210511</v>
      </c>
      <c r="G2635" s="4">
        <v>20240511</v>
      </c>
      <c r="H2635" s="4" t="s">
        <v>8728</v>
      </c>
      <c r="J2635" s="4" t="s">
        <v>960</v>
      </c>
    </row>
    <row r="2636" spans="1:10" hidden="1">
      <c r="A2636" s="4">
        <v>2.0210528422000301E+17</v>
      </c>
      <c r="B2636" s="4">
        <v>6278701692</v>
      </c>
      <c r="C2636" s="4" t="s">
        <v>8727</v>
      </c>
      <c r="D2636" s="4">
        <v>28422</v>
      </c>
      <c r="E2636" s="4">
        <v>20210511</v>
      </c>
      <c r="F2636" s="4">
        <v>20210511</v>
      </c>
      <c r="G2636" s="4">
        <v>20240511</v>
      </c>
      <c r="H2636" s="4" t="s">
        <v>8726</v>
      </c>
      <c r="J2636" s="4" t="s">
        <v>188</v>
      </c>
    </row>
    <row r="2637" spans="1:10" hidden="1">
      <c r="A2637" s="4">
        <v>2.0210546109000301E+17</v>
      </c>
      <c r="B2637" s="4">
        <v>1660401442</v>
      </c>
      <c r="C2637" s="4" t="s">
        <v>8725</v>
      </c>
      <c r="D2637" s="4">
        <v>46109</v>
      </c>
      <c r="E2637" s="4">
        <v>20210511</v>
      </c>
      <c r="F2637" s="4">
        <v>20210511</v>
      </c>
      <c r="G2637" s="4">
        <v>20240511</v>
      </c>
      <c r="H2637" s="4" t="s">
        <v>8724</v>
      </c>
      <c r="I2637" s="4" t="s">
        <v>657</v>
      </c>
      <c r="J2637" s="4" t="s">
        <v>133</v>
      </c>
    </row>
    <row r="2638" spans="1:10" hidden="1">
      <c r="A2638" s="4">
        <v>2.0210528909000301E+17</v>
      </c>
      <c r="B2638" s="4">
        <v>2718600625</v>
      </c>
      <c r="C2638" s="4" t="s">
        <v>8723</v>
      </c>
      <c r="D2638" s="4">
        <v>28909</v>
      </c>
      <c r="E2638" s="4">
        <v>20210511</v>
      </c>
      <c r="F2638" s="4">
        <v>20210511</v>
      </c>
      <c r="G2638" s="4">
        <v>20240117</v>
      </c>
      <c r="H2638" s="4" t="s">
        <v>8722</v>
      </c>
      <c r="I2638" s="4" t="s">
        <v>91</v>
      </c>
      <c r="J2638" s="4" t="s">
        <v>253</v>
      </c>
    </row>
    <row r="2639" spans="1:10" hidden="1">
      <c r="A2639" s="4">
        <v>2.0210529280000301E+17</v>
      </c>
      <c r="B2639" s="4">
        <v>3388100068</v>
      </c>
      <c r="C2639" s="4" t="s">
        <v>8721</v>
      </c>
      <c r="D2639" s="4">
        <v>29280</v>
      </c>
      <c r="E2639" s="4">
        <v>20210511</v>
      </c>
      <c r="F2639" s="4">
        <v>20210511</v>
      </c>
      <c r="G2639" s="4">
        <v>20220402</v>
      </c>
      <c r="H2639" s="4" t="s">
        <v>8720</v>
      </c>
      <c r="J2639" s="4" t="s">
        <v>533</v>
      </c>
    </row>
    <row r="2640" spans="1:10" hidden="1">
      <c r="A2640" s="4">
        <v>2.0210585699000301E+17</v>
      </c>
      <c r="B2640" s="4">
        <v>6398601058</v>
      </c>
      <c r="C2640" s="4" t="s">
        <v>8718</v>
      </c>
      <c r="D2640" s="4">
        <v>85699</v>
      </c>
      <c r="E2640" s="4">
        <v>20210511</v>
      </c>
      <c r="F2640" s="4">
        <v>20210511</v>
      </c>
      <c r="G2640" s="4">
        <v>20240511</v>
      </c>
      <c r="H2640" s="4" t="s">
        <v>8719</v>
      </c>
      <c r="I2640" s="4" t="s">
        <v>8718</v>
      </c>
      <c r="J2640" s="4" t="s">
        <v>2192</v>
      </c>
    </row>
    <row r="2641" spans="1:10" hidden="1">
      <c r="A2641" s="4">
        <v>2.0210563120000301E+17</v>
      </c>
      <c r="B2641" s="4">
        <v>2448601767</v>
      </c>
      <c r="C2641" s="4" t="s">
        <v>8717</v>
      </c>
      <c r="D2641" s="4">
        <v>63120</v>
      </c>
      <c r="E2641" s="4">
        <v>20210511</v>
      </c>
      <c r="F2641" s="4">
        <v>20210511</v>
      </c>
      <c r="G2641" s="4">
        <v>20240511</v>
      </c>
      <c r="H2641" s="4" t="s">
        <v>1699</v>
      </c>
      <c r="I2641" s="4" t="s">
        <v>8716</v>
      </c>
      <c r="J2641" s="4" t="s">
        <v>632</v>
      </c>
    </row>
    <row r="2642" spans="1:10" hidden="1">
      <c r="A2642" s="4">
        <v>2.0210542492000301E+17</v>
      </c>
      <c r="B2642" s="4">
        <v>2478701176</v>
      </c>
      <c r="C2642" s="4" t="s">
        <v>8715</v>
      </c>
      <c r="D2642" s="4">
        <v>42492</v>
      </c>
      <c r="E2642" s="4">
        <v>20210511</v>
      </c>
      <c r="F2642" s="4">
        <v>20210511</v>
      </c>
      <c r="G2642" s="4">
        <v>20240511</v>
      </c>
      <c r="H2642" s="4" t="s">
        <v>8714</v>
      </c>
      <c r="J2642" s="4" t="s">
        <v>3977</v>
      </c>
    </row>
    <row r="2643" spans="1:10" hidden="1">
      <c r="A2643" s="4">
        <v>2.0210558113000301E+17</v>
      </c>
      <c r="B2643" s="4">
        <v>3108801433</v>
      </c>
      <c r="C2643" s="4" t="s">
        <v>8713</v>
      </c>
      <c r="D2643" s="4">
        <v>58113</v>
      </c>
      <c r="E2643" s="4">
        <v>20210511</v>
      </c>
      <c r="F2643" s="4">
        <v>20210511</v>
      </c>
      <c r="G2643" s="4">
        <v>20240511</v>
      </c>
      <c r="H2643" s="4" t="s">
        <v>8712</v>
      </c>
      <c r="I2643" s="4" t="s">
        <v>185</v>
      </c>
      <c r="J2643" s="4" t="s">
        <v>512</v>
      </c>
    </row>
    <row r="2644" spans="1:10" hidden="1">
      <c r="A2644" s="4">
        <v>2.0210570119000301E+17</v>
      </c>
      <c r="B2644" s="4">
        <v>5408101243</v>
      </c>
      <c r="C2644" s="4" t="s">
        <v>8711</v>
      </c>
      <c r="D2644" s="4">
        <v>70119</v>
      </c>
      <c r="E2644" s="4">
        <v>20210511</v>
      </c>
      <c r="F2644" s="4">
        <v>20210511</v>
      </c>
      <c r="G2644" s="4">
        <v>20240511</v>
      </c>
      <c r="H2644" s="4" t="s">
        <v>7868</v>
      </c>
      <c r="I2644" s="4" t="s">
        <v>8710</v>
      </c>
      <c r="J2644" s="4" t="s">
        <v>2978</v>
      </c>
    </row>
    <row r="2645" spans="1:10" hidden="1">
      <c r="A2645" s="4">
        <v>2.0210525112000301E+17</v>
      </c>
      <c r="B2645" s="4">
        <v>5158800849</v>
      </c>
      <c r="C2645" s="4" t="s">
        <v>8709</v>
      </c>
      <c r="D2645" s="4">
        <v>25112</v>
      </c>
      <c r="E2645" s="4">
        <v>20210511</v>
      </c>
      <c r="F2645" s="4">
        <v>20210511</v>
      </c>
      <c r="G2645" s="4">
        <v>20240511</v>
      </c>
      <c r="H2645" s="4" t="s">
        <v>8708</v>
      </c>
      <c r="I2645" s="4" t="s">
        <v>146</v>
      </c>
      <c r="J2645" s="4" t="s">
        <v>320</v>
      </c>
    </row>
    <row r="2646" spans="1:10" hidden="1">
      <c r="A2646" s="4">
        <v>2.0210529280000301E+17</v>
      </c>
      <c r="B2646" s="4">
        <v>7818801125</v>
      </c>
      <c r="C2646" s="4" t="s">
        <v>8707</v>
      </c>
      <c r="D2646" s="4">
        <v>29280</v>
      </c>
      <c r="E2646" s="4">
        <v>20210511</v>
      </c>
      <c r="F2646" s="4">
        <v>20210511</v>
      </c>
      <c r="G2646" s="4">
        <v>20240511</v>
      </c>
      <c r="H2646" s="4" t="s">
        <v>8706</v>
      </c>
      <c r="I2646" s="4" t="s">
        <v>8705</v>
      </c>
      <c r="J2646" s="4" t="s">
        <v>533</v>
      </c>
    </row>
    <row r="2647" spans="1:10" hidden="1">
      <c r="A2647" s="4">
        <v>2.0210516221000301E+17</v>
      </c>
      <c r="B2647" s="4">
        <v>4031754872</v>
      </c>
      <c r="C2647" s="4" t="s">
        <v>8704</v>
      </c>
      <c r="D2647" s="4">
        <v>16221</v>
      </c>
      <c r="E2647" s="4">
        <v>20210511</v>
      </c>
      <c r="F2647" s="4">
        <v>20210511</v>
      </c>
      <c r="G2647" s="4">
        <v>20240511</v>
      </c>
      <c r="H2647" s="4" t="s">
        <v>8703</v>
      </c>
      <c r="I2647" s="4" t="s">
        <v>8702</v>
      </c>
      <c r="J2647" s="4" t="s">
        <v>5645</v>
      </c>
    </row>
    <row r="2648" spans="1:10" hidden="1">
      <c r="A2648" s="4">
        <v>2.0210574211000301E+17</v>
      </c>
      <c r="B2648" s="4">
        <v>4718101592</v>
      </c>
      <c r="C2648" s="4" t="s">
        <v>8701</v>
      </c>
      <c r="D2648" s="4">
        <v>74211</v>
      </c>
      <c r="E2648" s="4">
        <v>20210511</v>
      </c>
      <c r="F2648" s="4">
        <v>20210511</v>
      </c>
      <c r="G2648" s="4">
        <v>20240511</v>
      </c>
      <c r="H2648" s="4" t="s">
        <v>8700</v>
      </c>
      <c r="I2648" s="4" t="s">
        <v>8699</v>
      </c>
      <c r="J2648" s="4" t="s">
        <v>5576</v>
      </c>
    </row>
    <row r="2649" spans="1:10" hidden="1">
      <c r="A2649" s="4">
        <v>2.0210546593000301E+17</v>
      </c>
      <c r="B2649" s="4">
        <v>1124774076</v>
      </c>
      <c r="C2649" s="4" t="s">
        <v>8698</v>
      </c>
      <c r="D2649" s="4">
        <v>46593</v>
      </c>
      <c r="E2649" s="4">
        <v>20210511</v>
      </c>
      <c r="F2649" s="4">
        <v>20210511</v>
      </c>
      <c r="G2649" s="4">
        <v>20240511</v>
      </c>
      <c r="H2649" s="4" t="s">
        <v>3335</v>
      </c>
      <c r="I2649" s="4" t="s">
        <v>8697</v>
      </c>
      <c r="J2649" s="4" t="s">
        <v>1469</v>
      </c>
    </row>
    <row r="2650" spans="1:10" hidden="1">
      <c r="A2650" s="4">
        <v>2.0210529169000301E+17</v>
      </c>
      <c r="B2650" s="4">
        <v>2038700390</v>
      </c>
      <c r="C2650" s="4" t="s">
        <v>8696</v>
      </c>
      <c r="D2650" s="4">
        <v>29169</v>
      </c>
      <c r="E2650" s="4">
        <v>20210511</v>
      </c>
      <c r="F2650" s="4">
        <v>20210511</v>
      </c>
      <c r="G2650" s="4">
        <v>20230315</v>
      </c>
      <c r="H2650" s="4" t="s">
        <v>8695</v>
      </c>
      <c r="I2650" s="4" t="s">
        <v>146</v>
      </c>
      <c r="J2650" s="4" t="s">
        <v>1734</v>
      </c>
    </row>
    <row r="2651" spans="1:10" hidden="1">
      <c r="A2651" s="4">
        <v>2.0210546510000301E+17</v>
      </c>
      <c r="B2651" s="4">
        <v>8846700060</v>
      </c>
      <c r="C2651" s="4" t="s">
        <v>8694</v>
      </c>
      <c r="D2651" s="4">
        <v>46510</v>
      </c>
      <c r="E2651" s="4">
        <v>20210511</v>
      </c>
      <c r="F2651" s="4">
        <v>20210511</v>
      </c>
      <c r="G2651" s="4">
        <v>20230427</v>
      </c>
      <c r="H2651" s="4" t="s">
        <v>8693</v>
      </c>
      <c r="J2651" s="4" t="s">
        <v>126</v>
      </c>
    </row>
    <row r="2652" spans="1:10" hidden="1">
      <c r="A2652" s="4">
        <v>2.0210558221000301E+17</v>
      </c>
      <c r="B2652" s="4">
        <v>3208800028</v>
      </c>
      <c r="C2652" s="4" t="s">
        <v>8692</v>
      </c>
      <c r="D2652" s="4">
        <v>58221</v>
      </c>
      <c r="E2652" s="4">
        <v>20210511</v>
      </c>
      <c r="F2652" s="4">
        <v>20210511</v>
      </c>
      <c r="G2652" s="4">
        <v>20220421</v>
      </c>
      <c r="H2652" s="4" t="s">
        <v>3905</v>
      </c>
      <c r="I2652" s="4" t="s">
        <v>8691</v>
      </c>
      <c r="J2652" s="4" t="s">
        <v>228</v>
      </c>
    </row>
    <row r="2653" spans="1:10" hidden="1">
      <c r="A2653" s="4">
        <v>2.0210528903000301E+17</v>
      </c>
      <c r="B2653" s="4">
        <v>7188101638</v>
      </c>
      <c r="C2653" s="4" t="s">
        <v>8690</v>
      </c>
      <c r="D2653" s="4">
        <v>28903</v>
      </c>
      <c r="E2653" s="4">
        <v>20210510</v>
      </c>
      <c r="F2653" s="4">
        <v>20210510</v>
      </c>
      <c r="G2653" s="4">
        <v>20240510</v>
      </c>
      <c r="H2653" s="4" t="s">
        <v>8689</v>
      </c>
      <c r="I2653" s="4" t="s">
        <v>8688</v>
      </c>
      <c r="J2653" s="4" t="s">
        <v>460</v>
      </c>
    </row>
    <row r="2654" spans="1:10" hidden="1">
      <c r="A2654" s="4">
        <v>2.0210511209000301E+17</v>
      </c>
      <c r="B2654" s="4">
        <v>2238601566</v>
      </c>
      <c r="C2654" s="4" t="s">
        <v>8687</v>
      </c>
      <c r="D2654" s="4">
        <v>11209</v>
      </c>
      <c r="E2654" s="4">
        <v>20210510</v>
      </c>
      <c r="F2654" s="4">
        <v>20210510</v>
      </c>
      <c r="G2654" s="4">
        <v>20240510</v>
      </c>
      <c r="H2654" s="4" t="s">
        <v>3486</v>
      </c>
      <c r="I2654" s="4" t="s">
        <v>8686</v>
      </c>
      <c r="J2654" s="4" t="s">
        <v>628</v>
      </c>
    </row>
    <row r="2655" spans="1:10" hidden="1">
      <c r="A2655" s="4">
        <v>2.0210525914000301E+17</v>
      </c>
      <c r="B2655" s="4">
        <v>2268154107</v>
      </c>
      <c r="C2655" s="4" t="s">
        <v>8685</v>
      </c>
      <c r="D2655" s="4">
        <v>25914</v>
      </c>
      <c r="E2655" s="4">
        <v>20210510</v>
      </c>
      <c r="F2655" s="4">
        <v>20210510</v>
      </c>
      <c r="G2655" s="4">
        <v>20240510</v>
      </c>
      <c r="H2655" s="4" t="s">
        <v>8684</v>
      </c>
      <c r="I2655" s="4" t="s">
        <v>8683</v>
      </c>
      <c r="J2655" s="4" t="s">
        <v>1012</v>
      </c>
    </row>
    <row r="2656" spans="1:10" hidden="1">
      <c r="A2656" s="4">
        <v>2.0210542500000301E+17</v>
      </c>
      <c r="B2656" s="4">
        <v>3778701953</v>
      </c>
      <c r="C2656" s="4" t="s">
        <v>8682</v>
      </c>
      <c r="D2656" s="4">
        <v>42500</v>
      </c>
      <c r="E2656" s="4">
        <v>20210510</v>
      </c>
      <c r="F2656" s="4">
        <v>20210510</v>
      </c>
      <c r="G2656" s="4">
        <v>20240510</v>
      </c>
      <c r="H2656" s="4" t="s">
        <v>8681</v>
      </c>
      <c r="J2656" s="4" t="s">
        <v>740</v>
      </c>
    </row>
    <row r="2657" spans="1:10" hidden="1">
      <c r="A2657" s="4">
        <v>2.0210528429000301E+17</v>
      </c>
      <c r="B2657" s="4">
        <v>8048600575</v>
      </c>
      <c r="C2657" s="4" t="s">
        <v>8680</v>
      </c>
      <c r="D2657" s="4">
        <v>28429</v>
      </c>
      <c r="E2657" s="4">
        <v>20210510</v>
      </c>
      <c r="F2657" s="4">
        <v>20210510</v>
      </c>
      <c r="G2657" s="4">
        <v>20231130</v>
      </c>
      <c r="H2657" s="4" t="s">
        <v>8679</v>
      </c>
      <c r="I2657" s="4" t="s">
        <v>149</v>
      </c>
      <c r="J2657" s="4" t="s">
        <v>765</v>
      </c>
    </row>
    <row r="2658" spans="1:10" hidden="1">
      <c r="A2658" s="4">
        <v>2.0210528519000301E+17</v>
      </c>
      <c r="B2658" s="4">
        <v>7771200836</v>
      </c>
      <c r="C2658" s="4" t="s">
        <v>8678</v>
      </c>
      <c r="D2658" s="4">
        <v>28519</v>
      </c>
      <c r="E2658" s="4">
        <v>20210510</v>
      </c>
      <c r="F2658" s="4">
        <v>20210510</v>
      </c>
      <c r="G2658" s="4">
        <v>20240510</v>
      </c>
      <c r="H2658" s="4" t="s">
        <v>8677</v>
      </c>
      <c r="I2658" s="4" t="s">
        <v>149</v>
      </c>
      <c r="J2658" s="4" t="s">
        <v>1412</v>
      </c>
    </row>
    <row r="2659" spans="1:10" hidden="1">
      <c r="A2659" s="4">
        <v>2.0210546510000301E+17</v>
      </c>
      <c r="B2659" s="4">
        <v>1978101414</v>
      </c>
      <c r="C2659" s="4" t="s">
        <v>8676</v>
      </c>
      <c r="D2659" s="4">
        <v>46510</v>
      </c>
      <c r="E2659" s="4">
        <v>20210510</v>
      </c>
      <c r="F2659" s="4">
        <v>20210510</v>
      </c>
      <c r="G2659" s="4">
        <v>20240510</v>
      </c>
      <c r="H2659" s="4" t="s">
        <v>8675</v>
      </c>
      <c r="J2659" s="4" t="s">
        <v>126</v>
      </c>
    </row>
    <row r="2660" spans="1:10" hidden="1">
      <c r="A2660" s="4">
        <v>2.0210575992000301E+17</v>
      </c>
      <c r="B2660" s="4">
        <v>4291601346</v>
      </c>
      <c r="C2660" s="4" t="s">
        <v>8674</v>
      </c>
      <c r="D2660" s="4">
        <v>75992</v>
      </c>
      <c r="E2660" s="4">
        <v>20210510</v>
      </c>
      <c r="F2660" s="4">
        <v>20210510</v>
      </c>
      <c r="G2660" s="4">
        <v>20240510</v>
      </c>
      <c r="H2660" s="4" t="s">
        <v>8673</v>
      </c>
      <c r="I2660" s="4" t="s">
        <v>8672</v>
      </c>
      <c r="J2660" s="4" t="s">
        <v>111</v>
      </c>
    </row>
    <row r="2661" spans="1:10">
      <c r="A2661" s="4">
        <v>2.0210358190000099E+17</v>
      </c>
      <c r="B2661" s="4">
        <v>3058222088</v>
      </c>
      <c r="C2661" s="4" t="s">
        <v>3042</v>
      </c>
      <c r="D2661" s="4">
        <v>58190</v>
      </c>
      <c r="E2661" s="4">
        <v>20210302</v>
      </c>
      <c r="F2661" s="4">
        <v>20210302</v>
      </c>
      <c r="G2661" s="4">
        <v>20210905</v>
      </c>
      <c r="H2661" s="4" t="s">
        <v>3041</v>
      </c>
      <c r="I2661" s="4" t="s">
        <v>3040</v>
      </c>
      <c r="J2661" s="4" t="s">
        <v>196</v>
      </c>
    </row>
    <row r="2662" spans="1:10" hidden="1">
      <c r="A2662" s="4">
        <v>2.0210522299000301E+17</v>
      </c>
      <c r="B2662" s="4">
        <v>4634400530</v>
      </c>
      <c r="C2662" s="4" t="s">
        <v>8669</v>
      </c>
      <c r="D2662" s="4">
        <v>22299</v>
      </c>
      <c r="E2662" s="4">
        <v>20210510</v>
      </c>
      <c r="F2662" s="4">
        <v>20210510</v>
      </c>
      <c r="G2662" s="4">
        <v>20240510</v>
      </c>
      <c r="H2662" s="4" t="s">
        <v>474</v>
      </c>
      <c r="I2662" s="4" t="s">
        <v>8668</v>
      </c>
      <c r="J2662" s="4" t="s">
        <v>384</v>
      </c>
    </row>
    <row r="2663" spans="1:10" hidden="1">
      <c r="A2663" s="4">
        <v>2.0210528422000301E+17</v>
      </c>
      <c r="B2663" s="4">
        <v>3038211061</v>
      </c>
      <c r="C2663" s="4" t="s">
        <v>8667</v>
      </c>
      <c r="D2663" s="4">
        <v>28422</v>
      </c>
      <c r="E2663" s="4">
        <v>20210510</v>
      </c>
      <c r="F2663" s="4">
        <v>20210510</v>
      </c>
      <c r="G2663" s="4">
        <v>20230226</v>
      </c>
      <c r="H2663" s="4" t="s">
        <v>1546</v>
      </c>
      <c r="I2663" s="4" t="s">
        <v>8666</v>
      </c>
      <c r="J2663" s="4" t="s">
        <v>188</v>
      </c>
    </row>
    <row r="2664" spans="1:10" hidden="1">
      <c r="A2664" s="4">
        <v>2.0210529193000301E+17</v>
      </c>
      <c r="B2664" s="4">
        <v>5718700764</v>
      </c>
      <c r="C2664" s="4" t="s">
        <v>8665</v>
      </c>
      <c r="D2664" s="4">
        <v>29193</v>
      </c>
      <c r="E2664" s="4">
        <v>20210510</v>
      </c>
      <c r="F2664" s="4">
        <v>20210510</v>
      </c>
      <c r="G2664" s="4">
        <v>20240510</v>
      </c>
      <c r="H2664" s="4" t="s">
        <v>8664</v>
      </c>
      <c r="J2664" s="4" t="s">
        <v>721</v>
      </c>
    </row>
    <row r="2665" spans="1:10" hidden="1">
      <c r="A2665" s="4">
        <v>2.0210546800000301E+17</v>
      </c>
      <c r="B2665" s="4">
        <v>1181663423</v>
      </c>
      <c r="C2665" s="4" t="s">
        <v>8663</v>
      </c>
      <c r="D2665" s="4">
        <v>46800</v>
      </c>
      <c r="E2665" s="4">
        <v>20210510</v>
      </c>
      <c r="F2665" s="4">
        <v>20210510</v>
      </c>
      <c r="G2665" s="4">
        <v>20240510</v>
      </c>
      <c r="H2665" s="4" t="s">
        <v>8662</v>
      </c>
      <c r="J2665" s="4" t="s">
        <v>979</v>
      </c>
    </row>
    <row r="2666" spans="1:10" hidden="1">
      <c r="A2666" s="4">
        <v>2.0210529299000301E+17</v>
      </c>
      <c r="B2666" s="4">
        <v>3898101556</v>
      </c>
      <c r="C2666" s="4" t="s">
        <v>8661</v>
      </c>
      <c r="D2666" s="4">
        <v>29299</v>
      </c>
      <c r="E2666" s="4">
        <v>20210510</v>
      </c>
      <c r="F2666" s="4">
        <v>20210510</v>
      </c>
      <c r="G2666" s="4">
        <v>20240510</v>
      </c>
      <c r="H2666" s="4" t="s">
        <v>8660</v>
      </c>
      <c r="I2666" s="4" t="s">
        <v>8659</v>
      </c>
      <c r="J2666" s="4" t="s">
        <v>137</v>
      </c>
    </row>
    <row r="2667" spans="1:10" hidden="1">
      <c r="A2667" s="4">
        <v>2.0210541229000301E+17</v>
      </c>
      <c r="B2667" s="4">
        <v>2368701803</v>
      </c>
      <c r="C2667" s="4" t="s">
        <v>8658</v>
      </c>
      <c r="D2667" s="4">
        <v>41229</v>
      </c>
      <c r="E2667" s="4">
        <v>20210510</v>
      </c>
      <c r="F2667" s="4">
        <v>20210510</v>
      </c>
      <c r="G2667" s="4">
        <v>20240510</v>
      </c>
      <c r="H2667" s="4" t="s">
        <v>8657</v>
      </c>
      <c r="I2667" s="4" t="s">
        <v>8656</v>
      </c>
      <c r="J2667" s="4" t="s">
        <v>5083</v>
      </c>
    </row>
    <row r="2668" spans="1:10" hidden="1">
      <c r="A2668" s="4">
        <v>2.0210525111000301E+17</v>
      </c>
      <c r="B2668" s="4">
        <v>3888701856</v>
      </c>
      <c r="C2668" s="4" t="s">
        <v>8655</v>
      </c>
      <c r="D2668" s="4">
        <v>25111</v>
      </c>
      <c r="E2668" s="4">
        <v>20210510</v>
      </c>
      <c r="F2668" s="4">
        <v>20210510</v>
      </c>
      <c r="G2668" s="4">
        <v>20240510</v>
      </c>
      <c r="H2668" s="4" t="s">
        <v>8654</v>
      </c>
      <c r="I2668" s="4" t="s">
        <v>8653</v>
      </c>
      <c r="J2668" s="4" t="s">
        <v>82</v>
      </c>
    </row>
    <row r="2669" spans="1:10" hidden="1">
      <c r="A2669" s="4">
        <v>2.0210529174000301E+17</v>
      </c>
      <c r="B2669" s="4">
        <v>4158601447</v>
      </c>
      <c r="C2669" s="4" t="s">
        <v>8652</v>
      </c>
      <c r="D2669" s="4">
        <v>29174</v>
      </c>
      <c r="E2669" s="4">
        <v>20210510</v>
      </c>
      <c r="F2669" s="4">
        <v>20210510</v>
      </c>
      <c r="G2669" s="4">
        <v>20240510</v>
      </c>
      <c r="H2669" s="4" t="s">
        <v>8651</v>
      </c>
      <c r="I2669" s="4" t="s">
        <v>8650</v>
      </c>
      <c r="J2669" s="4" t="s">
        <v>877</v>
      </c>
    </row>
    <row r="2670" spans="1:10" hidden="1">
      <c r="A2670" s="4">
        <v>2.0210532099000301E+17</v>
      </c>
      <c r="B2670" s="4">
        <v>6828701476</v>
      </c>
      <c r="C2670" s="4" t="s">
        <v>8649</v>
      </c>
      <c r="D2670" s="4">
        <v>32099</v>
      </c>
      <c r="E2670" s="4">
        <v>20210510</v>
      </c>
      <c r="F2670" s="4">
        <v>20210510</v>
      </c>
      <c r="G2670" s="4">
        <v>20240510</v>
      </c>
      <c r="H2670" s="4" t="s">
        <v>8648</v>
      </c>
      <c r="I2670" s="4" t="s">
        <v>1403</v>
      </c>
      <c r="J2670" s="4" t="s">
        <v>162</v>
      </c>
    </row>
    <row r="2671" spans="1:10" hidden="1">
      <c r="A2671" s="4">
        <v>2.0210523329000301E+17</v>
      </c>
      <c r="B2671" s="4">
        <v>2828701295</v>
      </c>
      <c r="C2671" s="4" t="s">
        <v>8647</v>
      </c>
      <c r="D2671" s="4">
        <v>23329</v>
      </c>
      <c r="E2671" s="4">
        <v>20210510</v>
      </c>
      <c r="F2671" s="4">
        <v>20210510</v>
      </c>
      <c r="G2671" s="4">
        <v>20240510</v>
      </c>
      <c r="H2671" s="4" t="s">
        <v>3766</v>
      </c>
      <c r="I2671" s="4" t="s">
        <v>8646</v>
      </c>
      <c r="J2671" s="4" t="s">
        <v>6281</v>
      </c>
    </row>
    <row r="2672" spans="1:10" hidden="1">
      <c r="A2672" s="4">
        <v>2.0210558211000301E+17</v>
      </c>
      <c r="B2672" s="4">
        <v>7608800565</v>
      </c>
      <c r="C2672" s="4" t="s">
        <v>8645</v>
      </c>
      <c r="D2672" s="4">
        <v>58211</v>
      </c>
      <c r="E2672" s="4">
        <v>20210510</v>
      </c>
      <c r="F2672" s="4">
        <v>20210510</v>
      </c>
      <c r="G2672" s="4">
        <v>20240217</v>
      </c>
      <c r="H2672" s="4" t="s">
        <v>8644</v>
      </c>
      <c r="I2672" s="4" t="s">
        <v>8643</v>
      </c>
      <c r="J2672" s="4" t="s">
        <v>887</v>
      </c>
    </row>
    <row r="2673" spans="1:10" hidden="1">
      <c r="A2673" s="4">
        <v>2.0210520423000301E+17</v>
      </c>
      <c r="B2673" s="4">
        <v>4318702163</v>
      </c>
      <c r="C2673" s="4" t="s">
        <v>8642</v>
      </c>
      <c r="D2673" s="4">
        <v>20423</v>
      </c>
      <c r="E2673" s="4">
        <v>20210510</v>
      </c>
      <c r="F2673" s="4">
        <v>20210510</v>
      </c>
      <c r="G2673" s="4">
        <v>20240510</v>
      </c>
      <c r="H2673" s="4" t="s">
        <v>8641</v>
      </c>
      <c r="I2673" s="4" t="s">
        <v>3071</v>
      </c>
      <c r="J2673" s="4" t="s">
        <v>368</v>
      </c>
    </row>
    <row r="2674" spans="1:10" hidden="1">
      <c r="A2674" s="4">
        <v>2.0210542492000301E+17</v>
      </c>
      <c r="B2674" s="4">
        <v>7098702071</v>
      </c>
      <c r="C2674" s="4" t="s">
        <v>8640</v>
      </c>
      <c r="D2674" s="4">
        <v>42492</v>
      </c>
      <c r="E2674" s="4">
        <v>20210510</v>
      </c>
      <c r="F2674" s="4">
        <v>20210510</v>
      </c>
      <c r="G2674" s="4">
        <v>20240510</v>
      </c>
      <c r="H2674" s="4" t="s">
        <v>8639</v>
      </c>
      <c r="J2674" s="4" t="s">
        <v>3977</v>
      </c>
    </row>
    <row r="2675" spans="1:10" hidden="1">
      <c r="A2675" s="4">
        <v>2.0210563991000301E+17</v>
      </c>
      <c r="B2675" s="4">
        <v>1158601358</v>
      </c>
      <c r="C2675" s="4" t="s">
        <v>8638</v>
      </c>
      <c r="D2675" s="4">
        <v>63991</v>
      </c>
      <c r="E2675" s="4">
        <v>20210510</v>
      </c>
      <c r="F2675" s="4">
        <v>20210510</v>
      </c>
      <c r="G2675" s="4">
        <v>20240510</v>
      </c>
      <c r="H2675" s="4" t="s">
        <v>8637</v>
      </c>
      <c r="I2675" s="4" t="s">
        <v>8636</v>
      </c>
      <c r="J2675" s="4" t="s">
        <v>395</v>
      </c>
    </row>
    <row r="2676" spans="1:10" hidden="1">
      <c r="A2676" s="4">
        <v>2.0210528123000301E+17</v>
      </c>
      <c r="B2676" s="4">
        <v>1228801248</v>
      </c>
      <c r="C2676" s="4" t="s">
        <v>8635</v>
      </c>
      <c r="D2676" s="4">
        <v>28123</v>
      </c>
      <c r="E2676" s="4">
        <v>20210510</v>
      </c>
      <c r="F2676" s="4">
        <v>20210510</v>
      </c>
      <c r="G2676" s="4">
        <v>20240510</v>
      </c>
      <c r="H2676" s="4" t="s">
        <v>1546</v>
      </c>
      <c r="I2676" s="4" t="s">
        <v>8634</v>
      </c>
      <c r="J2676" s="4" t="s">
        <v>640</v>
      </c>
    </row>
    <row r="2677" spans="1:10" hidden="1">
      <c r="A2677" s="4">
        <v>2.0210522299000301E+17</v>
      </c>
      <c r="B2677" s="4">
        <v>4148107782</v>
      </c>
      <c r="C2677" s="4" t="s">
        <v>8633</v>
      </c>
      <c r="D2677" s="4">
        <v>22299</v>
      </c>
      <c r="E2677" s="4">
        <v>20210510</v>
      </c>
      <c r="F2677" s="4">
        <v>20210510</v>
      </c>
      <c r="G2677" s="4">
        <v>20240510</v>
      </c>
      <c r="H2677" s="4" t="s">
        <v>8632</v>
      </c>
      <c r="I2677" s="4" t="s">
        <v>175</v>
      </c>
      <c r="J2677" s="4" t="s">
        <v>384</v>
      </c>
    </row>
    <row r="2678" spans="1:10" hidden="1">
      <c r="A2678" s="4">
        <v>2.0210513999000301E+17</v>
      </c>
      <c r="B2678" s="4">
        <v>2578701381</v>
      </c>
      <c r="C2678" s="4" t="s">
        <v>8631</v>
      </c>
      <c r="D2678" s="4">
        <v>13999</v>
      </c>
      <c r="E2678" s="4">
        <v>20210510</v>
      </c>
      <c r="F2678" s="4">
        <v>20210510</v>
      </c>
      <c r="G2678" s="4">
        <v>20240510</v>
      </c>
      <c r="H2678" s="4" t="s">
        <v>8630</v>
      </c>
      <c r="I2678" s="4" t="s">
        <v>8629</v>
      </c>
      <c r="J2678" s="4" t="s">
        <v>130</v>
      </c>
    </row>
    <row r="2679" spans="1:10" hidden="1">
      <c r="A2679" s="4">
        <v>2.0210529299000301E+17</v>
      </c>
      <c r="B2679" s="4">
        <v>2728800559</v>
      </c>
      <c r="C2679" s="4" t="s">
        <v>8628</v>
      </c>
      <c r="D2679" s="4">
        <v>29299</v>
      </c>
      <c r="E2679" s="4">
        <v>20210510</v>
      </c>
      <c r="F2679" s="4">
        <v>20210510</v>
      </c>
      <c r="G2679" s="4">
        <v>20240117</v>
      </c>
      <c r="H2679" s="4" t="s">
        <v>8627</v>
      </c>
      <c r="I2679" s="4" t="s">
        <v>8626</v>
      </c>
      <c r="J2679" s="4" t="s">
        <v>137</v>
      </c>
    </row>
    <row r="2680" spans="1:10">
      <c r="A2680" s="5">
        <v>2.02106181110004E+17</v>
      </c>
      <c r="B2680" s="5">
        <v>2368700366</v>
      </c>
      <c r="C2680" s="5" t="s">
        <v>11480</v>
      </c>
      <c r="D2680" s="5">
        <v>18111</v>
      </c>
      <c r="E2680" s="5">
        <v>20210612</v>
      </c>
      <c r="F2680" s="5">
        <v>20210612</v>
      </c>
      <c r="G2680" s="5">
        <v>20230405</v>
      </c>
      <c r="H2680" s="5" t="s">
        <v>11479</v>
      </c>
      <c r="I2680" s="5" t="s">
        <v>149</v>
      </c>
      <c r="J2680" s="5" t="s">
        <v>662</v>
      </c>
    </row>
    <row r="2681" spans="1:10" hidden="1">
      <c r="A2681" s="4">
        <v>2.0210546591000301E+17</v>
      </c>
      <c r="B2681" s="4">
        <v>7398200083</v>
      </c>
      <c r="C2681" s="4" t="s">
        <v>8622</v>
      </c>
      <c r="D2681" s="4">
        <v>46591</v>
      </c>
      <c r="E2681" s="4">
        <v>20210510</v>
      </c>
      <c r="F2681" s="4">
        <v>20210510</v>
      </c>
      <c r="G2681" s="4">
        <v>20231014</v>
      </c>
      <c r="H2681" s="4" t="s">
        <v>521</v>
      </c>
      <c r="I2681" s="4" t="s">
        <v>8621</v>
      </c>
      <c r="J2681" s="4" t="s">
        <v>985</v>
      </c>
    </row>
    <row r="2682" spans="1:10" hidden="1">
      <c r="A2682" s="4">
        <v>2.0210546800000301E+17</v>
      </c>
      <c r="B2682" s="4">
        <v>6052762185</v>
      </c>
      <c r="C2682" s="4" t="s">
        <v>8620</v>
      </c>
      <c r="D2682" s="4">
        <v>46800</v>
      </c>
      <c r="E2682" s="4">
        <v>20210509</v>
      </c>
      <c r="F2682" s="4">
        <v>20210509</v>
      </c>
      <c r="G2682" s="4">
        <v>20230226</v>
      </c>
      <c r="H2682" s="4" t="s">
        <v>8619</v>
      </c>
      <c r="I2682" s="4" t="s">
        <v>8618</v>
      </c>
      <c r="J2682" s="4" t="s">
        <v>979</v>
      </c>
    </row>
    <row r="2683" spans="1:10" hidden="1">
      <c r="A2683" s="4">
        <v>2.0210595120000301E+17</v>
      </c>
      <c r="B2683" s="4">
        <v>5428600852</v>
      </c>
      <c r="C2683" s="4" t="s">
        <v>8617</v>
      </c>
      <c r="D2683" s="4">
        <v>95120</v>
      </c>
      <c r="E2683" s="4">
        <v>20210508</v>
      </c>
      <c r="F2683" s="4">
        <v>20210508</v>
      </c>
      <c r="G2683" s="4">
        <v>20240508</v>
      </c>
      <c r="H2683" s="4" t="s">
        <v>8616</v>
      </c>
      <c r="I2683" s="4" t="s">
        <v>970</v>
      </c>
      <c r="J2683" s="4" t="s">
        <v>8615</v>
      </c>
    </row>
    <row r="2684" spans="1:10" hidden="1">
      <c r="A2684" s="4">
        <v>2.0210525932000301E+17</v>
      </c>
      <c r="B2684" s="4">
        <v>1268701791</v>
      </c>
      <c r="C2684" s="4" t="s">
        <v>8614</v>
      </c>
      <c r="D2684" s="4">
        <v>25932</v>
      </c>
      <c r="E2684" s="4">
        <v>20210508</v>
      </c>
      <c r="F2684" s="4">
        <v>20210508</v>
      </c>
      <c r="G2684" s="4">
        <v>20240508</v>
      </c>
      <c r="H2684" s="4" t="s">
        <v>6779</v>
      </c>
      <c r="I2684" s="4" t="s">
        <v>8613</v>
      </c>
      <c r="J2684" s="4" t="s">
        <v>246</v>
      </c>
    </row>
    <row r="2685" spans="1:10" hidden="1">
      <c r="A2685" s="4">
        <v>2.0210516300000301E+17</v>
      </c>
      <c r="B2685" s="4">
        <v>7898100719</v>
      </c>
      <c r="C2685" s="4" t="s">
        <v>8612</v>
      </c>
      <c r="D2685" s="4">
        <v>16300</v>
      </c>
      <c r="E2685" s="4">
        <v>20210508</v>
      </c>
      <c r="F2685" s="4">
        <v>20210508</v>
      </c>
      <c r="G2685" s="4">
        <v>20240315</v>
      </c>
      <c r="H2685" s="4" t="s">
        <v>8611</v>
      </c>
      <c r="J2685" s="4" t="s">
        <v>4865</v>
      </c>
    </row>
    <row r="2686" spans="1:10" hidden="1">
      <c r="A2686" s="4">
        <v>2.0210574211000301E+17</v>
      </c>
      <c r="B2686" s="4">
        <v>3898601681</v>
      </c>
      <c r="C2686" s="4" t="s">
        <v>8610</v>
      </c>
      <c r="D2686" s="4">
        <v>74211</v>
      </c>
      <c r="E2686" s="4">
        <v>20210508</v>
      </c>
      <c r="F2686" s="4">
        <v>20210508</v>
      </c>
      <c r="G2686" s="4">
        <v>20240508</v>
      </c>
      <c r="H2686" s="4" t="s">
        <v>8609</v>
      </c>
      <c r="I2686" s="4" t="s">
        <v>149</v>
      </c>
      <c r="J2686" s="4" t="s">
        <v>5576</v>
      </c>
    </row>
    <row r="2687" spans="1:10" hidden="1">
      <c r="A2687" s="4">
        <v>2.0210528123000301E+17</v>
      </c>
      <c r="B2687" s="4">
        <v>6215100304</v>
      </c>
      <c r="C2687" s="4" t="s">
        <v>8608</v>
      </c>
      <c r="D2687" s="4">
        <v>28123</v>
      </c>
      <c r="E2687" s="4">
        <v>20210508</v>
      </c>
      <c r="F2687" s="4">
        <v>20210508</v>
      </c>
      <c r="G2687" s="4">
        <v>20240508</v>
      </c>
      <c r="H2687" s="4" t="s">
        <v>8607</v>
      </c>
      <c r="J2687" s="4" t="s">
        <v>640</v>
      </c>
    </row>
    <row r="2688" spans="1:10" hidden="1">
      <c r="A2688" s="4">
        <v>2.0210533910000301E+17</v>
      </c>
      <c r="B2688" s="4">
        <v>8260100146</v>
      </c>
      <c r="C2688" s="4" t="s">
        <v>8606</v>
      </c>
      <c r="D2688" s="4">
        <v>33910</v>
      </c>
      <c r="E2688" s="4">
        <v>20210508</v>
      </c>
      <c r="F2688" s="4">
        <v>20210508</v>
      </c>
      <c r="G2688" s="4">
        <v>20220715</v>
      </c>
      <c r="H2688" s="4" t="s">
        <v>8605</v>
      </c>
      <c r="J2688" s="4" t="s">
        <v>310</v>
      </c>
    </row>
    <row r="2689" spans="1:10" hidden="1">
      <c r="A2689" s="4">
        <v>2.0210546800000301E+17</v>
      </c>
      <c r="B2689" s="4">
        <v>1691900354</v>
      </c>
      <c r="C2689" s="4" t="s">
        <v>8604</v>
      </c>
      <c r="D2689" s="4">
        <v>46800</v>
      </c>
      <c r="E2689" s="4">
        <v>20210508</v>
      </c>
      <c r="F2689" s="4">
        <v>20210508</v>
      </c>
      <c r="G2689" s="4">
        <v>20231019</v>
      </c>
      <c r="H2689" s="4" t="s">
        <v>8603</v>
      </c>
      <c r="J2689" s="4" t="s">
        <v>979</v>
      </c>
    </row>
    <row r="2690" spans="1:10" hidden="1">
      <c r="A2690" s="4">
        <v>2.0210529172000301E+17</v>
      </c>
      <c r="B2690" s="4">
        <v>1765400222</v>
      </c>
      <c r="C2690" s="4" t="s">
        <v>8602</v>
      </c>
      <c r="D2690" s="4">
        <v>29172</v>
      </c>
      <c r="E2690" s="4">
        <v>20210508</v>
      </c>
      <c r="F2690" s="4">
        <v>20210508</v>
      </c>
      <c r="G2690" s="4">
        <v>20240508</v>
      </c>
      <c r="H2690" s="4" t="s">
        <v>8601</v>
      </c>
      <c r="I2690" s="4" t="s">
        <v>8600</v>
      </c>
      <c r="J2690" s="4" t="s">
        <v>1204</v>
      </c>
    </row>
    <row r="2691" spans="1:10" hidden="1">
      <c r="A2691" s="4">
        <v>2.0210559120000301E+17</v>
      </c>
      <c r="B2691" s="4">
        <v>5738701982</v>
      </c>
      <c r="C2691" s="4" t="s">
        <v>8599</v>
      </c>
      <c r="D2691" s="4">
        <v>59120</v>
      </c>
      <c r="E2691" s="4">
        <v>20210508</v>
      </c>
      <c r="F2691" s="4">
        <v>20210508</v>
      </c>
      <c r="G2691" s="4">
        <v>20240508</v>
      </c>
      <c r="H2691" s="4" t="s">
        <v>8598</v>
      </c>
      <c r="I2691" s="4" t="s">
        <v>91</v>
      </c>
      <c r="J2691" s="4" t="s">
        <v>2961</v>
      </c>
    </row>
    <row r="2692" spans="1:10" hidden="1">
      <c r="A2692" s="4">
        <v>2.0210572111000301E+17</v>
      </c>
      <c r="B2692" s="4">
        <v>5778702057</v>
      </c>
      <c r="C2692" s="4" t="s">
        <v>8597</v>
      </c>
      <c r="D2692" s="4">
        <v>72111</v>
      </c>
      <c r="E2692" s="4">
        <v>20210508</v>
      </c>
      <c r="F2692" s="4">
        <v>20210508</v>
      </c>
      <c r="G2692" s="4">
        <v>20240508</v>
      </c>
      <c r="H2692" s="4" t="s">
        <v>8596</v>
      </c>
      <c r="I2692" s="4" t="s">
        <v>91</v>
      </c>
      <c r="J2692" s="4" t="s">
        <v>3461</v>
      </c>
    </row>
    <row r="2693" spans="1:10" hidden="1">
      <c r="A2693" s="4">
        <v>2.0210542311000301E+17</v>
      </c>
      <c r="B2693" s="4">
        <v>2068801740</v>
      </c>
      <c r="C2693" s="4" t="s">
        <v>8595</v>
      </c>
      <c r="D2693" s="4">
        <v>42311</v>
      </c>
      <c r="E2693" s="4">
        <v>20210508</v>
      </c>
      <c r="F2693" s="4">
        <v>20210508</v>
      </c>
      <c r="G2693" s="4">
        <v>20240508</v>
      </c>
      <c r="H2693" s="4" t="s">
        <v>8594</v>
      </c>
      <c r="I2693" s="4" t="s">
        <v>149</v>
      </c>
      <c r="J2693" s="4" t="s">
        <v>718</v>
      </c>
    </row>
    <row r="2694" spans="1:10" hidden="1">
      <c r="A2694" s="4">
        <v>2.0210528909000301E+17</v>
      </c>
      <c r="B2694" s="4">
        <v>7888801413</v>
      </c>
      <c r="C2694" s="4" t="s">
        <v>8593</v>
      </c>
      <c r="D2694" s="4">
        <v>28909</v>
      </c>
      <c r="E2694" s="4">
        <v>20210508</v>
      </c>
      <c r="F2694" s="4">
        <v>20210508</v>
      </c>
      <c r="G2694" s="4">
        <v>20240508</v>
      </c>
      <c r="H2694" s="4" t="s">
        <v>8592</v>
      </c>
      <c r="I2694" s="4" t="s">
        <v>8591</v>
      </c>
      <c r="J2694" s="4" t="s">
        <v>253</v>
      </c>
    </row>
    <row r="2695" spans="1:10" hidden="1">
      <c r="A2695" s="4">
        <v>2.0210558222000301E+17</v>
      </c>
      <c r="B2695" s="4">
        <v>3708801376</v>
      </c>
      <c r="C2695" s="4" t="s">
        <v>8590</v>
      </c>
      <c r="D2695" s="4">
        <v>58222</v>
      </c>
      <c r="E2695" s="4">
        <v>20210508</v>
      </c>
      <c r="F2695" s="4">
        <v>20210508</v>
      </c>
      <c r="G2695" s="4">
        <v>20240508</v>
      </c>
      <c r="H2695" s="4" t="s">
        <v>1790</v>
      </c>
      <c r="I2695" s="4" t="s">
        <v>8589</v>
      </c>
      <c r="J2695" s="4" t="s">
        <v>94</v>
      </c>
    </row>
    <row r="2696" spans="1:10" hidden="1">
      <c r="A2696" s="4">
        <v>2.0210520411000301E+17</v>
      </c>
      <c r="B2696" s="4">
        <v>4108701167</v>
      </c>
      <c r="C2696" s="4" t="s">
        <v>8588</v>
      </c>
      <c r="D2696" s="4">
        <v>20411</v>
      </c>
      <c r="E2696" s="4">
        <v>20210508</v>
      </c>
      <c r="F2696" s="4">
        <v>20210508</v>
      </c>
      <c r="G2696" s="4">
        <v>20210902</v>
      </c>
      <c r="H2696" s="4" t="s">
        <v>8587</v>
      </c>
      <c r="I2696" s="4" t="s">
        <v>8586</v>
      </c>
      <c r="J2696" s="4" t="s">
        <v>694</v>
      </c>
    </row>
    <row r="2697" spans="1:10" hidden="1">
      <c r="A2697" s="4">
        <v>2.0210520421000301E+17</v>
      </c>
      <c r="B2697" s="4">
        <v>3268701542</v>
      </c>
      <c r="C2697" s="4" t="s">
        <v>8585</v>
      </c>
      <c r="D2697" s="4">
        <v>20421</v>
      </c>
      <c r="E2697" s="4">
        <v>20210508</v>
      </c>
      <c r="F2697" s="4">
        <v>20210508</v>
      </c>
      <c r="G2697" s="4">
        <v>20240508</v>
      </c>
      <c r="H2697" s="4" t="s">
        <v>8584</v>
      </c>
      <c r="I2697" s="4" t="s">
        <v>3530</v>
      </c>
      <c r="J2697" s="4" t="s">
        <v>5960</v>
      </c>
    </row>
    <row r="2698" spans="1:10" hidden="1">
      <c r="A2698" s="4">
        <v>2.0210573202000301E+17</v>
      </c>
      <c r="B2698" s="4">
        <v>2971501330</v>
      </c>
      <c r="C2698" s="4" t="s">
        <v>8583</v>
      </c>
      <c r="D2698" s="4">
        <v>73202</v>
      </c>
      <c r="E2698" s="4">
        <v>20210508</v>
      </c>
      <c r="F2698" s="4">
        <v>20210508</v>
      </c>
      <c r="G2698" s="4">
        <v>20240508</v>
      </c>
      <c r="H2698" s="4" t="s">
        <v>8582</v>
      </c>
      <c r="J2698" s="4" t="s">
        <v>605</v>
      </c>
    </row>
    <row r="2699" spans="1:10" hidden="1">
      <c r="A2699" s="4">
        <v>2.0210546733000301E+17</v>
      </c>
      <c r="B2699" s="4">
        <v>6261300990</v>
      </c>
      <c r="C2699" s="4" t="s">
        <v>8581</v>
      </c>
      <c r="D2699" s="4">
        <v>46733</v>
      </c>
      <c r="E2699" s="4">
        <v>20210508</v>
      </c>
      <c r="F2699" s="4">
        <v>20210508</v>
      </c>
      <c r="G2699" s="4">
        <v>20240508</v>
      </c>
      <c r="H2699" s="4" t="s">
        <v>3440</v>
      </c>
      <c r="I2699" s="4" t="s">
        <v>8580</v>
      </c>
      <c r="J2699" s="4" t="s">
        <v>8579</v>
      </c>
    </row>
    <row r="2700" spans="1:10" hidden="1">
      <c r="A2700" s="4">
        <v>2.0210529120000301E+17</v>
      </c>
      <c r="B2700" s="4">
        <v>2263092472</v>
      </c>
      <c r="C2700" s="4" t="s">
        <v>8578</v>
      </c>
      <c r="D2700" s="4">
        <v>29120</v>
      </c>
      <c r="E2700" s="4">
        <v>20210508</v>
      </c>
      <c r="F2700" s="4">
        <v>20210508</v>
      </c>
      <c r="G2700" s="4">
        <v>20240508</v>
      </c>
      <c r="H2700" s="4" t="s">
        <v>8577</v>
      </c>
      <c r="I2700" s="4" t="s">
        <v>8576</v>
      </c>
      <c r="J2700" s="4" t="s">
        <v>1188</v>
      </c>
    </row>
    <row r="2701" spans="1:10" hidden="1">
      <c r="A2701" s="4">
        <v>2.0210526129000301E+17</v>
      </c>
      <c r="B2701" s="4">
        <v>8578101404</v>
      </c>
      <c r="C2701" s="4" t="s">
        <v>8767</v>
      </c>
      <c r="D2701" s="4">
        <v>26129</v>
      </c>
      <c r="E2701" s="4">
        <v>20210511</v>
      </c>
      <c r="F2701" s="4">
        <v>20210511</v>
      </c>
      <c r="G2701" s="4">
        <v>20240511</v>
      </c>
      <c r="H2701" s="4" t="s">
        <v>8766</v>
      </c>
      <c r="J2701" s="4" t="s">
        <v>403</v>
      </c>
    </row>
    <row r="2702" spans="1:10" hidden="1">
      <c r="A2702" s="4">
        <v>2.0210575994000301E+17</v>
      </c>
      <c r="B2702" s="4">
        <v>4468802051</v>
      </c>
      <c r="C2702" s="4" t="s">
        <v>8573</v>
      </c>
      <c r="D2702" s="4">
        <v>75994</v>
      </c>
      <c r="E2702" s="4">
        <v>20210507</v>
      </c>
      <c r="F2702" s="4">
        <v>20210507</v>
      </c>
      <c r="G2702" s="4">
        <v>20240507</v>
      </c>
      <c r="H2702" s="4" t="s">
        <v>8572</v>
      </c>
      <c r="I2702" s="4" t="s">
        <v>149</v>
      </c>
      <c r="J2702" s="4" t="s">
        <v>8571</v>
      </c>
    </row>
    <row r="2703" spans="1:10" hidden="1">
      <c r="A2703" s="4">
        <v>2.0210526429000301E+17</v>
      </c>
      <c r="B2703" s="4">
        <v>2568100086</v>
      </c>
      <c r="C2703" s="4" t="s">
        <v>8570</v>
      </c>
      <c r="D2703" s="4">
        <v>26429</v>
      </c>
      <c r="E2703" s="4">
        <v>20210507</v>
      </c>
      <c r="F2703" s="4">
        <v>20210507</v>
      </c>
      <c r="G2703" s="4">
        <v>20220629</v>
      </c>
      <c r="H2703" s="4" t="s">
        <v>8569</v>
      </c>
      <c r="I2703" s="4" t="s">
        <v>3923</v>
      </c>
      <c r="J2703" s="4" t="s">
        <v>422</v>
      </c>
    </row>
    <row r="2704" spans="1:10" hidden="1">
      <c r="A2704" s="4">
        <v>2.0210520499000301E+17</v>
      </c>
      <c r="B2704" s="4">
        <v>1598700545</v>
      </c>
      <c r="C2704" s="4" t="s">
        <v>8568</v>
      </c>
      <c r="D2704" s="4">
        <v>20499</v>
      </c>
      <c r="E2704" s="4">
        <v>20210507</v>
      </c>
      <c r="F2704" s="4">
        <v>20210507</v>
      </c>
      <c r="G2704" s="4">
        <v>20230719</v>
      </c>
      <c r="H2704" s="4" t="s">
        <v>8567</v>
      </c>
      <c r="J2704" s="4" t="s">
        <v>406</v>
      </c>
    </row>
    <row r="2705" spans="1:10" hidden="1">
      <c r="A2705" s="4">
        <v>2.0210525994000301E+17</v>
      </c>
      <c r="B2705" s="4">
        <v>3748801534</v>
      </c>
      <c r="C2705" s="4" t="s">
        <v>8765</v>
      </c>
      <c r="D2705" s="4">
        <v>25994</v>
      </c>
      <c r="E2705" s="4">
        <v>20210511</v>
      </c>
      <c r="F2705" s="4">
        <v>20210511</v>
      </c>
      <c r="G2705" s="4">
        <v>20240511</v>
      </c>
      <c r="H2705" s="4" t="s">
        <v>2283</v>
      </c>
      <c r="J2705" s="4" t="s">
        <v>847</v>
      </c>
    </row>
    <row r="2706" spans="1:10" hidden="1">
      <c r="A2706" s="4">
        <v>2.0210542312000301E+17</v>
      </c>
      <c r="B2706" s="4">
        <v>6048701350</v>
      </c>
      <c r="C2706" s="4" t="s">
        <v>8564</v>
      </c>
      <c r="D2706" s="4">
        <v>42312</v>
      </c>
      <c r="E2706" s="4">
        <v>20210507</v>
      </c>
      <c r="F2706" s="4">
        <v>20210507</v>
      </c>
      <c r="G2706" s="4">
        <v>20240507</v>
      </c>
      <c r="H2706" s="4" t="s">
        <v>8563</v>
      </c>
      <c r="I2706" s="4" t="s">
        <v>149</v>
      </c>
      <c r="J2706" s="4" t="s">
        <v>6044</v>
      </c>
    </row>
    <row r="2707" spans="1:10" hidden="1">
      <c r="A2707" s="4">
        <v>2.0210586202000301E+17</v>
      </c>
      <c r="B2707" s="4">
        <v>8953200791</v>
      </c>
      <c r="C2707" s="4" t="s">
        <v>8562</v>
      </c>
      <c r="D2707" s="4">
        <v>86202</v>
      </c>
      <c r="E2707" s="4">
        <v>20210507</v>
      </c>
      <c r="F2707" s="4">
        <v>20210507</v>
      </c>
      <c r="G2707" s="4">
        <v>20240507</v>
      </c>
      <c r="H2707" s="4" t="s">
        <v>8561</v>
      </c>
      <c r="I2707" s="4" t="s">
        <v>8560</v>
      </c>
      <c r="J2707" s="4" t="s">
        <v>6242</v>
      </c>
    </row>
    <row r="2708" spans="1:10" hidden="1">
      <c r="A2708" s="4">
        <v>2.0210573202000301E+17</v>
      </c>
      <c r="B2708" s="4">
        <v>2684000714</v>
      </c>
      <c r="C2708" s="4" t="s">
        <v>8559</v>
      </c>
      <c r="D2708" s="4">
        <v>73202</v>
      </c>
      <c r="E2708" s="4">
        <v>20210507</v>
      </c>
      <c r="F2708" s="4">
        <v>20210507</v>
      </c>
      <c r="G2708" s="4">
        <v>20240507</v>
      </c>
      <c r="H2708" s="4" t="s">
        <v>8558</v>
      </c>
      <c r="I2708" s="4" t="s">
        <v>8557</v>
      </c>
      <c r="J2708" s="4" t="s">
        <v>605</v>
      </c>
    </row>
    <row r="2709" spans="1:10" hidden="1">
      <c r="A2709" s="4">
        <v>2.0210529133000301E+17</v>
      </c>
      <c r="B2709" s="4">
        <v>3192400481</v>
      </c>
      <c r="C2709" s="4" t="s">
        <v>8556</v>
      </c>
      <c r="D2709" s="4">
        <v>29133</v>
      </c>
      <c r="E2709" s="4">
        <v>20210507</v>
      </c>
      <c r="F2709" s="4">
        <v>20210507</v>
      </c>
      <c r="G2709" s="4">
        <v>20240507</v>
      </c>
      <c r="H2709" s="4" t="s">
        <v>8555</v>
      </c>
      <c r="J2709" s="4" t="s">
        <v>990</v>
      </c>
    </row>
    <row r="2710" spans="1:10" hidden="1">
      <c r="A2710" s="4">
        <v>2.0210542311000301E+17</v>
      </c>
      <c r="B2710" s="4">
        <v>8858102000</v>
      </c>
      <c r="C2710" s="4" t="s">
        <v>8554</v>
      </c>
      <c r="D2710" s="4">
        <v>42311</v>
      </c>
      <c r="E2710" s="4">
        <v>20210507</v>
      </c>
      <c r="F2710" s="4">
        <v>20210507</v>
      </c>
      <c r="G2710" s="4">
        <v>20240507</v>
      </c>
      <c r="H2710" s="4" t="s">
        <v>8553</v>
      </c>
      <c r="J2710" s="4" t="s">
        <v>718</v>
      </c>
    </row>
    <row r="2711" spans="1:10" hidden="1">
      <c r="A2711" s="4">
        <v>2.0210526410000301E+17</v>
      </c>
      <c r="B2711" s="4">
        <v>5738800374</v>
      </c>
      <c r="C2711" s="4" t="s">
        <v>8552</v>
      </c>
      <c r="D2711" s="4">
        <v>26410</v>
      </c>
      <c r="E2711" s="4">
        <v>20210507</v>
      </c>
      <c r="F2711" s="4">
        <v>20210507</v>
      </c>
      <c r="G2711" s="4">
        <v>20230308</v>
      </c>
      <c r="H2711" s="4" t="s">
        <v>8551</v>
      </c>
      <c r="I2711" s="4" t="s">
        <v>8550</v>
      </c>
      <c r="J2711" s="4" t="s">
        <v>1102</v>
      </c>
    </row>
    <row r="2712" spans="1:10">
      <c r="A2712" s="4">
        <v>2.02106181190004E+17</v>
      </c>
      <c r="B2712" s="4">
        <v>2688802000</v>
      </c>
      <c r="C2712" s="4" t="s">
        <v>10782</v>
      </c>
      <c r="D2712" s="4">
        <v>18119</v>
      </c>
      <c r="E2712" s="4">
        <v>20210608</v>
      </c>
      <c r="F2712" s="4">
        <v>20210608</v>
      </c>
      <c r="G2712" s="4">
        <v>20240608</v>
      </c>
      <c r="H2712" s="4" t="s">
        <v>341</v>
      </c>
      <c r="I2712" s="4" t="s">
        <v>10781</v>
      </c>
      <c r="J2712" s="4" t="s">
        <v>707</v>
      </c>
    </row>
    <row r="2713" spans="1:10" hidden="1">
      <c r="A2713" s="4">
        <v>2.0210574212000301E+17</v>
      </c>
      <c r="B2713" s="4">
        <v>1491101727</v>
      </c>
      <c r="C2713" s="4" t="s">
        <v>8547</v>
      </c>
      <c r="D2713" s="4">
        <v>74212</v>
      </c>
      <c r="E2713" s="4">
        <v>20210507</v>
      </c>
      <c r="F2713" s="4">
        <v>20210507</v>
      </c>
      <c r="G2713" s="4">
        <v>20240507</v>
      </c>
      <c r="H2713" s="4" t="s">
        <v>8546</v>
      </c>
      <c r="I2713" s="4" t="s">
        <v>8545</v>
      </c>
      <c r="J2713" s="4" t="s">
        <v>7362</v>
      </c>
    </row>
    <row r="2714" spans="1:10" hidden="1">
      <c r="A2714" s="4">
        <v>2.0210529294000301E+17</v>
      </c>
      <c r="B2714" s="4">
        <v>6981400667</v>
      </c>
      <c r="C2714" s="4" t="s">
        <v>8544</v>
      </c>
      <c r="D2714" s="4">
        <v>29294</v>
      </c>
      <c r="E2714" s="4">
        <v>20210507</v>
      </c>
      <c r="F2714" s="4">
        <v>20210507</v>
      </c>
      <c r="G2714" s="4">
        <v>20240507</v>
      </c>
      <c r="H2714" s="4" t="s">
        <v>8543</v>
      </c>
      <c r="J2714" s="4" t="s">
        <v>1848</v>
      </c>
    </row>
    <row r="2715" spans="1:10" hidden="1">
      <c r="A2715" s="4">
        <v>2.0210546432000301E+17</v>
      </c>
      <c r="B2715" s="4">
        <v>6400701562</v>
      </c>
      <c r="C2715" s="4" t="s">
        <v>8542</v>
      </c>
      <c r="D2715" s="4">
        <v>46432</v>
      </c>
      <c r="E2715" s="4">
        <v>20210507</v>
      </c>
      <c r="F2715" s="4">
        <v>20210507</v>
      </c>
      <c r="G2715" s="4">
        <v>20240507</v>
      </c>
      <c r="H2715" s="4" t="s">
        <v>8541</v>
      </c>
      <c r="J2715" s="4" t="s">
        <v>414</v>
      </c>
    </row>
    <row r="2716" spans="1:10" hidden="1">
      <c r="A2716" s="4">
        <v>2.0210542491000301E+17</v>
      </c>
      <c r="B2716" s="4">
        <v>7648701685</v>
      </c>
      <c r="C2716" s="4" t="s">
        <v>8575</v>
      </c>
      <c r="D2716" s="4">
        <v>42491</v>
      </c>
      <c r="E2716" s="4">
        <v>20210507</v>
      </c>
      <c r="F2716" s="4">
        <v>20210507</v>
      </c>
      <c r="G2716" s="4">
        <v>20240507</v>
      </c>
      <c r="H2716" s="4" t="s">
        <v>8574</v>
      </c>
      <c r="J2716" s="4" t="s">
        <v>883</v>
      </c>
    </row>
    <row r="2717" spans="1:10" hidden="1">
      <c r="A2717" s="4">
        <v>2.0210507290000301E+17</v>
      </c>
      <c r="B2717" s="4">
        <v>5978100522</v>
      </c>
      <c r="C2717" s="4" t="s">
        <v>8538</v>
      </c>
      <c r="D2717" s="4">
        <v>7290</v>
      </c>
      <c r="E2717" s="4">
        <v>20210507</v>
      </c>
      <c r="F2717" s="4">
        <v>20210507</v>
      </c>
      <c r="G2717" s="4">
        <v>20231017</v>
      </c>
      <c r="H2717" s="4" t="s">
        <v>8537</v>
      </c>
      <c r="J2717" s="4" t="s">
        <v>8536</v>
      </c>
    </row>
    <row r="2718" spans="1:10" hidden="1">
      <c r="A2718" s="4">
        <v>2.0210558222000301E+17</v>
      </c>
      <c r="B2718" s="4">
        <v>6898800209</v>
      </c>
      <c r="C2718" s="4" t="s">
        <v>8535</v>
      </c>
      <c r="D2718" s="4">
        <v>58222</v>
      </c>
      <c r="E2718" s="4">
        <v>20210507</v>
      </c>
      <c r="F2718" s="4">
        <v>20210507</v>
      </c>
      <c r="G2718" s="4">
        <v>20230126</v>
      </c>
      <c r="H2718" s="4" t="s">
        <v>4101</v>
      </c>
      <c r="J2718" s="4" t="s">
        <v>94</v>
      </c>
    </row>
    <row r="2719" spans="1:10" hidden="1">
      <c r="A2719" s="4">
        <v>2.0210529199000301E+17</v>
      </c>
      <c r="B2719" s="4">
        <v>1568101015</v>
      </c>
      <c r="C2719" s="4" t="s">
        <v>8534</v>
      </c>
      <c r="D2719" s="4">
        <v>29199</v>
      </c>
      <c r="E2719" s="4">
        <v>20210507</v>
      </c>
      <c r="F2719" s="4">
        <v>20210507</v>
      </c>
      <c r="G2719" s="4">
        <v>20240507</v>
      </c>
      <c r="H2719" s="4" t="s">
        <v>8533</v>
      </c>
      <c r="I2719" s="4" t="s">
        <v>8532</v>
      </c>
      <c r="J2719" s="4" t="s">
        <v>166</v>
      </c>
    </row>
    <row r="2720" spans="1:10" hidden="1">
      <c r="A2720" s="4">
        <v>2.0210546595000301E+17</v>
      </c>
      <c r="B2720" s="4">
        <v>1618800846</v>
      </c>
      <c r="C2720" s="4" t="s">
        <v>8531</v>
      </c>
      <c r="D2720" s="4">
        <v>46595</v>
      </c>
      <c r="E2720" s="4">
        <v>20210507</v>
      </c>
      <c r="F2720" s="4">
        <v>20210507</v>
      </c>
      <c r="G2720" s="4">
        <v>20240507</v>
      </c>
      <c r="H2720" s="4" t="s">
        <v>5301</v>
      </c>
      <c r="I2720" s="4" t="s">
        <v>3923</v>
      </c>
      <c r="J2720" s="4" t="s">
        <v>960</v>
      </c>
    </row>
    <row r="2721" spans="1:10" hidden="1">
      <c r="A2721" s="4">
        <v>2.0210528909000301E+17</v>
      </c>
      <c r="B2721" s="4">
        <v>6858601425</v>
      </c>
      <c r="C2721" s="4" t="s">
        <v>8530</v>
      </c>
      <c r="D2721" s="4">
        <v>28909</v>
      </c>
      <c r="E2721" s="4">
        <v>20210507</v>
      </c>
      <c r="F2721" s="4">
        <v>20210507</v>
      </c>
      <c r="G2721" s="4">
        <v>20240507</v>
      </c>
      <c r="H2721" s="4" t="s">
        <v>8529</v>
      </c>
      <c r="I2721" s="4" t="s">
        <v>8528</v>
      </c>
      <c r="J2721" s="4" t="s">
        <v>253</v>
      </c>
    </row>
    <row r="2722" spans="1:10" hidden="1">
      <c r="A2722" s="4">
        <v>2.0210542110000301E+17</v>
      </c>
      <c r="B2722" s="4">
        <v>5837300305</v>
      </c>
      <c r="C2722" s="4" t="s">
        <v>8527</v>
      </c>
      <c r="D2722" s="4">
        <v>42110</v>
      </c>
      <c r="E2722" s="4">
        <v>20210507</v>
      </c>
      <c r="F2722" s="4">
        <v>20210507</v>
      </c>
      <c r="G2722" s="4">
        <v>20240507</v>
      </c>
      <c r="H2722" s="4" t="s">
        <v>8526</v>
      </c>
      <c r="J2722" s="4" t="s">
        <v>8525</v>
      </c>
    </row>
    <row r="2723" spans="1:10" hidden="1">
      <c r="A2723" s="4">
        <v>2.0210563991000301E+17</v>
      </c>
      <c r="B2723" s="4">
        <v>8592301069</v>
      </c>
      <c r="C2723" s="4" t="s">
        <v>8524</v>
      </c>
      <c r="D2723" s="4">
        <v>63991</v>
      </c>
      <c r="E2723" s="4">
        <v>20210507</v>
      </c>
      <c r="F2723" s="4">
        <v>20210507</v>
      </c>
      <c r="G2723" s="4">
        <v>20240507</v>
      </c>
      <c r="H2723" s="4" t="s">
        <v>8523</v>
      </c>
      <c r="J2723" s="4" t="s">
        <v>395</v>
      </c>
    </row>
    <row r="2724" spans="1:10" hidden="1">
      <c r="A2724" s="4">
        <v>2.0210528519000301E+17</v>
      </c>
      <c r="B2724" s="4">
        <v>1141650886</v>
      </c>
      <c r="C2724" s="4" t="s">
        <v>8522</v>
      </c>
      <c r="D2724" s="4">
        <v>28519</v>
      </c>
      <c r="E2724" s="4">
        <v>20210507</v>
      </c>
      <c r="F2724" s="4">
        <v>20210507</v>
      </c>
      <c r="G2724" s="4">
        <v>20220105</v>
      </c>
      <c r="H2724" s="4" t="s">
        <v>8521</v>
      </c>
      <c r="I2724" s="4" t="s">
        <v>8520</v>
      </c>
      <c r="J2724" s="4" t="s">
        <v>1412</v>
      </c>
    </row>
    <row r="2725" spans="1:10" hidden="1">
      <c r="A2725" s="4">
        <v>2.0210501121000301E+17</v>
      </c>
      <c r="B2725" s="4">
        <v>6868800613</v>
      </c>
      <c r="C2725" s="4" t="s">
        <v>8565</v>
      </c>
      <c r="D2725" s="4">
        <v>1121</v>
      </c>
      <c r="E2725" s="4">
        <v>20210507</v>
      </c>
      <c r="F2725" s="4">
        <v>20210507</v>
      </c>
      <c r="G2725" s="4">
        <v>20231013</v>
      </c>
      <c r="H2725" s="4" t="s">
        <v>8566</v>
      </c>
      <c r="I2725" s="4" t="s">
        <v>8565</v>
      </c>
      <c r="J2725" s="4" t="s">
        <v>2011</v>
      </c>
    </row>
    <row r="2726" spans="1:10" hidden="1">
      <c r="A2726" s="4">
        <v>2.0210528111000301E+17</v>
      </c>
      <c r="B2726" s="4">
        <v>6988601135</v>
      </c>
      <c r="C2726" s="4" t="s">
        <v>8517</v>
      </c>
      <c r="D2726" s="4">
        <v>28111</v>
      </c>
      <c r="E2726" s="4">
        <v>20210506</v>
      </c>
      <c r="F2726" s="4">
        <v>20210506</v>
      </c>
      <c r="G2726" s="4">
        <v>20240506</v>
      </c>
      <c r="H2726" s="4" t="s">
        <v>8516</v>
      </c>
      <c r="J2726" s="4" t="s">
        <v>1614</v>
      </c>
    </row>
    <row r="2727" spans="1:10" hidden="1">
      <c r="A2727" s="4">
        <v>2.0210522299000301E+17</v>
      </c>
      <c r="B2727" s="4">
        <v>2678700472</v>
      </c>
      <c r="C2727" s="4" t="s">
        <v>8515</v>
      </c>
      <c r="D2727" s="4">
        <v>22299</v>
      </c>
      <c r="E2727" s="4">
        <v>20210506</v>
      </c>
      <c r="F2727" s="4">
        <v>20210506</v>
      </c>
      <c r="G2727" s="4">
        <v>20230909</v>
      </c>
      <c r="H2727" s="4" t="s">
        <v>8514</v>
      </c>
      <c r="I2727" s="4" t="s">
        <v>8513</v>
      </c>
      <c r="J2727" s="4" t="s">
        <v>384</v>
      </c>
    </row>
    <row r="2728" spans="1:10" hidden="1">
      <c r="A2728" s="4">
        <v>2.0210527199000301E+17</v>
      </c>
      <c r="B2728" s="4">
        <v>4788701483</v>
      </c>
      <c r="C2728" s="4" t="s">
        <v>8512</v>
      </c>
      <c r="D2728" s="4">
        <v>27199</v>
      </c>
      <c r="E2728" s="4">
        <v>20210506</v>
      </c>
      <c r="F2728" s="4">
        <v>20210506</v>
      </c>
      <c r="G2728" s="4">
        <v>20240506</v>
      </c>
      <c r="H2728" s="4" t="s">
        <v>8511</v>
      </c>
      <c r="I2728" s="4" t="s">
        <v>8510</v>
      </c>
      <c r="J2728" s="4" t="s">
        <v>418</v>
      </c>
    </row>
    <row r="2729" spans="1:10" hidden="1">
      <c r="A2729" s="4">
        <v>2.0210525112000301E+17</v>
      </c>
      <c r="B2729" s="4">
        <v>7028701300</v>
      </c>
      <c r="C2729" s="4" t="s">
        <v>8509</v>
      </c>
      <c r="D2729" s="4">
        <v>25112</v>
      </c>
      <c r="E2729" s="4">
        <v>20210506</v>
      </c>
      <c r="F2729" s="4">
        <v>20210506</v>
      </c>
      <c r="G2729" s="4">
        <v>20240506</v>
      </c>
      <c r="H2729" s="4" t="s">
        <v>8508</v>
      </c>
      <c r="I2729" s="4" t="s">
        <v>149</v>
      </c>
      <c r="J2729" s="4" t="s">
        <v>320</v>
      </c>
    </row>
    <row r="2730" spans="1:10" hidden="1">
      <c r="A2730" s="4">
        <v>2.0210542411000301E+17</v>
      </c>
      <c r="B2730" s="4">
        <v>5548701680</v>
      </c>
      <c r="C2730" s="4" t="s">
        <v>8507</v>
      </c>
      <c r="D2730" s="4">
        <v>42411</v>
      </c>
      <c r="E2730" s="4">
        <v>20210506</v>
      </c>
      <c r="F2730" s="4">
        <v>20210506</v>
      </c>
      <c r="G2730" s="4">
        <v>20240506</v>
      </c>
      <c r="H2730" s="4" t="s">
        <v>8506</v>
      </c>
      <c r="J2730" s="4" t="s">
        <v>2211</v>
      </c>
    </row>
    <row r="2731" spans="1:10" hidden="1">
      <c r="A2731" s="4">
        <v>2.0210570121000301E+17</v>
      </c>
      <c r="B2731" s="4">
        <v>1798802151</v>
      </c>
      <c r="C2731" s="4" t="s">
        <v>8505</v>
      </c>
      <c r="D2731" s="4">
        <v>70121</v>
      </c>
      <c r="E2731" s="4">
        <v>20210506</v>
      </c>
      <c r="F2731" s="4">
        <v>20210506</v>
      </c>
      <c r="G2731" s="4">
        <v>20240506</v>
      </c>
      <c r="H2731" s="4" t="s">
        <v>8504</v>
      </c>
      <c r="I2731" s="4" t="s">
        <v>185</v>
      </c>
      <c r="J2731" s="4" t="s">
        <v>1267</v>
      </c>
    </row>
    <row r="2732" spans="1:10" hidden="1">
      <c r="A2732" s="4">
        <v>2.0210563991000301E+17</v>
      </c>
      <c r="B2732" s="4">
        <v>5098601607</v>
      </c>
      <c r="C2732" s="4" t="s">
        <v>8503</v>
      </c>
      <c r="D2732" s="4">
        <v>63991</v>
      </c>
      <c r="E2732" s="4">
        <v>20210506</v>
      </c>
      <c r="F2732" s="4">
        <v>20210506</v>
      </c>
      <c r="G2732" s="4">
        <v>20240506</v>
      </c>
      <c r="H2732" s="4" t="s">
        <v>2477</v>
      </c>
      <c r="I2732" s="4" t="s">
        <v>8502</v>
      </c>
      <c r="J2732" s="4" t="s">
        <v>395</v>
      </c>
    </row>
    <row r="2733" spans="1:10" hidden="1">
      <c r="A2733" s="4">
        <v>2.0210529172000301E+17</v>
      </c>
      <c r="B2733" s="4">
        <v>7838601409</v>
      </c>
      <c r="C2733" s="4" t="s">
        <v>8501</v>
      </c>
      <c r="D2733" s="4">
        <v>29172</v>
      </c>
      <c r="E2733" s="4">
        <v>20210506</v>
      </c>
      <c r="F2733" s="4">
        <v>20210506</v>
      </c>
      <c r="G2733" s="4">
        <v>20240506</v>
      </c>
      <c r="H2733" s="4" t="s">
        <v>8500</v>
      </c>
      <c r="I2733" s="4" t="s">
        <v>8499</v>
      </c>
      <c r="J2733" s="4" t="s">
        <v>1204</v>
      </c>
    </row>
    <row r="2734" spans="1:10" hidden="1">
      <c r="A2734" s="4">
        <v>2.0210528111000301E+17</v>
      </c>
      <c r="B2734" s="4">
        <v>1168194888</v>
      </c>
      <c r="C2734" s="4" t="s">
        <v>8498</v>
      </c>
      <c r="D2734" s="4">
        <v>28111</v>
      </c>
      <c r="E2734" s="4">
        <v>20210506</v>
      </c>
      <c r="F2734" s="4">
        <v>20210506</v>
      </c>
      <c r="G2734" s="4">
        <v>20231109</v>
      </c>
      <c r="H2734" s="4" t="s">
        <v>8497</v>
      </c>
      <c r="J2734" s="4" t="s">
        <v>1614</v>
      </c>
    </row>
    <row r="2735" spans="1:10" hidden="1">
      <c r="A2735" s="4">
        <v>2.0210520312000301E+17</v>
      </c>
      <c r="B2735" s="4">
        <v>2488701602</v>
      </c>
      <c r="C2735" s="4" t="s">
        <v>8496</v>
      </c>
      <c r="D2735" s="4">
        <v>20312</v>
      </c>
      <c r="E2735" s="4">
        <v>20210506</v>
      </c>
      <c r="F2735" s="4">
        <v>20210506</v>
      </c>
      <c r="G2735" s="4">
        <v>20240506</v>
      </c>
      <c r="H2735" s="4" t="s">
        <v>8495</v>
      </c>
      <c r="J2735" s="4" t="s">
        <v>1167</v>
      </c>
    </row>
    <row r="2736" spans="1:10" hidden="1">
      <c r="A2736" s="4">
        <v>2.0210547311000301E+17</v>
      </c>
      <c r="B2736" s="4">
        <v>8991700811</v>
      </c>
      <c r="C2736" s="4" t="s">
        <v>8494</v>
      </c>
      <c r="D2736" s="4">
        <v>47311</v>
      </c>
      <c r="E2736" s="4">
        <v>20210506</v>
      </c>
      <c r="F2736" s="4">
        <v>20210506</v>
      </c>
      <c r="G2736" s="4">
        <v>20240506</v>
      </c>
      <c r="H2736" s="4" t="s">
        <v>8493</v>
      </c>
      <c r="J2736" s="4" t="s">
        <v>588</v>
      </c>
    </row>
    <row r="2737" spans="1:10" hidden="1">
      <c r="A2737" s="4">
        <v>2.0210513402000301E+17</v>
      </c>
      <c r="B2737" s="4">
        <v>7413400315</v>
      </c>
      <c r="C2737" s="4" t="s">
        <v>8492</v>
      </c>
      <c r="D2737" s="4">
        <v>13402</v>
      </c>
      <c r="E2737" s="4">
        <v>20210506</v>
      </c>
      <c r="F2737" s="4">
        <v>20210506</v>
      </c>
      <c r="G2737" s="4">
        <v>20240201</v>
      </c>
      <c r="H2737" s="4" t="s">
        <v>8491</v>
      </c>
      <c r="I2737" s="4" t="s">
        <v>8490</v>
      </c>
      <c r="J2737" s="4" t="s">
        <v>5023</v>
      </c>
    </row>
    <row r="2738" spans="1:10" hidden="1">
      <c r="A2738" s="4">
        <v>2.0210523325000301E+17</v>
      </c>
      <c r="B2738" s="4">
        <v>2708701327</v>
      </c>
      <c r="C2738" s="4" t="s">
        <v>8489</v>
      </c>
      <c r="D2738" s="4">
        <v>23325</v>
      </c>
      <c r="E2738" s="4">
        <v>20210506</v>
      </c>
      <c r="F2738" s="4">
        <v>20210506</v>
      </c>
      <c r="G2738" s="4">
        <v>20240506</v>
      </c>
      <c r="H2738" s="4" t="s">
        <v>8488</v>
      </c>
      <c r="J2738" s="4" t="s">
        <v>2588</v>
      </c>
    </row>
    <row r="2739" spans="1:10" hidden="1">
      <c r="A2739" s="4">
        <v>2.0210542492000301E+17</v>
      </c>
      <c r="B2739" s="4">
        <v>1298694462</v>
      </c>
      <c r="C2739" s="4" t="s">
        <v>8540</v>
      </c>
      <c r="D2739" s="4">
        <v>42492</v>
      </c>
      <c r="E2739" s="4">
        <v>20210507</v>
      </c>
      <c r="F2739" s="4">
        <v>20210507</v>
      </c>
      <c r="G2739" s="4">
        <v>20240507</v>
      </c>
      <c r="H2739" s="4" t="s">
        <v>8539</v>
      </c>
      <c r="J2739" s="4" t="s">
        <v>3977</v>
      </c>
    </row>
    <row r="2740" spans="1:10" hidden="1">
      <c r="A2740" s="4">
        <v>2.0210558222000301E+17</v>
      </c>
      <c r="B2740" s="4">
        <v>2448100481</v>
      </c>
      <c r="C2740" s="4" t="s">
        <v>8485</v>
      </c>
      <c r="D2740" s="4">
        <v>58222</v>
      </c>
      <c r="E2740" s="4">
        <v>20210506</v>
      </c>
      <c r="F2740" s="4">
        <v>20210506</v>
      </c>
      <c r="G2740" s="4">
        <v>20230623</v>
      </c>
      <c r="H2740" s="4" t="s">
        <v>1525</v>
      </c>
      <c r="I2740" s="4" t="s">
        <v>8484</v>
      </c>
      <c r="J2740" s="4" t="s">
        <v>94</v>
      </c>
    </row>
    <row r="2741" spans="1:10" hidden="1">
      <c r="A2741" s="4">
        <v>2.0210558222000301E+17</v>
      </c>
      <c r="B2741" s="4">
        <v>7076400438</v>
      </c>
      <c r="C2741" s="4" t="s">
        <v>8483</v>
      </c>
      <c r="D2741" s="4">
        <v>58222</v>
      </c>
      <c r="E2741" s="4">
        <v>20210506</v>
      </c>
      <c r="F2741" s="4">
        <v>20210506</v>
      </c>
      <c r="G2741" s="4">
        <v>20240506</v>
      </c>
      <c r="H2741" s="4" t="s">
        <v>3256</v>
      </c>
      <c r="I2741" s="4" t="s">
        <v>8482</v>
      </c>
      <c r="J2741" s="4" t="s">
        <v>94</v>
      </c>
    </row>
    <row r="2742" spans="1:10" hidden="1">
      <c r="A2742" s="4">
        <v>2.0210549301000301E+17</v>
      </c>
      <c r="B2742" s="4">
        <v>8088200109</v>
      </c>
      <c r="C2742" s="4" t="s">
        <v>8481</v>
      </c>
      <c r="D2742" s="4">
        <v>49301</v>
      </c>
      <c r="E2742" s="4">
        <v>20210506</v>
      </c>
      <c r="F2742" s="4">
        <v>20210506</v>
      </c>
      <c r="G2742" s="4">
        <v>20231012</v>
      </c>
      <c r="H2742" s="4" t="s">
        <v>8480</v>
      </c>
      <c r="I2742" s="4" t="s">
        <v>149</v>
      </c>
      <c r="J2742" s="4" t="s">
        <v>8479</v>
      </c>
    </row>
    <row r="2743" spans="1:10" hidden="1">
      <c r="A2743" s="4">
        <v>2.0210528422000301E+17</v>
      </c>
      <c r="B2743" s="4">
        <v>7188200316</v>
      </c>
      <c r="C2743" s="4" t="s">
        <v>8478</v>
      </c>
      <c r="D2743" s="4">
        <v>28422</v>
      </c>
      <c r="E2743" s="4">
        <v>20210506</v>
      </c>
      <c r="F2743" s="4">
        <v>20210506</v>
      </c>
      <c r="G2743" s="4">
        <v>20240506</v>
      </c>
      <c r="H2743" s="4" t="s">
        <v>7677</v>
      </c>
      <c r="I2743" s="4" t="s">
        <v>8477</v>
      </c>
      <c r="J2743" s="4" t="s">
        <v>188</v>
      </c>
    </row>
    <row r="2744" spans="1:10" hidden="1">
      <c r="A2744" s="4">
        <v>2.0210510795000301E+17</v>
      </c>
      <c r="B2744" s="4">
        <v>6998600707</v>
      </c>
      <c r="C2744" s="4" t="s">
        <v>8476</v>
      </c>
      <c r="D2744" s="4">
        <v>10795</v>
      </c>
      <c r="E2744" s="4">
        <v>20210506</v>
      </c>
      <c r="F2744" s="4">
        <v>20210506</v>
      </c>
      <c r="G2744" s="4">
        <v>20231010</v>
      </c>
      <c r="H2744" s="4" t="s">
        <v>8475</v>
      </c>
      <c r="J2744" s="4" t="s">
        <v>851</v>
      </c>
    </row>
    <row r="2745" spans="1:10" hidden="1">
      <c r="A2745" s="4">
        <v>2.0210546595000301E+17</v>
      </c>
      <c r="B2745" s="4">
        <v>4760201743</v>
      </c>
      <c r="C2745" s="4" t="s">
        <v>8474</v>
      </c>
      <c r="D2745" s="4">
        <v>46595</v>
      </c>
      <c r="E2745" s="4">
        <v>20210506</v>
      </c>
      <c r="F2745" s="4">
        <v>20210506</v>
      </c>
      <c r="G2745" s="4">
        <v>20240506</v>
      </c>
      <c r="H2745" s="4" t="s">
        <v>8010</v>
      </c>
      <c r="I2745" s="4" t="s">
        <v>8473</v>
      </c>
      <c r="J2745" s="4" t="s">
        <v>960</v>
      </c>
    </row>
    <row r="2746" spans="1:10" hidden="1">
      <c r="A2746" s="4">
        <v>2.0210528123000301E+17</v>
      </c>
      <c r="B2746" s="4">
        <v>4038183984</v>
      </c>
      <c r="C2746" s="4" t="s">
        <v>8472</v>
      </c>
      <c r="D2746" s="4">
        <v>28123</v>
      </c>
      <c r="E2746" s="4">
        <v>20210506</v>
      </c>
      <c r="F2746" s="4">
        <v>20210506</v>
      </c>
      <c r="G2746" s="4">
        <v>20240506</v>
      </c>
      <c r="H2746" s="4" t="s">
        <v>8471</v>
      </c>
      <c r="J2746" s="4" t="s">
        <v>640</v>
      </c>
    </row>
    <row r="2747" spans="1:10" hidden="1">
      <c r="A2747" s="4">
        <v>2.0210546539000301E+17</v>
      </c>
      <c r="B2747" s="4">
        <v>8875800204</v>
      </c>
      <c r="C2747" s="4" t="s">
        <v>8470</v>
      </c>
      <c r="D2747" s="4">
        <v>46539</v>
      </c>
      <c r="E2747" s="4">
        <v>20210506</v>
      </c>
      <c r="F2747" s="4">
        <v>20210506</v>
      </c>
      <c r="G2747" s="4">
        <v>20240506</v>
      </c>
      <c r="H2747" s="4" t="s">
        <v>8469</v>
      </c>
      <c r="I2747" s="4" t="s">
        <v>8468</v>
      </c>
      <c r="J2747" s="4" t="s">
        <v>3056</v>
      </c>
    </row>
    <row r="2748" spans="1:10" hidden="1">
      <c r="A2748" s="4">
        <v>2.0210526310000301E+17</v>
      </c>
      <c r="B2748" s="4">
        <v>6268802093</v>
      </c>
      <c r="C2748" s="4" t="s">
        <v>8467</v>
      </c>
      <c r="D2748" s="4">
        <v>26310</v>
      </c>
      <c r="E2748" s="4">
        <v>20210506</v>
      </c>
      <c r="F2748" s="4">
        <v>20210506</v>
      </c>
      <c r="G2748" s="4">
        <v>20240506</v>
      </c>
      <c r="H2748" s="4" t="s">
        <v>8466</v>
      </c>
      <c r="I2748" s="4" t="s">
        <v>8465</v>
      </c>
      <c r="J2748" s="4" t="s">
        <v>372</v>
      </c>
    </row>
    <row r="2749" spans="1:10" hidden="1">
      <c r="A2749" s="4">
        <v>2.0210525121000301E+17</v>
      </c>
      <c r="B2749" s="4">
        <v>3918801505</v>
      </c>
      <c r="C2749" s="4" t="s">
        <v>8464</v>
      </c>
      <c r="D2749" s="4">
        <v>25121</v>
      </c>
      <c r="E2749" s="4">
        <v>20210506</v>
      </c>
      <c r="F2749" s="4">
        <v>20210506</v>
      </c>
      <c r="G2749" s="4">
        <v>20240506</v>
      </c>
      <c r="H2749" s="4" t="s">
        <v>8463</v>
      </c>
      <c r="J2749" s="4" t="s">
        <v>8462</v>
      </c>
    </row>
    <row r="2750" spans="1:10" hidden="1">
      <c r="A2750" s="4">
        <v>2.0210513999000301E+17</v>
      </c>
      <c r="B2750" s="4">
        <v>3978700389</v>
      </c>
      <c r="C2750" s="4" t="s">
        <v>8461</v>
      </c>
      <c r="D2750" s="4">
        <v>13999</v>
      </c>
      <c r="E2750" s="4">
        <v>20210506</v>
      </c>
      <c r="F2750" s="4">
        <v>20210506</v>
      </c>
      <c r="G2750" s="4">
        <v>20230622</v>
      </c>
      <c r="H2750" s="4" t="s">
        <v>8460</v>
      </c>
      <c r="J2750" s="4" t="s">
        <v>130</v>
      </c>
    </row>
    <row r="2751" spans="1:10" hidden="1">
      <c r="A2751" s="4">
        <v>2.0210558222000301E+17</v>
      </c>
      <c r="B2751" s="4">
        <v>2548701494</v>
      </c>
      <c r="C2751" s="4" t="s">
        <v>8459</v>
      </c>
      <c r="D2751" s="4">
        <v>58222</v>
      </c>
      <c r="E2751" s="4">
        <v>20210506</v>
      </c>
      <c r="F2751" s="4">
        <v>20210506</v>
      </c>
      <c r="G2751" s="4">
        <v>20240506</v>
      </c>
      <c r="H2751" s="4" t="s">
        <v>8458</v>
      </c>
      <c r="I2751" s="4" t="s">
        <v>8457</v>
      </c>
      <c r="J2751" s="4" t="s">
        <v>94</v>
      </c>
    </row>
    <row r="2752" spans="1:10" hidden="1">
      <c r="A2752" s="4">
        <v>2.0210542311000301E+17</v>
      </c>
      <c r="B2752" s="4">
        <v>3508700658</v>
      </c>
      <c r="C2752" s="4" t="s">
        <v>8456</v>
      </c>
      <c r="D2752" s="4">
        <v>42311</v>
      </c>
      <c r="E2752" s="4">
        <v>20210506</v>
      </c>
      <c r="F2752" s="4">
        <v>20210506</v>
      </c>
      <c r="G2752" s="4">
        <v>20240506</v>
      </c>
      <c r="H2752" s="4" t="s">
        <v>8455</v>
      </c>
      <c r="I2752" s="4" t="s">
        <v>149</v>
      </c>
      <c r="J2752" s="4" t="s">
        <v>718</v>
      </c>
    </row>
    <row r="2753" spans="1:10" hidden="1">
      <c r="A2753" s="4">
        <v>2.0210542311000301E+17</v>
      </c>
      <c r="B2753" s="4">
        <v>4508601834</v>
      </c>
      <c r="C2753" s="4" t="s">
        <v>8454</v>
      </c>
      <c r="D2753" s="4">
        <v>42311</v>
      </c>
      <c r="E2753" s="4">
        <v>20210506</v>
      </c>
      <c r="F2753" s="4">
        <v>20210506</v>
      </c>
      <c r="G2753" s="4">
        <v>20240506</v>
      </c>
      <c r="H2753" s="4" t="s">
        <v>1196</v>
      </c>
      <c r="I2753" s="4" t="s">
        <v>8453</v>
      </c>
      <c r="J2753" s="4" t="s">
        <v>718</v>
      </c>
    </row>
    <row r="2754" spans="1:10" hidden="1">
      <c r="A2754" s="4">
        <v>2.0210558222000301E+17</v>
      </c>
      <c r="B2754" s="4">
        <v>5208601939</v>
      </c>
      <c r="C2754" s="4" t="s">
        <v>8452</v>
      </c>
      <c r="D2754" s="4">
        <v>58222</v>
      </c>
      <c r="E2754" s="4">
        <v>20210506</v>
      </c>
      <c r="F2754" s="4">
        <v>20210506</v>
      </c>
      <c r="G2754" s="4">
        <v>20240506</v>
      </c>
      <c r="H2754" s="4" t="s">
        <v>8451</v>
      </c>
      <c r="I2754" s="4" t="s">
        <v>8450</v>
      </c>
      <c r="J2754" s="4" t="s">
        <v>94</v>
      </c>
    </row>
    <row r="2755" spans="1:10" hidden="1">
      <c r="A2755" s="4">
        <v>2.0210558219000301E+17</v>
      </c>
      <c r="B2755" s="4">
        <v>1708801795</v>
      </c>
      <c r="C2755" s="4" t="s">
        <v>8449</v>
      </c>
      <c r="D2755" s="4">
        <v>58219</v>
      </c>
      <c r="E2755" s="4">
        <v>20210506</v>
      </c>
      <c r="F2755" s="4">
        <v>20210506</v>
      </c>
      <c r="G2755" s="4">
        <v>20240506</v>
      </c>
      <c r="H2755" s="4" t="s">
        <v>8448</v>
      </c>
      <c r="I2755" s="4" t="s">
        <v>8447</v>
      </c>
      <c r="J2755" s="4" t="s">
        <v>7679</v>
      </c>
    </row>
    <row r="2756" spans="1:10" hidden="1">
      <c r="A2756" s="4">
        <v>2.0210542311000301E+17</v>
      </c>
      <c r="B2756" s="4">
        <v>1548101343</v>
      </c>
      <c r="C2756" s="4" t="s">
        <v>8446</v>
      </c>
      <c r="D2756" s="4">
        <v>42311</v>
      </c>
      <c r="E2756" s="4">
        <v>20210506</v>
      </c>
      <c r="F2756" s="4">
        <v>20210506</v>
      </c>
      <c r="G2756" s="4">
        <v>20240506</v>
      </c>
      <c r="H2756" s="4" t="s">
        <v>8445</v>
      </c>
      <c r="J2756" s="4" t="s">
        <v>718</v>
      </c>
    </row>
    <row r="2757" spans="1:10" hidden="1">
      <c r="A2757" s="4">
        <v>2.0210573203000301E+17</v>
      </c>
      <c r="B2757" s="4">
        <v>7958601800</v>
      </c>
      <c r="C2757" s="4" t="s">
        <v>8444</v>
      </c>
      <c r="D2757" s="4">
        <v>73203</v>
      </c>
      <c r="E2757" s="4">
        <v>20210506</v>
      </c>
      <c r="F2757" s="4">
        <v>20210506</v>
      </c>
      <c r="G2757" s="4">
        <v>20240506</v>
      </c>
      <c r="H2757" s="4" t="s">
        <v>8443</v>
      </c>
      <c r="I2757" s="4" t="s">
        <v>91</v>
      </c>
      <c r="J2757" s="4" t="s">
        <v>260</v>
      </c>
    </row>
    <row r="2758" spans="1:10">
      <c r="A2758" s="4">
        <v>2.0210429293000198E+17</v>
      </c>
      <c r="B2758" s="4">
        <v>6018600597</v>
      </c>
      <c r="C2758" s="4" t="s">
        <v>6043</v>
      </c>
      <c r="D2758" s="4">
        <v>29293</v>
      </c>
      <c r="E2758" s="4">
        <v>20210406</v>
      </c>
      <c r="F2758" s="4">
        <v>20210406</v>
      </c>
      <c r="G2758" s="4">
        <v>20231024</v>
      </c>
      <c r="H2758" s="4" t="s">
        <v>3483</v>
      </c>
      <c r="I2758" s="4" t="s">
        <v>6042</v>
      </c>
      <c r="J2758" s="4" t="s">
        <v>4895</v>
      </c>
    </row>
    <row r="2759" spans="1:10" hidden="1">
      <c r="A2759" s="4">
        <v>2.0210533999000301E+17</v>
      </c>
      <c r="B2759" s="4">
        <v>2838801937</v>
      </c>
      <c r="C2759" s="4" t="s">
        <v>8440</v>
      </c>
      <c r="D2759" s="4">
        <v>33999</v>
      </c>
      <c r="E2759" s="4">
        <v>20210506</v>
      </c>
      <c r="F2759" s="4">
        <v>20210506</v>
      </c>
      <c r="G2759" s="4">
        <v>20240506</v>
      </c>
      <c r="H2759" s="4" t="s">
        <v>3263</v>
      </c>
      <c r="I2759" s="4" t="s">
        <v>8439</v>
      </c>
      <c r="J2759" s="4" t="s">
        <v>780</v>
      </c>
    </row>
    <row r="2760" spans="1:10" hidden="1">
      <c r="A2760" s="4">
        <v>2.0210528123000301E+17</v>
      </c>
      <c r="B2760" s="4">
        <v>8958701636</v>
      </c>
      <c r="C2760" s="4" t="s">
        <v>8438</v>
      </c>
      <c r="D2760" s="4">
        <v>28123</v>
      </c>
      <c r="E2760" s="4">
        <v>20210506</v>
      </c>
      <c r="F2760" s="4">
        <v>20210506</v>
      </c>
      <c r="G2760" s="4">
        <v>20240506</v>
      </c>
      <c r="H2760" s="4" t="s">
        <v>1252</v>
      </c>
      <c r="I2760" s="4" t="s">
        <v>8437</v>
      </c>
      <c r="J2760" s="4" t="s">
        <v>640</v>
      </c>
    </row>
    <row r="2761" spans="1:10" hidden="1">
      <c r="A2761" s="4">
        <v>2.0210529294000301E+17</v>
      </c>
      <c r="B2761" s="4">
        <v>6668101318</v>
      </c>
      <c r="C2761" s="4" t="s">
        <v>8519</v>
      </c>
      <c r="D2761" s="4">
        <v>29294</v>
      </c>
      <c r="E2761" s="4">
        <v>20210506</v>
      </c>
      <c r="F2761" s="4">
        <v>20210506</v>
      </c>
      <c r="G2761" s="4">
        <v>20240506</v>
      </c>
      <c r="H2761" s="4" t="s">
        <v>3719</v>
      </c>
      <c r="I2761" s="4" t="s">
        <v>8518</v>
      </c>
      <c r="J2761" s="4" t="s">
        <v>1848</v>
      </c>
    </row>
    <row r="2762" spans="1:10" hidden="1">
      <c r="A2762" s="4">
        <v>2.0210526295000301E+17</v>
      </c>
      <c r="B2762" s="4">
        <v>8408601978</v>
      </c>
      <c r="C2762" s="4" t="s">
        <v>8433</v>
      </c>
      <c r="D2762" s="4">
        <v>26295</v>
      </c>
      <c r="E2762" s="4">
        <v>20210506</v>
      </c>
      <c r="F2762" s="4">
        <v>20210506</v>
      </c>
      <c r="G2762" s="4">
        <v>20240506</v>
      </c>
      <c r="H2762" s="4" t="s">
        <v>8432</v>
      </c>
      <c r="I2762" s="4" t="s">
        <v>8431</v>
      </c>
      <c r="J2762" s="4" t="s">
        <v>174</v>
      </c>
    </row>
    <row r="2763" spans="1:10" hidden="1">
      <c r="A2763" s="4">
        <v>2.0210528429000301E+17</v>
      </c>
      <c r="B2763" s="4">
        <v>4978101838</v>
      </c>
      <c r="C2763" s="4" t="s">
        <v>8430</v>
      </c>
      <c r="D2763" s="4">
        <v>28429</v>
      </c>
      <c r="E2763" s="4">
        <v>20210506</v>
      </c>
      <c r="F2763" s="4">
        <v>20210506</v>
      </c>
      <c r="G2763" s="4">
        <v>20240506</v>
      </c>
      <c r="H2763" s="4" t="s">
        <v>8429</v>
      </c>
      <c r="I2763" s="4" t="s">
        <v>8428</v>
      </c>
      <c r="J2763" s="4" t="s">
        <v>765</v>
      </c>
    </row>
    <row r="2764" spans="1:10" hidden="1">
      <c r="A2764" s="4">
        <v>2.0210525999000301E+17</v>
      </c>
      <c r="B2764" s="4">
        <v>8628701131</v>
      </c>
      <c r="C2764" s="4" t="s">
        <v>8427</v>
      </c>
      <c r="D2764" s="4">
        <v>25999</v>
      </c>
      <c r="E2764" s="4">
        <v>20210506</v>
      </c>
      <c r="F2764" s="4">
        <v>20210506</v>
      </c>
      <c r="G2764" s="4">
        <v>20240506</v>
      </c>
      <c r="H2764" s="4" t="s">
        <v>8426</v>
      </c>
      <c r="J2764" s="4" t="s">
        <v>301</v>
      </c>
    </row>
    <row r="2765" spans="1:10" hidden="1">
      <c r="A2765" s="4">
        <v>2.0210513994000301E+17</v>
      </c>
      <c r="B2765" s="4">
        <v>1848801815</v>
      </c>
      <c r="C2765" s="4" t="s">
        <v>8425</v>
      </c>
      <c r="D2765" s="4">
        <v>13994</v>
      </c>
      <c r="E2765" s="4">
        <v>20210506</v>
      </c>
      <c r="F2765" s="4">
        <v>20210506</v>
      </c>
      <c r="G2765" s="4">
        <v>20240506</v>
      </c>
      <c r="H2765" s="4" t="s">
        <v>1106</v>
      </c>
      <c r="I2765" s="4" t="s">
        <v>8424</v>
      </c>
      <c r="J2765" s="4" t="s">
        <v>6696</v>
      </c>
    </row>
    <row r="2766" spans="1:10" hidden="1">
      <c r="A2766" s="4">
        <v>2.0210528429000301E+17</v>
      </c>
      <c r="B2766" s="4">
        <v>5608601505</v>
      </c>
      <c r="C2766" s="4" t="s">
        <v>8423</v>
      </c>
      <c r="D2766" s="4">
        <v>28429</v>
      </c>
      <c r="E2766" s="4">
        <v>20210506</v>
      </c>
      <c r="F2766" s="4">
        <v>20210506</v>
      </c>
      <c r="G2766" s="4">
        <v>20240506</v>
      </c>
      <c r="H2766" s="4" t="s">
        <v>8422</v>
      </c>
      <c r="I2766" s="4" t="s">
        <v>7652</v>
      </c>
      <c r="J2766" s="4" t="s">
        <v>765</v>
      </c>
    </row>
    <row r="2767" spans="1:10" hidden="1">
      <c r="A2767" s="4">
        <v>2.0210562090000301E+17</v>
      </c>
      <c r="B2767" s="4">
        <v>2598602166</v>
      </c>
      <c r="C2767" s="4" t="s">
        <v>8421</v>
      </c>
      <c r="D2767" s="4">
        <v>62090</v>
      </c>
      <c r="E2767" s="4">
        <v>20210506</v>
      </c>
      <c r="F2767" s="4">
        <v>20210506</v>
      </c>
      <c r="G2767" s="4">
        <v>20240506</v>
      </c>
      <c r="H2767" s="4" t="s">
        <v>8420</v>
      </c>
      <c r="J2767" s="4" t="s">
        <v>2030</v>
      </c>
    </row>
    <row r="2768" spans="1:10" hidden="1">
      <c r="A2768" s="4">
        <v>2.0210542321000301E+17</v>
      </c>
      <c r="B2768" s="4">
        <v>4958602141</v>
      </c>
      <c r="C2768" s="4" t="s">
        <v>8487</v>
      </c>
      <c r="D2768" s="4">
        <v>42321</v>
      </c>
      <c r="E2768" s="4">
        <v>20210506</v>
      </c>
      <c r="F2768" s="4">
        <v>20210506</v>
      </c>
      <c r="G2768" s="4">
        <v>20240506</v>
      </c>
      <c r="H2768" s="4" t="s">
        <v>8486</v>
      </c>
      <c r="J2768" s="4" t="s">
        <v>698</v>
      </c>
    </row>
    <row r="2769" spans="1:10" hidden="1">
      <c r="A2769" s="4">
        <v>2.0210528111000301E+17</v>
      </c>
      <c r="B2769" s="4">
        <v>1838100167</v>
      </c>
      <c r="C2769" s="4" t="s">
        <v>8416</v>
      </c>
      <c r="D2769" s="4">
        <v>28111</v>
      </c>
      <c r="E2769" s="4">
        <v>20210506</v>
      </c>
      <c r="F2769" s="4">
        <v>20210506</v>
      </c>
      <c r="G2769" s="4">
        <v>20220724</v>
      </c>
      <c r="H2769" s="4" t="s">
        <v>8415</v>
      </c>
      <c r="J2769" s="4" t="s">
        <v>1614</v>
      </c>
    </row>
    <row r="2770" spans="1:10" hidden="1">
      <c r="A2770" s="4">
        <v>2.0210558222000301E+17</v>
      </c>
      <c r="B2770" s="4">
        <v>7688801044</v>
      </c>
      <c r="C2770" s="4" t="s">
        <v>8414</v>
      </c>
      <c r="D2770" s="4">
        <v>58222</v>
      </c>
      <c r="E2770" s="4">
        <v>20210506</v>
      </c>
      <c r="F2770" s="4">
        <v>20210506</v>
      </c>
      <c r="G2770" s="4">
        <v>20240506</v>
      </c>
      <c r="H2770" s="4" t="s">
        <v>8413</v>
      </c>
      <c r="I2770" s="4" t="s">
        <v>8412</v>
      </c>
      <c r="J2770" s="4" t="s">
        <v>94</v>
      </c>
    </row>
    <row r="2771" spans="1:10" hidden="1">
      <c r="A2771" s="4">
        <v>2.0210546499000301E+17</v>
      </c>
      <c r="B2771" s="4">
        <v>4678700806</v>
      </c>
      <c r="C2771" s="4" t="s">
        <v>8411</v>
      </c>
      <c r="D2771" s="4">
        <v>46499</v>
      </c>
      <c r="E2771" s="4">
        <v>20210506</v>
      </c>
      <c r="F2771" s="4">
        <v>20210506</v>
      </c>
      <c r="G2771" s="4">
        <v>20240506</v>
      </c>
      <c r="H2771" s="4" t="s">
        <v>8410</v>
      </c>
      <c r="I2771" s="4" t="s">
        <v>8409</v>
      </c>
      <c r="J2771" s="4" t="s">
        <v>184</v>
      </c>
    </row>
    <row r="2772" spans="1:10" hidden="1">
      <c r="A2772" s="4">
        <v>2.0210525994000301E+17</v>
      </c>
      <c r="B2772" s="4">
        <v>2698601543</v>
      </c>
      <c r="C2772" s="4" t="s">
        <v>8408</v>
      </c>
      <c r="D2772" s="4">
        <v>25994</v>
      </c>
      <c r="E2772" s="4">
        <v>20210506</v>
      </c>
      <c r="F2772" s="4">
        <v>20210506</v>
      </c>
      <c r="G2772" s="4">
        <v>20240506</v>
      </c>
      <c r="H2772" s="4" t="s">
        <v>8407</v>
      </c>
      <c r="J2772" s="4" t="s">
        <v>847</v>
      </c>
    </row>
    <row r="2773" spans="1:10" hidden="1">
      <c r="A2773" s="4">
        <v>2.0210562021000301E+17</v>
      </c>
      <c r="B2773" s="4">
        <v>3748801062</v>
      </c>
      <c r="C2773" s="4" t="s">
        <v>8406</v>
      </c>
      <c r="D2773" s="4">
        <v>62021</v>
      </c>
      <c r="E2773" s="4">
        <v>20210506</v>
      </c>
      <c r="F2773" s="4">
        <v>20210506</v>
      </c>
      <c r="G2773" s="4">
        <v>20240506</v>
      </c>
      <c r="H2773" s="4" t="s">
        <v>2510</v>
      </c>
      <c r="I2773" s="4" t="s">
        <v>8405</v>
      </c>
      <c r="J2773" s="4" t="s">
        <v>1505</v>
      </c>
    </row>
    <row r="2774" spans="1:10" hidden="1">
      <c r="A2774" s="4">
        <v>2.0210547599000301E+17</v>
      </c>
      <c r="B2774" s="4">
        <v>4328701755</v>
      </c>
      <c r="C2774" s="4" t="s">
        <v>8404</v>
      </c>
      <c r="D2774" s="4">
        <v>47599</v>
      </c>
      <c r="E2774" s="4">
        <v>20210506</v>
      </c>
      <c r="F2774" s="4">
        <v>20210506</v>
      </c>
      <c r="G2774" s="4">
        <v>20240506</v>
      </c>
      <c r="H2774" s="4" t="s">
        <v>8403</v>
      </c>
      <c r="I2774" s="4" t="s">
        <v>8402</v>
      </c>
      <c r="J2774" s="4" t="s">
        <v>8401</v>
      </c>
    </row>
    <row r="2775" spans="1:10" hidden="1">
      <c r="A2775" s="4">
        <v>2.0210531312000301E+17</v>
      </c>
      <c r="B2775" s="4">
        <v>1408800999</v>
      </c>
      <c r="C2775" s="4" t="s">
        <v>8400</v>
      </c>
      <c r="D2775" s="4">
        <v>31312</v>
      </c>
      <c r="E2775" s="4">
        <v>20210506</v>
      </c>
      <c r="F2775" s="4">
        <v>20210506</v>
      </c>
      <c r="G2775" s="4">
        <v>20240506</v>
      </c>
      <c r="H2775" s="4" t="s">
        <v>8399</v>
      </c>
      <c r="I2775" s="4" t="s">
        <v>8398</v>
      </c>
      <c r="J2775" s="4" t="s">
        <v>748</v>
      </c>
    </row>
    <row r="2776" spans="1:10" hidden="1">
      <c r="A2776" s="4">
        <v>2.0210558221000301E+17</v>
      </c>
      <c r="B2776" s="4">
        <v>4828102117</v>
      </c>
      <c r="C2776" s="4" t="s">
        <v>8397</v>
      </c>
      <c r="D2776" s="4">
        <v>58221</v>
      </c>
      <c r="E2776" s="4">
        <v>20210506</v>
      </c>
      <c r="F2776" s="4">
        <v>20210506</v>
      </c>
      <c r="G2776" s="4">
        <v>20240506</v>
      </c>
      <c r="H2776" s="4" t="s">
        <v>8396</v>
      </c>
      <c r="I2776" s="4" t="s">
        <v>8395</v>
      </c>
      <c r="J2776" s="4" t="s">
        <v>228</v>
      </c>
    </row>
    <row r="2777" spans="1:10" hidden="1">
      <c r="A2777" s="4">
        <v>2.0210559130000301E+17</v>
      </c>
      <c r="B2777" s="4">
        <v>5878700885</v>
      </c>
      <c r="C2777" s="4" t="s">
        <v>8394</v>
      </c>
      <c r="D2777" s="4">
        <v>59130</v>
      </c>
      <c r="E2777" s="4">
        <v>20210506</v>
      </c>
      <c r="F2777" s="4">
        <v>20210506</v>
      </c>
      <c r="G2777" s="4">
        <v>20240506</v>
      </c>
      <c r="H2777" s="4" t="s">
        <v>8393</v>
      </c>
      <c r="I2777" s="4" t="s">
        <v>8392</v>
      </c>
      <c r="J2777" s="4" t="s">
        <v>8391</v>
      </c>
    </row>
    <row r="2778" spans="1:10" hidden="1">
      <c r="A2778" s="4">
        <v>2.0210529199000301E+17</v>
      </c>
      <c r="B2778" s="4">
        <v>6198702142</v>
      </c>
      <c r="C2778" s="4" t="s">
        <v>8390</v>
      </c>
      <c r="D2778" s="4">
        <v>29199</v>
      </c>
      <c r="E2778" s="4">
        <v>20210506</v>
      </c>
      <c r="F2778" s="4">
        <v>20210506</v>
      </c>
      <c r="G2778" s="4">
        <v>20240506</v>
      </c>
      <c r="H2778" s="4" t="s">
        <v>8389</v>
      </c>
      <c r="I2778" s="4" t="s">
        <v>8388</v>
      </c>
      <c r="J2778" s="4" t="s">
        <v>166</v>
      </c>
    </row>
    <row r="2779" spans="1:10" hidden="1">
      <c r="A2779" s="4">
        <v>2.0210525944000301E+17</v>
      </c>
      <c r="B2779" s="4">
        <v>3708800886</v>
      </c>
      <c r="C2779" s="4" t="s">
        <v>8386</v>
      </c>
      <c r="D2779" s="4">
        <v>25944</v>
      </c>
      <c r="E2779" s="4">
        <v>20210506</v>
      </c>
      <c r="F2779" s="4">
        <v>20210506</v>
      </c>
      <c r="G2779" s="4">
        <v>20240506</v>
      </c>
      <c r="H2779" s="4" t="s">
        <v>8387</v>
      </c>
      <c r="I2779" s="4" t="s">
        <v>8386</v>
      </c>
      <c r="J2779" s="4" t="s">
        <v>1334</v>
      </c>
    </row>
    <row r="2780" spans="1:10" hidden="1">
      <c r="A2780" s="4">
        <v>2.0210575310000301E+17</v>
      </c>
      <c r="B2780" s="4">
        <v>8218800249</v>
      </c>
      <c r="C2780" s="4" t="s">
        <v>8385</v>
      </c>
      <c r="D2780" s="4">
        <v>75310</v>
      </c>
      <c r="E2780" s="4">
        <v>20210506</v>
      </c>
      <c r="F2780" s="4">
        <v>20210506</v>
      </c>
      <c r="G2780" s="4">
        <v>20221013</v>
      </c>
      <c r="H2780" s="4" t="s">
        <v>8384</v>
      </c>
      <c r="I2780" s="4" t="s">
        <v>2357</v>
      </c>
      <c r="J2780" s="4" t="s">
        <v>7690</v>
      </c>
    </row>
    <row r="2781" spans="1:10" hidden="1">
      <c r="A2781" s="4">
        <v>2.0210542420000301E+17</v>
      </c>
      <c r="B2781" s="4">
        <v>2578701310</v>
      </c>
      <c r="C2781" s="4" t="s">
        <v>8383</v>
      </c>
      <c r="D2781" s="4">
        <v>42420</v>
      </c>
      <c r="E2781" s="4">
        <v>20210506</v>
      </c>
      <c r="F2781" s="4">
        <v>20210506</v>
      </c>
      <c r="G2781" s="4">
        <v>20240506</v>
      </c>
      <c r="H2781" s="4" t="s">
        <v>8382</v>
      </c>
      <c r="I2781" s="4" t="s">
        <v>6226</v>
      </c>
      <c r="J2781" s="4" t="s">
        <v>1649</v>
      </c>
    </row>
    <row r="2782" spans="1:10" hidden="1">
      <c r="A2782" s="4">
        <v>2.0210531111000301E+17</v>
      </c>
      <c r="B2782" s="4">
        <v>7988600983</v>
      </c>
      <c r="C2782" s="4" t="s">
        <v>8436</v>
      </c>
      <c r="D2782" s="4">
        <v>31111</v>
      </c>
      <c r="E2782" s="4">
        <v>20210506</v>
      </c>
      <c r="F2782" s="4">
        <v>20210506</v>
      </c>
      <c r="G2782" s="4">
        <v>20240506</v>
      </c>
      <c r="H2782" s="4" t="s">
        <v>8435</v>
      </c>
      <c r="J2782" s="4" t="s">
        <v>8434</v>
      </c>
    </row>
    <row r="2783" spans="1:10" hidden="1">
      <c r="A2783" s="4">
        <v>2.0210570111000301E+17</v>
      </c>
      <c r="B2783" s="4">
        <v>2230795114</v>
      </c>
      <c r="C2783" s="4" t="s">
        <v>8379</v>
      </c>
      <c r="D2783" s="4">
        <v>70111</v>
      </c>
      <c r="E2783" s="4">
        <v>20210506</v>
      </c>
      <c r="F2783" s="4">
        <v>20210506</v>
      </c>
      <c r="G2783" s="4">
        <v>20240506</v>
      </c>
      <c r="H2783" s="4" t="s">
        <v>374</v>
      </c>
      <c r="J2783" s="4" t="s">
        <v>399</v>
      </c>
    </row>
    <row r="2784" spans="1:10" hidden="1">
      <c r="A2784" s="4">
        <v>2.0210528429000301E+17</v>
      </c>
      <c r="B2784" s="4">
        <v>8918801247</v>
      </c>
      <c r="C2784" s="4" t="s">
        <v>8378</v>
      </c>
      <c r="D2784" s="4">
        <v>28429</v>
      </c>
      <c r="E2784" s="4">
        <v>20210506</v>
      </c>
      <c r="F2784" s="4">
        <v>20210506</v>
      </c>
      <c r="G2784" s="4">
        <v>20240506</v>
      </c>
      <c r="H2784" s="4" t="s">
        <v>8377</v>
      </c>
      <c r="I2784" s="4" t="s">
        <v>239</v>
      </c>
      <c r="J2784" s="4" t="s">
        <v>765</v>
      </c>
    </row>
    <row r="2785" spans="1:10" hidden="1">
      <c r="A2785" s="4">
        <v>2.0210542311000301E+17</v>
      </c>
      <c r="B2785" s="4">
        <v>6948101287</v>
      </c>
      <c r="C2785" s="4" t="s">
        <v>8376</v>
      </c>
      <c r="D2785" s="4">
        <v>42311</v>
      </c>
      <c r="E2785" s="4">
        <v>20210506</v>
      </c>
      <c r="F2785" s="4">
        <v>20210506</v>
      </c>
      <c r="G2785" s="4">
        <v>20240506</v>
      </c>
      <c r="H2785" s="4" t="s">
        <v>8375</v>
      </c>
      <c r="I2785" s="4" t="s">
        <v>8374</v>
      </c>
      <c r="J2785" s="4" t="s">
        <v>718</v>
      </c>
    </row>
    <row r="2786" spans="1:10" hidden="1">
      <c r="A2786" s="4">
        <v>2.0210586201000301E+17</v>
      </c>
      <c r="B2786" s="4">
        <v>7799601302</v>
      </c>
      <c r="C2786" s="4" t="s">
        <v>8373</v>
      </c>
      <c r="D2786" s="4">
        <v>86201</v>
      </c>
      <c r="E2786" s="4">
        <v>20210506</v>
      </c>
      <c r="F2786" s="4">
        <v>20210506</v>
      </c>
      <c r="G2786" s="4">
        <v>20240506</v>
      </c>
      <c r="H2786" s="4" t="s">
        <v>8372</v>
      </c>
      <c r="I2786" s="4" t="s">
        <v>8371</v>
      </c>
      <c r="J2786" s="4" t="s">
        <v>8134</v>
      </c>
    </row>
    <row r="2787" spans="1:10" hidden="1">
      <c r="A2787" s="4">
        <v>2.0210510799000301E+17</v>
      </c>
      <c r="B2787" s="4">
        <v>8363500245</v>
      </c>
      <c r="C2787" s="4" t="s">
        <v>8370</v>
      </c>
      <c r="D2787" s="4">
        <v>10799</v>
      </c>
      <c r="E2787" s="4">
        <v>20210506</v>
      </c>
      <c r="F2787" s="4">
        <v>20210506</v>
      </c>
      <c r="G2787" s="4">
        <v>20230927</v>
      </c>
      <c r="H2787" s="4" t="s">
        <v>8369</v>
      </c>
      <c r="J2787" s="4" t="s">
        <v>2973</v>
      </c>
    </row>
    <row r="2788" spans="1:10" hidden="1">
      <c r="A2788" s="4">
        <v>2.0210514192000301E+17</v>
      </c>
      <c r="B2788" s="4">
        <v>8202400400</v>
      </c>
      <c r="C2788" s="4" t="s">
        <v>8368</v>
      </c>
      <c r="D2788" s="4">
        <v>14192</v>
      </c>
      <c r="E2788" s="4">
        <v>20210506</v>
      </c>
      <c r="F2788" s="4">
        <v>20210506</v>
      </c>
      <c r="G2788" s="4">
        <v>20240506</v>
      </c>
      <c r="H2788" s="4" t="s">
        <v>8367</v>
      </c>
      <c r="I2788" s="4" t="s">
        <v>1177</v>
      </c>
      <c r="J2788" s="4" t="s">
        <v>4910</v>
      </c>
    </row>
    <row r="2789" spans="1:10" hidden="1">
      <c r="A2789" s="4">
        <v>2.0210558221000301E+17</v>
      </c>
      <c r="B2789" s="4">
        <v>8428101038</v>
      </c>
      <c r="C2789" s="4" t="s">
        <v>8366</v>
      </c>
      <c r="D2789" s="4">
        <v>58221</v>
      </c>
      <c r="E2789" s="4">
        <v>20210506</v>
      </c>
      <c r="F2789" s="4">
        <v>20210506</v>
      </c>
      <c r="G2789" s="4">
        <v>20240506</v>
      </c>
      <c r="H2789" s="4" t="s">
        <v>4888</v>
      </c>
      <c r="I2789" s="4" t="s">
        <v>8365</v>
      </c>
      <c r="J2789" s="4" t="s">
        <v>228</v>
      </c>
    </row>
    <row r="2790" spans="1:10" hidden="1">
      <c r="A2790" s="4">
        <v>2.0210524229000301E+17</v>
      </c>
      <c r="B2790" s="4">
        <v>1038801140</v>
      </c>
      <c r="C2790" s="4" t="s">
        <v>8419</v>
      </c>
      <c r="D2790" s="4">
        <v>24229</v>
      </c>
      <c r="E2790" s="4">
        <v>20210506</v>
      </c>
      <c r="F2790" s="4">
        <v>20210506</v>
      </c>
      <c r="G2790" s="4">
        <v>20240506</v>
      </c>
      <c r="H2790" s="4" t="s">
        <v>8418</v>
      </c>
      <c r="I2790" s="4" t="s">
        <v>149</v>
      </c>
      <c r="J2790" s="4" t="s">
        <v>8417</v>
      </c>
    </row>
    <row r="2791" spans="1:10" hidden="1">
      <c r="A2791" s="4">
        <v>2.0210572111000301E+17</v>
      </c>
      <c r="B2791" s="4">
        <v>2558800554</v>
      </c>
      <c r="C2791" s="4" t="s">
        <v>8360</v>
      </c>
      <c r="D2791" s="4">
        <v>72111</v>
      </c>
      <c r="E2791" s="4">
        <v>20210505</v>
      </c>
      <c r="F2791" s="4">
        <v>20210505</v>
      </c>
      <c r="G2791" s="4">
        <v>20240316</v>
      </c>
      <c r="H2791" s="4" t="s">
        <v>8359</v>
      </c>
      <c r="I2791" s="4" t="s">
        <v>1780</v>
      </c>
      <c r="J2791" s="4" t="s">
        <v>3461</v>
      </c>
    </row>
    <row r="2792" spans="1:10" hidden="1">
      <c r="A2792" s="4">
        <v>2.0210533920000301E+17</v>
      </c>
      <c r="B2792" s="4">
        <v>7818700279</v>
      </c>
      <c r="C2792" s="4" t="s">
        <v>8357</v>
      </c>
      <c r="D2792" s="4">
        <v>33920</v>
      </c>
      <c r="E2792" s="4">
        <v>20210505</v>
      </c>
      <c r="F2792" s="4">
        <v>20210505</v>
      </c>
      <c r="G2792" s="4">
        <v>20230215</v>
      </c>
      <c r="H2792" s="4" t="s">
        <v>8358</v>
      </c>
      <c r="I2792" s="4" t="s">
        <v>8357</v>
      </c>
      <c r="J2792" s="4" t="s">
        <v>5055</v>
      </c>
    </row>
    <row r="2793" spans="1:10" hidden="1">
      <c r="A2793" s="4">
        <v>2.0210510122000301E+17</v>
      </c>
      <c r="B2793" s="4">
        <v>2978700809</v>
      </c>
      <c r="C2793" s="4" t="s">
        <v>8356</v>
      </c>
      <c r="D2793" s="4">
        <v>10122</v>
      </c>
      <c r="E2793" s="4">
        <v>20210505</v>
      </c>
      <c r="F2793" s="4">
        <v>20210505</v>
      </c>
      <c r="G2793" s="4">
        <v>20240505</v>
      </c>
      <c r="H2793" s="4" t="s">
        <v>8355</v>
      </c>
      <c r="I2793" s="4" t="s">
        <v>8354</v>
      </c>
      <c r="J2793" s="4" t="s">
        <v>1361</v>
      </c>
    </row>
    <row r="2794" spans="1:10" hidden="1">
      <c r="A2794" s="4">
        <v>2.0210528123000301E+17</v>
      </c>
      <c r="B2794" s="4">
        <v>1961200473</v>
      </c>
      <c r="C2794" s="4" t="s">
        <v>8353</v>
      </c>
      <c r="D2794" s="4">
        <v>28123</v>
      </c>
      <c r="E2794" s="4">
        <v>20210505</v>
      </c>
      <c r="F2794" s="4">
        <v>20210505</v>
      </c>
      <c r="G2794" s="4">
        <v>20240119</v>
      </c>
      <c r="H2794" s="4" t="s">
        <v>8352</v>
      </c>
      <c r="I2794" s="4" t="s">
        <v>8351</v>
      </c>
      <c r="J2794" s="4" t="s">
        <v>640</v>
      </c>
    </row>
    <row r="2795" spans="1:10" hidden="1">
      <c r="A2795" s="4">
        <v>2.0210525119000301E+17</v>
      </c>
      <c r="B2795" s="4">
        <v>4024314333</v>
      </c>
      <c r="C2795" s="4" t="s">
        <v>8350</v>
      </c>
      <c r="D2795" s="4">
        <v>25119</v>
      </c>
      <c r="E2795" s="4">
        <v>20210505</v>
      </c>
      <c r="F2795" s="4">
        <v>20210505</v>
      </c>
      <c r="G2795" s="4">
        <v>20240505</v>
      </c>
      <c r="H2795" s="4" t="s">
        <v>8349</v>
      </c>
      <c r="J2795" s="4" t="s">
        <v>679</v>
      </c>
    </row>
    <row r="2796" spans="1:10" hidden="1">
      <c r="A2796" s="4">
        <v>2.0210528114000301E+17</v>
      </c>
      <c r="B2796" s="4">
        <v>3562900995</v>
      </c>
      <c r="C2796" s="4" t="s">
        <v>8348</v>
      </c>
      <c r="D2796" s="4">
        <v>28114</v>
      </c>
      <c r="E2796" s="4">
        <v>20210505</v>
      </c>
      <c r="F2796" s="4">
        <v>20210505</v>
      </c>
      <c r="G2796" s="4">
        <v>20240505</v>
      </c>
      <c r="H2796" s="4" t="s">
        <v>3263</v>
      </c>
      <c r="I2796" s="4" t="s">
        <v>8347</v>
      </c>
      <c r="J2796" s="4" t="s">
        <v>2367</v>
      </c>
    </row>
    <row r="2797" spans="1:10" hidden="1">
      <c r="A2797" s="4">
        <v>2.0210514194000301E+17</v>
      </c>
      <c r="B2797" s="4">
        <v>6808701183</v>
      </c>
      <c r="C2797" s="4" t="s">
        <v>8346</v>
      </c>
      <c r="D2797" s="4">
        <v>14194</v>
      </c>
      <c r="E2797" s="4">
        <v>20210505</v>
      </c>
      <c r="F2797" s="4">
        <v>20210505</v>
      </c>
      <c r="G2797" s="4">
        <v>20240505</v>
      </c>
      <c r="H2797" s="4" t="s">
        <v>8345</v>
      </c>
      <c r="I2797" s="4" t="s">
        <v>8344</v>
      </c>
      <c r="J2797" s="4" t="s">
        <v>8343</v>
      </c>
    </row>
    <row r="2798" spans="1:10" hidden="1">
      <c r="A2798" s="4">
        <v>2.0210563120000301E+17</v>
      </c>
      <c r="B2798" s="4">
        <v>4338702330</v>
      </c>
      <c r="C2798" s="4" t="s">
        <v>8342</v>
      </c>
      <c r="D2798" s="4">
        <v>63120</v>
      </c>
      <c r="E2798" s="4">
        <v>20210505</v>
      </c>
      <c r="F2798" s="4">
        <v>20210505</v>
      </c>
      <c r="G2798" s="4">
        <v>20240505</v>
      </c>
      <c r="H2798" s="4" t="s">
        <v>8341</v>
      </c>
      <c r="I2798" s="4" t="s">
        <v>8340</v>
      </c>
      <c r="J2798" s="4" t="s">
        <v>632</v>
      </c>
    </row>
    <row r="2799" spans="1:10" hidden="1">
      <c r="A2799" s="4">
        <v>2.0210529299000301E+17</v>
      </c>
      <c r="B2799" s="4">
        <v>5668800769</v>
      </c>
      <c r="C2799" s="4" t="s">
        <v>8339</v>
      </c>
      <c r="D2799" s="4">
        <v>29299</v>
      </c>
      <c r="E2799" s="4">
        <v>20210505</v>
      </c>
      <c r="F2799" s="4">
        <v>20210505</v>
      </c>
      <c r="G2799" s="4">
        <v>20240505</v>
      </c>
      <c r="H2799" s="4" t="s">
        <v>8338</v>
      </c>
      <c r="I2799" s="4" t="s">
        <v>1403</v>
      </c>
      <c r="J2799" s="4" t="s">
        <v>137</v>
      </c>
    </row>
    <row r="2800" spans="1:10" hidden="1">
      <c r="A2800" s="4">
        <v>2.0210542321000301E+17</v>
      </c>
      <c r="B2800" s="4">
        <v>7608601328</v>
      </c>
      <c r="C2800" s="4" t="s">
        <v>8337</v>
      </c>
      <c r="D2800" s="4">
        <v>42321</v>
      </c>
      <c r="E2800" s="4">
        <v>20210505</v>
      </c>
      <c r="F2800" s="4">
        <v>20210505</v>
      </c>
      <c r="G2800" s="4">
        <v>20240505</v>
      </c>
      <c r="H2800" s="4" t="s">
        <v>2326</v>
      </c>
      <c r="J2800" s="4" t="s">
        <v>698</v>
      </c>
    </row>
    <row r="2801" spans="1:10" hidden="1">
      <c r="A2801" s="4">
        <v>2.0210529172000301E+17</v>
      </c>
      <c r="B2801" s="4">
        <v>1408801154</v>
      </c>
      <c r="C2801" s="4" t="s">
        <v>8336</v>
      </c>
      <c r="D2801" s="4">
        <v>29172</v>
      </c>
      <c r="E2801" s="4">
        <v>20210505</v>
      </c>
      <c r="F2801" s="4">
        <v>20210505</v>
      </c>
      <c r="G2801" s="4">
        <v>20240505</v>
      </c>
      <c r="H2801" s="4" t="s">
        <v>8335</v>
      </c>
      <c r="I2801" s="4" t="s">
        <v>8334</v>
      </c>
      <c r="J2801" s="4" t="s">
        <v>1204</v>
      </c>
    </row>
    <row r="2802" spans="1:10" hidden="1">
      <c r="A2802" s="4">
        <v>2.0210522221000301E+17</v>
      </c>
      <c r="B2802" s="4">
        <v>3048131398</v>
      </c>
      <c r="C2802" s="4" t="s">
        <v>8333</v>
      </c>
      <c r="D2802" s="4">
        <v>22221</v>
      </c>
      <c r="E2802" s="4">
        <v>20210505</v>
      </c>
      <c r="F2802" s="4">
        <v>20210505</v>
      </c>
      <c r="G2802" s="4">
        <v>20211223</v>
      </c>
      <c r="H2802" s="4" t="s">
        <v>8332</v>
      </c>
      <c r="J2802" s="4" t="s">
        <v>5661</v>
      </c>
    </row>
    <row r="2803" spans="1:10" hidden="1">
      <c r="A2803" s="4">
        <v>2.0210529210000301E+17</v>
      </c>
      <c r="B2803" s="4">
        <v>5168701602</v>
      </c>
      <c r="C2803" s="4" t="s">
        <v>8331</v>
      </c>
      <c r="D2803" s="4">
        <v>29210</v>
      </c>
      <c r="E2803" s="4">
        <v>20210505</v>
      </c>
      <c r="F2803" s="4">
        <v>20210505</v>
      </c>
      <c r="G2803" s="4">
        <v>20240505</v>
      </c>
      <c r="H2803" s="4" t="s">
        <v>8330</v>
      </c>
      <c r="J2803" s="4" t="s">
        <v>1274</v>
      </c>
    </row>
    <row r="2804" spans="1:10" hidden="1">
      <c r="A2804" s="4">
        <v>2.0210558222000301E+17</v>
      </c>
      <c r="B2804" s="4">
        <v>1018701282</v>
      </c>
      <c r="C2804" s="4" t="s">
        <v>8329</v>
      </c>
      <c r="D2804" s="4">
        <v>58222</v>
      </c>
      <c r="E2804" s="4">
        <v>20210505</v>
      </c>
      <c r="F2804" s="4">
        <v>20210505</v>
      </c>
      <c r="G2804" s="4">
        <v>20220129</v>
      </c>
      <c r="H2804" s="4" t="s">
        <v>8328</v>
      </c>
      <c r="I2804" s="4" t="s">
        <v>8327</v>
      </c>
      <c r="J2804" s="4" t="s">
        <v>94</v>
      </c>
    </row>
    <row r="2805" spans="1:10" hidden="1">
      <c r="A2805" s="4">
        <v>2.0210542412000301E+17</v>
      </c>
      <c r="B2805" s="4">
        <v>2748601870</v>
      </c>
      <c r="C2805" s="4" t="s">
        <v>8326</v>
      </c>
      <c r="D2805" s="4">
        <v>42412</v>
      </c>
      <c r="E2805" s="4">
        <v>20210505</v>
      </c>
      <c r="F2805" s="4">
        <v>20210505</v>
      </c>
      <c r="G2805" s="4">
        <v>20240505</v>
      </c>
      <c r="H2805" s="4" t="s">
        <v>8325</v>
      </c>
      <c r="I2805" s="4" t="s">
        <v>8324</v>
      </c>
      <c r="J2805" s="4" t="s">
        <v>281</v>
      </c>
    </row>
    <row r="2806" spans="1:10" hidden="1">
      <c r="A2806" s="4">
        <v>2.0210529142000301E+17</v>
      </c>
      <c r="B2806" s="4">
        <v>1736500345</v>
      </c>
      <c r="C2806" s="4" t="s">
        <v>8323</v>
      </c>
      <c r="D2806" s="4">
        <v>29142</v>
      </c>
      <c r="E2806" s="4">
        <v>20210505</v>
      </c>
      <c r="F2806" s="4">
        <v>20210505</v>
      </c>
      <c r="G2806" s="4">
        <v>20240505</v>
      </c>
      <c r="H2806" s="4" t="s">
        <v>407</v>
      </c>
      <c r="I2806" s="4" t="s">
        <v>8322</v>
      </c>
      <c r="J2806" s="4" t="s">
        <v>8321</v>
      </c>
    </row>
    <row r="2807" spans="1:10" hidden="1">
      <c r="A2807" s="4">
        <v>2.0210522299000301E+17</v>
      </c>
      <c r="B2807" s="4">
        <v>3912101119</v>
      </c>
      <c r="C2807" s="4" t="s">
        <v>8320</v>
      </c>
      <c r="D2807" s="4">
        <v>22299</v>
      </c>
      <c r="E2807" s="4">
        <v>20210505</v>
      </c>
      <c r="F2807" s="4">
        <v>20210505</v>
      </c>
      <c r="G2807" s="4">
        <v>20240505</v>
      </c>
      <c r="H2807" s="4" t="s">
        <v>4970</v>
      </c>
      <c r="I2807" s="4" t="s">
        <v>8319</v>
      </c>
      <c r="J2807" s="4" t="s">
        <v>384</v>
      </c>
    </row>
    <row r="2808" spans="1:10" hidden="1">
      <c r="A2808" s="4">
        <v>2.0210558222000301E+17</v>
      </c>
      <c r="B2808" s="4">
        <v>3808600045</v>
      </c>
      <c r="C2808" s="4" t="s">
        <v>8318</v>
      </c>
      <c r="D2808" s="4">
        <v>58222</v>
      </c>
      <c r="E2808" s="4">
        <v>20210504</v>
      </c>
      <c r="F2808" s="4">
        <v>20210504</v>
      </c>
      <c r="G2808" s="4">
        <v>20220303</v>
      </c>
      <c r="H2808" s="4" t="s">
        <v>8317</v>
      </c>
      <c r="I2808" s="4" t="s">
        <v>8316</v>
      </c>
      <c r="J2808" s="4" t="s">
        <v>94</v>
      </c>
    </row>
    <row r="2809" spans="1:10" hidden="1">
      <c r="A2809" s="4">
        <v>2.0210528423000301E+17</v>
      </c>
      <c r="B2809" s="4">
        <v>3148661220</v>
      </c>
      <c r="C2809" s="4" t="s">
        <v>8315</v>
      </c>
      <c r="D2809" s="4">
        <v>28423</v>
      </c>
      <c r="E2809" s="4">
        <v>20210504</v>
      </c>
      <c r="F2809" s="4">
        <v>20210504</v>
      </c>
      <c r="G2809" s="4">
        <v>20210825</v>
      </c>
      <c r="H2809" s="4" t="s">
        <v>8314</v>
      </c>
      <c r="I2809" s="4" t="s">
        <v>8313</v>
      </c>
      <c r="J2809" s="4" t="s">
        <v>485</v>
      </c>
    </row>
    <row r="2810" spans="1:10" hidden="1">
      <c r="A2810" s="4">
        <v>2.0210563991000301E+17</v>
      </c>
      <c r="B2810" s="4">
        <v>6938701082</v>
      </c>
      <c r="C2810" s="4" t="s">
        <v>8312</v>
      </c>
      <c r="D2810" s="4">
        <v>63991</v>
      </c>
      <c r="E2810" s="4">
        <v>20210504</v>
      </c>
      <c r="F2810" s="4">
        <v>20210504</v>
      </c>
      <c r="G2810" s="4">
        <v>20240504</v>
      </c>
      <c r="H2810" s="4" t="s">
        <v>8311</v>
      </c>
      <c r="I2810" s="4" t="s">
        <v>185</v>
      </c>
      <c r="J2810" s="4" t="s">
        <v>395</v>
      </c>
    </row>
    <row r="2811" spans="1:10" hidden="1">
      <c r="A2811" s="4">
        <v>2.0210528909000301E+17</v>
      </c>
      <c r="B2811" s="4">
        <v>6118700363</v>
      </c>
      <c r="C2811" s="4" t="s">
        <v>8310</v>
      </c>
      <c r="D2811" s="4">
        <v>28909</v>
      </c>
      <c r="E2811" s="4">
        <v>20210504</v>
      </c>
      <c r="F2811" s="4">
        <v>20210504</v>
      </c>
      <c r="G2811" s="4">
        <v>20230317</v>
      </c>
      <c r="H2811" s="4" t="s">
        <v>8309</v>
      </c>
      <c r="J2811" s="4" t="s">
        <v>253</v>
      </c>
    </row>
    <row r="2812" spans="1:10" hidden="1">
      <c r="A2812" s="4">
        <v>2.0210529174000301E+17</v>
      </c>
      <c r="B2812" s="4">
        <v>8888801542</v>
      </c>
      <c r="C2812" s="4" t="s">
        <v>8308</v>
      </c>
      <c r="D2812" s="4">
        <v>29174</v>
      </c>
      <c r="E2812" s="4">
        <v>20210504</v>
      </c>
      <c r="F2812" s="4">
        <v>20210504</v>
      </c>
      <c r="G2812" s="4">
        <v>20240504</v>
      </c>
      <c r="H2812" s="4" t="s">
        <v>3905</v>
      </c>
      <c r="I2812" s="4" t="s">
        <v>8307</v>
      </c>
      <c r="J2812" s="4" t="s">
        <v>877</v>
      </c>
    </row>
    <row r="2813" spans="1:10" hidden="1">
      <c r="A2813" s="4">
        <v>2.0210571531000301E+17</v>
      </c>
      <c r="B2813" s="4">
        <v>7228101302</v>
      </c>
      <c r="C2813" s="4" t="s">
        <v>8306</v>
      </c>
      <c r="D2813" s="4">
        <v>71531</v>
      </c>
      <c r="E2813" s="4">
        <v>20210504</v>
      </c>
      <c r="F2813" s="4">
        <v>20210504</v>
      </c>
      <c r="G2813" s="4">
        <v>20240504</v>
      </c>
      <c r="H2813" s="4" t="s">
        <v>8305</v>
      </c>
      <c r="I2813" s="4">
        <v>305</v>
      </c>
      <c r="J2813" s="4" t="s">
        <v>87</v>
      </c>
    </row>
    <row r="2814" spans="1:10" hidden="1">
      <c r="A2814" s="4">
        <v>2.0210541229000301E+17</v>
      </c>
      <c r="B2814" s="4">
        <v>8128700952</v>
      </c>
      <c r="C2814" s="4" t="s">
        <v>8381</v>
      </c>
      <c r="D2814" s="4">
        <v>41229</v>
      </c>
      <c r="E2814" s="4">
        <v>20210506</v>
      </c>
      <c r="F2814" s="4">
        <v>20210506</v>
      </c>
      <c r="G2814" s="4">
        <v>20240506</v>
      </c>
      <c r="H2814" s="4" t="s">
        <v>283</v>
      </c>
      <c r="I2814" s="4" t="s">
        <v>8380</v>
      </c>
      <c r="J2814" s="4" t="s">
        <v>5083</v>
      </c>
    </row>
    <row r="2815" spans="1:10" hidden="1">
      <c r="A2815" s="4">
        <v>2.0210529162000301E+17</v>
      </c>
      <c r="B2815" s="4">
        <v>2198700769</v>
      </c>
      <c r="C2815" s="4" t="s">
        <v>8301</v>
      </c>
      <c r="D2815" s="4">
        <v>29162</v>
      </c>
      <c r="E2815" s="4">
        <v>20210504</v>
      </c>
      <c r="F2815" s="4">
        <v>20210504</v>
      </c>
      <c r="G2815" s="4">
        <v>20240504</v>
      </c>
      <c r="H2815" s="4" t="s">
        <v>8300</v>
      </c>
      <c r="I2815" s="4" t="s">
        <v>91</v>
      </c>
      <c r="J2815" s="4" t="s">
        <v>4569</v>
      </c>
    </row>
    <row r="2816" spans="1:10" hidden="1">
      <c r="A2816" s="4">
        <v>2.0210574211000301E+17</v>
      </c>
      <c r="B2816" s="4">
        <v>8651800891</v>
      </c>
      <c r="C2816" s="4" t="s">
        <v>8299</v>
      </c>
      <c r="D2816" s="4">
        <v>74211</v>
      </c>
      <c r="E2816" s="4">
        <v>20210504</v>
      </c>
      <c r="F2816" s="4">
        <v>20210504</v>
      </c>
      <c r="G2816" s="4">
        <v>20240504</v>
      </c>
      <c r="H2816" s="4" t="s">
        <v>8298</v>
      </c>
      <c r="J2816" s="4" t="s">
        <v>5576</v>
      </c>
    </row>
    <row r="2817" spans="1:10" hidden="1">
      <c r="A2817" s="4">
        <v>2.0210542321000301E+17</v>
      </c>
      <c r="B2817" s="4">
        <v>7918101555</v>
      </c>
      <c r="C2817" s="4" t="s">
        <v>8297</v>
      </c>
      <c r="D2817" s="4">
        <v>42321</v>
      </c>
      <c r="E2817" s="4">
        <v>20210504</v>
      </c>
      <c r="F2817" s="4">
        <v>20210504</v>
      </c>
      <c r="G2817" s="4">
        <v>20240504</v>
      </c>
      <c r="H2817" s="4" t="s">
        <v>3627</v>
      </c>
      <c r="I2817" s="4" t="s">
        <v>4215</v>
      </c>
      <c r="J2817" s="4" t="s">
        <v>698</v>
      </c>
    </row>
    <row r="2818" spans="1:10" hidden="1">
      <c r="A2818" s="4">
        <v>2.0210520422000301E+17</v>
      </c>
      <c r="B2818" s="4">
        <v>2261662351</v>
      </c>
      <c r="C2818" s="4" t="s">
        <v>8296</v>
      </c>
      <c r="D2818" s="4">
        <v>20422</v>
      </c>
      <c r="E2818" s="4">
        <v>20210504</v>
      </c>
      <c r="F2818" s="4">
        <v>20210504</v>
      </c>
      <c r="G2818" s="4">
        <v>20240504</v>
      </c>
      <c r="H2818" s="4" t="s">
        <v>8295</v>
      </c>
      <c r="I2818" s="4" t="s">
        <v>2362</v>
      </c>
      <c r="J2818" s="4" t="s">
        <v>392</v>
      </c>
    </row>
    <row r="2819" spans="1:10" hidden="1">
      <c r="A2819" s="4">
        <v>2.0210547611000301E+17</v>
      </c>
      <c r="B2819" s="4">
        <v>4546600222</v>
      </c>
      <c r="C2819" s="4" t="s">
        <v>8294</v>
      </c>
      <c r="D2819" s="4">
        <v>47611</v>
      </c>
      <c r="E2819" s="4">
        <v>20210504</v>
      </c>
      <c r="F2819" s="4">
        <v>20210504</v>
      </c>
      <c r="G2819" s="4">
        <v>20240504</v>
      </c>
      <c r="H2819" s="4" t="s">
        <v>8293</v>
      </c>
      <c r="I2819" s="4" t="s">
        <v>938</v>
      </c>
      <c r="J2819" s="4" t="s">
        <v>4252</v>
      </c>
    </row>
    <row r="2820" spans="1:10" hidden="1">
      <c r="A2820" s="4">
        <v>2.0210547912000301E+17</v>
      </c>
      <c r="B2820" s="4">
        <v>5065600261</v>
      </c>
      <c r="C2820" s="4" t="s">
        <v>8292</v>
      </c>
      <c r="D2820" s="4">
        <v>47912</v>
      </c>
      <c r="E2820" s="4">
        <v>20210504</v>
      </c>
      <c r="F2820" s="4">
        <v>20210504</v>
      </c>
      <c r="G2820" s="4">
        <v>20240504</v>
      </c>
      <c r="H2820" s="4" t="s">
        <v>8291</v>
      </c>
      <c r="I2820" s="4" t="s">
        <v>8290</v>
      </c>
      <c r="J2820" s="4" t="s">
        <v>78</v>
      </c>
    </row>
    <row r="2821" spans="1:10" hidden="1">
      <c r="A2821" s="4">
        <v>2.0210524131000301E+17</v>
      </c>
      <c r="B2821" s="4">
        <v>2628801774</v>
      </c>
      <c r="C2821" s="4" t="s">
        <v>8289</v>
      </c>
      <c r="D2821" s="4">
        <v>24131</v>
      </c>
      <c r="E2821" s="4">
        <v>20210504</v>
      </c>
      <c r="F2821" s="4">
        <v>20210504</v>
      </c>
      <c r="G2821" s="4">
        <v>20240504</v>
      </c>
      <c r="H2821" s="4" t="s">
        <v>8288</v>
      </c>
      <c r="I2821" s="4" t="s">
        <v>8287</v>
      </c>
      <c r="J2821" s="4" t="s">
        <v>2938</v>
      </c>
    </row>
    <row r="2822" spans="1:10" hidden="1">
      <c r="A2822" s="4">
        <v>2.0210517902000301E+17</v>
      </c>
      <c r="B2822" s="4">
        <v>5628200222</v>
      </c>
      <c r="C2822" s="4" t="s">
        <v>8286</v>
      </c>
      <c r="D2822" s="4">
        <v>17902</v>
      </c>
      <c r="E2822" s="4">
        <v>20210504</v>
      </c>
      <c r="F2822" s="4">
        <v>20210504</v>
      </c>
      <c r="G2822" s="4">
        <v>20240504</v>
      </c>
      <c r="H2822" s="4" t="s">
        <v>7971</v>
      </c>
      <c r="I2822" s="4" t="s">
        <v>8285</v>
      </c>
      <c r="J2822" s="4" t="s">
        <v>6653</v>
      </c>
    </row>
    <row r="2823" spans="1:10" hidden="1">
      <c r="A2823" s="4">
        <v>2.0210501110000301E+17</v>
      </c>
      <c r="B2823" s="4">
        <v>1518702118</v>
      </c>
      <c r="C2823" s="4" t="s">
        <v>8364</v>
      </c>
      <c r="D2823" s="4">
        <v>1110</v>
      </c>
      <c r="E2823" s="4">
        <v>20210505</v>
      </c>
      <c r="F2823" s="4">
        <v>20210505</v>
      </c>
      <c r="G2823" s="4">
        <v>20240505</v>
      </c>
      <c r="H2823" s="4" t="s">
        <v>8363</v>
      </c>
      <c r="I2823" s="4" t="s">
        <v>8362</v>
      </c>
      <c r="J2823" s="4" t="s">
        <v>8361</v>
      </c>
    </row>
    <row r="2824" spans="1:10" hidden="1">
      <c r="A2824" s="4">
        <v>2.0210541119000301E+17</v>
      </c>
      <c r="B2824" s="4">
        <v>7178801328</v>
      </c>
      <c r="C2824" s="4" t="s">
        <v>8282</v>
      </c>
      <c r="D2824" s="4">
        <v>41119</v>
      </c>
      <c r="E2824" s="4">
        <v>20210504</v>
      </c>
      <c r="F2824" s="4">
        <v>20210504</v>
      </c>
      <c r="G2824" s="4">
        <v>20240504</v>
      </c>
      <c r="H2824" s="4" t="s">
        <v>1880</v>
      </c>
      <c r="I2824" s="4" t="s">
        <v>8281</v>
      </c>
      <c r="J2824" s="4" t="s">
        <v>3371</v>
      </c>
    </row>
    <row r="2825" spans="1:10" hidden="1">
      <c r="A2825" s="4">
        <v>2.0210513229000301E+17</v>
      </c>
      <c r="B2825" s="4">
        <v>1091783010</v>
      </c>
      <c r="C2825" s="4" t="s">
        <v>8280</v>
      </c>
      <c r="D2825" s="4">
        <v>13229</v>
      </c>
      <c r="E2825" s="4">
        <v>20210504</v>
      </c>
      <c r="F2825" s="4">
        <v>20210504</v>
      </c>
      <c r="G2825" s="4">
        <v>20240504</v>
      </c>
      <c r="H2825" s="4" t="s">
        <v>8279</v>
      </c>
      <c r="I2825" s="4" t="s">
        <v>8278</v>
      </c>
      <c r="J2825" s="4" t="s">
        <v>115</v>
      </c>
    </row>
    <row r="2826" spans="1:10" hidden="1">
      <c r="A2826" s="4">
        <v>2.0210531114000301E+17</v>
      </c>
      <c r="B2826" s="4">
        <v>6318101025</v>
      </c>
      <c r="C2826" s="4" t="s">
        <v>8277</v>
      </c>
      <c r="D2826" s="4">
        <v>31114</v>
      </c>
      <c r="E2826" s="4">
        <v>20210504</v>
      </c>
      <c r="F2826" s="4">
        <v>20210504</v>
      </c>
      <c r="G2826" s="4">
        <v>20240504</v>
      </c>
      <c r="H2826" s="4" t="s">
        <v>1867</v>
      </c>
      <c r="J2826" s="4" t="s">
        <v>1070</v>
      </c>
    </row>
    <row r="2827" spans="1:10" hidden="1">
      <c r="A2827" s="4">
        <v>2.0210530399000301E+17</v>
      </c>
      <c r="B2827" s="4">
        <v>6388701824</v>
      </c>
      <c r="C2827" s="4" t="s">
        <v>8276</v>
      </c>
      <c r="D2827" s="4">
        <v>30399</v>
      </c>
      <c r="E2827" s="4">
        <v>20210504</v>
      </c>
      <c r="F2827" s="4">
        <v>20210504</v>
      </c>
      <c r="G2827" s="4">
        <v>20240504</v>
      </c>
      <c r="H2827" s="4" t="s">
        <v>8275</v>
      </c>
      <c r="J2827" s="4" t="s">
        <v>1763</v>
      </c>
    </row>
    <row r="2828" spans="1:10" hidden="1">
      <c r="A2828" s="4">
        <v>2.0210526299000301E+17</v>
      </c>
      <c r="B2828" s="4">
        <v>3773400962</v>
      </c>
      <c r="C2828" s="4" t="s">
        <v>8274</v>
      </c>
      <c r="D2828" s="4">
        <v>26299</v>
      </c>
      <c r="E2828" s="4">
        <v>20210504</v>
      </c>
      <c r="F2828" s="4">
        <v>20210504</v>
      </c>
      <c r="G2828" s="4">
        <v>20240504</v>
      </c>
      <c r="H2828" s="4" t="s">
        <v>474</v>
      </c>
      <c r="I2828" s="4" t="s">
        <v>8273</v>
      </c>
      <c r="J2828" s="4" t="s">
        <v>339</v>
      </c>
    </row>
    <row r="2829" spans="1:10" hidden="1">
      <c r="A2829" s="4">
        <v>2.0210558222000301E+17</v>
      </c>
      <c r="B2829" s="4">
        <v>4626800284</v>
      </c>
      <c r="C2829" s="4" t="s">
        <v>8272</v>
      </c>
      <c r="D2829" s="4">
        <v>58222</v>
      </c>
      <c r="E2829" s="4">
        <v>20210504</v>
      </c>
      <c r="F2829" s="4">
        <v>20210504</v>
      </c>
      <c r="G2829" s="4">
        <v>20240504</v>
      </c>
      <c r="H2829" s="4" t="s">
        <v>8271</v>
      </c>
      <c r="I2829" s="4" t="s">
        <v>91</v>
      </c>
      <c r="J2829" s="4" t="s">
        <v>94</v>
      </c>
    </row>
    <row r="2830" spans="1:10" hidden="1">
      <c r="A2830" s="4">
        <v>2.0210546464000301E+17</v>
      </c>
      <c r="B2830" s="4">
        <v>4336200417</v>
      </c>
      <c r="C2830" s="4" t="s">
        <v>8270</v>
      </c>
      <c r="D2830" s="4">
        <v>46464</v>
      </c>
      <c r="E2830" s="4">
        <v>20210504</v>
      </c>
      <c r="F2830" s="4">
        <v>20210504</v>
      </c>
      <c r="G2830" s="4">
        <v>20240504</v>
      </c>
      <c r="H2830" s="4" t="s">
        <v>8269</v>
      </c>
      <c r="I2830" s="4" t="s">
        <v>8268</v>
      </c>
      <c r="J2830" s="4" t="s">
        <v>2416</v>
      </c>
    </row>
    <row r="2831" spans="1:10" hidden="1">
      <c r="A2831" s="4">
        <v>2.0210526129000301E+17</v>
      </c>
      <c r="B2831" s="4">
        <v>1132474973</v>
      </c>
      <c r="C2831" s="4" t="s">
        <v>8267</v>
      </c>
      <c r="D2831" s="4">
        <v>26129</v>
      </c>
      <c r="E2831" s="4">
        <v>20210504</v>
      </c>
      <c r="F2831" s="4">
        <v>20210504</v>
      </c>
      <c r="G2831" s="4">
        <v>20240504</v>
      </c>
      <c r="H2831" s="4" t="s">
        <v>8266</v>
      </c>
      <c r="J2831" s="4" t="s">
        <v>403</v>
      </c>
    </row>
    <row r="2832" spans="1:10" hidden="1">
      <c r="A2832" s="4">
        <v>2.0210558222000301E+17</v>
      </c>
      <c r="B2832" s="4">
        <v>6870600041</v>
      </c>
      <c r="C2832" s="4" t="s">
        <v>8265</v>
      </c>
      <c r="D2832" s="4">
        <v>58222</v>
      </c>
      <c r="E2832" s="4">
        <v>20210504</v>
      </c>
      <c r="F2832" s="4">
        <v>20210504</v>
      </c>
      <c r="G2832" s="4">
        <v>20220331</v>
      </c>
      <c r="H2832" s="4" t="s">
        <v>560</v>
      </c>
      <c r="I2832" s="4" t="s">
        <v>8264</v>
      </c>
      <c r="J2832" s="4" t="s">
        <v>94</v>
      </c>
    </row>
    <row r="2833" spans="1:10" hidden="1">
      <c r="A2833" s="4">
        <v>2.0210520423000301E+17</v>
      </c>
      <c r="B2833" s="4">
        <v>7641001704</v>
      </c>
      <c r="C2833" s="4" t="s">
        <v>8263</v>
      </c>
      <c r="D2833" s="4">
        <v>20423</v>
      </c>
      <c r="E2833" s="4">
        <v>20210504</v>
      </c>
      <c r="F2833" s="4">
        <v>20210504</v>
      </c>
      <c r="G2833" s="4">
        <v>20240504</v>
      </c>
      <c r="H2833" s="4" t="s">
        <v>8262</v>
      </c>
      <c r="I2833" s="4" t="s">
        <v>8261</v>
      </c>
      <c r="J2833" s="4" t="s">
        <v>368</v>
      </c>
    </row>
    <row r="2834" spans="1:10" hidden="1">
      <c r="A2834" s="4">
        <v>2.0210517901000301E+17</v>
      </c>
      <c r="B2834" s="4">
        <v>7840201741</v>
      </c>
      <c r="C2834" s="4" t="s">
        <v>8260</v>
      </c>
      <c r="D2834" s="4">
        <v>17901</v>
      </c>
      <c r="E2834" s="4">
        <v>20210504</v>
      </c>
      <c r="F2834" s="4">
        <v>20210504</v>
      </c>
      <c r="G2834" s="4">
        <v>20240504</v>
      </c>
      <c r="H2834" s="4" t="s">
        <v>8259</v>
      </c>
      <c r="I2834" s="4" t="s">
        <v>149</v>
      </c>
      <c r="J2834" s="4" t="s">
        <v>5641</v>
      </c>
    </row>
    <row r="2835" spans="1:10" hidden="1">
      <c r="A2835" s="4">
        <v>2.0210546622000301E+17</v>
      </c>
      <c r="B2835" s="4">
        <v>5992100091</v>
      </c>
      <c r="C2835" s="4" t="s">
        <v>8257</v>
      </c>
      <c r="D2835" s="4">
        <v>46622</v>
      </c>
      <c r="E2835" s="4">
        <v>20210504</v>
      </c>
      <c r="F2835" s="4">
        <v>20210504</v>
      </c>
      <c r="G2835" s="4">
        <v>20220702</v>
      </c>
      <c r="H2835" s="4" t="s">
        <v>8258</v>
      </c>
      <c r="I2835" s="4" t="s">
        <v>8257</v>
      </c>
      <c r="J2835" s="4" t="s">
        <v>7011</v>
      </c>
    </row>
    <row r="2836" spans="1:10" hidden="1">
      <c r="A2836" s="4">
        <v>2.0210547859000301E+17</v>
      </c>
      <c r="B2836" s="4">
        <v>8278701142</v>
      </c>
      <c r="C2836" s="4" t="s">
        <v>8256</v>
      </c>
      <c r="D2836" s="4">
        <v>47859</v>
      </c>
      <c r="E2836" s="4">
        <v>20210504</v>
      </c>
      <c r="F2836" s="4">
        <v>20210504</v>
      </c>
      <c r="G2836" s="4">
        <v>20240504</v>
      </c>
      <c r="H2836" s="4" t="s">
        <v>8255</v>
      </c>
      <c r="I2836" s="4" t="s">
        <v>6999</v>
      </c>
      <c r="J2836" s="4" t="s">
        <v>5820</v>
      </c>
    </row>
    <row r="2837" spans="1:10" hidden="1">
      <c r="A2837" s="4">
        <v>2.0210542311000301E+17</v>
      </c>
      <c r="B2837" s="4">
        <v>2808701149</v>
      </c>
      <c r="C2837" s="4" t="s">
        <v>8254</v>
      </c>
      <c r="D2837" s="4">
        <v>42311</v>
      </c>
      <c r="E2837" s="4">
        <v>20210504</v>
      </c>
      <c r="F2837" s="4">
        <v>20210504</v>
      </c>
      <c r="G2837" s="4">
        <v>20240504</v>
      </c>
      <c r="H2837" s="4" t="s">
        <v>8253</v>
      </c>
      <c r="I2837" s="4" t="s">
        <v>134</v>
      </c>
      <c r="J2837" s="4" t="s">
        <v>718</v>
      </c>
    </row>
    <row r="2838" spans="1:10" hidden="1">
      <c r="A2838" s="4">
        <v>2.0210513229000301E+17</v>
      </c>
      <c r="B2838" s="4">
        <v>1658701516</v>
      </c>
      <c r="C2838" s="4" t="s">
        <v>8252</v>
      </c>
      <c r="D2838" s="4">
        <v>13229</v>
      </c>
      <c r="E2838" s="4">
        <v>20210504</v>
      </c>
      <c r="F2838" s="4">
        <v>20210504</v>
      </c>
      <c r="G2838" s="4">
        <v>20240504</v>
      </c>
      <c r="H2838" s="4" t="s">
        <v>8251</v>
      </c>
      <c r="I2838" s="4" t="s">
        <v>185</v>
      </c>
      <c r="J2838" s="4" t="s">
        <v>115</v>
      </c>
    </row>
    <row r="2839" spans="1:10" hidden="1">
      <c r="A2839" s="4">
        <v>2.0210525111000301E+17</v>
      </c>
      <c r="B2839" s="4">
        <v>1118133270</v>
      </c>
      <c r="C2839" s="4" t="s">
        <v>8250</v>
      </c>
      <c r="D2839" s="4">
        <v>25111</v>
      </c>
      <c r="E2839" s="4">
        <v>20210504</v>
      </c>
      <c r="F2839" s="4">
        <v>20210504</v>
      </c>
      <c r="G2839" s="4">
        <v>20220225</v>
      </c>
      <c r="H2839" s="4" t="s">
        <v>8249</v>
      </c>
      <c r="I2839" s="4" t="s">
        <v>91</v>
      </c>
      <c r="J2839" s="4" t="s">
        <v>82</v>
      </c>
    </row>
    <row r="2840" spans="1:10" hidden="1">
      <c r="A2840" s="4">
        <v>2.0210531322000301E+17</v>
      </c>
      <c r="B2840" s="4">
        <v>4878101302</v>
      </c>
      <c r="C2840" s="4" t="s">
        <v>8304</v>
      </c>
      <c r="D2840" s="4">
        <v>31322</v>
      </c>
      <c r="E2840" s="4">
        <v>20210504</v>
      </c>
      <c r="F2840" s="4">
        <v>20210504</v>
      </c>
      <c r="G2840" s="4">
        <v>20240504</v>
      </c>
      <c r="H2840" s="4" t="s">
        <v>8303</v>
      </c>
      <c r="I2840" s="4" t="s">
        <v>8302</v>
      </c>
      <c r="J2840" s="4" t="s">
        <v>3546</v>
      </c>
    </row>
    <row r="2841" spans="1:10" hidden="1">
      <c r="A2841" s="4">
        <v>2.0210570129000301E+17</v>
      </c>
      <c r="B2841" s="4">
        <v>7518700579</v>
      </c>
      <c r="C2841" s="4" t="s">
        <v>8246</v>
      </c>
      <c r="D2841" s="4">
        <v>70129</v>
      </c>
      <c r="E2841" s="4">
        <v>20210504</v>
      </c>
      <c r="F2841" s="4">
        <v>20210504</v>
      </c>
      <c r="G2841" s="4">
        <v>20240428</v>
      </c>
      <c r="H2841" s="4" t="s">
        <v>8245</v>
      </c>
      <c r="I2841" s="4" t="s">
        <v>8244</v>
      </c>
      <c r="J2841" s="4" t="s">
        <v>937</v>
      </c>
    </row>
    <row r="2842" spans="1:10" hidden="1">
      <c r="A2842" s="4">
        <v>2.0210525112000301E+17</v>
      </c>
      <c r="B2842" s="4">
        <v>5068193442</v>
      </c>
      <c r="C2842" s="4" t="s">
        <v>8243</v>
      </c>
      <c r="D2842" s="4">
        <v>25112</v>
      </c>
      <c r="E2842" s="4">
        <v>20210504</v>
      </c>
      <c r="F2842" s="4">
        <v>20210504</v>
      </c>
      <c r="G2842" s="4">
        <v>20240504</v>
      </c>
      <c r="H2842" s="4" t="s">
        <v>535</v>
      </c>
      <c r="I2842" s="4" t="s">
        <v>8242</v>
      </c>
      <c r="J2842" s="4" t="s">
        <v>320</v>
      </c>
    </row>
    <row r="2843" spans="1:10" hidden="1">
      <c r="A2843" s="4">
        <v>2.0210572129000301E+17</v>
      </c>
      <c r="B2843" s="4">
        <v>5128601578</v>
      </c>
      <c r="C2843" s="4" t="s">
        <v>8241</v>
      </c>
      <c r="D2843" s="4">
        <v>72129</v>
      </c>
      <c r="E2843" s="4">
        <v>20210504</v>
      </c>
      <c r="F2843" s="4">
        <v>20210504</v>
      </c>
      <c r="G2843" s="4">
        <v>20240504</v>
      </c>
      <c r="H2843" s="4" t="s">
        <v>6596</v>
      </c>
      <c r="I2843" s="4" t="s">
        <v>8240</v>
      </c>
      <c r="J2843" s="4" t="s">
        <v>1679</v>
      </c>
    </row>
    <row r="2844" spans="1:10" hidden="1">
      <c r="A2844" s="4">
        <v>2.0210528909000301E+17</v>
      </c>
      <c r="B2844" s="4">
        <v>3258601329</v>
      </c>
      <c r="C2844" s="4" t="s">
        <v>8239</v>
      </c>
      <c r="D2844" s="4">
        <v>28909</v>
      </c>
      <c r="E2844" s="4">
        <v>20210504</v>
      </c>
      <c r="F2844" s="4">
        <v>20210504</v>
      </c>
      <c r="G2844" s="4">
        <v>20240504</v>
      </c>
      <c r="H2844" s="4" t="s">
        <v>910</v>
      </c>
      <c r="I2844" s="4" t="s">
        <v>8238</v>
      </c>
      <c r="J2844" s="4" t="s">
        <v>253</v>
      </c>
    </row>
    <row r="2845" spans="1:10" hidden="1">
      <c r="A2845" s="4">
        <v>2.0210542420000301E+17</v>
      </c>
      <c r="B2845" s="4">
        <v>2748701445</v>
      </c>
      <c r="C2845" s="4" t="s">
        <v>8237</v>
      </c>
      <c r="D2845" s="4">
        <v>42420</v>
      </c>
      <c r="E2845" s="4">
        <v>20210504</v>
      </c>
      <c r="F2845" s="4">
        <v>20210504</v>
      </c>
      <c r="G2845" s="4">
        <v>20240504</v>
      </c>
      <c r="H2845" s="4" t="s">
        <v>8236</v>
      </c>
      <c r="I2845" s="4" t="s">
        <v>2357</v>
      </c>
      <c r="J2845" s="4" t="s">
        <v>1649</v>
      </c>
    </row>
    <row r="2846" spans="1:10" hidden="1">
      <c r="A2846" s="4">
        <v>2.0210542322000301E+17</v>
      </c>
      <c r="B2846" s="4">
        <v>2288700439</v>
      </c>
      <c r="C2846" s="4" t="s">
        <v>8235</v>
      </c>
      <c r="D2846" s="4">
        <v>42322</v>
      </c>
      <c r="E2846" s="4">
        <v>20210504</v>
      </c>
      <c r="F2846" s="4">
        <v>20210504</v>
      </c>
      <c r="G2846" s="4">
        <v>20230620</v>
      </c>
      <c r="H2846" s="4" t="s">
        <v>8234</v>
      </c>
      <c r="I2846" s="4">
        <v>0</v>
      </c>
      <c r="J2846" s="4" t="s">
        <v>2524</v>
      </c>
    </row>
    <row r="2847" spans="1:10" hidden="1">
      <c r="A2847" s="4">
        <v>2.0210533910000301E+17</v>
      </c>
      <c r="B2847" s="4">
        <v>2035267818</v>
      </c>
      <c r="C2847" s="4" t="s">
        <v>8284</v>
      </c>
      <c r="D2847" s="4">
        <v>33910</v>
      </c>
      <c r="E2847" s="4">
        <v>20210504</v>
      </c>
      <c r="F2847" s="4">
        <v>20210504</v>
      </c>
      <c r="G2847" s="4">
        <v>20240504</v>
      </c>
      <c r="H2847" s="4" t="s">
        <v>8283</v>
      </c>
      <c r="I2847" s="4" t="s">
        <v>175</v>
      </c>
      <c r="J2847" s="4" t="s">
        <v>310</v>
      </c>
    </row>
    <row r="2848" spans="1:10" hidden="1">
      <c r="A2848" s="4">
        <v>2.0210546739000301E+17</v>
      </c>
      <c r="B2848" s="4">
        <v>5738101923</v>
      </c>
      <c r="C2848" s="4" t="s">
        <v>8232</v>
      </c>
      <c r="D2848" s="4">
        <v>46739</v>
      </c>
      <c r="E2848" s="4">
        <v>20210504</v>
      </c>
      <c r="F2848" s="4">
        <v>20210504</v>
      </c>
      <c r="G2848" s="4">
        <v>20240504</v>
      </c>
      <c r="H2848" s="4" t="s">
        <v>8231</v>
      </c>
      <c r="I2848" s="4" t="s">
        <v>6226</v>
      </c>
      <c r="J2848" s="4" t="s">
        <v>2551</v>
      </c>
    </row>
    <row r="2849" spans="1:10" hidden="1">
      <c r="A2849" s="4">
        <v>2.0210572121000301E+17</v>
      </c>
      <c r="B2849" s="4">
        <v>8798801567</v>
      </c>
      <c r="C2849" s="4" t="s">
        <v>8230</v>
      </c>
      <c r="D2849" s="4">
        <v>72121</v>
      </c>
      <c r="E2849" s="4">
        <v>20210504</v>
      </c>
      <c r="F2849" s="4">
        <v>20210504</v>
      </c>
      <c r="G2849" s="4">
        <v>20240504</v>
      </c>
      <c r="H2849" s="4" t="s">
        <v>8229</v>
      </c>
      <c r="J2849" s="4" t="s">
        <v>2243</v>
      </c>
    </row>
    <row r="2850" spans="1:10" hidden="1">
      <c r="A2850" s="4">
        <v>2.0210542311000301E+17</v>
      </c>
      <c r="B2850" s="4">
        <v>6888101375</v>
      </c>
      <c r="C2850" s="4" t="s">
        <v>8228</v>
      </c>
      <c r="D2850" s="4">
        <v>42311</v>
      </c>
      <c r="E2850" s="4">
        <v>20210504</v>
      </c>
      <c r="F2850" s="4">
        <v>20210504</v>
      </c>
      <c r="G2850" s="4">
        <v>20240504</v>
      </c>
      <c r="H2850" s="4" t="s">
        <v>8227</v>
      </c>
      <c r="I2850" s="4" t="s">
        <v>91</v>
      </c>
      <c r="J2850" s="4" t="s">
        <v>718</v>
      </c>
    </row>
    <row r="2851" spans="1:10" hidden="1">
      <c r="A2851" s="4">
        <v>2.0210575992000301E+17</v>
      </c>
      <c r="B2851" s="4">
        <v>8828601439</v>
      </c>
      <c r="C2851" s="4" t="s">
        <v>8226</v>
      </c>
      <c r="D2851" s="4">
        <v>75992</v>
      </c>
      <c r="E2851" s="4">
        <v>20210504</v>
      </c>
      <c r="F2851" s="4">
        <v>20210504</v>
      </c>
      <c r="G2851" s="4">
        <v>20240504</v>
      </c>
      <c r="H2851" s="4" t="s">
        <v>3483</v>
      </c>
      <c r="I2851" s="4" t="s">
        <v>8225</v>
      </c>
      <c r="J2851" s="4" t="s">
        <v>111</v>
      </c>
    </row>
    <row r="2852" spans="1:10">
      <c r="A2852" s="4">
        <v>2.0210618111000499E+17</v>
      </c>
      <c r="B2852" s="4">
        <v>7465800295</v>
      </c>
      <c r="C2852" s="4" t="s">
        <v>12252</v>
      </c>
      <c r="D2852" s="4">
        <v>18111</v>
      </c>
      <c r="E2852" s="4">
        <v>20210619</v>
      </c>
      <c r="F2852" s="4">
        <v>20210619</v>
      </c>
      <c r="G2852" s="4">
        <v>20240619</v>
      </c>
      <c r="H2852" s="4" t="s">
        <v>12251</v>
      </c>
      <c r="I2852" s="4" t="s">
        <v>12250</v>
      </c>
      <c r="J2852" s="4" t="s">
        <v>662</v>
      </c>
    </row>
    <row r="2853" spans="1:10" hidden="1">
      <c r="A2853" s="4">
        <v>2.0210559111000301E+17</v>
      </c>
      <c r="B2853" s="4">
        <v>7068801920</v>
      </c>
      <c r="C2853" s="4" t="s">
        <v>8222</v>
      </c>
      <c r="D2853" s="4">
        <v>59111</v>
      </c>
      <c r="E2853" s="4">
        <v>20210504</v>
      </c>
      <c r="F2853" s="4">
        <v>20210504</v>
      </c>
      <c r="G2853" s="4">
        <v>20240504</v>
      </c>
      <c r="H2853" s="4" t="s">
        <v>8221</v>
      </c>
      <c r="I2853" s="4" t="s">
        <v>8220</v>
      </c>
      <c r="J2853" s="4" t="s">
        <v>1857</v>
      </c>
    </row>
    <row r="2854" spans="1:10" hidden="1">
      <c r="A2854" s="4">
        <v>2.0210547911000301E+17</v>
      </c>
      <c r="B2854" s="4">
        <v>3901300766</v>
      </c>
      <c r="C2854" s="4" t="s">
        <v>8219</v>
      </c>
      <c r="D2854" s="4">
        <v>47911</v>
      </c>
      <c r="E2854" s="4">
        <v>20210504</v>
      </c>
      <c r="F2854" s="4">
        <v>20210504</v>
      </c>
      <c r="G2854" s="4">
        <v>20240504</v>
      </c>
      <c r="H2854" s="4" t="s">
        <v>8218</v>
      </c>
      <c r="I2854" s="4" t="s">
        <v>8217</v>
      </c>
      <c r="J2854" s="4" t="s">
        <v>440</v>
      </c>
    </row>
    <row r="2855" spans="1:10" hidden="1">
      <c r="A2855" s="4">
        <v>2.0210558222000301E+17</v>
      </c>
      <c r="B2855" s="4">
        <v>3752900754</v>
      </c>
      <c r="C2855" s="4" t="s">
        <v>8216</v>
      </c>
      <c r="D2855" s="4">
        <v>58222</v>
      </c>
      <c r="E2855" s="4">
        <v>20210504</v>
      </c>
      <c r="F2855" s="4">
        <v>20210504</v>
      </c>
      <c r="G2855" s="4">
        <v>20240504</v>
      </c>
      <c r="H2855" s="4" t="s">
        <v>1896</v>
      </c>
      <c r="I2855" s="4" t="s">
        <v>8215</v>
      </c>
      <c r="J2855" s="4" t="s">
        <v>94</v>
      </c>
    </row>
    <row r="2856" spans="1:10" hidden="1">
      <c r="A2856" s="4">
        <v>2.0210559111000301E+17</v>
      </c>
      <c r="B2856" s="4">
        <v>2363900521</v>
      </c>
      <c r="C2856" s="4" t="s">
        <v>8214</v>
      </c>
      <c r="D2856" s="4">
        <v>59111</v>
      </c>
      <c r="E2856" s="4">
        <v>20210504</v>
      </c>
      <c r="F2856" s="4">
        <v>20210504</v>
      </c>
      <c r="G2856" s="4">
        <v>20240504</v>
      </c>
      <c r="H2856" s="4" t="s">
        <v>8213</v>
      </c>
      <c r="I2856" s="4" t="s">
        <v>657</v>
      </c>
      <c r="J2856" s="4" t="s">
        <v>1857</v>
      </c>
    </row>
    <row r="2857" spans="1:10" hidden="1">
      <c r="A2857" s="4">
        <v>2.0210527213000301E+17</v>
      </c>
      <c r="B2857" s="4">
        <v>2890502095</v>
      </c>
      <c r="C2857" s="4" t="s">
        <v>8212</v>
      </c>
      <c r="D2857" s="4">
        <v>27213</v>
      </c>
      <c r="E2857" s="4">
        <v>20210504</v>
      </c>
      <c r="F2857" s="4">
        <v>20210504</v>
      </c>
      <c r="G2857" s="4">
        <v>20240504</v>
      </c>
      <c r="H2857" s="4" t="s">
        <v>8211</v>
      </c>
      <c r="I2857" s="4" t="s">
        <v>8210</v>
      </c>
      <c r="J2857" s="4" t="s">
        <v>264</v>
      </c>
    </row>
    <row r="2858" spans="1:10" hidden="1">
      <c r="A2858" s="4">
        <v>2.0210529241000301E+17</v>
      </c>
      <c r="B2858" s="4">
        <v>3923400258</v>
      </c>
      <c r="C2858" s="4" t="s">
        <v>1531</v>
      </c>
      <c r="D2858" s="4">
        <v>29241</v>
      </c>
      <c r="E2858" s="4">
        <v>20210504</v>
      </c>
      <c r="F2858" s="4">
        <v>20210504</v>
      </c>
      <c r="G2858" s="4">
        <v>20231123</v>
      </c>
      <c r="H2858" s="4" t="s">
        <v>8209</v>
      </c>
      <c r="J2858" s="4" t="s">
        <v>8208</v>
      </c>
    </row>
    <row r="2859" spans="1:10" hidden="1">
      <c r="A2859" s="4">
        <v>2.0210514192000301E+17</v>
      </c>
      <c r="B2859" s="4">
        <v>4511800974</v>
      </c>
      <c r="C2859" s="4" t="s">
        <v>8207</v>
      </c>
      <c r="D2859" s="4">
        <v>14192</v>
      </c>
      <c r="E2859" s="4">
        <v>20210504</v>
      </c>
      <c r="F2859" s="4">
        <v>20210504</v>
      </c>
      <c r="G2859" s="4">
        <v>20240504</v>
      </c>
      <c r="H2859" s="4" t="s">
        <v>8206</v>
      </c>
      <c r="I2859" s="4" t="s">
        <v>185</v>
      </c>
      <c r="J2859" s="4" t="s">
        <v>4910</v>
      </c>
    </row>
    <row r="2860" spans="1:10" hidden="1">
      <c r="A2860" s="4">
        <v>2.0210563991000301E+17</v>
      </c>
      <c r="B2860" s="4">
        <v>4041601385</v>
      </c>
      <c r="C2860" s="4" t="s">
        <v>8205</v>
      </c>
      <c r="D2860" s="4">
        <v>63991</v>
      </c>
      <c r="E2860" s="4">
        <v>20210504</v>
      </c>
      <c r="F2860" s="4">
        <v>20210504</v>
      </c>
      <c r="G2860" s="4">
        <v>20240504</v>
      </c>
      <c r="H2860" s="4" t="s">
        <v>2629</v>
      </c>
      <c r="I2860" s="4" t="s">
        <v>8204</v>
      </c>
      <c r="J2860" s="4" t="s">
        <v>395</v>
      </c>
    </row>
    <row r="2861" spans="1:10" hidden="1">
      <c r="A2861" s="4">
        <v>2.0210547219000301E+17</v>
      </c>
      <c r="B2861" s="4">
        <v>5358801221</v>
      </c>
      <c r="C2861" s="4" t="s">
        <v>8203</v>
      </c>
      <c r="D2861" s="4">
        <v>47219</v>
      </c>
      <c r="E2861" s="4">
        <v>20210504</v>
      </c>
      <c r="F2861" s="4">
        <v>20210504</v>
      </c>
      <c r="G2861" s="4">
        <v>20240504</v>
      </c>
      <c r="H2861" s="4" t="s">
        <v>8202</v>
      </c>
      <c r="J2861" s="4" t="s">
        <v>8201</v>
      </c>
    </row>
    <row r="2862" spans="1:10" hidden="1">
      <c r="A2862" s="4">
        <v>2.0210542321000301E+17</v>
      </c>
      <c r="B2862" s="4">
        <v>3498801353</v>
      </c>
      <c r="C2862" s="4" t="s">
        <v>8200</v>
      </c>
      <c r="D2862" s="4">
        <v>42321</v>
      </c>
      <c r="E2862" s="4">
        <v>20210503</v>
      </c>
      <c r="F2862" s="4">
        <v>20210503</v>
      </c>
      <c r="G2862" s="4">
        <v>20240503</v>
      </c>
      <c r="H2862" s="4" t="s">
        <v>8199</v>
      </c>
      <c r="I2862" s="4" t="s">
        <v>185</v>
      </c>
      <c r="J2862" s="4" t="s">
        <v>698</v>
      </c>
    </row>
    <row r="2863" spans="1:10" hidden="1">
      <c r="A2863" s="4">
        <v>2.0210531114000301E+17</v>
      </c>
      <c r="B2863" s="4">
        <v>6748102128</v>
      </c>
      <c r="C2863" s="4" t="s">
        <v>8198</v>
      </c>
      <c r="D2863" s="4">
        <v>31114</v>
      </c>
      <c r="E2863" s="4">
        <v>20210503</v>
      </c>
      <c r="F2863" s="4">
        <v>20210503</v>
      </c>
      <c r="G2863" s="4">
        <v>20240503</v>
      </c>
      <c r="H2863" s="4" t="s">
        <v>8197</v>
      </c>
      <c r="I2863" s="4" t="s">
        <v>8196</v>
      </c>
      <c r="J2863" s="4" t="s">
        <v>1070</v>
      </c>
    </row>
    <row r="2864" spans="1:10" hidden="1">
      <c r="A2864" s="4">
        <v>2.0210574211000301E+17</v>
      </c>
      <c r="B2864" s="4">
        <v>4388200313</v>
      </c>
      <c r="C2864" s="4" t="s">
        <v>8195</v>
      </c>
      <c r="D2864" s="4">
        <v>74211</v>
      </c>
      <c r="E2864" s="4">
        <v>20210503</v>
      </c>
      <c r="F2864" s="4">
        <v>20210503</v>
      </c>
      <c r="G2864" s="4">
        <v>20240503</v>
      </c>
      <c r="H2864" s="4" t="s">
        <v>5249</v>
      </c>
      <c r="I2864" s="4" t="s">
        <v>8194</v>
      </c>
      <c r="J2864" s="4" t="s">
        <v>5576</v>
      </c>
    </row>
    <row r="2865" spans="1:10" hidden="1">
      <c r="A2865" s="4">
        <v>2.0210525119000301E+17</v>
      </c>
      <c r="B2865" s="4">
        <v>2488800255</v>
      </c>
      <c r="C2865" s="4" t="s">
        <v>8193</v>
      </c>
      <c r="D2865" s="4">
        <v>25119</v>
      </c>
      <c r="E2865" s="4">
        <v>20210503</v>
      </c>
      <c r="F2865" s="4">
        <v>20210503</v>
      </c>
      <c r="G2865" s="4">
        <v>20221216</v>
      </c>
      <c r="H2865" s="4" t="s">
        <v>8192</v>
      </c>
      <c r="I2865" s="4" t="s">
        <v>8191</v>
      </c>
      <c r="J2865" s="4" t="s">
        <v>679</v>
      </c>
    </row>
    <row r="2866" spans="1:10" hidden="1">
      <c r="A2866" s="4">
        <v>2.0210575122000301E+17</v>
      </c>
      <c r="B2866" s="4">
        <v>2023051437</v>
      </c>
      <c r="C2866" s="4" t="s">
        <v>8190</v>
      </c>
      <c r="D2866" s="4">
        <v>75122</v>
      </c>
      <c r="E2866" s="4">
        <v>20210503</v>
      </c>
      <c r="F2866" s="4">
        <v>20210503</v>
      </c>
      <c r="G2866" s="4">
        <v>20240503</v>
      </c>
      <c r="H2866" s="4" t="s">
        <v>8189</v>
      </c>
      <c r="J2866" s="4" t="s">
        <v>7358</v>
      </c>
    </row>
    <row r="2867" spans="1:10" hidden="1">
      <c r="A2867" s="4">
        <v>2.0210541225000301E+17</v>
      </c>
      <c r="B2867" s="4">
        <v>5068189477</v>
      </c>
      <c r="C2867" s="4" t="s">
        <v>8188</v>
      </c>
      <c r="D2867" s="4">
        <v>41225</v>
      </c>
      <c r="E2867" s="4">
        <v>20210503</v>
      </c>
      <c r="F2867" s="4">
        <v>20210503</v>
      </c>
      <c r="G2867" s="4">
        <v>20210708</v>
      </c>
      <c r="H2867" s="4" t="s">
        <v>8187</v>
      </c>
      <c r="J2867" s="4" t="s">
        <v>8151</v>
      </c>
    </row>
    <row r="2868" spans="1:10" hidden="1">
      <c r="A2868" s="4">
        <v>2.0210527192000301E+17</v>
      </c>
      <c r="B2868" s="4">
        <v>6438601305</v>
      </c>
      <c r="C2868" s="4" t="s">
        <v>8186</v>
      </c>
      <c r="D2868" s="4">
        <v>27192</v>
      </c>
      <c r="E2868" s="4">
        <v>20210503</v>
      </c>
      <c r="F2868" s="4">
        <v>20210503</v>
      </c>
      <c r="G2868" s="4">
        <v>20240503</v>
      </c>
      <c r="H2868" s="4" t="s">
        <v>8185</v>
      </c>
      <c r="I2868" s="4" t="s">
        <v>8184</v>
      </c>
      <c r="J2868" s="4" t="s">
        <v>1033</v>
      </c>
    </row>
    <row r="2869" spans="1:10" hidden="1">
      <c r="A2869" s="4">
        <v>2.0210510791000301E+17</v>
      </c>
      <c r="B2869" s="4">
        <v>1378654520</v>
      </c>
      <c r="C2869" s="4" t="s">
        <v>8183</v>
      </c>
      <c r="D2869" s="4">
        <v>10791</v>
      </c>
      <c r="E2869" s="4">
        <v>20210503</v>
      </c>
      <c r="F2869" s="4">
        <v>20210503</v>
      </c>
      <c r="G2869" s="4">
        <v>20240503</v>
      </c>
      <c r="H2869" s="4" t="s">
        <v>8182</v>
      </c>
      <c r="J2869" s="4" t="s">
        <v>335</v>
      </c>
    </row>
    <row r="2870" spans="1:10" hidden="1">
      <c r="A2870" s="4">
        <v>2.0210513999000301E+17</v>
      </c>
      <c r="B2870" s="4">
        <v>3618802084</v>
      </c>
      <c r="C2870" s="4" t="s">
        <v>8181</v>
      </c>
      <c r="D2870" s="4">
        <v>13999</v>
      </c>
      <c r="E2870" s="4">
        <v>20210503</v>
      </c>
      <c r="F2870" s="4">
        <v>20210503</v>
      </c>
      <c r="G2870" s="4">
        <v>20240503</v>
      </c>
      <c r="H2870" s="4" t="s">
        <v>8180</v>
      </c>
      <c r="I2870" s="4" t="s">
        <v>938</v>
      </c>
      <c r="J2870" s="4" t="s">
        <v>130</v>
      </c>
    </row>
    <row r="2871" spans="1:10" hidden="1">
      <c r="A2871" s="4">
        <v>2.0210558222000301E+17</v>
      </c>
      <c r="B2871" s="4">
        <v>8658100968</v>
      </c>
      <c r="C2871" s="4" t="s">
        <v>8179</v>
      </c>
      <c r="D2871" s="4">
        <v>58222</v>
      </c>
      <c r="E2871" s="4">
        <v>20210503</v>
      </c>
      <c r="F2871" s="4">
        <v>20210503</v>
      </c>
      <c r="G2871" s="4">
        <v>20240503</v>
      </c>
      <c r="H2871" s="4" t="s">
        <v>2956</v>
      </c>
      <c r="I2871" s="4" t="s">
        <v>8178</v>
      </c>
      <c r="J2871" s="4" t="s">
        <v>94</v>
      </c>
    </row>
    <row r="2872" spans="1:10" hidden="1">
      <c r="A2872" s="4">
        <v>2.0210516229000301E+17</v>
      </c>
      <c r="B2872" s="4">
        <v>3548800598</v>
      </c>
      <c r="C2872" s="4" t="s">
        <v>8177</v>
      </c>
      <c r="D2872" s="4">
        <v>16229</v>
      </c>
      <c r="E2872" s="4">
        <v>20210503</v>
      </c>
      <c r="F2872" s="4">
        <v>20210503</v>
      </c>
      <c r="G2872" s="4">
        <v>20231014</v>
      </c>
      <c r="H2872" s="4" t="s">
        <v>8176</v>
      </c>
      <c r="J2872" s="4" t="s">
        <v>1451</v>
      </c>
    </row>
    <row r="2873" spans="1:10" hidden="1">
      <c r="A2873" s="4">
        <v>2.0210572921000301E+17</v>
      </c>
      <c r="B2873" s="4">
        <v>7678101794</v>
      </c>
      <c r="C2873" s="4" t="s">
        <v>8175</v>
      </c>
      <c r="D2873" s="4">
        <v>72921</v>
      </c>
      <c r="E2873" s="4">
        <v>20210503</v>
      </c>
      <c r="F2873" s="4">
        <v>20210503</v>
      </c>
      <c r="G2873" s="4">
        <v>20240503</v>
      </c>
      <c r="H2873" s="4" t="s">
        <v>8174</v>
      </c>
      <c r="I2873" s="4" t="s">
        <v>8173</v>
      </c>
      <c r="J2873" s="4" t="s">
        <v>2880</v>
      </c>
    </row>
    <row r="2874" spans="1:10" hidden="1">
      <c r="A2874" s="4">
        <v>2.0210542201000301E+17</v>
      </c>
      <c r="B2874" s="4">
        <v>6228701270</v>
      </c>
      <c r="C2874" s="4" t="s">
        <v>8172</v>
      </c>
      <c r="D2874" s="4">
        <v>42201</v>
      </c>
      <c r="E2874" s="4">
        <v>20210503</v>
      </c>
      <c r="F2874" s="4">
        <v>20210503</v>
      </c>
      <c r="G2874" s="4">
        <v>20240503</v>
      </c>
      <c r="H2874" s="4" t="s">
        <v>8171</v>
      </c>
      <c r="I2874" s="4" t="s">
        <v>185</v>
      </c>
      <c r="J2874" s="4" t="s">
        <v>1710</v>
      </c>
    </row>
    <row r="2875" spans="1:10" hidden="1">
      <c r="A2875" s="4">
        <v>2.0210529131000301E+17</v>
      </c>
      <c r="B2875" s="4">
        <v>5768801256</v>
      </c>
      <c r="C2875" s="4" t="s">
        <v>8247</v>
      </c>
      <c r="D2875" s="4">
        <v>29131</v>
      </c>
      <c r="E2875" s="4">
        <v>20210504</v>
      </c>
      <c r="F2875" s="4">
        <v>20210504</v>
      </c>
      <c r="G2875" s="4">
        <v>20240504</v>
      </c>
      <c r="H2875" s="4" t="s">
        <v>8248</v>
      </c>
      <c r="I2875" s="4" t="s">
        <v>8247</v>
      </c>
      <c r="J2875" s="4" t="s">
        <v>4077</v>
      </c>
    </row>
    <row r="2876" spans="1:10" hidden="1">
      <c r="A2876" s="4">
        <v>2.0210526294000301E+17</v>
      </c>
      <c r="B2876" s="4">
        <v>5468800329</v>
      </c>
      <c r="C2876" s="4" t="s">
        <v>8168</v>
      </c>
      <c r="D2876" s="4">
        <v>26294</v>
      </c>
      <c r="E2876" s="4">
        <v>20210503</v>
      </c>
      <c r="F2876" s="4">
        <v>20210503</v>
      </c>
      <c r="G2876" s="4">
        <v>20230112</v>
      </c>
      <c r="H2876" s="4" t="s">
        <v>1578</v>
      </c>
      <c r="I2876" s="4" t="s">
        <v>8167</v>
      </c>
      <c r="J2876" s="4" t="s">
        <v>5589</v>
      </c>
    </row>
    <row r="2877" spans="1:10" hidden="1">
      <c r="A2877" s="4">
        <v>2.0210529180000301E+17</v>
      </c>
      <c r="B2877" s="4">
        <v>6568100025</v>
      </c>
      <c r="C2877" s="4" t="s">
        <v>8166</v>
      </c>
      <c r="D2877" s="4">
        <v>29180</v>
      </c>
      <c r="E2877" s="4">
        <v>20210503</v>
      </c>
      <c r="F2877" s="4">
        <v>20210503</v>
      </c>
      <c r="G2877" s="4">
        <v>20220309</v>
      </c>
      <c r="H2877" s="4" t="s">
        <v>8165</v>
      </c>
      <c r="J2877" s="4" t="s">
        <v>609</v>
      </c>
    </row>
    <row r="2878" spans="1:10" hidden="1">
      <c r="A2878" s="4">
        <v>2.0210541121000301E+17</v>
      </c>
      <c r="B2878" s="4">
        <v>8348601008</v>
      </c>
      <c r="C2878" s="4" t="s">
        <v>8164</v>
      </c>
      <c r="D2878" s="4">
        <v>41121</v>
      </c>
      <c r="E2878" s="4">
        <v>20210503</v>
      </c>
      <c r="F2878" s="4">
        <v>20210503</v>
      </c>
      <c r="G2878" s="4">
        <v>20240503</v>
      </c>
      <c r="H2878" s="4" t="s">
        <v>8163</v>
      </c>
      <c r="I2878" s="4" t="s">
        <v>149</v>
      </c>
      <c r="J2878" s="4" t="s">
        <v>2302</v>
      </c>
    </row>
    <row r="2879" spans="1:10" hidden="1">
      <c r="A2879" s="4">
        <v>2.0210510759000301E+17</v>
      </c>
      <c r="B2879" s="4">
        <v>4958702342</v>
      </c>
      <c r="C2879" s="4" t="s">
        <v>8162</v>
      </c>
      <c r="D2879" s="4">
        <v>10759</v>
      </c>
      <c r="E2879" s="4">
        <v>20210503</v>
      </c>
      <c r="F2879" s="4">
        <v>20210503</v>
      </c>
      <c r="G2879" s="4">
        <v>20240503</v>
      </c>
      <c r="H2879" s="4" t="s">
        <v>8161</v>
      </c>
      <c r="I2879" s="4" t="s">
        <v>8160</v>
      </c>
      <c r="J2879" s="4" t="s">
        <v>4810</v>
      </c>
    </row>
    <row r="2880" spans="1:10" hidden="1">
      <c r="A2880" s="4">
        <v>2.0210585709000301E+17</v>
      </c>
      <c r="B2880" s="4">
        <v>7358701557</v>
      </c>
      <c r="C2880" s="4" t="s">
        <v>8159</v>
      </c>
      <c r="D2880" s="4">
        <v>85709</v>
      </c>
      <c r="E2880" s="4">
        <v>20210501</v>
      </c>
      <c r="F2880" s="4">
        <v>20210501</v>
      </c>
      <c r="G2880" s="4">
        <v>20240501</v>
      </c>
      <c r="H2880" s="4" t="s">
        <v>1142</v>
      </c>
      <c r="I2880" s="4" t="s">
        <v>8158</v>
      </c>
      <c r="J2880" s="4" t="s">
        <v>141</v>
      </c>
    </row>
    <row r="2881" spans="1:10" hidden="1">
      <c r="A2881" s="4">
        <v>2.0210542491000301E+17</v>
      </c>
      <c r="B2881" s="4">
        <v>8878100589</v>
      </c>
      <c r="C2881" s="4" t="s">
        <v>8157</v>
      </c>
      <c r="D2881" s="4">
        <v>42491</v>
      </c>
      <c r="E2881" s="4">
        <v>20210501</v>
      </c>
      <c r="F2881" s="4">
        <v>20210501</v>
      </c>
      <c r="G2881" s="4">
        <v>20231108</v>
      </c>
      <c r="H2881" s="4" t="s">
        <v>4222</v>
      </c>
      <c r="J2881" s="4" t="s">
        <v>883</v>
      </c>
    </row>
    <row r="2882" spans="1:10" hidden="1">
      <c r="A2882" s="4">
        <v>2.0210546594000301E+17</v>
      </c>
      <c r="B2882" s="4">
        <v>4818601411</v>
      </c>
      <c r="C2882" s="4" t="s">
        <v>8156</v>
      </c>
      <c r="D2882" s="4">
        <v>46594</v>
      </c>
      <c r="E2882" s="4">
        <v>20210501</v>
      </c>
      <c r="F2882" s="4">
        <v>20210501</v>
      </c>
      <c r="G2882" s="4">
        <v>20240501</v>
      </c>
      <c r="H2882" s="4" t="s">
        <v>8155</v>
      </c>
      <c r="I2882" s="4" t="s">
        <v>1354</v>
      </c>
      <c r="J2882" s="4" t="s">
        <v>8154</v>
      </c>
    </row>
    <row r="2883" spans="1:10" hidden="1">
      <c r="A2883" s="4">
        <v>2.0210541225000301E+17</v>
      </c>
      <c r="B2883" s="4">
        <v>4108703656</v>
      </c>
      <c r="C2883" s="4" t="s">
        <v>8153</v>
      </c>
      <c r="D2883" s="4">
        <v>41225</v>
      </c>
      <c r="E2883" s="4">
        <v>20210501</v>
      </c>
      <c r="F2883" s="4">
        <v>20210501</v>
      </c>
      <c r="G2883" s="4">
        <v>20211027</v>
      </c>
      <c r="H2883" s="4" t="s">
        <v>8152</v>
      </c>
      <c r="J2883" s="4" t="s">
        <v>8151</v>
      </c>
    </row>
    <row r="2884" spans="1:10" hidden="1">
      <c r="A2884" s="4">
        <v>2.0210546510000301E+17</v>
      </c>
      <c r="B2884" s="4">
        <v>4291701080</v>
      </c>
      <c r="C2884" s="4" t="s">
        <v>8150</v>
      </c>
      <c r="D2884" s="4">
        <v>46510</v>
      </c>
      <c r="E2884" s="4">
        <v>20210501</v>
      </c>
      <c r="F2884" s="4">
        <v>20210501</v>
      </c>
      <c r="G2884" s="4">
        <v>20240501</v>
      </c>
      <c r="H2884" s="4" t="s">
        <v>6558</v>
      </c>
      <c r="I2884" s="4" t="s">
        <v>8149</v>
      </c>
      <c r="J2884" s="4" t="s">
        <v>126</v>
      </c>
    </row>
    <row r="2885" spans="1:10" hidden="1">
      <c r="A2885" s="4">
        <v>2.0210571531000301E+17</v>
      </c>
      <c r="B2885" s="4">
        <v>7928701865</v>
      </c>
      <c r="C2885" s="4" t="s">
        <v>8148</v>
      </c>
      <c r="D2885" s="4">
        <v>71531</v>
      </c>
      <c r="E2885" s="4">
        <v>20210501</v>
      </c>
      <c r="F2885" s="4">
        <v>20210501</v>
      </c>
      <c r="G2885" s="4">
        <v>20240501</v>
      </c>
      <c r="H2885" s="4" t="s">
        <v>8147</v>
      </c>
      <c r="I2885" s="4" t="s">
        <v>2525</v>
      </c>
      <c r="J2885" s="4" t="s">
        <v>87</v>
      </c>
    </row>
    <row r="2886" spans="1:10" hidden="1">
      <c r="A2886" s="4">
        <v>2.0210574100000301E+17</v>
      </c>
      <c r="B2886" s="4">
        <v>3093071262</v>
      </c>
      <c r="C2886" s="4" t="s">
        <v>8146</v>
      </c>
      <c r="D2886" s="4">
        <v>74100</v>
      </c>
      <c r="E2886" s="4">
        <v>20210501</v>
      </c>
      <c r="F2886" s="4">
        <v>20210501</v>
      </c>
      <c r="G2886" s="4">
        <v>20240501</v>
      </c>
      <c r="H2886" s="4" t="s">
        <v>8145</v>
      </c>
      <c r="J2886" s="4" t="s">
        <v>2207</v>
      </c>
    </row>
    <row r="2887" spans="1:10" hidden="1">
      <c r="A2887" s="4">
        <v>2.0210513104000301E+17</v>
      </c>
      <c r="B2887" s="4">
        <v>5828700916</v>
      </c>
      <c r="C2887" s="4" t="s">
        <v>8144</v>
      </c>
      <c r="D2887" s="4">
        <v>13104</v>
      </c>
      <c r="E2887" s="4">
        <v>20210501</v>
      </c>
      <c r="F2887" s="4">
        <v>20210501</v>
      </c>
      <c r="G2887" s="4">
        <v>20240501</v>
      </c>
      <c r="H2887" s="4" t="s">
        <v>8143</v>
      </c>
      <c r="J2887" s="4" t="s">
        <v>8142</v>
      </c>
    </row>
    <row r="2888" spans="1:10" hidden="1">
      <c r="A2888" s="4">
        <v>2.0210559111000301E+17</v>
      </c>
      <c r="B2888" s="4">
        <v>5188801963</v>
      </c>
      <c r="C2888" s="4" t="s">
        <v>8141</v>
      </c>
      <c r="D2888" s="4">
        <v>59111</v>
      </c>
      <c r="E2888" s="4">
        <v>20210501</v>
      </c>
      <c r="F2888" s="4">
        <v>20210501</v>
      </c>
      <c r="G2888" s="4">
        <v>20240501</v>
      </c>
      <c r="H2888" s="4" t="s">
        <v>3155</v>
      </c>
      <c r="I2888" s="4" t="s">
        <v>8140</v>
      </c>
      <c r="J2888" s="4" t="s">
        <v>1857</v>
      </c>
    </row>
    <row r="2889" spans="1:10" hidden="1">
      <c r="A2889" s="4">
        <v>2.0210559201000301E+17</v>
      </c>
      <c r="B2889" s="4">
        <v>4560900088</v>
      </c>
      <c r="C2889" s="4" t="s">
        <v>8139</v>
      </c>
      <c r="D2889" s="4">
        <v>59201</v>
      </c>
      <c r="E2889" s="4">
        <v>20210501</v>
      </c>
      <c r="F2889" s="4">
        <v>20210501</v>
      </c>
      <c r="G2889" s="4">
        <v>20220429</v>
      </c>
      <c r="H2889" s="4" t="s">
        <v>3155</v>
      </c>
      <c r="I2889" s="4" t="s">
        <v>8138</v>
      </c>
      <c r="J2889" s="4" t="s">
        <v>1701</v>
      </c>
    </row>
    <row r="2890" spans="1:10" hidden="1">
      <c r="A2890" s="4">
        <v>2.0210586201000301E+17</v>
      </c>
      <c r="B2890" s="4">
        <v>8839201016</v>
      </c>
      <c r="C2890" s="4" t="s">
        <v>8137</v>
      </c>
      <c r="D2890" s="4">
        <v>86201</v>
      </c>
      <c r="E2890" s="4">
        <v>20210501</v>
      </c>
      <c r="F2890" s="4">
        <v>20210501</v>
      </c>
      <c r="G2890" s="4">
        <v>20240501</v>
      </c>
      <c r="H2890" s="4" t="s">
        <v>8136</v>
      </c>
      <c r="I2890" s="4" t="s">
        <v>8135</v>
      </c>
      <c r="J2890" s="4" t="s">
        <v>8134</v>
      </c>
    </row>
    <row r="2891" spans="1:10" hidden="1">
      <c r="A2891" s="4">
        <v>2.0210547912000301E+17</v>
      </c>
      <c r="B2891" s="4">
        <v>5220501130</v>
      </c>
      <c r="C2891" s="4" t="s">
        <v>8133</v>
      </c>
      <c r="D2891" s="4">
        <v>47912</v>
      </c>
      <c r="E2891" s="4">
        <v>20210501</v>
      </c>
      <c r="F2891" s="4">
        <v>20210501</v>
      </c>
      <c r="G2891" s="4">
        <v>20240501</v>
      </c>
      <c r="H2891" s="4" t="s">
        <v>8132</v>
      </c>
      <c r="I2891" s="4">
        <v>201</v>
      </c>
      <c r="J2891" s="4" t="s">
        <v>78</v>
      </c>
    </row>
    <row r="2892" spans="1:10" hidden="1">
      <c r="A2892" s="4">
        <v>2.0210576390000301E+17</v>
      </c>
      <c r="B2892" s="4">
        <v>2800701716</v>
      </c>
      <c r="C2892" s="4" t="s">
        <v>8131</v>
      </c>
      <c r="D2892" s="4">
        <v>76390</v>
      </c>
      <c r="E2892" s="4">
        <v>20210501</v>
      </c>
      <c r="F2892" s="4">
        <v>20210501</v>
      </c>
      <c r="G2892" s="4">
        <v>20240501</v>
      </c>
      <c r="H2892" s="4" t="s">
        <v>2871</v>
      </c>
      <c r="I2892" s="4" t="s">
        <v>8130</v>
      </c>
      <c r="J2892" s="4" t="s">
        <v>8129</v>
      </c>
    </row>
    <row r="2893" spans="1:10" hidden="1">
      <c r="A2893" s="4">
        <v>2.0210510802000301E+17</v>
      </c>
      <c r="B2893" s="4">
        <v>4408101415</v>
      </c>
      <c r="C2893" s="4" t="s">
        <v>8128</v>
      </c>
      <c r="D2893" s="4">
        <v>10802</v>
      </c>
      <c r="E2893" s="4">
        <v>20210501</v>
      </c>
      <c r="F2893" s="4">
        <v>20210501</v>
      </c>
      <c r="G2893" s="4">
        <v>20240501</v>
      </c>
      <c r="H2893" s="4" t="s">
        <v>8127</v>
      </c>
      <c r="I2893" s="4" t="s">
        <v>149</v>
      </c>
      <c r="J2893" s="4" t="s">
        <v>973</v>
      </c>
    </row>
    <row r="2894" spans="1:10" hidden="1">
      <c r="A2894" s="4">
        <v>2.0210563999000301E+17</v>
      </c>
      <c r="B2894" s="4">
        <v>1578800584</v>
      </c>
      <c r="C2894" s="4" t="s">
        <v>8126</v>
      </c>
      <c r="D2894" s="4">
        <v>63999</v>
      </c>
      <c r="E2894" s="4">
        <v>20210501</v>
      </c>
      <c r="F2894" s="4">
        <v>20210501</v>
      </c>
      <c r="G2894" s="4">
        <v>20240102</v>
      </c>
      <c r="H2894" s="4" t="s">
        <v>124</v>
      </c>
      <c r="I2894" s="4">
        <v>804</v>
      </c>
      <c r="J2894" s="4" t="s">
        <v>643</v>
      </c>
    </row>
    <row r="2895" spans="1:10" hidden="1">
      <c r="A2895" s="4">
        <v>2.0210525111000301E+17</v>
      </c>
      <c r="B2895" s="4">
        <v>6458102095</v>
      </c>
      <c r="C2895" s="4" t="s">
        <v>8125</v>
      </c>
      <c r="D2895" s="4">
        <v>25111</v>
      </c>
      <c r="E2895" s="4">
        <v>20210501</v>
      </c>
      <c r="F2895" s="4">
        <v>20210501</v>
      </c>
      <c r="G2895" s="4">
        <v>20240501</v>
      </c>
      <c r="H2895" s="4" t="s">
        <v>8124</v>
      </c>
      <c r="J2895" s="4" t="s">
        <v>82</v>
      </c>
    </row>
    <row r="2896" spans="1:10" hidden="1">
      <c r="A2896" s="4">
        <v>2.0210529294000301E+17</v>
      </c>
      <c r="B2896" s="4">
        <v>5768601742</v>
      </c>
      <c r="C2896" s="4" t="s">
        <v>8123</v>
      </c>
      <c r="D2896" s="4">
        <v>29294</v>
      </c>
      <c r="E2896" s="4">
        <v>20210501</v>
      </c>
      <c r="F2896" s="4">
        <v>20210501</v>
      </c>
      <c r="G2896" s="4">
        <v>20240501</v>
      </c>
      <c r="H2896" s="4" t="s">
        <v>8122</v>
      </c>
      <c r="J2896" s="4" t="s">
        <v>1848</v>
      </c>
    </row>
    <row r="2897" spans="1:10" hidden="1">
      <c r="A2897" s="4">
        <v>2.0210523325000301E+17</v>
      </c>
      <c r="B2897" s="4">
        <v>4778700706</v>
      </c>
      <c r="C2897" s="4" t="s">
        <v>8121</v>
      </c>
      <c r="D2897" s="4">
        <v>23325</v>
      </c>
      <c r="E2897" s="4">
        <v>20210501</v>
      </c>
      <c r="F2897" s="4">
        <v>20210501</v>
      </c>
      <c r="G2897" s="4">
        <v>20240210</v>
      </c>
      <c r="H2897" s="4" t="s">
        <v>8120</v>
      </c>
      <c r="I2897" s="4" t="s">
        <v>8119</v>
      </c>
      <c r="J2897" s="4" t="s">
        <v>2588</v>
      </c>
    </row>
    <row r="2898" spans="1:10" hidden="1">
      <c r="A2898" s="4">
        <v>2.0210563120000301E+17</v>
      </c>
      <c r="B2898" s="4">
        <v>2291202387</v>
      </c>
      <c r="C2898" s="4" t="s">
        <v>8118</v>
      </c>
      <c r="D2898" s="4">
        <v>63120</v>
      </c>
      <c r="E2898" s="4">
        <v>20210501</v>
      </c>
      <c r="F2898" s="4">
        <v>20210501</v>
      </c>
      <c r="G2898" s="4">
        <v>20240501</v>
      </c>
      <c r="H2898" s="4" t="s">
        <v>8117</v>
      </c>
      <c r="J2898" s="4" t="s">
        <v>632</v>
      </c>
    </row>
    <row r="2899" spans="1:10" hidden="1">
      <c r="A2899" s="4">
        <v>2.0210575992000301E+17</v>
      </c>
      <c r="B2899" s="4">
        <v>7913600712</v>
      </c>
      <c r="C2899" s="4" t="s">
        <v>8116</v>
      </c>
      <c r="D2899" s="4">
        <v>75992</v>
      </c>
      <c r="E2899" s="4">
        <v>20210501</v>
      </c>
      <c r="F2899" s="4">
        <v>20210501</v>
      </c>
      <c r="G2899" s="4">
        <v>20240501</v>
      </c>
      <c r="H2899" s="4" t="s">
        <v>8115</v>
      </c>
      <c r="I2899" s="4" t="s">
        <v>8114</v>
      </c>
      <c r="J2899" s="4" t="s">
        <v>111</v>
      </c>
    </row>
    <row r="2900" spans="1:10" hidden="1">
      <c r="A2900" s="4">
        <v>2.0210516101000301E+17</v>
      </c>
      <c r="B2900" s="4">
        <v>1160482907</v>
      </c>
      <c r="C2900" s="4" t="s">
        <v>8113</v>
      </c>
      <c r="D2900" s="4">
        <v>16101</v>
      </c>
      <c r="E2900" s="4">
        <v>20210501</v>
      </c>
      <c r="F2900" s="4">
        <v>20210501</v>
      </c>
      <c r="G2900" s="4">
        <v>20240501</v>
      </c>
      <c r="H2900" s="4" t="s">
        <v>8112</v>
      </c>
      <c r="I2900" s="4" t="s">
        <v>8111</v>
      </c>
      <c r="J2900" s="4" t="s">
        <v>468</v>
      </c>
    </row>
    <row r="2901" spans="1:10" hidden="1">
      <c r="A2901" s="4">
        <v>2.0210472129000301E+17</v>
      </c>
      <c r="B2901" s="4">
        <v>6258101336</v>
      </c>
      <c r="C2901" s="4" t="s">
        <v>8110</v>
      </c>
      <c r="D2901" s="4">
        <v>72129</v>
      </c>
      <c r="E2901" s="4">
        <v>20210430</v>
      </c>
      <c r="F2901" s="4">
        <v>20210430</v>
      </c>
      <c r="G2901" s="4">
        <v>20240430</v>
      </c>
      <c r="H2901" s="4" t="s">
        <v>787</v>
      </c>
      <c r="I2901" s="4" t="s">
        <v>4290</v>
      </c>
      <c r="J2901" s="4" t="s">
        <v>1679</v>
      </c>
    </row>
    <row r="2902" spans="1:10" hidden="1">
      <c r="A2902" s="4">
        <v>2.0210446521000301E+17</v>
      </c>
      <c r="B2902" s="4">
        <v>1838100871</v>
      </c>
      <c r="C2902" s="4" t="s">
        <v>8109</v>
      </c>
      <c r="D2902" s="4">
        <v>46521</v>
      </c>
      <c r="E2902" s="4">
        <v>20210430</v>
      </c>
      <c r="F2902" s="4">
        <v>20210430</v>
      </c>
      <c r="G2902" s="4">
        <v>20240430</v>
      </c>
      <c r="H2902" s="4" t="s">
        <v>3263</v>
      </c>
      <c r="I2902" s="4" t="s">
        <v>8108</v>
      </c>
      <c r="J2902" s="4" t="s">
        <v>6178</v>
      </c>
    </row>
    <row r="2903" spans="1:10" hidden="1">
      <c r="A2903" s="4">
        <v>2.0210432029000301E+17</v>
      </c>
      <c r="B2903" s="4">
        <v>2858600774</v>
      </c>
      <c r="C2903" s="4" t="s">
        <v>8107</v>
      </c>
      <c r="D2903" s="4">
        <v>32029</v>
      </c>
      <c r="E2903" s="4">
        <v>20210430</v>
      </c>
      <c r="F2903" s="4">
        <v>20210430</v>
      </c>
      <c r="G2903" s="4">
        <v>20240430</v>
      </c>
      <c r="H2903" s="4" t="s">
        <v>8106</v>
      </c>
      <c r="J2903" s="4" t="s">
        <v>637</v>
      </c>
    </row>
    <row r="2904" spans="1:10" hidden="1">
      <c r="A2904" s="4">
        <v>2.0210420119000301E+17</v>
      </c>
      <c r="B2904" s="4">
        <v>7648702078</v>
      </c>
      <c r="C2904" s="4" t="s">
        <v>8105</v>
      </c>
      <c r="D2904" s="4">
        <v>20119</v>
      </c>
      <c r="E2904" s="4">
        <v>20210430</v>
      </c>
      <c r="F2904" s="4">
        <v>20210430</v>
      </c>
      <c r="G2904" s="4">
        <v>20240430</v>
      </c>
      <c r="H2904" s="4" t="s">
        <v>5566</v>
      </c>
      <c r="I2904" s="4" t="s">
        <v>8104</v>
      </c>
      <c r="J2904" s="4" t="s">
        <v>858</v>
      </c>
    </row>
    <row r="2905" spans="1:10" hidden="1">
      <c r="A2905" s="4">
        <v>2.0210428123000301E+17</v>
      </c>
      <c r="B2905" s="4">
        <v>8218100503</v>
      </c>
      <c r="C2905" s="4" t="s">
        <v>8103</v>
      </c>
      <c r="D2905" s="4">
        <v>28123</v>
      </c>
      <c r="E2905" s="4">
        <v>20210430</v>
      </c>
      <c r="F2905" s="4">
        <v>20210430</v>
      </c>
      <c r="G2905" s="4">
        <v>20230823</v>
      </c>
      <c r="H2905" s="4" t="s">
        <v>8102</v>
      </c>
      <c r="J2905" s="4" t="s">
        <v>640</v>
      </c>
    </row>
    <row r="2906" spans="1:10" hidden="1">
      <c r="A2906" s="4">
        <v>2.0210458222000301E+17</v>
      </c>
      <c r="B2906" s="4">
        <v>6158800270</v>
      </c>
      <c r="C2906" s="4" t="s">
        <v>8101</v>
      </c>
      <c r="D2906" s="4">
        <v>58222</v>
      </c>
      <c r="E2906" s="4">
        <v>20210430</v>
      </c>
      <c r="F2906" s="4">
        <v>20210430</v>
      </c>
      <c r="G2906" s="4">
        <v>20230323</v>
      </c>
      <c r="H2906" s="4" t="s">
        <v>5139</v>
      </c>
      <c r="I2906" s="4" t="s">
        <v>8100</v>
      </c>
      <c r="J2906" s="4" t="s">
        <v>94</v>
      </c>
    </row>
    <row r="2907" spans="1:10" hidden="1">
      <c r="A2907" s="4">
        <v>2.0210401152000301E+17</v>
      </c>
      <c r="B2907" s="4">
        <v>1712001177</v>
      </c>
      <c r="C2907" s="4" t="s">
        <v>8099</v>
      </c>
      <c r="D2907" s="4">
        <v>1152</v>
      </c>
      <c r="E2907" s="4">
        <v>20210430</v>
      </c>
      <c r="F2907" s="4">
        <v>20210430</v>
      </c>
      <c r="G2907" s="4">
        <v>20240430</v>
      </c>
      <c r="H2907" s="4" t="s">
        <v>2575</v>
      </c>
      <c r="J2907" s="4" t="s">
        <v>8098</v>
      </c>
    </row>
    <row r="2908" spans="1:10" hidden="1">
      <c r="A2908" s="4">
        <v>2.0210431322000301E+17</v>
      </c>
      <c r="B2908" s="4">
        <v>8826200375</v>
      </c>
      <c r="C2908" s="4" t="s">
        <v>8097</v>
      </c>
      <c r="D2908" s="4">
        <v>31322</v>
      </c>
      <c r="E2908" s="4">
        <v>20210430</v>
      </c>
      <c r="F2908" s="4">
        <v>20210430</v>
      </c>
      <c r="G2908" s="4">
        <v>20240430</v>
      </c>
      <c r="H2908" s="4" t="s">
        <v>8096</v>
      </c>
      <c r="J2908" s="4" t="s">
        <v>3546</v>
      </c>
    </row>
    <row r="2909" spans="1:10" hidden="1">
      <c r="A2909" s="4">
        <v>2.0210446595000301E+17</v>
      </c>
      <c r="B2909" s="4">
        <v>5393800248</v>
      </c>
      <c r="C2909" s="4" t="s">
        <v>8095</v>
      </c>
      <c r="D2909" s="4">
        <v>46595</v>
      </c>
      <c r="E2909" s="4">
        <v>20210430</v>
      </c>
      <c r="F2909" s="4">
        <v>20210430</v>
      </c>
      <c r="G2909" s="4">
        <v>20230714</v>
      </c>
      <c r="H2909" s="4" t="s">
        <v>8094</v>
      </c>
      <c r="I2909" s="4" t="s">
        <v>8093</v>
      </c>
      <c r="J2909" s="4" t="s">
        <v>960</v>
      </c>
    </row>
    <row r="2910" spans="1:10" hidden="1">
      <c r="A2910" s="4">
        <v>2.0210410121000301E+17</v>
      </c>
      <c r="B2910" s="4">
        <v>2798101486</v>
      </c>
      <c r="C2910" s="4" t="s">
        <v>8092</v>
      </c>
      <c r="D2910" s="4">
        <v>10121</v>
      </c>
      <c r="E2910" s="4">
        <v>20210430</v>
      </c>
      <c r="F2910" s="4">
        <v>20210430</v>
      </c>
      <c r="G2910" s="4">
        <v>20240430</v>
      </c>
      <c r="H2910" s="4" t="s">
        <v>8091</v>
      </c>
      <c r="I2910" s="4" t="s">
        <v>8090</v>
      </c>
      <c r="J2910" s="4" t="s">
        <v>6769</v>
      </c>
    </row>
    <row r="2911" spans="1:10" hidden="1">
      <c r="A2911" s="4">
        <v>2.0210475992000301E+17</v>
      </c>
      <c r="B2911" s="4">
        <v>8670102029</v>
      </c>
      <c r="C2911" s="4" t="s">
        <v>8089</v>
      </c>
      <c r="D2911" s="4">
        <v>75992</v>
      </c>
      <c r="E2911" s="4">
        <v>20210430</v>
      </c>
      <c r="F2911" s="4">
        <v>20210430</v>
      </c>
      <c r="G2911" s="4">
        <v>20240430</v>
      </c>
      <c r="H2911" s="4" t="s">
        <v>8088</v>
      </c>
      <c r="I2911" s="4" t="s">
        <v>8087</v>
      </c>
      <c r="J2911" s="4" t="s">
        <v>111</v>
      </c>
    </row>
    <row r="2912" spans="1:10" hidden="1">
      <c r="A2912" s="4">
        <v>2.0210428429000301E+17</v>
      </c>
      <c r="B2912" s="4">
        <v>4012115531</v>
      </c>
      <c r="C2912" s="4" t="s">
        <v>8086</v>
      </c>
      <c r="D2912" s="4">
        <v>28429</v>
      </c>
      <c r="E2912" s="4">
        <v>20210430</v>
      </c>
      <c r="F2912" s="4">
        <v>20210430</v>
      </c>
      <c r="G2912" s="4">
        <v>20240430</v>
      </c>
      <c r="H2912" s="4" t="s">
        <v>8085</v>
      </c>
      <c r="J2912" s="4" t="s">
        <v>765</v>
      </c>
    </row>
    <row r="2913" spans="1:10">
      <c r="A2913" s="4">
        <v>2.0210729293000499E+17</v>
      </c>
      <c r="B2913" s="4">
        <v>1182400592</v>
      </c>
      <c r="C2913" s="4" t="s">
        <v>13965</v>
      </c>
      <c r="D2913" s="4">
        <v>29293</v>
      </c>
      <c r="E2913" s="4">
        <v>20210702</v>
      </c>
      <c r="F2913" s="4">
        <v>20210702</v>
      </c>
      <c r="G2913" s="4">
        <v>20240702</v>
      </c>
      <c r="H2913" s="4" t="s">
        <v>13964</v>
      </c>
      <c r="J2913" s="4" t="s">
        <v>4895</v>
      </c>
    </row>
    <row r="2914" spans="1:10" hidden="1">
      <c r="A2914" s="4">
        <v>2.0210427199000301E+17</v>
      </c>
      <c r="B2914" s="4">
        <v>2654000715</v>
      </c>
      <c r="C2914" s="4" t="s">
        <v>8082</v>
      </c>
      <c r="D2914" s="4">
        <v>27199</v>
      </c>
      <c r="E2914" s="4">
        <v>20210430</v>
      </c>
      <c r="F2914" s="4">
        <v>20210430</v>
      </c>
      <c r="G2914" s="4">
        <v>20240430</v>
      </c>
      <c r="H2914" s="4" t="s">
        <v>8081</v>
      </c>
      <c r="I2914" s="4" t="s">
        <v>8080</v>
      </c>
      <c r="J2914" s="4" t="s">
        <v>418</v>
      </c>
    </row>
    <row r="2915" spans="1:10" hidden="1">
      <c r="A2915" s="4">
        <v>2.0210428429000301E+17</v>
      </c>
      <c r="B2915" s="4">
        <v>6513500737</v>
      </c>
      <c r="C2915" s="4" t="s">
        <v>8079</v>
      </c>
      <c r="D2915" s="4">
        <v>28429</v>
      </c>
      <c r="E2915" s="4">
        <v>20210430</v>
      </c>
      <c r="F2915" s="4">
        <v>20210430</v>
      </c>
      <c r="G2915" s="4">
        <v>20240430</v>
      </c>
      <c r="H2915" s="4" t="s">
        <v>8078</v>
      </c>
      <c r="I2915" s="4" t="s">
        <v>8077</v>
      </c>
      <c r="J2915" s="4" t="s">
        <v>765</v>
      </c>
    </row>
    <row r="2916" spans="1:10" hidden="1">
      <c r="A2916" s="4">
        <v>2.0210458222000301E+17</v>
      </c>
      <c r="B2916" s="4">
        <v>1648701925</v>
      </c>
      <c r="C2916" s="4" t="s">
        <v>8076</v>
      </c>
      <c r="D2916" s="4">
        <v>58222</v>
      </c>
      <c r="E2916" s="4">
        <v>20210430</v>
      </c>
      <c r="F2916" s="4">
        <v>20210430</v>
      </c>
      <c r="G2916" s="4">
        <v>20240430</v>
      </c>
      <c r="H2916" s="4" t="s">
        <v>8075</v>
      </c>
      <c r="I2916" s="4" t="s">
        <v>91</v>
      </c>
      <c r="J2916" s="4" t="s">
        <v>94</v>
      </c>
    </row>
    <row r="2917" spans="1:10" hidden="1">
      <c r="A2917" s="4">
        <v>2.0210458221000301E+17</v>
      </c>
      <c r="B2917" s="4">
        <v>2308111903</v>
      </c>
      <c r="C2917" s="4" t="s">
        <v>8074</v>
      </c>
      <c r="D2917" s="4">
        <v>58221</v>
      </c>
      <c r="E2917" s="4">
        <v>20210430</v>
      </c>
      <c r="F2917" s="4">
        <v>20210430</v>
      </c>
      <c r="G2917" s="4">
        <v>20240430</v>
      </c>
      <c r="H2917" s="4" t="s">
        <v>1932</v>
      </c>
      <c r="I2917" s="4" t="s">
        <v>8073</v>
      </c>
      <c r="J2917" s="4" t="s">
        <v>228</v>
      </c>
    </row>
    <row r="2918" spans="1:10" hidden="1">
      <c r="A2918" s="4">
        <v>2.0210472121000301E+17</v>
      </c>
      <c r="B2918" s="4">
        <v>3488101967</v>
      </c>
      <c r="C2918" s="4" t="s">
        <v>8072</v>
      </c>
      <c r="D2918" s="4">
        <v>72121</v>
      </c>
      <c r="E2918" s="4">
        <v>20210430</v>
      </c>
      <c r="F2918" s="4">
        <v>20210430</v>
      </c>
      <c r="G2918" s="4">
        <v>20240430</v>
      </c>
      <c r="H2918" s="4" t="s">
        <v>8071</v>
      </c>
      <c r="I2918" s="4" t="s">
        <v>8070</v>
      </c>
      <c r="J2918" s="4" t="s">
        <v>2243</v>
      </c>
    </row>
    <row r="2919" spans="1:10" hidden="1">
      <c r="A2919" s="4">
        <v>2.0210426299000301E+17</v>
      </c>
      <c r="B2919" s="4">
        <v>3278700041</v>
      </c>
      <c r="C2919" s="4" t="s">
        <v>8069</v>
      </c>
      <c r="D2919" s="4">
        <v>26299</v>
      </c>
      <c r="E2919" s="4">
        <v>20210430</v>
      </c>
      <c r="F2919" s="4">
        <v>20210430</v>
      </c>
      <c r="G2919" s="4">
        <v>20220403</v>
      </c>
      <c r="H2919" s="4" t="s">
        <v>8068</v>
      </c>
      <c r="I2919" s="4" t="s">
        <v>8067</v>
      </c>
      <c r="J2919" s="4" t="s">
        <v>339</v>
      </c>
    </row>
    <row r="2920" spans="1:10" hidden="1">
      <c r="A2920" s="4">
        <v>2.0210442412000301E+17</v>
      </c>
      <c r="B2920" s="4">
        <v>4928600654</v>
      </c>
      <c r="C2920" s="4" t="s">
        <v>8066</v>
      </c>
      <c r="D2920" s="4">
        <v>42412</v>
      </c>
      <c r="E2920" s="4">
        <v>20210430</v>
      </c>
      <c r="F2920" s="4">
        <v>20210430</v>
      </c>
      <c r="G2920" s="4">
        <v>20240222</v>
      </c>
      <c r="H2920" s="4" t="s">
        <v>8065</v>
      </c>
      <c r="I2920" s="4" t="s">
        <v>3672</v>
      </c>
      <c r="J2920" s="4" t="s">
        <v>281</v>
      </c>
    </row>
    <row r="2921" spans="1:10">
      <c r="A2921" s="4">
        <v>2.0210658190000499E+17</v>
      </c>
      <c r="B2921" s="4">
        <v>6028165434</v>
      </c>
      <c r="C2921" s="4" t="s">
        <v>12627</v>
      </c>
      <c r="D2921" s="4">
        <v>58190</v>
      </c>
      <c r="E2921" s="4">
        <v>20210622</v>
      </c>
      <c r="F2921" s="4">
        <v>20210622</v>
      </c>
      <c r="G2921" s="4">
        <v>20210708</v>
      </c>
      <c r="H2921" s="4" t="s">
        <v>12626</v>
      </c>
      <c r="I2921" s="4" t="s">
        <v>12625</v>
      </c>
      <c r="J2921" s="4" t="s">
        <v>196</v>
      </c>
    </row>
    <row r="2922" spans="1:10" hidden="1">
      <c r="A2922" s="4">
        <v>2.0210475992000301E+17</v>
      </c>
      <c r="B2922" s="4">
        <v>5398601272</v>
      </c>
      <c r="C2922" s="4" t="s">
        <v>8061</v>
      </c>
      <c r="D2922" s="4">
        <v>75992</v>
      </c>
      <c r="E2922" s="4">
        <v>20210430</v>
      </c>
      <c r="F2922" s="4">
        <v>20210430</v>
      </c>
      <c r="G2922" s="4">
        <v>20240430</v>
      </c>
      <c r="H2922" s="4" t="s">
        <v>8062</v>
      </c>
      <c r="I2922" s="4" t="s">
        <v>8061</v>
      </c>
      <c r="J2922" s="4" t="s">
        <v>111</v>
      </c>
    </row>
    <row r="2923" spans="1:10" hidden="1">
      <c r="A2923" s="4">
        <v>2.0210422223000301E+17</v>
      </c>
      <c r="B2923" s="4">
        <v>3548702022</v>
      </c>
      <c r="C2923" s="4" t="s">
        <v>6181</v>
      </c>
      <c r="D2923" s="4">
        <v>22223</v>
      </c>
      <c r="E2923" s="4">
        <v>20210430</v>
      </c>
      <c r="F2923" s="4">
        <v>20210430</v>
      </c>
      <c r="G2923" s="4">
        <v>20240430</v>
      </c>
      <c r="H2923" s="4" t="s">
        <v>8060</v>
      </c>
      <c r="I2923" s="4" t="s">
        <v>8059</v>
      </c>
      <c r="J2923" s="4" t="s">
        <v>1618</v>
      </c>
    </row>
    <row r="2924" spans="1:10" hidden="1">
      <c r="A2924" s="4">
        <v>2.0210428429000301E+17</v>
      </c>
      <c r="B2924" s="4">
        <v>1678600796</v>
      </c>
      <c r="C2924" s="4" t="s">
        <v>8058</v>
      </c>
      <c r="D2924" s="4">
        <v>28429</v>
      </c>
      <c r="E2924" s="4">
        <v>20210430</v>
      </c>
      <c r="F2924" s="4">
        <v>20210430</v>
      </c>
      <c r="G2924" s="4">
        <v>20240430</v>
      </c>
      <c r="H2924" s="4" t="s">
        <v>8057</v>
      </c>
      <c r="J2924" s="4" t="s">
        <v>765</v>
      </c>
    </row>
    <row r="2925" spans="1:10" hidden="1">
      <c r="A2925" s="4">
        <v>2.0210442311000301E+17</v>
      </c>
      <c r="B2925" s="4">
        <v>6868100889</v>
      </c>
      <c r="C2925" s="4" t="s">
        <v>8056</v>
      </c>
      <c r="D2925" s="4">
        <v>42311</v>
      </c>
      <c r="E2925" s="4">
        <v>20210430</v>
      </c>
      <c r="F2925" s="4">
        <v>20210430</v>
      </c>
      <c r="G2925" s="4">
        <v>20240430</v>
      </c>
      <c r="H2925" s="4" t="s">
        <v>8055</v>
      </c>
      <c r="J2925" s="4" t="s">
        <v>718</v>
      </c>
    </row>
    <row r="2926" spans="1:10" hidden="1">
      <c r="A2926" s="4">
        <v>2.0210442411000301E+17</v>
      </c>
      <c r="B2926" s="4">
        <v>8588700905</v>
      </c>
      <c r="C2926" s="4" t="s">
        <v>8054</v>
      </c>
      <c r="D2926" s="4">
        <v>42411</v>
      </c>
      <c r="E2926" s="4">
        <v>20210430</v>
      </c>
      <c r="F2926" s="4">
        <v>20210430</v>
      </c>
      <c r="G2926" s="4">
        <v>20240430</v>
      </c>
      <c r="H2926" s="4" t="s">
        <v>8053</v>
      </c>
      <c r="I2926" s="4" t="s">
        <v>8052</v>
      </c>
      <c r="J2926" s="4" t="s">
        <v>2211</v>
      </c>
    </row>
    <row r="2927" spans="1:10" hidden="1">
      <c r="A2927" s="4">
        <v>2.0210442137000301E+17</v>
      </c>
      <c r="B2927" s="4">
        <v>1148802061</v>
      </c>
      <c r="C2927" s="4" t="s">
        <v>8051</v>
      </c>
      <c r="D2927" s="4">
        <v>42137</v>
      </c>
      <c r="E2927" s="4">
        <v>20210430</v>
      </c>
      <c r="F2927" s="4">
        <v>20210430</v>
      </c>
      <c r="G2927" s="4">
        <v>20240430</v>
      </c>
      <c r="H2927" s="4" t="s">
        <v>8050</v>
      </c>
      <c r="I2927" s="4" t="s">
        <v>247</v>
      </c>
      <c r="J2927" s="4" t="s">
        <v>2279</v>
      </c>
    </row>
    <row r="2928" spans="1:10" hidden="1">
      <c r="A2928" s="4">
        <v>2.0210428909000301E+17</v>
      </c>
      <c r="B2928" s="4">
        <v>2868700283</v>
      </c>
      <c r="C2928" s="4" t="s">
        <v>8049</v>
      </c>
      <c r="D2928" s="4">
        <v>28909</v>
      </c>
      <c r="E2928" s="4">
        <v>20210430</v>
      </c>
      <c r="F2928" s="4">
        <v>20210430</v>
      </c>
      <c r="G2928" s="4">
        <v>20221229</v>
      </c>
      <c r="H2928" s="4" t="s">
        <v>3486</v>
      </c>
      <c r="I2928" s="4" t="s">
        <v>8048</v>
      </c>
      <c r="J2928" s="4" t="s">
        <v>253</v>
      </c>
    </row>
    <row r="2929" spans="1:10" hidden="1">
      <c r="A2929" s="4">
        <v>2.0210428909000301E+17</v>
      </c>
      <c r="B2929" s="4">
        <v>2708701900</v>
      </c>
      <c r="C2929" s="4" t="s">
        <v>8047</v>
      </c>
      <c r="D2929" s="4">
        <v>28909</v>
      </c>
      <c r="E2929" s="4">
        <v>20210430</v>
      </c>
      <c r="F2929" s="4">
        <v>20210430</v>
      </c>
      <c r="G2929" s="4">
        <v>20240430</v>
      </c>
      <c r="H2929" s="4" t="s">
        <v>8046</v>
      </c>
      <c r="I2929" s="4" t="s">
        <v>8045</v>
      </c>
      <c r="J2929" s="4" t="s">
        <v>253</v>
      </c>
    </row>
    <row r="2930" spans="1:10" hidden="1">
      <c r="A2930" s="4">
        <v>2.0210475999000301E+17</v>
      </c>
      <c r="B2930" s="4">
        <v>8523300961</v>
      </c>
      <c r="C2930" s="4" t="s">
        <v>8044</v>
      </c>
      <c r="D2930" s="4">
        <v>75999</v>
      </c>
      <c r="E2930" s="4">
        <v>20210430</v>
      </c>
      <c r="F2930" s="4">
        <v>20210430</v>
      </c>
      <c r="G2930" s="4">
        <v>20240430</v>
      </c>
      <c r="H2930" s="4" t="s">
        <v>8043</v>
      </c>
      <c r="J2930" s="4" t="s">
        <v>158</v>
      </c>
    </row>
    <row r="2931" spans="1:10" hidden="1">
      <c r="A2931" s="4">
        <v>2.0210442412000301E+17</v>
      </c>
      <c r="B2931" s="4">
        <v>6608801866</v>
      </c>
      <c r="C2931" s="4" t="s">
        <v>8042</v>
      </c>
      <c r="D2931" s="4">
        <v>42412</v>
      </c>
      <c r="E2931" s="4">
        <v>20210430</v>
      </c>
      <c r="F2931" s="4">
        <v>20210430</v>
      </c>
      <c r="G2931" s="4">
        <v>20240430</v>
      </c>
      <c r="H2931" s="4" t="s">
        <v>8041</v>
      </c>
      <c r="I2931" s="4" t="s">
        <v>8040</v>
      </c>
      <c r="J2931" s="4" t="s">
        <v>281</v>
      </c>
    </row>
    <row r="2932" spans="1:10" hidden="1">
      <c r="A2932" s="4">
        <v>2.0210446452000301E+17</v>
      </c>
      <c r="B2932" s="4">
        <v>6066100551</v>
      </c>
      <c r="C2932" s="4" t="s">
        <v>8039</v>
      </c>
      <c r="D2932" s="4">
        <v>46452</v>
      </c>
      <c r="E2932" s="4">
        <v>20210430</v>
      </c>
      <c r="F2932" s="4">
        <v>20210430</v>
      </c>
      <c r="G2932" s="4">
        <v>20240430</v>
      </c>
      <c r="H2932" s="4" t="s">
        <v>8038</v>
      </c>
      <c r="J2932" s="4" t="s">
        <v>516</v>
      </c>
    </row>
    <row r="2933" spans="1:10" hidden="1">
      <c r="A2933" s="4">
        <v>2.0210442129000301E+17</v>
      </c>
      <c r="B2933" s="4">
        <v>3738601385</v>
      </c>
      <c r="C2933" s="4" t="s">
        <v>8037</v>
      </c>
      <c r="D2933" s="4">
        <v>42129</v>
      </c>
      <c r="E2933" s="4">
        <v>20210429</v>
      </c>
      <c r="F2933" s="4">
        <v>20210429</v>
      </c>
      <c r="G2933" s="4">
        <v>20240429</v>
      </c>
      <c r="H2933" s="4" t="s">
        <v>8036</v>
      </c>
      <c r="I2933" s="4" t="s">
        <v>8035</v>
      </c>
      <c r="J2933" s="4" t="s">
        <v>8034</v>
      </c>
    </row>
    <row r="2934" spans="1:10" hidden="1">
      <c r="A2934" s="4">
        <v>2.0210413999000301E+17</v>
      </c>
      <c r="B2934" s="4">
        <v>3988600162</v>
      </c>
      <c r="C2934" s="4" t="s">
        <v>8033</v>
      </c>
      <c r="D2934" s="4">
        <v>13999</v>
      </c>
      <c r="E2934" s="4">
        <v>20210429</v>
      </c>
      <c r="F2934" s="4">
        <v>20210429</v>
      </c>
      <c r="G2934" s="4">
        <v>20220731</v>
      </c>
      <c r="H2934" s="4" t="s">
        <v>8032</v>
      </c>
      <c r="J2934" s="4" t="s">
        <v>130</v>
      </c>
    </row>
    <row r="2935" spans="1:10" hidden="1">
      <c r="A2935" s="4">
        <v>2.0210442201000301E+17</v>
      </c>
      <c r="B2935" s="4">
        <v>5328100582</v>
      </c>
      <c r="C2935" s="4" t="s">
        <v>8031</v>
      </c>
      <c r="D2935" s="4">
        <v>42201</v>
      </c>
      <c r="E2935" s="4">
        <v>20210429</v>
      </c>
      <c r="F2935" s="4">
        <v>20210429</v>
      </c>
      <c r="G2935" s="4">
        <v>20240111</v>
      </c>
      <c r="H2935" s="4" t="s">
        <v>8030</v>
      </c>
      <c r="I2935" s="4" t="s">
        <v>8029</v>
      </c>
      <c r="J2935" s="4" t="s">
        <v>1710</v>
      </c>
    </row>
    <row r="2936" spans="1:10" hidden="1">
      <c r="A2936" s="4">
        <v>2.0210471393000301E+17</v>
      </c>
      <c r="B2936" s="4">
        <v>7838601961</v>
      </c>
      <c r="C2936" s="4" t="s">
        <v>8028</v>
      </c>
      <c r="D2936" s="4">
        <v>71393</v>
      </c>
      <c r="E2936" s="4">
        <v>20210429</v>
      </c>
      <c r="F2936" s="4">
        <v>20210429</v>
      </c>
      <c r="G2936" s="4">
        <v>20240429</v>
      </c>
      <c r="H2936" s="4" t="s">
        <v>8027</v>
      </c>
      <c r="I2936" s="4" t="s">
        <v>91</v>
      </c>
      <c r="J2936" s="4" t="s">
        <v>7125</v>
      </c>
    </row>
    <row r="2937" spans="1:10" hidden="1">
      <c r="A2937" s="4">
        <v>2.0210475999000301E+17</v>
      </c>
      <c r="B2937" s="4">
        <v>4228701699</v>
      </c>
      <c r="C2937" s="4" t="s">
        <v>8026</v>
      </c>
      <c r="D2937" s="4">
        <v>75999</v>
      </c>
      <c r="E2937" s="4">
        <v>20210429</v>
      </c>
      <c r="F2937" s="4">
        <v>20210429</v>
      </c>
      <c r="G2937" s="4">
        <v>20240429</v>
      </c>
      <c r="H2937" s="4" t="s">
        <v>8025</v>
      </c>
      <c r="I2937" s="4" t="s">
        <v>8024</v>
      </c>
      <c r="J2937" s="4" t="s">
        <v>158</v>
      </c>
    </row>
    <row r="2938" spans="1:10" hidden="1">
      <c r="A2938" s="4">
        <v>2.0210442321000301E+17</v>
      </c>
      <c r="B2938" s="4">
        <v>1858602147</v>
      </c>
      <c r="C2938" s="4" t="s">
        <v>8023</v>
      </c>
      <c r="D2938" s="4">
        <v>42321</v>
      </c>
      <c r="E2938" s="4">
        <v>20210429</v>
      </c>
      <c r="F2938" s="4">
        <v>20210429</v>
      </c>
      <c r="G2938" s="4">
        <v>20240429</v>
      </c>
      <c r="H2938" s="4" t="s">
        <v>1644</v>
      </c>
      <c r="I2938" s="4" t="s">
        <v>8022</v>
      </c>
      <c r="J2938" s="4" t="s">
        <v>698</v>
      </c>
    </row>
    <row r="2939" spans="1:10" hidden="1">
      <c r="A2939" s="4">
        <v>2.0210415220000301E+17</v>
      </c>
      <c r="B2939" s="4">
        <v>4448801094</v>
      </c>
      <c r="C2939" s="4" t="s">
        <v>8021</v>
      </c>
      <c r="D2939" s="4">
        <v>15220</v>
      </c>
      <c r="E2939" s="4">
        <v>20210429</v>
      </c>
      <c r="F2939" s="4">
        <v>20210429</v>
      </c>
      <c r="G2939" s="4">
        <v>20240429</v>
      </c>
      <c r="H2939" s="4" t="s">
        <v>3515</v>
      </c>
      <c r="I2939" s="4" t="s">
        <v>8020</v>
      </c>
      <c r="J2939" s="4" t="s">
        <v>523</v>
      </c>
    </row>
    <row r="2940" spans="1:10" hidden="1">
      <c r="A2940" s="4">
        <v>2.0210520499000301E+17</v>
      </c>
      <c r="B2940" s="4">
        <v>4278700661</v>
      </c>
      <c r="C2940" s="4" t="s">
        <v>8233</v>
      </c>
      <c r="D2940" s="4">
        <v>20499</v>
      </c>
      <c r="E2940" s="4">
        <v>20210504</v>
      </c>
      <c r="F2940" s="4">
        <v>20210504</v>
      </c>
      <c r="G2940" s="4">
        <v>20240504</v>
      </c>
      <c r="H2940" s="4" t="s">
        <v>3772</v>
      </c>
      <c r="J2940" s="4" t="s">
        <v>406</v>
      </c>
    </row>
    <row r="2941" spans="1:10" hidden="1">
      <c r="A2941" s="4">
        <v>2.0210458222000301E+17</v>
      </c>
      <c r="B2941" s="4">
        <v>4628800375</v>
      </c>
      <c r="C2941" s="4" t="s">
        <v>8016</v>
      </c>
      <c r="D2941" s="4">
        <v>58222</v>
      </c>
      <c r="E2941" s="4">
        <v>20210429</v>
      </c>
      <c r="F2941" s="4">
        <v>20210429</v>
      </c>
      <c r="G2941" s="4">
        <v>20230523</v>
      </c>
      <c r="H2941" s="4" t="s">
        <v>1593</v>
      </c>
      <c r="J2941" s="4" t="s">
        <v>94</v>
      </c>
    </row>
    <row r="2942" spans="1:10" hidden="1">
      <c r="A2942" s="4">
        <v>2.0210458222000301E+17</v>
      </c>
      <c r="B2942" s="4">
        <v>1558600454</v>
      </c>
      <c r="C2942" s="4" t="s">
        <v>8015</v>
      </c>
      <c r="D2942" s="4">
        <v>58222</v>
      </c>
      <c r="E2942" s="4">
        <v>20210429</v>
      </c>
      <c r="F2942" s="4">
        <v>20210429</v>
      </c>
      <c r="G2942" s="4">
        <v>20240207</v>
      </c>
      <c r="H2942" s="4" t="s">
        <v>8014</v>
      </c>
      <c r="I2942" s="4" t="s">
        <v>185</v>
      </c>
      <c r="J2942" s="4" t="s">
        <v>94</v>
      </c>
    </row>
    <row r="2943" spans="1:10" hidden="1">
      <c r="A2943" s="4">
        <v>2.0210447912000301E+17</v>
      </c>
      <c r="B2943" s="4">
        <v>3127300213</v>
      </c>
      <c r="C2943" s="4" t="s">
        <v>8013</v>
      </c>
      <c r="D2943" s="4">
        <v>47912</v>
      </c>
      <c r="E2943" s="4">
        <v>20210429</v>
      </c>
      <c r="F2943" s="4">
        <v>20210429</v>
      </c>
      <c r="G2943" s="4">
        <v>20240429</v>
      </c>
      <c r="H2943" s="4" t="s">
        <v>8012</v>
      </c>
      <c r="I2943" s="4" t="s">
        <v>3036</v>
      </c>
      <c r="J2943" s="4" t="s">
        <v>78</v>
      </c>
    </row>
    <row r="2944" spans="1:10" hidden="1">
      <c r="A2944" s="4">
        <v>2.0210446595000301E+17</v>
      </c>
      <c r="B2944" s="4">
        <v>5151889119</v>
      </c>
      <c r="C2944" s="4" t="s">
        <v>8011</v>
      </c>
      <c r="D2944" s="4">
        <v>46595</v>
      </c>
      <c r="E2944" s="4">
        <v>20210429</v>
      </c>
      <c r="F2944" s="4">
        <v>20210429</v>
      </c>
      <c r="G2944" s="4">
        <v>20240429</v>
      </c>
      <c r="H2944" s="4" t="s">
        <v>8010</v>
      </c>
      <c r="J2944" s="4" t="s">
        <v>960</v>
      </c>
    </row>
    <row r="2945" spans="1:10" hidden="1">
      <c r="A2945" s="4">
        <v>2.0210446452000301E+17</v>
      </c>
      <c r="B2945" s="4">
        <v>5556700196</v>
      </c>
      <c r="C2945" s="4" t="s">
        <v>8009</v>
      </c>
      <c r="D2945" s="4">
        <v>46452</v>
      </c>
      <c r="E2945" s="4">
        <v>20210429</v>
      </c>
      <c r="F2945" s="4">
        <v>20210429</v>
      </c>
      <c r="G2945" s="4">
        <v>20240429</v>
      </c>
      <c r="H2945" s="4" t="s">
        <v>8008</v>
      </c>
      <c r="I2945" s="4" t="s">
        <v>8007</v>
      </c>
      <c r="J2945" s="4" t="s">
        <v>516</v>
      </c>
    </row>
    <row r="2946" spans="1:10" hidden="1">
      <c r="A2946" s="4">
        <v>2.0210446510000301E+17</v>
      </c>
      <c r="B2946" s="4">
        <v>5728802082</v>
      </c>
      <c r="C2946" s="4" t="s">
        <v>8006</v>
      </c>
      <c r="D2946" s="4">
        <v>46510</v>
      </c>
      <c r="E2946" s="4">
        <v>20210429</v>
      </c>
      <c r="F2946" s="4">
        <v>20210429</v>
      </c>
      <c r="G2946" s="4">
        <v>20240429</v>
      </c>
      <c r="H2946" s="4" t="s">
        <v>3171</v>
      </c>
      <c r="I2946" s="4" t="s">
        <v>8005</v>
      </c>
      <c r="J2946" s="4" t="s">
        <v>126</v>
      </c>
    </row>
    <row r="2947" spans="1:10" hidden="1">
      <c r="A2947" s="4">
        <v>2.0210458222000301E+17</v>
      </c>
      <c r="B2947" s="4">
        <v>6680501644</v>
      </c>
      <c r="C2947" s="4" t="s">
        <v>8004</v>
      </c>
      <c r="D2947" s="4">
        <v>58222</v>
      </c>
      <c r="E2947" s="4">
        <v>20210429</v>
      </c>
      <c r="F2947" s="4">
        <v>20210429</v>
      </c>
      <c r="G2947" s="4">
        <v>20240429</v>
      </c>
      <c r="H2947" s="4" t="s">
        <v>8003</v>
      </c>
      <c r="I2947" s="4" t="s">
        <v>8002</v>
      </c>
      <c r="J2947" s="4" t="s">
        <v>94</v>
      </c>
    </row>
    <row r="2948" spans="1:10" hidden="1">
      <c r="A2948" s="4">
        <v>2.0210473201000301E+17</v>
      </c>
      <c r="B2948" s="4">
        <v>3825900176</v>
      </c>
      <c r="C2948" s="4" t="s">
        <v>8001</v>
      </c>
      <c r="D2948" s="4">
        <v>73201</v>
      </c>
      <c r="E2948" s="4">
        <v>20210429</v>
      </c>
      <c r="F2948" s="4">
        <v>20210429</v>
      </c>
      <c r="G2948" s="4">
        <v>20240429</v>
      </c>
      <c r="H2948" s="4" t="s">
        <v>8000</v>
      </c>
      <c r="I2948" s="4" t="s">
        <v>6226</v>
      </c>
      <c r="J2948" s="4" t="s">
        <v>569</v>
      </c>
    </row>
    <row r="2949" spans="1:10" hidden="1">
      <c r="A2949" s="4">
        <v>2.0210529131000301E+17</v>
      </c>
      <c r="B2949" s="4">
        <v>2448101404</v>
      </c>
      <c r="C2949" s="4" t="s">
        <v>8170</v>
      </c>
      <c r="D2949" s="4">
        <v>29131</v>
      </c>
      <c r="E2949" s="4">
        <v>20210503</v>
      </c>
      <c r="F2949" s="4">
        <v>20210503</v>
      </c>
      <c r="G2949" s="4">
        <v>20240503</v>
      </c>
      <c r="H2949" s="4" t="s">
        <v>8169</v>
      </c>
      <c r="J2949" s="4" t="s">
        <v>4077</v>
      </c>
    </row>
    <row r="2950" spans="1:10" hidden="1">
      <c r="A2950" s="4">
        <v>2.0210442412000301E+17</v>
      </c>
      <c r="B2950" s="4">
        <v>4338601197</v>
      </c>
      <c r="C2950" s="4" t="s">
        <v>7997</v>
      </c>
      <c r="D2950" s="4">
        <v>42412</v>
      </c>
      <c r="E2950" s="4">
        <v>20210429</v>
      </c>
      <c r="F2950" s="4">
        <v>20210429</v>
      </c>
      <c r="G2950" s="4">
        <v>20240429</v>
      </c>
      <c r="H2950" s="4" t="s">
        <v>7996</v>
      </c>
      <c r="J2950" s="4" t="s">
        <v>281</v>
      </c>
    </row>
    <row r="2951" spans="1:10" hidden="1">
      <c r="A2951" s="4">
        <v>2.0210428422000301E+17</v>
      </c>
      <c r="B2951" s="4">
        <v>6938101663</v>
      </c>
      <c r="C2951" s="4" t="s">
        <v>7995</v>
      </c>
      <c r="D2951" s="4">
        <v>28422</v>
      </c>
      <c r="E2951" s="4">
        <v>20210429</v>
      </c>
      <c r="F2951" s="4">
        <v>20210429</v>
      </c>
      <c r="G2951" s="4">
        <v>20240429</v>
      </c>
      <c r="H2951" s="4" t="s">
        <v>7994</v>
      </c>
      <c r="I2951" s="4" t="s">
        <v>149</v>
      </c>
      <c r="J2951" s="4" t="s">
        <v>188</v>
      </c>
    </row>
    <row r="2952" spans="1:10" hidden="1">
      <c r="A2952" s="4">
        <v>2.0210413402000301E+17</v>
      </c>
      <c r="B2952" s="4">
        <v>7221800992</v>
      </c>
      <c r="C2952" s="4" t="s">
        <v>7993</v>
      </c>
      <c r="D2952" s="4">
        <v>13402</v>
      </c>
      <c r="E2952" s="4">
        <v>20210429</v>
      </c>
      <c r="F2952" s="4">
        <v>20210429</v>
      </c>
      <c r="G2952" s="4">
        <v>20240429</v>
      </c>
      <c r="H2952" s="4" t="s">
        <v>7992</v>
      </c>
      <c r="J2952" s="4" t="s">
        <v>5023</v>
      </c>
    </row>
    <row r="2953" spans="1:10" hidden="1">
      <c r="A2953" s="4">
        <v>2.0210446442000301E+17</v>
      </c>
      <c r="B2953" s="4">
        <v>6798700864</v>
      </c>
      <c r="C2953" s="4" t="s">
        <v>7991</v>
      </c>
      <c r="D2953" s="4">
        <v>46442</v>
      </c>
      <c r="E2953" s="4">
        <v>20210429</v>
      </c>
      <c r="F2953" s="4">
        <v>20210429</v>
      </c>
      <c r="G2953" s="4">
        <v>20240429</v>
      </c>
      <c r="H2953" s="4" t="s">
        <v>7990</v>
      </c>
      <c r="I2953" s="4" t="s">
        <v>7989</v>
      </c>
      <c r="J2953" s="4" t="s">
        <v>3282</v>
      </c>
    </row>
    <row r="2954" spans="1:10" hidden="1">
      <c r="A2954" s="4">
        <v>2.0210446539000301E+17</v>
      </c>
      <c r="B2954" s="4">
        <v>2014500531</v>
      </c>
      <c r="C2954" s="4" t="s">
        <v>7988</v>
      </c>
      <c r="D2954" s="4">
        <v>46539</v>
      </c>
      <c r="E2954" s="4">
        <v>20210429</v>
      </c>
      <c r="F2954" s="4">
        <v>20210429</v>
      </c>
      <c r="G2954" s="4">
        <v>20240429</v>
      </c>
      <c r="H2954" s="4" t="s">
        <v>1347</v>
      </c>
      <c r="I2954" s="4" t="s">
        <v>7987</v>
      </c>
      <c r="J2954" s="4" t="s">
        <v>3056</v>
      </c>
    </row>
    <row r="2955" spans="1:10" hidden="1">
      <c r="A2955" s="4">
        <v>2.0210446599000301E+17</v>
      </c>
      <c r="B2955" s="4">
        <v>8445100246</v>
      </c>
      <c r="C2955" s="4" t="s">
        <v>7986</v>
      </c>
      <c r="D2955" s="4">
        <v>46599</v>
      </c>
      <c r="E2955" s="4">
        <v>20210429</v>
      </c>
      <c r="F2955" s="4">
        <v>20210429</v>
      </c>
      <c r="G2955" s="4">
        <v>20240228</v>
      </c>
      <c r="H2955" s="4" t="s">
        <v>7985</v>
      </c>
      <c r="I2955" s="4" t="s">
        <v>7984</v>
      </c>
      <c r="J2955" s="4" t="s">
        <v>2310</v>
      </c>
    </row>
    <row r="2956" spans="1:10" hidden="1">
      <c r="A2956" s="4">
        <v>2.0210428123000301E+17</v>
      </c>
      <c r="B2956" s="4">
        <v>5818800486</v>
      </c>
      <c r="C2956" s="4" t="s">
        <v>7983</v>
      </c>
      <c r="D2956" s="4">
        <v>28123</v>
      </c>
      <c r="E2956" s="4">
        <v>20210429</v>
      </c>
      <c r="F2956" s="4">
        <v>20210429</v>
      </c>
      <c r="G2956" s="4">
        <v>20230222</v>
      </c>
      <c r="H2956" s="4" t="s">
        <v>7982</v>
      </c>
      <c r="J2956" s="4" t="s">
        <v>640</v>
      </c>
    </row>
    <row r="2957" spans="1:10" hidden="1">
      <c r="A2957" s="4">
        <v>2.0210425994000301E+17</v>
      </c>
      <c r="B2957" s="4">
        <v>2108179307</v>
      </c>
      <c r="C2957" s="4" t="s">
        <v>7981</v>
      </c>
      <c r="D2957" s="4">
        <v>25994</v>
      </c>
      <c r="E2957" s="4">
        <v>20210429</v>
      </c>
      <c r="F2957" s="4">
        <v>20210429</v>
      </c>
      <c r="G2957" s="4">
        <v>20240429</v>
      </c>
      <c r="H2957" s="4" t="s">
        <v>7980</v>
      </c>
      <c r="I2957" s="4" t="s">
        <v>7979</v>
      </c>
      <c r="J2957" s="4" t="s">
        <v>847</v>
      </c>
    </row>
    <row r="2958" spans="1:10" hidden="1">
      <c r="A2958" s="4">
        <v>2.0210442500000301E+17</v>
      </c>
      <c r="B2958" s="4">
        <v>6858700836</v>
      </c>
      <c r="C2958" s="4" t="s">
        <v>7978</v>
      </c>
      <c r="D2958" s="4">
        <v>42500</v>
      </c>
      <c r="E2958" s="4">
        <v>20210429</v>
      </c>
      <c r="F2958" s="4">
        <v>20210429</v>
      </c>
      <c r="G2958" s="4">
        <v>20240429</v>
      </c>
      <c r="H2958" s="4" t="s">
        <v>7977</v>
      </c>
      <c r="I2958" s="4" t="s">
        <v>91</v>
      </c>
      <c r="J2958" s="4" t="s">
        <v>740</v>
      </c>
    </row>
    <row r="2959" spans="1:10" hidden="1">
      <c r="A2959" s="4">
        <v>2.0210475999000301E+17</v>
      </c>
      <c r="B2959" s="4">
        <v>7358801122</v>
      </c>
      <c r="C2959" s="4" t="s">
        <v>7976</v>
      </c>
      <c r="D2959" s="4">
        <v>75999</v>
      </c>
      <c r="E2959" s="4">
        <v>20210429</v>
      </c>
      <c r="F2959" s="4">
        <v>20210429</v>
      </c>
      <c r="G2959" s="4">
        <v>20240429</v>
      </c>
      <c r="H2959" s="4" t="s">
        <v>7975</v>
      </c>
      <c r="J2959" s="4" t="s">
        <v>158</v>
      </c>
    </row>
    <row r="2960" spans="1:10" hidden="1">
      <c r="A2960" s="4">
        <v>2.0210446521000301E+17</v>
      </c>
      <c r="B2960" s="4">
        <v>8778701579</v>
      </c>
      <c r="C2960" s="4" t="s">
        <v>7974</v>
      </c>
      <c r="D2960" s="4">
        <v>46521</v>
      </c>
      <c r="E2960" s="4">
        <v>20210429</v>
      </c>
      <c r="F2960" s="4">
        <v>20210429</v>
      </c>
      <c r="G2960" s="4">
        <v>20240429</v>
      </c>
      <c r="H2960" s="4" t="s">
        <v>458</v>
      </c>
      <c r="I2960" s="4" t="s">
        <v>7973</v>
      </c>
      <c r="J2960" s="4" t="s">
        <v>6178</v>
      </c>
    </row>
    <row r="2961" spans="1:10" hidden="1">
      <c r="A2961" s="4">
        <v>2.0210473202000301E+17</v>
      </c>
      <c r="B2961" s="4">
        <v>6708800656</v>
      </c>
      <c r="C2961" s="4" t="s">
        <v>7972</v>
      </c>
      <c r="D2961" s="4">
        <v>73202</v>
      </c>
      <c r="E2961" s="4">
        <v>20210429</v>
      </c>
      <c r="F2961" s="4">
        <v>20210429</v>
      </c>
      <c r="G2961" s="4">
        <v>20240410</v>
      </c>
      <c r="H2961" s="4" t="s">
        <v>7971</v>
      </c>
      <c r="I2961" s="4" t="s">
        <v>7970</v>
      </c>
      <c r="J2961" s="4" t="s">
        <v>605</v>
      </c>
    </row>
    <row r="2962" spans="1:10" hidden="1">
      <c r="A2962" s="4">
        <v>2.0210470129000301E+17</v>
      </c>
      <c r="B2962" s="4">
        <v>5068600045</v>
      </c>
      <c r="C2962" s="4" t="s">
        <v>7969</v>
      </c>
      <c r="D2962" s="4">
        <v>70129</v>
      </c>
      <c r="E2962" s="4">
        <v>20210429</v>
      </c>
      <c r="F2962" s="4">
        <v>20210429</v>
      </c>
      <c r="G2962" s="4">
        <v>20220410</v>
      </c>
      <c r="H2962" s="4" t="s">
        <v>767</v>
      </c>
      <c r="I2962" s="4" t="s">
        <v>7968</v>
      </c>
      <c r="J2962" s="4" t="s">
        <v>937</v>
      </c>
    </row>
    <row r="2963" spans="1:10" hidden="1">
      <c r="A2963" s="4">
        <v>2.0210458212000301E+17</v>
      </c>
      <c r="B2963" s="4">
        <v>2908101824</v>
      </c>
      <c r="C2963" s="4" t="s">
        <v>7967</v>
      </c>
      <c r="D2963" s="4">
        <v>58212</v>
      </c>
      <c r="E2963" s="4">
        <v>20210429</v>
      </c>
      <c r="F2963" s="4">
        <v>20210429</v>
      </c>
      <c r="G2963" s="4">
        <v>20240429</v>
      </c>
      <c r="H2963" s="4" t="s">
        <v>7966</v>
      </c>
      <c r="I2963" s="4" t="s">
        <v>7965</v>
      </c>
      <c r="J2963" s="4" t="s">
        <v>1076</v>
      </c>
    </row>
    <row r="2964" spans="1:10" hidden="1">
      <c r="A2964" s="4">
        <v>2.0210429133000301E+17</v>
      </c>
      <c r="B2964" s="4">
        <v>8078601350</v>
      </c>
      <c r="C2964" s="4" t="s">
        <v>7964</v>
      </c>
      <c r="D2964" s="4">
        <v>29133</v>
      </c>
      <c r="E2964" s="4">
        <v>20210429</v>
      </c>
      <c r="F2964" s="4">
        <v>20210429</v>
      </c>
      <c r="G2964" s="4">
        <v>20240429</v>
      </c>
      <c r="H2964" s="4" t="s">
        <v>7963</v>
      </c>
      <c r="I2964" s="4" t="s">
        <v>7962</v>
      </c>
      <c r="J2964" s="4" t="s">
        <v>990</v>
      </c>
    </row>
    <row r="2965" spans="1:10" hidden="1">
      <c r="A2965" s="4">
        <v>2.0210446800000301E+17</v>
      </c>
      <c r="B2965" s="4">
        <v>8668101709</v>
      </c>
      <c r="C2965" s="4" t="s">
        <v>7961</v>
      </c>
      <c r="D2965" s="4">
        <v>46800</v>
      </c>
      <c r="E2965" s="4">
        <v>20210429</v>
      </c>
      <c r="F2965" s="4">
        <v>20210429</v>
      </c>
      <c r="G2965" s="4">
        <v>20240429</v>
      </c>
      <c r="H2965" s="4" t="s">
        <v>2884</v>
      </c>
      <c r="I2965" s="4" t="s">
        <v>7960</v>
      </c>
      <c r="J2965" s="4" t="s">
        <v>979</v>
      </c>
    </row>
    <row r="2966" spans="1:10" hidden="1">
      <c r="A2966" s="4">
        <v>2.0210442322000301E+17</v>
      </c>
      <c r="B2966" s="4">
        <v>5178600462</v>
      </c>
      <c r="C2966" s="4" t="s">
        <v>7959</v>
      </c>
      <c r="D2966" s="4">
        <v>42322</v>
      </c>
      <c r="E2966" s="4">
        <v>20210429</v>
      </c>
      <c r="F2966" s="4">
        <v>20210429</v>
      </c>
      <c r="G2966" s="4">
        <v>20230830</v>
      </c>
      <c r="H2966" s="4" t="s">
        <v>7958</v>
      </c>
      <c r="I2966" s="4" t="s">
        <v>7957</v>
      </c>
      <c r="J2966" s="4" t="s">
        <v>2524</v>
      </c>
    </row>
    <row r="2967" spans="1:10" hidden="1">
      <c r="A2967" s="4">
        <v>2.0210471310000301E+17</v>
      </c>
      <c r="B2967" s="4">
        <v>6928700396</v>
      </c>
      <c r="C2967" s="4" t="s">
        <v>7956</v>
      </c>
      <c r="D2967" s="4">
        <v>71310</v>
      </c>
      <c r="E2967" s="4">
        <v>20210429</v>
      </c>
      <c r="F2967" s="4">
        <v>20210429</v>
      </c>
      <c r="G2967" s="4">
        <v>20230623</v>
      </c>
      <c r="H2967" s="4" t="s">
        <v>7955</v>
      </c>
      <c r="I2967" s="4" t="s">
        <v>7954</v>
      </c>
      <c r="J2967" s="4" t="s">
        <v>426</v>
      </c>
    </row>
    <row r="2968" spans="1:10" hidden="1">
      <c r="A2968" s="4">
        <v>2.0210442500000301E+17</v>
      </c>
      <c r="B2968" s="4">
        <v>2088601311</v>
      </c>
      <c r="C2968" s="4" t="s">
        <v>7953</v>
      </c>
      <c r="D2968" s="4">
        <v>42500</v>
      </c>
      <c r="E2968" s="4">
        <v>20210429</v>
      </c>
      <c r="F2968" s="4">
        <v>20210429</v>
      </c>
      <c r="G2968" s="4">
        <v>20240429</v>
      </c>
      <c r="H2968" s="4" t="s">
        <v>7952</v>
      </c>
      <c r="I2968" s="4" t="s">
        <v>7951</v>
      </c>
      <c r="J2968" s="4" t="s">
        <v>740</v>
      </c>
    </row>
    <row r="2969" spans="1:10" hidden="1">
      <c r="A2969" s="4">
        <v>2.0210423911000301E+17</v>
      </c>
      <c r="B2969" s="4">
        <v>6478102015</v>
      </c>
      <c r="C2969" s="4" t="s">
        <v>7950</v>
      </c>
      <c r="D2969" s="4">
        <v>23911</v>
      </c>
      <c r="E2969" s="4">
        <v>20210429</v>
      </c>
      <c r="F2969" s="4">
        <v>20210429</v>
      </c>
      <c r="G2969" s="4">
        <v>20240429</v>
      </c>
      <c r="H2969" s="4" t="s">
        <v>7949</v>
      </c>
      <c r="J2969" s="4" t="s">
        <v>5988</v>
      </c>
    </row>
    <row r="2970" spans="1:10" hidden="1">
      <c r="A2970" s="4">
        <v>2.0210442202000301E+17</v>
      </c>
      <c r="B2970" s="4">
        <v>3748801932</v>
      </c>
      <c r="C2970" s="4" t="s">
        <v>7948</v>
      </c>
      <c r="D2970" s="4">
        <v>42202</v>
      </c>
      <c r="E2970" s="4">
        <v>20210429</v>
      </c>
      <c r="F2970" s="4">
        <v>20210429</v>
      </c>
      <c r="G2970" s="4">
        <v>20240429</v>
      </c>
      <c r="H2970" s="4" t="s">
        <v>7947</v>
      </c>
      <c r="J2970" s="4" t="s">
        <v>447</v>
      </c>
    </row>
    <row r="2971" spans="1:10" hidden="1">
      <c r="A2971" s="4">
        <v>2.0210446499000301E+17</v>
      </c>
      <c r="B2971" s="4">
        <v>5458601578</v>
      </c>
      <c r="C2971" s="4" t="s">
        <v>7946</v>
      </c>
      <c r="D2971" s="4">
        <v>46499</v>
      </c>
      <c r="E2971" s="4">
        <v>20210429</v>
      </c>
      <c r="F2971" s="4">
        <v>20210429</v>
      </c>
      <c r="G2971" s="4">
        <v>20240429</v>
      </c>
      <c r="H2971" s="4" t="s">
        <v>7945</v>
      </c>
      <c r="I2971" s="4" t="s">
        <v>239</v>
      </c>
      <c r="J2971" s="4" t="s">
        <v>184</v>
      </c>
    </row>
    <row r="2972" spans="1:10" hidden="1">
      <c r="A2972" s="4">
        <v>2.0210428909000301E+17</v>
      </c>
      <c r="B2972" s="4">
        <v>8363600131</v>
      </c>
      <c r="C2972" s="4" t="s">
        <v>7944</v>
      </c>
      <c r="D2972" s="4">
        <v>28909</v>
      </c>
      <c r="E2972" s="4">
        <v>20210429</v>
      </c>
      <c r="F2972" s="4">
        <v>20210429</v>
      </c>
      <c r="G2972" s="4">
        <v>20230129</v>
      </c>
      <c r="H2972" s="4" t="s">
        <v>7943</v>
      </c>
      <c r="I2972" s="4" t="s">
        <v>7942</v>
      </c>
      <c r="J2972" s="4" t="s">
        <v>253</v>
      </c>
    </row>
    <row r="2973" spans="1:10">
      <c r="A2973" s="4">
        <v>2.0210718129000602E+17</v>
      </c>
      <c r="B2973" s="4">
        <v>3071662306</v>
      </c>
      <c r="C2973" s="4" t="s">
        <v>14510</v>
      </c>
      <c r="D2973" s="4">
        <v>18129</v>
      </c>
      <c r="E2973" s="4">
        <v>20210706</v>
      </c>
      <c r="F2973" s="4">
        <v>20210706</v>
      </c>
      <c r="G2973" s="4">
        <v>20221119</v>
      </c>
      <c r="H2973" s="4" t="s">
        <v>14509</v>
      </c>
      <c r="I2973" s="4">
        <v>402</v>
      </c>
      <c r="J2973" s="4" t="s">
        <v>2546</v>
      </c>
    </row>
    <row r="2974" spans="1:10" hidden="1">
      <c r="A2974" s="4">
        <v>2.0210447912000301E+17</v>
      </c>
      <c r="B2974" s="4">
        <v>7580201567</v>
      </c>
      <c r="C2974" s="4" t="s">
        <v>7939</v>
      </c>
      <c r="D2974" s="4">
        <v>47912</v>
      </c>
      <c r="E2974" s="4">
        <v>20210429</v>
      </c>
      <c r="F2974" s="4">
        <v>20210429</v>
      </c>
      <c r="G2974" s="4">
        <v>20240429</v>
      </c>
      <c r="H2974" s="4" t="s">
        <v>7938</v>
      </c>
      <c r="I2974" s="4" t="s">
        <v>7937</v>
      </c>
      <c r="J2974" s="4" t="s">
        <v>78</v>
      </c>
    </row>
    <row r="2975" spans="1:10" hidden="1">
      <c r="A2975" s="4">
        <v>2.0210458222000301E+17</v>
      </c>
      <c r="B2975" s="4">
        <v>1968601298</v>
      </c>
      <c r="C2975" s="4" t="s">
        <v>7936</v>
      </c>
      <c r="D2975" s="4">
        <v>58222</v>
      </c>
      <c r="E2975" s="4">
        <v>20210429</v>
      </c>
      <c r="F2975" s="4">
        <v>20210429</v>
      </c>
      <c r="G2975" s="4">
        <v>20240429</v>
      </c>
      <c r="H2975" s="4" t="s">
        <v>7935</v>
      </c>
      <c r="I2975" s="4" t="s">
        <v>7934</v>
      </c>
      <c r="J2975" s="4" t="s">
        <v>94</v>
      </c>
    </row>
    <row r="2976" spans="1:10" hidden="1">
      <c r="A2976" s="4">
        <v>2.0210446521000301E+17</v>
      </c>
      <c r="B2976" s="4">
        <v>4752401005</v>
      </c>
      <c r="C2976" s="4" t="s">
        <v>7933</v>
      </c>
      <c r="D2976" s="4">
        <v>46521</v>
      </c>
      <c r="E2976" s="4">
        <v>20210429</v>
      </c>
      <c r="F2976" s="4">
        <v>20210429</v>
      </c>
      <c r="G2976" s="4">
        <v>20240429</v>
      </c>
      <c r="H2976" s="4" t="s">
        <v>7932</v>
      </c>
      <c r="I2976" s="4" t="s">
        <v>91</v>
      </c>
      <c r="J2976" s="4" t="s">
        <v>6178</v>
      </c>
    </row>
    <row r="2977" spans="1:10" hidden="1">
      <c r="A2977" s="4">
        <v>2.0210416102000301E+17</v>
      </c>
      <c r="B2977" s="4">
        <v>5138800902</v>
      </c>
      <c r="C2977" s="4" t="s">
        <v>7930</v>
      </c>
      <c r="D2977" s="4">
        <v>16102</v>
      </c>
      <c r="E2977" s="4">
        <v>20210428</v>
      </c>
      <c r="F2977" s="4">
        <v>20210428</v>
      </c>
      <c r="G2977" s="4">
        <v>20240428</v>
      </c>
      <c r="H2977" s="4" t="s">
        <v>7931</v>
      </c>
      <c r="I2977" s="4" t="s">
        <v>7930</v>
      </c>
      <c r="J2977" s="4" t="s">
        <v>451</v>
      </c>
    </row>
    <row r="2978" spans="1:10" hidden="1">
      <c r="A2978" s="4">
        <v>2.0210425112000301E+17</v>
      </c>
      <c r="B2978" s="4">
        <v>5178700998</v>
      </c>
      <c r="C2978" s="4" t="s">
        <v>6048</v>
      </c>
      <c r="D2978" s="4">
        <v>25112</v>
      </c>
      <c r="E2978" s="4">
        <v>20210428</v>
      </c>
      <c r="F2978" s="4">
        <v>20210428</v>
      </c>
      <c r="G2978" s="4">
        <v>20240428</v>
      </c>
      <c r="H2978" s="4" t="s">
        <v>7929</v>
      </c>
      <c r="I2978" s="4" t="s">
        <v>149</v>
      </c>
      <c r="J2978" s="4" t="s">
        <v>320</v>
      </c>
    </row>
    <row r="2979" spans="1:10" hidden="1">
      <c r="A2979" s="4">
        <v>2.0210425111000301E+17</v>
      </c>
      <c r="B2979" s="4">
        <v>3898101876</v>
      </c>
      <c r="C2979" s="4" t="s">
        <v>7928</v>
      </c>
      <c r="D2979" s="4">
        <v>25111</v>
      </c>
      <c r="E2979" s="4">
        <v>20210428</v>
      </c>
      <c r="F2979" s="4">
        <v>20210428</v>
      </c>
      <c r="G2979" s="4">
        <v>20240428</v>
      </c>
      <c r="H2979" s="4" t="s">
        <v>7927</v>
      </c>
      <c r="J2979" s="4" t="s">
        <v>82</v>
      </c>
    </row>
    <row r="2980" spans="1:10" hidden="1">
      <c r="A2980" s="4">
        <v>2.0210458222000301E+17</v>
      </c>
      <c r="B2980" s="4">
        <v>8558701977</v>
      </c>
      <c r="C2980" s="4" t="s">
        <v>7926</v>
      </c>
      <c r="D2980" s="4">
        <v>58222</v>
      </c>
      <c r="E2980" s="4">
        <v>20210428</v>
      </c>
      <c r="F2980" s="4">
        <v>20210428</v>
      </c>
      <c r="G2980" s="4">
        <v>20240428</v>
      </c>
      <c r="H2980" s="4" t="s">
        <v>7925</v>
      </c>
      <c r="I2980" s="4" t="s">
        <v>7924</v>
      </c>
      <c r="J2980" s="4" t="s">
        <v>94</v>
      </c>
    </row>
    <row r="2981" spans="1:10" hidden="1">
      <c r="A2981" s="4">
        <v>2.0210429280000301E+17</v>
      </c>
      <c r="B2981" s="4">
        <v>5638102075</v>
      </c>
      <c r="C2981" s="4" t="s">
        <v>7923</v>
      </c>
      <c r="D2981" s="4">
        <v>29280</v>
      </c>
      <c r="E2981" s="4">
        <v>20210428</v>
      </c>
      <c r="F2981" s="4">
        <v>20210428</v>
      </c>
      <c r="G2981" s="4">
        <v>20240428</v>
      </c>
      <c r="H2981" s="4" t="s">
        <v>7922</v>
      </c>
      <c r="J2981" s="4" t="s">
        <v>533</v>
      </c>
    </row>
    <row r="2982" spans="1:10" hidden="1">
      <c r="A2982" s="4">
        <v>2.0210429132000301E+17</v>
      </c>
      <c r="B2982" s="4">
        <v>4258700137</v>
      </c>
      <c r="C2982" s="4" t="s">
        <v>7921</v>
      </c>
      <c r="D2982" s="4">
        <v>29132</v>
      </c>
      <c r="E2982" s="4">
        <v>20210428</v>
      </c>
      <c r="F2982" s="4">
        <v>20210428</v>
      </c>
      <c r="G2982" s="4">
        <v>20220708</v>
      </c>
      <c r="H2982" s="4" t="s">
        <v>7920</v>
      </c>
      <c r="J2982" s="4" t="s">
        <v>1083</v>
      </c>
    </row>
    <row r="2983" spans="1:10" hidden="1">
      <c r="A2983" s="4">
        <v>2.0210428429000301E+17</v>
      </c>
      <c r="B2983" s="4">
        <v>8868700628</v>
      </c>
      <c r="C2983" s="4" t="s">
        <v>7918</v>
      </c>
      <c r="D2983" s="4">
        <v>28429</v>
      </c>
      <c r="E2983" s="4">
        <v>20210428</v>
      </c>
      <c r="F2983" s="4">
        <v>20210428</v>
      </c>
      <c r="G2983" s="4">
        <v>20231228</v>
      </c>
      <c r="H2983" s="4" t="s">
        <v>7919</v>
      </c>
      <c r="I2983" s="4" t="s">
        <v>7918</v>
      </c>
      <c r="J2983" s="4" t="s">
        <v>765</v>
      </c>
    </row>
    <row r="2984" spans="1:10" hidden="1">
      <c r="A2984" s="4">
        <v>2.0210428123000301E+17</v>
      </c>
      <c r="B2984" s="4">
        <v>1548600164</v>
      </c>
      <c r="C2984" s="4" t="s">
        <v>7917</v>
      </c>
      <c r="D2984" s="4">
        <v>28123</v>
      </c>
      <c r="E2984" s="4">
        <v>20210428</v>
      </c>
      <c r="F2984" s="4">
        <v>20210428</v>
      </c>
      <c r="G2984" s="4">
        <v>20220708</v>
      </c>
      <c r="H2984" s="4" t="s">
        <v>7916</v>
      </c>
      <c r="J2984" s="4" t="s">
        <v>640</v>
      </c>
    </row>
    <row r="2985" spans="1:10" hidden="1">
      <c r="A2985" s="4">
        <v>2.0210429280000301E+17</v>
      </c>
      <c r="B2985" s="4">
        <v>4358101903</v>
      </c>
      <c r="C2985" s="4" t="s">
        <v>7915</v>
      </c>
      <c r="D2985" s="4">
        <v>29280</v>
      </c>
      <c r="E2985" s="4">
        <v>20210428</v>
      </c>
      <c r="F2985" s="4">
        <v>20210428</v>
      </c>
      <c r="G2985" s="4">
        <v>20240428</v>
      </c>
      <c r="H2985" s="4" t="s">
        <v>7914</v>
      </c>
      <c r="I2985" s="4" t="s">
        <v>7913</v>
      </c>
      <c r="J2985" s="4" t="s">
        <v>533</v>
      </c>
    </row>
    <row r="2986" spans="1:10" hidden="1">
      <c r="A2986" s="4">
        <v>2.0210433999000301E+17</v>
      </c>
      <c r="B2986" s="4">
        <v>8328800894</v>
      </c>
      <c r="C2986" s="4" t="s">
        <v>7912</v>
      </c>
      <c r="D2986" s="4">
        <v>33999</v>
      </c>
      <c r="E2986" s="4">
        <v>20210428</v>
      </c>
      <c r="F2986" s="4">
        <v>20210428</v>
      </c>
      <c r="G2986" s="4">
        <v>20240428</v>
      </c>
      <c r="H2986" s="4" t="s">
        <v>1459</v>
      </c>
      <c r="I2986" s="4" t="s">
        <v>7911</v>
      </c>
      <c r="J2986" s="4" t="s">
        <v>780</v>
      </c>
    </row>
    <row r="2987" spans="1:10" hidden="1">
      <c r="A2987" s="4">
        <v>2.0210442311000301E+17</v>
      </c>
      <c r="B2987" s="4">
        <v>3778100078</v>
      </c>
      <c r="C2987" s="4" t="s">
        <v>7910</v>
      </c>
      <c r="D2987" s="4">
        <v>42311</v>
      </c>
      <c r="E2987" s="4">
        <v>20210428</v>
      </c>
      <c r="F2987" s="4">
        <v>20210428</v>
      </c>
      <c r="G2987" s="4">
        <v>20220417</v>
      </c>
      <c r="H2987" s="4" t="s">
        <v>7909</v>
      </c>
      <c r="J2987" s="4" t="s">
        <v>718</v>
      </c>
    </row>
    <row r="2988" spans="1:10" hidden="1">
      <c r="A2988" s="4">
        <v>2.0210463991000301E+17</v>
      </c>
      <c r="B2988" s="4">
        <v>4034600809</v>
      </c>
      <c r="C2988" s="4" t="s">
        <v>7908</v>
      </c>
      <c r="D2988" s="4">
        <v>63991</v>
      </c>
      <c r="E2988" s="4">
        <v>20210428</v>
      </c>
      <c r="F2988" s="4">
        <v>20210428</v>
      </c>
      <c r="G2988" s="4">
        <v>20240428</v>
      </c>
      <c r="H2988" s="4" t="s">
        <v>7907</v>
      </c>
      <c r="I2988" s="4" t="s">
        <v>1156</v>
      </c>
      <c r="J2988" s="4" t="s">
        <v>395</v>
      </c>
    </row>
    <row r="2989" spans="1:10" hidden="1">
      <c r="A2989" s="4">
        <v>2.0210446721000301E+17</v>
      </c>
      <c r="B2989" s="4">
        <v>7030701728</v>
      </c>
      <c r="C2989" s="4" t="s">
        <v>7906</v>
      </c>
      <c r="D2989" s="4">
        <v>46721</v>
      </c>
      <c r="E2989" s="4">
        <v>20210428</v>
      </c>
      <c r="F2989" s="4">
        <v>20210428</v>
      </c>
      <c r="G2989" s="4">
        <v>20240428</v>
      </c>
      <c r="H2989" s="4" t="s">
        <v>7905</v>
      </c>
      <c r="J2989" s="4" t="s">
        <v>4335</v>
      </c>
    </row>
    <row r="2990" spans="1:10" hidden="1">
      <c r="A2990" s="4">
        <v>2.0210441226000301E+17</v>
      </c>
      <c r="B2990" s="4">
        <v>8618600127</v>
      </c>
      <c r="C2990" s="4" t="s">
        <v>7904</v>
      </c>
      <c r="D2990" s="4">
        <v>41226</v>
      </c>
      <c r="E2990" s="4">
        <v>20210428</v>
      </c>
      <c r="F2990" s="4">
        <v>20210428</v>
      </c>
      <c r="G2990" s="4">
        <v>20220825</v>
      </c>
      <c r="H2990" s="4" t="s">
        <v>7903</v>
      </c>
      <c r="J2990" s="4" t="s">
        <v>1063</v>
      </c>
    </row>
    <row r="2991" spans="1:10" hidden="1">
      <c r="A2991" s="4">
        <v>2.0210426429000301E+17</v>
      </c>
      <c r="B2991" s="4">
        <v>3770801735</v>
      </c>
      <c r="C2991" s="4" t="s">
        <v>7902</v>
      </c>
      <c r="D2991" s="4">
        <v>26429</v>
      </c>
      <c r="E2991" s="4">
        <v>20210428</v>
      </c>
      <c r="F2991" s="4">
        <v>20210428</v>
      </c>
      <c r="G2991" s="4">
        <v>20240428</v>
      </c>
      <c r="H2991" s="4" t="s">
        <v>7901</v>
      </c>
      <c r="I2991" s="4" t="s">
        <v>7900</v>
      </c>
      <c r="J2991" s="4" t="s">
        <v>422</v>
      </c>
    </row>
    <row r="2992" spans="1:10" hidden="1">
      <c r="A2992" s="4">
        <v>2.0210446800000301E+17</v>
      </c>
      <c r="B2992" s="4">
        <v>1907900217</v>
      </c>
      <c r="C2992" s="4" t="s">
        <v>539</v>
      </c>
      <c r="D2992" s="4">
        <v>46800</v>
      </c>
      <c r="E2992" s="4">
        <v>20210428</v>
      </c>
      <c r="F2992" s="4">
        <v>20210428</v>
      </c>
      <c r="G2992" s="4">
        <v>20240428</v>
      </c>
      <c r="H2992" s="4" t="s">
        <v>7899</v>
      </c>
      <c r="I2992" s="4" t="s">
        <v>7898</v>
      </c>
      <c r="J2992" s="4" t="s">
        <v>979</v>
      </c>
    </row>
    <row r="2993" spans="1:10" s="5" customFormat="1" hidden="1">
      <c r="A2993" s="4">
        <v>2.0210426421000301E+17</v>
      </c>
      <c r="B2993" s="4">
        <v>1388601157</v>
      </c>
      <c r="C2993" s="4" t="s">
        <v>8019</v>
      </c>
      <c r="D2993" s="4">
        <v>26421</v>
      </c>
      <c r="E2993" s="4">
        <v>20210429</v>
      </c>
      <c r="F2993" s="4">
        <v>20210429</v>
      </c>
      <c r="G2993" s="4">
        <v>20220122</v>
      </c>
      <c r="H2993" s="4" t="s">
        <v>8018</v>
      </c>
      <c r="I2993" s="4" t="s">
        <v>8017</v>
      </c>
      <c r="J2993" s="4" t="s">
        <v>1767</v>
      </c>
    </row>
    <row r="2994" spans="1:10" hidden="1">
      <c r="A2994" s="4">
        <v>2.0210427199000301E+17</v>
      </c>
      <c r="B2994" s="4">
        <v>8173200559</v>
      </c>
      <c r="C2994" s="4" t="s">
        <v>7895</v>
      </c>
      <c r="D2994" s="4">
        <v>27199</v>
      </c>
      <c r="E2994" s="4">
        <v>20210428</v>
      </c>
      <c r="F2994" s="4">
        <v>20210428</v>
      </c>
      <c r="G2994" s="4">
        <v>20240428</v>
      </c>
      <c r="H2994" s="4" t="s">
        <v>3578</v>
      </c>
      <c r="I2994" s="4" t="s">
        <v>7894</v>
      </c>
      <c r="J2994" s="4" t="s">
        <v>418</v>
      </c>
    </row>
    <row r="2995" spans="1:10" hidden="1">
      <c r="A2995" s="4">
        <v>2.0210432029000301E+17</v>
      </c>
      <c r="B2995" s="4">
        <v>2458200157</v>
      </c>
      <c r="C2995" s="4" t="s">
        <v>7893</v>
      </c>
      <c r="D2995" s="4">
        <v>32029</v>
      </c>
      <c r="E2995" s="4">
        <v>20210428</v>
      </c>
      <c r="F2995" s="4">
        <v>20210428</v>
      </c>
      <c r="G2995" s="4">
        <v>20240428</v>
      </c>
      <c r="H2995" s="4" t="s">
        <v>7892</v>
      </c>
      <c r="J2995" s="4" t="s">
        <v>637</v>
      </c>
    </row>
    <row r="2996" spans="1:10" hidden="1">
      <c r="A2996" s="4">
        <v>2.0210486202000301E+17</v>
      </c>
      <c r="B2996" s="4">
        <v>2329400815</v>
      </c>
      <c r="C2996" s="4" t="s">
        <v>7891</v>
      </c>
      <c r="D2996" s="4">
        <v>86202</v>
      </c>
      <c r="E2996" s="4">
        <v>20210428</v>
      </c>
      <c r="F2996" s="4">
        <v>20210428</v>
      </c>
      <c r="G2996" s="4">
        <v>20240428</v>
      </c>
      <c r="H2996" s="4" t="s">
        <v>7890</v>
      </c>
      <c r="I2996" s="4" t="s">
        <v>7889</v>
      </c>
      <c r="J2996" s="4" t="s">
        <v>6242</v>
      </c>
    </row>
    <row r="2997" spans="1:10" hidden="1">
      <c r="A2997" s="4">
        <v>2.0210430399000301E+17</v>
      </c>
      <c r="B2997" s="4">
        <v>3361701380</v>
      </c>
      <c r="C2997" s="4" t="s">
        <v>7888</v>
      </c>
      <c r="D2997" s="4">
        <v>30399</v>
      </c>
      <c r="E2997" s="4">
        <v>20210428</v>
      </c>
      <c r="F2997" s="4">
        <v>20210428</v>
      </c>
      <c r="G2997" s="4">
        <v>20240428</v>
      </c>
      <c r="H2997" s="4" t="s">
        <v>7887</v>
      </c>
      <c r="I2997" s="4" t="s">
        <v>7886</v>
      </c>
      <c r="J2997" s="4" t="s">
        <v>1763</v>
      </c>
    </row>
    <row r="2998" spans="1:10" hidden="1">
      <c r="A2998" s="4">
        <v>2.0210414111000301E+17</v>
      </c>
      <c r="B2998" s="4">
        <v>7843600752</v>
      </c>
      <c r="C2998" s="4" t="s">
        <v>7885</v>
      </c>
      <c r="D2998" s="4">
        <v>14111</v>
      </c>
      <c r="E2998" s="4">
        <v>20210428</v>
      </c>
      <c r="F2998" s="4">
        <v>20210428</v>
      </c>
      <c r="G2998" s="4">
        <v>20240428</v>
      </c>
      <c r="H2998" s="4" t="s">
        <v>7884</v>
      </c>
      <c r="I2998" s="4" t="s">
        <v>185</v>
      </c>
      <c r="J2998" s="4" t="s">
        <v>2462</v>
      </c>
    </row>
    <row r="2999" spans="1:10" hidden="1">
      <c r="A2999" s="4">
        <v>2.0210475210000301E+17</v>
      </c>
      <c r="B2999" s="4">
        <v>1111333999</v>
      </c>
      <c r="C2999" s="4" t="s">
        <v>7883</v>
      </c>
      <c r="D2999" s="4">
        <v>75210</v>
      </c>
      <c r="E2999" s="4">
        <v>20210428</v>
      </c>
      <c r="F2999" s="4">
        <v>20210428</v>
      </c>
      <c r="G2999" s="4">
        <v>20230201</v>
      </c>
      <c r="H2999" s="4" t="s">
        <v>7882</v>
      </c>
      <c r="J2999" s="4" t="s">
        <v>155</v>
      </c>
    </row>
    <row r="3000" spans="1:10" hidden="1">
      <c r="A3000" s="4">
        <v>2.0210475122000301E+17</v>
      </c>
      <c r="B3000" s="4">
        <v>2658600256</v>
      </c>
      <c r="C3000" s="4" t="s">
        <v>7881</v>
      </c>
      <c r="D3000" s="4">
        <v>75122</v>
      </c>
      <c r="E3000" s="4">
        <v>20210428</v>
      </c>
      <c r="F3000" s="4">
        <v>20210428</v>
      </c>
      <c r="G3000" s="4">
        <v>20221216</v>
      </c>
      <c r="H3000" s="4" t="s">
        <v>7880</v>
      </c>
      <c r="I3000" s="4" t="s">
        <v>185</v>
      </c>
      <c r="J3000" s="4" t="s">
        <v>7358</v>
      </c>
    </row>
    <row r="3001" spans="1:10">
      <c r="A3001" s="4">
        <v>2.0210446453000198E+17</v>
      </c>
      <c r="B3001" s="4">
        <v>3662800637</v>
      </c>
      <c r="C3001" s="4" t="s">
        <v>6901</v>
      </c>
      <c r="D3001" s="4">
        <v>46453</v>
      </c>
      <c r="E3001" s="4">
        <v>20210419</v>
      </c>
      <c r="F3001" s="4">
        <v>20210419</v>
      </c>
      <c r="G3001" s="4">
        <v>20240419</v>
      </c>
      <c r="H3001" s="4" t="s">
        <v>6900</v>
      </c>
      <c r="I3001" s="4" t="s">
        <v>6899</v>
      </c>
      <c r="J3001" s="4" t="s">
        <v>816</v>
      </c>
    </row>
    <row r="3002" spans="1:10" hidden="1">
      <c r="A3002" s="4">
        <v>2.0210429133000301E+17</v>
      </c>
      <c r="B3002" s="4">
        <v>4788100672</v>
      </c>
      <c r="C3002" s="4" t="s">
        <v>7876</v>
      </c>
      <c r="D3002" s="4">
        <v>29133</v>
      </c>
      <c r="E3002" s="4">
        <v>20210428</v>
      </c>
      <c r="F3002" s="4">
        <v>20210428</v>
      </c>
      <c r="G3002" s="4">
        <v>20240428</v>
      </c>
      <c r="H3002" s="4" t="s">
        <v>7875</v>
      </c>
      <c r="J3002" s="4" t="s">
        <v>990</v>
      </c>
    </row>
    <row r="3003" spans="1:10" hidden="1">
      <c r="A3003" s="4">
        <v>2.0210447912000301E+17</v>
      </c>
      <c r="B3003" s="4">
        <v>7391800855</v>
      </c>
      <c r="C3003" s="4" t="s">
        <v>7874</v>
      </c>
      <c r="D3003" s="4">
        <v>47912</v>
      </c>
      <c r="E3003" s="4">
        <v>20210428</v>
      </c>
      <c r="F3003" s="4">
        <v>20210428</v>
      </c>
      <c r="G3003" s="4">
        <v>20240428</v>
      </c>
      <c r="H3003" s="4" t="s">
        <v>7873</v>
      </c>
      <c r="I3003" s="4" t="s">
        <v>7872</v>
      </c>
      <c r="J3003" s="4" t="s">
        <v>78</v>
      </c>
    </row>
    <row r="3004" spans="1:10" hidden="1">
      <c r="A3004" s="4">
        <v>2.0210423329000301E+17</v>
      </c>
      <c r="B3004" s="4">
        <v>4808800432</v>
      </c>
      <c r="C3004" s="4" t="s">
        <v>7871</v>
      </c>
      <c r="D3004" s="4">
        <v>23329</v>
      </c>
      <c r="E3004" s="4">
        <v>20210428</v>
      </c>
      <c r="F3004" s="4">
        <v>20210428</v>
      </c>
      <c r="G3004" s="4">
        <v>20230504</v>
      </c>
      <c r="H3004" s="4" t="s">
        <v>7870</v>
      </c>
      <c r="J3004" s="4" t="s">
        <v>6281</v>
      </c>
    </row>
    <row r="3005" spans="1:10" hidden="1">
      <c r="A3005" s="4">
        <v>2.0210442420000301E+17</v>
      </c>
      <c r="B3005" s="4">
        <v>5318701988</v>
      </c>
      <c r="C3005" s="4" t="s">
        <v>7869</v>
      </c>
      <c r="D3005" s="4">
        <v>42420</v>
      </c>
      <c r="E3005" s="4">
        <v>20210428</v>
      </c>
      <c r="F3005" s="4">
        <v>20210428</v>
      </c>
      <c r="G3005" s="4">
        <v>20240428</v>
      </c>
      <c r="H3005" s="4" t="s">
        <v>7868</v>
      </c>
      <c r="I3005" s="4" t="s">
        <v>7867</v>
      </c>
      <c r="J3005" s="4" t="s">
        <v>1649</v>
      </c>
    </row>
    <row r="3006" spans="1:10" hidden="1">
      <c r="A3006" s="4">
        <v>2.0210427219000301E+17</v>
      </c>
      <c r="B3006" s="4">
        <v>8498801436</v>
      </c>
      <c r="C3006" s="4" t="s">
        <v>7866</v>
      </c>
      <c r="D3006" s="4">
        <v>27219</v>
      </c>
      <c r="E3006" s="4">
        <v>20210428</v>
      </c>
      <c r="F3006" s="4">
        <v>20210428</v>
      </c>
      <c r="G3006" s="4">
        <v>20240428</v>
      </c>
      <c r="H3006" s="4" t="s">
        <v>1199</v>
      </c>
      <c r="I3006" s="4" t="s">
        <v>7865</v>
      </c>
      <c r="J3006" s="4" t="s">
        <v>1454</v>
      </c>
    </row>
    <row r="3007" spans="1:10" hidden="1">
      <c r="A3007" s="4">
        <v>2.0210428112000301E+17</v>
      </c>
      <c r="B3007" s="4">
        <v>7648701142</v>
      </c>
      <c r="C3007" s="4" t="s">
        <v>7864</v>
      </c>
      <c r="D3007" s="4">
        <v>28112</v>
      </c>
      <c r="E3007" s="4">
        <v>20210428</v>
      </c>
      <c r="F3007" s="4">
        <v>20210428</v>
      </c>
      <c r="G3007" s="4">
        <v>20240428</v>
      </c>
      <c r="H3007" s="4" t="s">
        <v>7863</v>
      </c>
      <c r="J3007" s="4" t="s">
        <v>7307</v>
      </c>
    </row>
    <row r="3008" spans="1:10" hidden="1">
      <c r="A3008" s="4">
        <v>2.0210426519000301E+17</v>
      </c>
      <c r="B3008" s="4">
        <v>5758800588</v>
      </c>
      <c r="C3008" s="4" t="s">
        <v>7862</v>
      </c>
      <c r="D3008" s="4">
        <v>26519</v>
      </c>
      <c r="E3008" s="4">
        <v>20210428</v>
      </c>
      <c r="F3008" s="4">
        <v>20210428</v>
      </c>
      <c r="G3008" s="4">
        <v>20240201</v>
      </c>
      <c r="H3008" s="4" t="s">
        <v>7861</v>
      </c>
      <c r="J3008" s="4" t="s">
        <v>668</v>
      </c>
    </row>
    <row r="3009" spans="1:10" hidden="1">
      <c r="A3009" s="4">
        <v>2.0210428121000301E+17</v>
      </c>
      <c r="B3009" s="4">
        <v>1838601308</v>
      </c>
      <c r="C3009" s="4" t="s">
        <v>7860</v>
      </c>
      <c r="D3009" s="4">
        <v>28121</v>
      </c>
      <c r="E3009" s="4">
        <v>20210428</v>
      </c>
      <c r="F3009" s="4">
        <v>20210428</v>
      </c>
      <c r="G3009" s="4">
        <v>20240428</v>
      </c>
      <c r="H3009" s="4" t="s">
        <v>7859</v>
      </c>
      <c r="J3009" s="4" t="s">
        <v>682</v>
      </c>
    </row>
    <row r="3010" spans="1:10" hidden="1">
      <c r="A3010" s="4">
        <v>2.0210428422000301E+17</v>
      </c>
      <c r="B3010" s="4">
        <v>4598601700</v>
      </c>
      <c r="C3010" s="4" t="s">
        <v>7858</v>
      </c>
      <c r="D3010" s="4">
        <v>28422</v>
      </c>
      <c r="E3010" s="4">
        <v>20210428</v>
      </c>
      <c r="F3010" s="4">
        <v>20210428</v>
      </c>
      <c r="G3010" s="4">
        <v>20240428</v>
      </c>
      <c r="H3010" s="4" t="s">
        <v>7857</v>
      </c>
      <c r="I3010" s="4" t="s">
        <v>7856</v>
      </c>
      <c r="J3010" s="4" t="s">
        <v>188</v>
      </c>
    </row>
    <row r="3011" spans="1:10" hidden="1">
      <c r="A3011" s="4">
        <v>2.0210413221000301E+17</v>
      </c>
      <c r="B3011" s="4">
        <v>3308701634</v>
      </c>
      <c r="C3011" s="4" t="s">
        <v>7855</v>
      </c>
      <c r="D3011" s="4">
        <v>13221</v>
      </c>
      <c r="E3011" s="4">
        <v>20210428</v>
      </c>
      <c r="F3011" s="4">
        <v>20210428</v>
      </c>
      <c r="G3011" s="4">
        <v>20240428</v>
      </c>
      <c r="H3011" s="4" t="s">
        <v>7854</v>
      </c>
      <c r="I3011" s="4" t="s">
        <v>7853</v>
      </c>
      <c r="J3011" s="4" t="s">
        <v>307</v>
      </c>
    </row>
    <row r="3012" spans="1:10" hidden="1">
      <c r="A3012" s="4">
        <v>2.0210426299000301E+17</v>
      </c>
      <c r="B3012" s="4">
        <v>1408194412</v>
      </c>
      <c r="C3012" s="4" t="s">
        <v>7852</v>
      </c>
      <c r="D3012" s="4">
        <v>26299</v>
      </c>
      <c r="E3012" s="4">
        <v>20210428</v>
      </c>
      <c r="F3012" s="4">
        <v>20210428</v>
      </c>
      <c r="G3012" s="4">
        <v>20220102</v>
      </c>
      <c r="H3012" s="4" t="s">
        <v>7851</v>
      </c>
      <c r="J3012" s="4" t="s">
        <v>339</v>
      </c>
    </row>
    <row r="3013" spans="1:10" hidden="1">
      <c r="A3013" s="4">
        <v>2.0210442412000301E+17</v>
      </c>
      <c r="B3013" s="4">
        <v>7338701828</v>
      </c>
      <c r="C3013" s="4" t="s">
        <v>7850</v>
      </c>
      <c r="D3013" s="4">
        <v>42412</v>
      </c>
      <c r="E3013" s="4">
        <v>20210428</v>
      </c>
      <c r="F3013" s="4">
        <v>20210428</v>
      </c>
      <c r="G3013" s="4">
        <v>20240428</v>
      </c>
      <c r="H3013" s="4" t="s">
        <v>7849</v>
      </c>
      <c r="I3013" s="4" t="s">
        <v>185</v>
      </c>
      <c r="J3013" s="4" t="s">
        <v>281</v>
      </c>
    </row>
    <row r="3014" spans="1:10" hidden="1">
      <c r="A3014" s="4">
        <v>2.0210470113000301E+17</v>
      </c>
      <c r="B3014" s="4">
        <v>1728700868</v>
      </c>
      <c r="C3014" s="4" t="s">
        <v>7848</v>
      </c>
      <c r="D3014" s="4">
        <v>70113</v>
      </c>
      <c r="E3014" s="4">
        <v>20210428</v>
      </c>
      <c r="F3014" s="4">
        <v>20210428</v>
      </c>
      <c r="G3014" s="4">
        <v>20240428</v>
      </c>
      <c r="H3014" s="4" t="s">
        <v>7847</v>
      </c>
      <c r="I3014" s="4" t="s">
        <v>7846</v>
      </c>
      <c r="J3014" s="4" t="s">
        <v>1173</v>
      </c>
    </row>
    <row r="3015" spans="1:10" hidden="1">
      <c r="A3015" s="4">
        <v>2.0210429193000301E+17</v>
      </c>
      <c r="B3015" s="4">
        <v>2588100821</v>
      </c>
      <c r="C3015" s="4" t="s">
        <v>7845</v>
      </c>
      <c r="D3015" s="4">
        <v>29193</v>
      </c>
      <c r="E3015" s="4">
        <v>20210428</v>
      </c>
      <c r="F3015" s="4">
        <v>20210428</v>
      </c>
      <c r="G3015" s="4">
        <v>20240428</v>
      </c>
      <c r="H3015" s="4" t="s">
        <v>7844</v>
      </c>
      <c r="J3015" s="4" t="s">
        <v>721</v>
      </c>
    </row>
    <row r="3016" spans="1:10" hidden="1">
      <c r="A3016" s="4">
        <v>2.0210446521000301E+17</v>
      </c>
      <c r="B3016" s="4">
        <v>8308802066</v>
      </c>
      <c r="C3016" s="4" t="s">
        <v>7843</v>
      </c>
      <c r="D3016" s="4">
        <v>46521</v>
      </c>
      <c r="E3016" s="4">
        <v>20210428</v>
      </c>
      <c r="F3016" s="4">
        <v>20210428</v>
      </c>
      <c r="G3016" s="4">
        <v>20240428</v>
      </c>
      <c r="H3016" s="4" t="s">
        <v>7842</v>
      </c>
      <c r="I3016" s="4" t="s">
        <v>7841</v>
      </c>
      <c r="J3016" s="4" t="s">
        <v>6178</v>
      </c>
    </row>
    <row r="3017" spans="1:10" hidden="1">
      <c r="A3017" s="4">
        <v>2.0210433992000301E+17</v>
      </c>
      <c r="B3017" s="4">
        <v>1438602181</v>
      </c>
      <c r="C3017" s="4" t="s">
        <v>7840</v>
      </c>
      <c r="D3017" s="4">
        <v>33992</v>
      </c>
      <c r="E3017" s="4">
        <v>20210428</v>
      </c>
      <c r="F3017" s="4">
        <v>20210428</v>
      </c>
      <c r="G3017" s="4">
        <v>20240428</v>
      </c>
      <c r="H3017" s="4" t="s">
        <v>7839</v>
      </c>
      <c r="I3017" s="4" t="s">
        <v>7838</v>
      </c>
      <c r="J3017" s="4" t="s">
        <v>7837</v>
      </c>
    </row>
    <row r="3018" spans="1:10" hidden="1">
      <c r="A3018" s="4">
        <v>2.0210442204000301E+17</v>
      </c>
      <c r="B3018" s="4">
        <v>3568801502</v>
      </c>
      <c r="C3018" s="4" t="s">
        <v>7836</v>
      </c>
      <c r="D3018" s="4">
        <v>42204</v>
      </c>
      <c r="E3018" s="4">
        <v>20210428</v>
      </c>
      <c r="F3018" s="4">
        <v>20210428</v>
      </c>
      <c r="G3018" s="4">
        <v>20240428</v>
      </c>
      <c r="H3018" s="4" t="s">
        <v>7835</v>
      </c>
      <c r="I3018" s="4" t="s">
        <v>7834</v>
      </c>
      <c r="J3018" s="4" t="s">
        <v>7487</v>
      </c>
    </row>
    <row r="3019" spans="1:10" hidden="1">
      <c r="A3019" s="4">
        <v>2.0210441226000301E+17</v>
      </c>
      <c r="B3019" s="4">
        <v>2478102187</v>
      </c>
      <c r="C3019" s="4" t="s">
        <v>7833</v>
      </c>
      <c r="D3019" s="4">
        <v>41226</v>
      </c>
      <c r="E3019" s="4">
        <v>20210428</v>
      </c>
      <c r="F3019" s="4">
        <v>20210428</v>
      </c>
      <c r="G3019" s="4">
        <v>20240428</v>
      </c>
      <c r="H3019" s="4" t="s">
        <v>7832</v>
      </c>
      <c r="I3019" s="4" t="s">
        <v>7831</v>
      </c>
      <c r="J3019" s="4" t="s">
        <v>1063</v>
      </c>
    </row>
    <row r="3020" spans="1:10" hidden="1">
      <c r="A3020" s="4">
        <v>2.0210442311000301E+17</v>
      </c>
      <c r="B3020" s="4">
        <v>1978101980</v>
      </c>
      <c r="C3020" s="4" t="s">
        <v>7830</v>
      </c>
      <c r="D3020" s="4">
        <v>42311</v>
      </c>
      <c r="E3020" s="4">
        <v>20210428</v>
      </c>
      <c r="F3020" s="4">
        <v>20210428</v>
      </c>
      <c r="G3020" s="4">
        <v>20240428</v>
      </c>
      <c r="H3020" s="4" t="s">
        <v>7829</v>
      </c>
      <c r="J3020" s="4" t="s">
        <v>718</v>
      </c>
    </row>
    <row r="3021" spans="1:10" hidden="1">
      <c r="A3021" s="4">
        <v>2.0210433302000301E+17</v>
      </c>
      <c r="B3021" s="4">
        <v>7528800773</v>
      </c>
      <c r="C3021" s="4" t="s">
        <v>7828</v>
      </c>
      <c r="D3021" s="4">
        <v>33302</v>
      </c>
      <c r="E3021" s="4">
        <v>20210428</v>
      </c>
      <c r="F3021" s="4">
        <v>20210428</v>
      </c>
      <c r="G3021" s="4">
        <v>20240428</v>
      </c>
      <c r="H3021" s="4" t="s">
        <v>7827</v>
      </c>
      <c r="I3021" s="4" t="s">
        <v>7826</v>
      </c>
      <c r="J3021" s="4" t="s">
        <v>4679</v>
      </c>
    </row>
    <row r="3022" spans="1:10" hidden="1">
      <c r="A3022" s="4">
        <v>2.0210425923000301E+17</v>
      </c>
      <c r="B3022" s="4">
        <v>5608702160</v>
      </c>
      <c r="C3022" s="4" t="s">
        <v>7825</v>
      </c>
      <c r="D3022" s="4">
        <v>25923</v>
      </c>
      <c r="E3022" s="4">
        <v>20210428</v>
      </c>
      <c r="F3022" s="4">
        <v>20210428</v>
      </c>
      <c r="G3022" s="4">
        <v>20240428</v>
      </c>
      <c r="H3022" s="4" t="s">
        <v>7824</v>
      </c>
      <c r="I3022" s="4" t="s">
        <v>7823</v>
      </c>
      <c r="J3022" s="4" t="s">
        <v>204</v>
      </c>
    </row>
    <row r="3023" spans="1:10" hidden="1">
      <c r="A3023" s="4">
        <v>2.0210458222000301E+17</v>
      </c>
      <c r="B3023" s="4">
        <v>8408101594</v>
      </c>
      <c r="C3023" s="4" t="s">
        <v>7822</v>
      </c>
      <c r="D3023" s="4">
        <v>58222</v>
      </c>
      <c r="E3023" s="4">
        <v>20210428</v>
      </c>
      <c r="F3023" s="4">
        <v>20210428</v>
      </c>
      <c r="G3023" s="4">
        <v>20240428</v>
      </c>
      <c r="H3023" s="4" t="s">
        <v>7821</v>
      </c>
      <c r="I3023" s="4" t="s">
        <v>7820</v>
      </c>
      <c r="J3023" s="4" t="s">
        <v>94</v>
      </c>
    </row>
    <row r="3024" spans="1:10" hidden="1">
      <c r="A3024" s="4">
        <v>2.0210474211000301E+17</v>
      </c>
      <c r="B3024" s="4">
        <v>1114203909</v>
      </c>
      <c r="C3024" s="4" t="s">
        <v>7999</v>
      </c>
      <c r="D3024" s="4">
        <v>74211</v>
      </c>
      <c r="E3024" s="4">
        <v>20210429</v>
      </c>
      <c r="F3024" s="4">
        <v>20210429</v>
      </c>
      <c r="G3024" s="4">
        <v>20240429</v>
      </c>
      <c r="H3024" s="4" t="s">
        <v>7998</v>
      </c>
      <c r="J3024" s="4" t="s">
        <v>5576</v>
      </c>
    </row>
    <row r="3025" spans="1:10" hidden="1">
      <c r="A3025" s="4">
        <v>2.0210431312000301E+17</v>
      </c>
      <c r="B3025" s="4">
        <v>8208101585</v>
      </c>
      <c r="C3025" s="4" t="s">
        <v>7817</v>
      </c>
      <c r="D3025" s="4">
        <v>31312</v>
      </c>
      <c r="E3025" s="4">
        <v>20210428</v>
      </c>
      <c r="F3025" s="4">
        <v>20210428</v>
      </c>
      <c r="G3025" s="4">
        <v>20240428</v>
      </c>
      <c r="H3025" s="4" t="s">
        <v>315</v>
      </c>
      <c r="I3025" s="4" t="s">
        <v>7816</v>
      </c>
      <c r="J3025" s="4" t="s">
        <v>748</v>
      </c>
    </row>
    <row r="3026" spans="1:10" hidden="1">
      <c r="A3026" s="4">
        <v>2.0210416299000301E+17</v>
      </c>
      <c r="B3026" s="4">
        <v>5138602037</v>
      </c>
      <c r="C3026" s="4" t="s">
        <v>7815</v>
      </c>
      <c r="D3026" s="4">
        <v>16299</v>
      </c>
      <c r="E3026" s="4">
        <v>20210428</v>
      </c>
      <c r="F3026" s="4">
        <v>20210428</v>
      </c>
      <c r="G3026" s="4">
        <v>20240428</v>
      </c>
      <c r="H3026" s="4" t="s">
        <v>7814</v>
      </c>
      <c r="J3026" s="4" t="s">
        <v>1863</v>
      </c>
    </row>
    <row r="3027" spans="1:10" hidden="1">
      <c r="A3027" s="4">
        <v>2.0210446510000301E+17</v>
      </c>
      <c r="B3027" s="4">
        <v>5798100714</v>
      </c>
      <c r="C3027" s="4" t="s">
        <v>7813</v>
      </c>
      <c r="D3027" s="4">
        <v>46510</v>
      </c>
      <c r="E3027" s="4">
        <v>20210428</v>
      </c>
      <c r="F3027" s="4">
        <v>20210428</v>
      </c>
      <c r="G3027" s="4">
        <v>20240428</v>
      </c>
      <c r="H3027" s="4" t="s">
        <v>7812</v>
      </c>
      <c r="I3027" s="4" t="s">
        <v>7811</v>
      </c>
      <c r="J3027" s="4" t="s">
        <v>126</v>
      </c>
    </row>
    <row r="3028" spans="1:10" hidden="1">
      <c r="A3028" s="4">
        <v>2.0210425111000301E+17</v>
      </c>
      <c r="B3028" s="4">
        <v>5028641893</v>
      </c>
      <c r="C3028" s="4" t="s">
        <v>7810</v>
      </c>
      <c r="D3028" s="4">
        <v>25111</v>
      </c>
      <c r="E3028" s="4">
        <v>20210428</v>
      </c>
      <c r="F3028" s="4">
        <v>20210428</v>
      </c>
      <c r="G3028" s="4">
        <v>20240428</v>
      </c>
      <c r="H3028" s="4" t="s">
        <v>7809</v>
      </c>
      <c r="J3028" s="4" t="s">
        <v>82</v>
      </c>
    </row>
    <row r="3029" spans="1:10" hidden="1">
      <c r="A3029" s="4">
        <v>2.0210433993000301E+17</v>
      </c>
      <c r="B3029" s="4">
        <v>1368801475</v>
      </c>
      <c r="C3029" s="4" t="s">
        <v>7808</v>
      </c>
      <c r="D3029" s="4">
        <v>33993</v>
      </c>
      <c r="E3029" s="4">
        <v>20210428</v>
      </c>
      <c r="F3029" s="4">
        <v>20210428</v>
      </c>
      <c r="G3029" s="4">
        <v>20240428</v>
      </c>
      <c r="H3029" s="4" t="s">
        <v>7807</v>
      </c>
      <c r="J3029" s="4" t="s">
        <v>1147</v>
      </c>
    </row>
    <row r="3030" spans="1:10" hidden="1">
      <c r="A3030" s="4">
        <v>2.0210446699000301E+17</v>
      </c>
      <c r="B3030" s="4">
        <v>8052401036</v>
      </c>
      <c r="C3030" s="4" t="s">
        <v>7806</v>
      </c>
      <c r="D3030" s="4">
        <v>46699</v>
      </c>
      <c r="E3030" s="4">
        <v>20210428</v>
      </c>
      <c r="F3030" s="4">
        <v>20210428</v>
      </c>
      <c r="G3030" s="4">
        <v>20240428</v>
      </c>
      <c r="H3030" s="4" t="s">
        <v>7805</v>
      </c>
      <c r="I3030" s="4" t="s">
        <v>149</v>
      </c>
      <c r="J3030" s="4" t="s">
        <v>208</v>
      </c>
    </row>
    <row r="3031" spans="1:10" hidden="1">
      <c r="A3031" s="4">
        <v>2.0210446699000301E+17</v>
      </c>
      <c r="B3031" s="4">
        <v>3488601749</v>
      </c>
      <c r="C3031" s="4" t="s">
        <v>7818</v>
      </c>
      <c r="D3031" s="4">
        <v>46699</v>
      </c>
      <c r="E3031" s="4">
        <v>20210428</v>
      </c>
      <c r="F3031" s="4">
        <v>20210428</v>
      </c>
      <c r="G3031" s="4">
        <v>20240428</v>
      </c>
      <c r="H3031" s="4" t="s">
        <v>7819</v>
      </c>
      <c r="I3031" s="4" t="s">
        <v>7818</v>
      </c>
      <c r="J3031" s="4" t="s">
        <v>208</v>
      </c>
    </row>
    <row r="3032" spans="1:10" hidden="1">
      <c r="A3032" s="4">
        <v>2.0210471531000301E+17</v>
      </c>
      <c r="B3032" s="4">
        <v>5204100375</v>
      </c>
      <c r="C3032" s="4" t="s">
        <v>7804</v>
      </c>
      <c r="D3032" s="4">
        <v>71531</v>
      </c>
      <c r="E3032" s="4">
        <v>20210428</v>
      </c>
      <c r="F3032" s="4">
        <v>20210428</v>
      </c>
      <c r="G3032" s="4">
        <v>20240428</v>
      </c>
      <c r="H3032" s="4" t="s">
        <v>7803</v>
      </c>
      <c r="I3032" s="4" t="s">
        <v>91</v>
      </c>
      <c r="J3032" s="4" t="s">
        <v>87</v>
      </c>
    </row>
    <row r="3033" spans="1:10" hidden="1">
      <c r="A3033" s="4">
        <v>2.0210442311000301E+17</v>
      </c>
      <c r="B3033" s="4">
        <v>5148800924</v>
      </c>
      <c r="C3033" s="4" t="s">
        <v>7800</v>
      </c>
      <c r="D3033" s="4">
        <v>42311</v>
      </c>
      <c r="E3033" s="4">
        <v>20210427</v>
      </c>
      <c r="F3033" s="4">
        <v>20210427</v>
      </c>
      <c r="G3033" s="4">
        <v>20240427</v>
      </c>
      <c r="H3033" s="4" t="s">
        <v>7799</v>
      </c>
      <c r="J3033" s="4" t="s">
        <v>718</v>
      </c>
    </row>
    <row r="3034" spans="1:10" hidden="1">
      <c r="A3034" s="4">
        <v>2.0210426299000301E+17</v>
      </c>
      <c r="B3034" s="4">
        <v>3378800647</v>
      </c>
      <c r="C3034" s="4" t="s">
        <v>7798</v>
      </c>
      <c r="D3034" s="4">
        <v>26299</v>
      </c>
      <c r="E3034" s="4">
        <v>20210427</v>
      </c>
      <c r="F3034" s="4">
        <v>20210427</v>
      </c>
      <c r="G3034" s="4">
        <v>20231109</v>
      </c>
      <c r="H3034" s="4" t="s">
        <v>2581</v>
      </c>
      <c r="I3034" s="4" t="s">
        <v>7797</v>
      </c>
      <c r="J3034" s="4" t="s">
        <v>339</v>
      </c>
    </row>
    <row r="3035" spans="1:10" hidden="1">
      <c r="A3035" s="4">
        <v>2.0210410759000301E+17</v>
      </c>
      <c r="B3035" s="4">
        <v>8158800996</v>
      </c>
      <c r="C3035" s="4" t="s">
        <v>7796</v>
      </c>
      <c r="D3035" s="4">
        <v>10759</v>
      </c>
      <c r="E3035" s="4">
        <v>20210427</v>
      </c>
      <c r="F3035" s="4">
        <v>20210427</v>
      </c>
      <c r="G3035" s="4">
        <v>20240427</v>
      </c>
      <c r="H3035" s="4" t="s">
        <v>7795</v>
      </c>
      <c r="J3035" s="4" t="s">
        <v>4810</v>
      </c>
    </row>
    <row r="3036" spans="1:10" hidden="1">
      <c r="A3036" s="4">
        <v>2.0210472129000301E+17</v>
      </c>
      <c r="B3036" s="4">
        <v>7068801672</v>
      </c>
      <c r="C3036" s="4" t="s">
        <v>7794</v>
      </c>
      <c r="D3036" s="4">
        <v>72129</v>
      </c>
      <c r="E3036" s="4">
        <v>20210427</v>
      </c>
      <c r="F3036" s="4">
        <v>20210427</v>
      </c>
      <c r="G3036" s="4">
        <v>20240427</v>
      </c>
      <c r="H3036" s="4" t="s">
        <v>7793</v>
      </c>
      <c r="I3036" s="4" t="s">
        <v>7792</v>
      </c>
      <c r="J3036" s="4" t="s">
        <v>1679</v>
      </c>
    </row>
    <row r="3037" spans="1:10" hidden="1">
      <c r="A3037" s="4">
        <v>2.0210421300000301E+17</v>
      </c>
      <c r="B3037" s="4">
        <v>6868101103</v>
      </c>
      <c r="C3037" s="4" t="s">
        <v>7791</v>
      </c>
      <c r="D3037" s="4">
        <v>21300</v>
      </c>
      <c r="E3037" s="4">
        <v>20210427</v>
      </c>
      <c r="F3037" s="4">
        <v>20210427</v>
      </c>
      <c r="G3037" s="4">
        <v>20240427</v>
      </c>
      <c r="H3037" s="4" t="s">
        <v>4162</v>
      </c>
      <c r="J3037" s="4" t="s">
        <v>530</v>
      </c>
    </row>
    <row r="3038" spans="1:10" hidden="1">
      <c r="A3038" s="4">
        <v>2.0210462021000301E+17</v>
      </c>
      <c r="B3038" s="4">
        <v>5428100032</v>
      </c>
      <c r="C3038" s="4" t="s">
        <v>7790</v>
      </c>
      <c r="D3038" s="4">
        <v>62021</v>
      </c>
      <c r="E3038" s="4">
        <v>20210427</v>
      </c>
      <c r="F3038" s="4">
        <v>20210427</v>
      </c>
      <c r="G3038" s="4">
        <v>20220403</v>
      </c>
      <c r="H3038" s="4" t="s">
        <v>4056</v>
      </c>
      <c r="I3038" s="4" t="s">
        <v>7789</v>
      </c>
      <c r="J3038" s="4" t="s">
        <v>1505</v>
      </c>
    </row>
    <row r="3039" spans="1:10" hidden="1">
      <c r="A3039" s="4">
        <v>2.0210458221000301E+17</v>
      </c>
      <c r="B3039" s="4">
        <v>6598700195</v>
      </c>
      <c r="C3039" s="4" t="s">
        <v>7788</v>
      </c>
      <c r="D3039" s="4">
        <v>58221</v>
      </c>
      <c r="E3039" s="4">
        <v>20210427</v>
      </c>
      <c r="F3039" s="4">
        <v>20210427</v>
      </c>
      <c r="G3039" s="4">
        <v>20221112</v>
      </c>
      <c r="H3039" s="4" t="s">
        <v>7787</v>
      </c>
      <c r="I3039" s="4" t="s">
        <v>7786</v>
      </c>
      <c r="J3039" s="4" t="s">
        <v>228</v>
      </c>
    </row>
    <row r="3040" spans="1:10" hidden="1">
      <c r="A3040" s="4">
        <v>2.0210458222000301E+17</v>
      </c>
      <c r="B3040" s="4">
        <v>1988602255</v>
      </c>
      <c r="C3040" s="4" t="s">
        <v>7785</v>
      </c>
      <c r="D3040" s="4">
        <v>58222</v>
      </c>
      <c r="E3040" s="4">
        <v>20210427</v>
      </c>
      <c r="F3040" s="4">
        <v>20210427</v>
      </c>
      <c r="G3040" s="4">
        <v>20240427</v>
      </c>
      <c r="H3040" s="4" t="s">
        <v>7784</v>
      </c>
      <c r="I3040" s="4" t="s">
        <v>7783</v>
      </c>
      <c r="J3040" s="4" t="s">
        <v>94</v>
      </c>
    </row>
    <row r="3041" spans="1:10" hidden="1">
      <c r="A3041" s="4">
        <v>2.0210442500000301E+17</v>
      </c>
      <c r="B3041" s="4">
        <v>1938101538</v>
      </c>
      <c r="C3041" s="4" t="s">
        <v>7802</v>
      </c>
      <c r="D3041" s="4">
        <v>42500</v>
      </c>
      <c r="E3041" s="4">
        <v>20210427</v>
      </c>
      <c r="F3041" s="4">
        <v>20210427</v>
      </c>
      <c r="G3041" s="4">
        <v>20240427</v>
      </c>
      <c r="H3041" s="4" t="s">
        <v>7801</v>
      </c>
      <c r="I3041" s="4" t="s">
        <v>6890</v>
      </c>
      <c r="J3041" s="4" t="s">
        <v>740</v>
      </c>
    </row>
    <row r="3042" spans="1:10" hidden="1">
      <c r="A3042" s="4">
        <v>2.0210471531000301E+17</v>
      </c>
      <c r="B3042" s="4">
        <v>4478800134</v>
      </c>
      <c r="C3042" s="4" t="s">
        <v>7780</v>
      </c>
      <c r="D3042" s="4">
        <v>71531</v>
      </c>
      <c r="E3042" s="4">
        <v>20210427</v>
      </c>
      <c r="F3042" s="4">
        <v>20210427</v>
      </c>
      <c r="G3042" s="4">
        <v>20220610</v>
      </c>
      <c r="H3042" s="4" t="s">
        <v>1838</v>
      </c>
      <c r="I3042" s="4" t="s">
        <v>5907</v>
      </c>
      <c r="J3042" s="4" t="s">
        <v>87</v>
      </c>
    </row>
    <row r="3043" spans="1:10" hidden="1">
      <c r="A3043" s="4">
        <v>2.0210428111000301E+17</v>
      </c>
      <c r="B3043" s="4">
        <v>1848800422</v>
      </c>
      <c r="C3043" s="4" t="s">
        <v>7779</v>
      </c>
      <c r="D3043" s="4">
        <v>28111</v>
      </c>
      <c r="E3043" s="4">
        <v>20210427</v>
      </c>
      <c r="F3043" s="4">
        <v>20210427</v>
      </c>
      <c r="G3043" s="4">
        <v>20230826</v>
      </c>
      <c r="H3043" s="4" t="s">
        <v>7778</v>
      </c>
      <c r="J3043" s="4" t="s">
        <v>1614</v>
      </c>
    </row>
    <row r="3044" spans="1:10" hidden="1">
      <c r="A3044" s="4">
        <v>2.0210429222000301E+17</v>
      </c>
      <c r="B3044" s="4">
        <v>8708801861</v>
      </c>
      <c r="C3044" s="4" t="s">
        <v>7782</v>
      </c>
      <c r="D3044" s="4">
        <v>29222</v>
      </c>
      <c r="E3044" s="4">
        <v>20210427</v>
      </c>
      <c r="F3044" s="4">
        <v>20210427</v>
      </c>
      <c r="G3044" s="4">
        <v>20240427</v>
      </c>
      <c r="H3044" s="4" t="s">
        <v>774</v>
      </c>
      <c r="I3044" s="4" t="s">
        <v>7781</v>
      </c>
      <c r="J3044" s="4" t="s">
        <v>4276</v>
      </c>
    </row>
    <row r="3045" spans="1:10" hidden="1">
      <c r="A3045" s="4">
        <v>2.0210463999000301E+17</v>
      </c>
      <c r="B3045" s="4">
        <v>5688801463</v>
      </c>
      <c r="C3045" s="4" t="s">
        <v>7775</v>
      </c>
      <c r="D3045" s="4">
        <v>63999</v>
      </c>
      <c r="E3045" s="4">
        <v>20210427</v>
      </c>
      <c r="F3045" s="4">
        <v>20210427</v>
      </c>
      <c r="G3045" s="4">
        <v>20240427</v>
      </c>
      <c r="H3045" s="4" t="s">
        <v>7774</v>
      </c>
      <c r="I3045" s="4" t="s">
        <v>1680</v>
      </c>
      <c r="J3045" s="4" t="s">
        <v>643</v>
      </c>
    </row>
    <row r="3046" spans="1:10" hidden="1">
      <c r="A3046" s="4">
        <v>2.0210426112000301E+17</v>
      </c>
      <c r="B3046" s="4">
        <v>3360301646</v>
      </c>
      <c r="C3046" s="4" t="s">
        <v>7773</v>
      </c>
      <c r="D3046" s="4">
        <v>26112</v>
      </c>
      <c r="E3046" s="4">
        <v>20210427</v>
      </c>
      <c r="F3046" s="4">
        <v>20210427</v>
      </c>
      <c r="G3046" s="4">
        <v>20240427</v>
      </c>
      <c r="H3046" s="4" t="s">
        <v>7772</v>
      </c>
      <c r="J3046" s="4" t="s">
        <v>2743</v>
      </c>
    </row>
    <row r="3047" spans="1:10" hidden="1">
      <c r="A3047" s="4">
        <v>2.0210425112000301E+17</v>
      </c>
      <c r="B3047" s="4">
        <v>7181801444</v>
      </c>
      <c r="C3047" s="4" t="s">
        <v>7771</v>
      </c>
      <c r="D3047" s="4">
        <v>25112</v>
      </c>
      <c r="E3047" s="4">
        <v>20210427</v>
      </c>
      <c r="F3047" s="4">
        <v>20210427</v>
      </c>
      <c r="G3047" s="4">
        <v>20240427</v>
      </c>
      <c r="H3047" s="4" t="s">
        <v>7770</v>
      </c>
      <c r="I3047" s="4" t="s">
        <v>6735</v>
      </c>
      <c r="J3047" s="4" t="s">
        <v>320</v>
      </c>
    </row>
    <row r="3048" spans="1:10" hidden="1">
      <c r="A3048" s="4">
        <v>2.0210459113000301E+17</v>
      </c>
      <c r="B3048" s="4">
        <v>1832500026</v>
      </c>
      <c r="C3048" s="4" t="s">
        <v>7769</v>
      </c>
      <c r="D3048" s="4">
        <v>59113</v>
      </c>
      <c r="E3048" s="4">
        <v>20210427</v>
      </c>
      <c r="F3048" s="4">
        <v>20210427</v>
      </c>
      <c r="G3048" s="4">
        <v>20220318</v>
      </c>
      <c r="H3048" s="4" t="s">
        <v>7768</v>
      </c>
      <c r="I3048" s="4" t="s">
        <v>7767</v>
      </c>
      <c r="J3048" s="4" t="s">
        <v>3651</v>
      </c>
    </row>
    <row r="3049" spans="1:10" hidden="1">
      <c r="A3049" s="4">
        <v>2.0210431322000301E+17</v>
      </c>
      <c r="B3049" s="4">
        <v>4760601950</v>
      </c>
      <c r="C3049" s="4" t="s">
        <v>7766</v>
      </c>
      <c r="D3049" s="4">
        <v>31322</v>
      </c>
      <c r="E3049" s="4">
        <v>20210427</v>
      </c>
      <c r="F3049" s="4">
        <v>20210427</v>
      </c>
      <c r="G3049" s="4">
        <v>20240427</v>
      </c>
      <c r="H3049" s="4" t="s">
        <v>7765</v>
      </c>
      <c r="J3049" s="4" t="s">
        <v>3546</v>
      </c>
    </row>
    <row r="3050" spans="1:10" hidden="1">
      <c r="A3050" s="4">
        <v>2.0210446432000301E+17</v>
      </c>
      <c r="B3050" s="4">
        <v>2732800499</v>
      </c>
      <c r="C3050" s="4" t="s">
        <v>7764</v>
      </c>
      <c r="D3050" s="4">
        <v>46432</v>
      </c>
      <c r="E3050" s="4">
        <v>20210427</v>
      </c>
      <c r="F3050" s="4">
        <v>20210427</v>
      </c>
      <c r="G3050" s="4">
        <v>20240427</v>
      </c>
      <c r="H3050" s="4" t="s">
        <v>7763</v>
      </c>
      <c r="J3050" s="4" t="s">
        <v>414</v>
      </c>
    </row>
    <row r="3051" spans="1:10" hidden="1">
      <c r="A3051" s="4">
        <v>2.0210413229000301E+17</v>
      </c>
      <c r="B3051" s="4">
        <v>7810302165</v>
      </c>
      <c r="C3051" s="4" t="s">
        <v>7762</v>
      </c>
      <c r="D3051" s="4">
        <v>13229</v>
      </c>
      <c r="E3051" s="4">
        <v>20210427</v>
      </c>
      <c r="F3051" s="4">
        <v>20210427</v>
      </c>
      <c r="G3051" s="4">
        <v>20240427</v>
      </c>
      <c r="H3051" s="4" t="s">
        <v>7761</v>
      </c>
      <c r="I3051" s="4" t="s">
        <v>7760</v>
      </c>
      <c r="J3051" s="4" t="s">
        <v>115</v>
      </c>
    </row>
    <row r="3052" spans="1:10">
      <c r="A3052" s="4">
        <v>2.02106181190004E+17</v>
      </c>
      <c r="B3052" s="4">
        <v>2018643945</v>
      </c>
      <c r="C3052" s="4" t="s">
        <v>11224</v>
      </c>
      <c r="D3052" s="4">
        <v>18119</v>
      </c>
      <c r="E3052" s="4">
        <v>20210611</v>
      </c>
      <c r="F3052" s="4">
        <v>20210611</v>
      </c>
      <c r="G3052" s="4">
        <v>20211212</v>
      </c>
      <c r="H3052" s="4" t="s">
        <v>4096</v>
      </c>
      <c r="I3052" s="4" t="s">
        <v>11223</v>
      </c>
      <c r="J3052" s="4" t="s">
        <v>707</v>
      </c>
    </row>
    <row r="3053" spans="1:10" hidden="1">
      <c r="A3053" s="4">
        <v>2.0210442321000301E+17</v>
      </c>
      <c r="B3053" s="4">
        <v>2668200284</v>
      </c>
      <c r="C3053" s="4" t="s">
        <v>7756</v>
      </c>
      <c r="D3053" s="4">
        <v>42321</v>
      </c>
      <c r="E3053" s="4">
        <v>20210427</v>
      </c>
      <c r="F3053" s="4">
        <v>20210427</v>
      </c>
      <c r="G3053" s="4">
        <v>20240427</v>
      </c>
      <c r="H3053" s="4" t="s">
        <v>4109</v>
      </c>
      <c r="I3053" s="4" t="s">
        <v>7755</v>
      </c>
      <c r="J3053" s="4" t="s">
        <v>698</v>
      </c>
    </row>
    <row r="3054" spans="1:10" hidden="1">
      <c r="A3054" s="4">
        <v>2.0210473201000301E+17</v>
      </c>
      <c r="B3054" s="4">
        <v>3632700612</v>
      </c>
      <c r="C3054" s="4" t="s">
        <v>7754</v>
      </c>
      <c r="D3054" s="4">
        <v>73201</v>
      </c>
      <c r="E3054" s="4">
        <v>20210427</v>
      </c>
      <c r="F3054" s="4">
        <v>20210427</v>
      </c>
      <c r="G3054" s="4">
        <v>20240427</v>
      </c>
      <c r="H3054" s="4" t="s">
        <v>7753</v>
      </c>
      <c r="I3054" s="4" t="s">
        <v>7752</v>
      </c>
      <c r="J3054" s="4" t="s">
        <v>569</v>
      </c>
    </row>
    <row r="3055" spans="1:10" hidden="1">
      <c r="A3055" s="4">
        <v>2.0210433991000301E+17</v>
      </c>
      <c r="B3055" s="4">
        <v>8961400368</v>
      </c>
      <c r="C3055" s="4" t="s">
        <v>7777</v>
      </c>
      <c r="D3055" s="4">
        <v>33991</v>
      </c>
      <c r="E3055" s="4">
        <v>20210427</v>
      </c>
      <c r="F3055" s="4">
        <v>20210427</v>
      </c>
      <c r="G3055" s="4">
        <v>20230608</v>
      </c>
      <c r="H3055" s="4" t="s">
        <v>3581</v>
      </c>
      <c r="I3055" s="4" t="s">
        <v>1866</v>
      </c>
      <c r="J3055" s="4" t="s">
        <v>7776</v>
      </c>
    </row>
    <row r="3056" spans="1:10" hidden="1">
      <c r="A3056" s="4">
        <v>2.0210458222000301E+17</v>
      </c>
      <c r="B3056" s="4">
        <v>6314200745</v>
      </c>
      <c r="C3056" s="4" t="s">
        <v>7749</v>
      </c>
      <c r="D3056" s="4">
        <v>58222</v>
      </c>
      <c r="E3056" s="4">
        <v>20210427</v>
      </c>
      <c r="F3056" s="4">
        <v>20210427</v>
      </c>
      <c r="G3056" s="4">
        <v>20240427</v>
      </c>
      <c r="H3056" s="4" t="s">
        <v>7748</v>
      </c>
      <c r="I3056" s="4" t="s">
        <v>7747</v>
      </c>
      <c r="J3056" s="4" t="s">
        <v>94</v>
      </c>
    </row>
    <row r="3057" spans="1:10" hidden="1">
      <c r="A3057" s="4">
        <v>2.0210441229000301E+17</v>
      </c>
      <c r="B3057" s="4">
        <v>4708101380</v>
      </c>
      <c r="C3057" s="4" t="s">
        <v>7751</v>
      </c>
      <c r="D3057" s="4">
        <v>41229</v>
      </c>
      <c r="E3057" s="4">
        <v>20210427</v>
      </c>
      <c r="F3057" s="4">
        <v>20210427</v>
      </c>
      <c r="G3057" s="4">
        <v>20240427</v>
      </c>
      <c r="H3057" s="4" t="s">
        <v>7750</v>
      </c>
      <c r="J3057" s="4" t="s">
        <v>5083</v>
      </c>
    </row>
    <row r="3058" spans="1:10" hidden="1">
      <c r="A3058" s="4">
        <v>2.0210470209000301E+17</v>
      </c>
      <c r="B3058" s="4">
        <v>6028602185</v>
      </c>
      <c r="C3058" s="4" t="s">
        <v>7744</v>
      </c>
      <c r="D3058" s="4">
        <v>70209</v>
      </c>
      <c r="E3058" s="4">
        <v>20210427</v>
      </c>
      <c r="F3058" s="4">
        <v>20210427</v>
      </c>
      <c r="G3058" s="4">
        <v>20240427</v>
      </c>
      <c r="H3058" s="4" t="s">
        <v>3400</v>
      </c>
      <c r="I3058" s="4" t="s">
        <v>7743</v>
      </c>
      <c r="J3058" s="4" t="s">
        <v>242</v>
      </c>
    </row>
    <row r="3059" spans="1:10" hidden="1">
      <c r="A3059" s="4">
        <v>2.0210470121000301E+17</v>
      </c>
      <c r="B3059" s="4">
        <v>1430601273</v>
      </c>
      <c r="C3059" s="4" t="s">
        <v>7742</v>
      </c>
      <c r="D3059" s="4">
        <v>70121</v>
      </c>
      <c r="E3059" s="4">
        <v>20210427</v>
      </c>
      <c r="F3059" s="4">
        <v>20210427</v>
      </c>
      <c r="G3059" s="4">
        <v>20240427</v>
      </c>
      <c r="H3059" s="4" t="s">
        <v>7741</v>
      </c>
      <c r="I3059" s="4" t="s">
        <v>146</v>
      </c>
      <c r="J3059" s="4" t="s">
        <v>1267</v>
      </c>
    </row>
    <row r="3060" spans="1:10" hidden="1">
      <c r="A3060" s="4">
        <v>2.0210446593000301E+17</v>
      </c>
      <c r="B3060" s="4">
        <v>1861501398</v>
      </c>
      <c r="C3060" s="4" t="s">
        <v>7740</v>
      </c>
      <c r="D3060" s="4">
        <v>46593</v>
      </c>
      <c r="E3060" s="4">
        <v>20210427</v>
      </c>
      <c r="F3060" s="4">
        <v>20210427</v>
      </c>
      <c r="G3060" s="4">
        <v>20240427</v>
      </c>
      <c r="H3060" s="4" t="s">
        <v>7129</v>
      </c>
      <c r="I3060" s="4" t="s">
        <v>7128</v>
      </c>
      <c r="J3060" s="4" t="s">
        <v>1469</v>
      </c>
    </row>
    <row r="3061" spans="1:10" hidden="1">
      <c r="A3061" s="4">
        <v>2.0210475999000301E+17</v>
      </c>
      <c r="B3061" s="4">
        <v>3188103493</v>
      </c>
      <c r="C3061" s="4" t="s">
        <v>7739</v>
      </c>
      <c r="D3061" s="4">
        <v>75999</v>
      </c>
      <c r="E3061" s="4">
        <v>20210427</v>
      </c>
      <c r="F3061" s="4">
        <v>20210427</v>
      </c>
      <c r="G3061" s="4">
        <v>20210827</v>
      </c>
      <c r="H3061" s="4" t="s">
        <v>7738</v>
      </c>
      <c r="I3061" s="4" t="s">
        <v>7737</v>
      </c>
      <c r="J3061" s="4" t="s">
        <v>158</v>
      </c>
    </row>
    <row r="3062" spans="1:10" hidden="1">
      <c r="A3062" s="4">
        <v>2.0210428422000301E+17</v>
      </c>
      <c r="B3062" s="4">
        <v>3308600680</v>
      </c>
      <c r="C3062" s="4" t="s">
        <v>7736</v>
      </c>
      <c r="D3062" s="4">
        <v>28422</v>
      </c>
      <c r="E3062" s="4">
        <v>20210427</v>
      </c>
      <c r="F3062" s="4">
        <v>20210427</v>
      </c>
      <c r="G3062" s="4">
        <v>20231010</v>
      </c>
      <c r="H3062" s="4" t="s">
        <v>7735</v>
      </c>
      <c r="J3062" s="4" t="s">
        <v>188</v>
      </c>
    </row>
    <row r="3063" spans="1:10" hidden="1">
      <c r="A3063" s="4">
        <v>2.0210490199000301E+17</v>
      </c>
      <c r="B3063" s="4">
        <v>2378102180</v>
      </c>
      <c r="C3063" s="4" t="s">
        <v>7734</v>
      </c>
      <c r="D3063" s="4">
        <v>90199</v>
      </c>
      <c r="E3063" s="4">
        <v>20210427</v>
      </c>
      <c r="F3063" s="4">
        <v>20210427</v>
      </c>
      <c r="G3063" s="4">
        <v>20240427</v>
      </c>
      <c r="H3063" s="4" t="s">
        <v>7733</v>
      </c>
      <c r="I3063" s="4" t="s">
        <v>149</v>
      </c>
      <c r="J3063" s="4" t="s">
        <v>7732</v>
      </c>
    </row>
    <row r="3064" spans="1:10" hidden="1">
      <c r="A3064" s="4">
        <v>2.0210425111000301E+17</v>
      </c>
      <c r="B3064" s="4">
        <v>2258600618</v>
      </c>
      <c r="C3064" s="4" t="s">
        <v>7731</v>
      </c>
      <c r="D3064" s="4">
        <v>25111</v>
      </c>
      <c r="E3064" s="4">
        <v>20210427</v>
      </c>
      <c r="F3064" s="4">
        <v>20210427</v>
      </c>
      <c r="G3064" s="4">
        <v>20240314</v>
      </c>
      <c r="H3064" s="4" t="s">
        <v>7730</v>
      </c>
      <c r="I3064" s="4" t="s">
        <v>2740</v>
      </c>
      <c r="J3064" s="4" t="s">
        <v>82</v>
      </c>
    </row>
    <row r="3065" spans="1:10" hidden="1">
      <c r="A3065" s="4">
        <v>2.0210429193000301E+17</v>
      </c>
      <c r="B3065" s="4">
        <v>8818100975</v>
      </c>
      <c r="C3065" s="4" t="s">
        <v>7729</v>
      </c>
      <c r="D3065" s="4">
        <v>29193</v>
      </c>
      <c r="E3065" s="4">
        <v>20210427</v>
      </c>
      <c r="F3065" s="4">
        <v>20210427</v>
      </c>
      <c r="G3065" s="4">
        <v>20240427</v>
      </c>
      <c r="H3065" s="4" t="s">
        <v>7728</v>
      </c>
      <c r="I3065" s="4" t="s">
        <v>7727</v>
      </c>
      <c r="J3065" s="4" t="s">
        <v>721</v>
      </c>
    </row>
    <row r="3066" spans="1:10" hidden="1">
      <c r="A3066" s="4">
        <v>2.0210471600000301E+17</v>
      </c>
      <c r="B3066" s="4">
        <v>1748600630</v>
      </c>
      <c r="C3066" s="4" t="s">
        <v>7726</v>
      </c>
      <c r="D3066" s="4">
        <v>71600</v>
      </c>
      <c r="E3066" s="4">
        <v>20210427</v>
      </c>
      <c r="F3066" s="4">
        <v>20210427</v>
      </c>
      <c r="G3066" s="4">
        <v>20240316</v>
      </c>
      <c r="H3066" s="4" t="s">
        <v>2318</v>
      </c>
      <c r="I3066" s="4" t="s">
        <v>7725</v>
      </c>
      <c r="J3066" s="4" t="s">
        <v>1783</v>
      </c>
    </row>
    <row r="3067" spans="1:10" hidden="1">
      <c r="A3067" s="4">
        <v>2.0210413229000301E+17</v>
      </c>
      <c r="B3067" s="4">
        <v>3258101853</v>
      </c>
      <c r="C3067" s="4" t="s">
        <v>7724</v>
      </c>
      <c r="D3067" s="4">
        <v>13229</v>
      </c>
      <c r="E3067" s="4">
        <v>20210427</v>
      </c>
      <c r="F3067" s="4">
        <v>20210427</v>
      </c>
      <c r="G3067" s="4">
        <v>20240427</v>
      </c>
      <c r="H3067" s="4" t="s">
        <v>7723</v>
      </c>
      <c r="I3067" s="4" t="s">
        <v>7722</v>
      </c>
      <c r="J3067" s="4" t="s">
        <v>115</v>
      </c>
    </row>
    <row r="3068" spans="1:10" hidden="1">
      <c r="A3068" s="4">
        <v>2.0210472919000301E+17</v>
      </c>
      <c r="B3068" s="4">
        <v>3988601235</v>
      </c>
      <c r="C3068" s="4" t="s">
        <v>7721</v>
      </c>
      <c r="D3068" s="4">
        <v>72919</v>
      </c>
      <c r="E3068" s="4">
        <v>20210427</v>
      </c>
      <c r="F3068" s="4">
        <v>20210427</v>
      </c>
      <c r="G3068" s="4">
        <v>20240427</v>
      </c>
      <c r="H3068" s="4" t="s">
        <v>491</v>
      </c>
      <c r="I3068" s="4" t="s">
        <v>7720</v>
      </c>
      <c r="J3068" s="4" t="s">
        <v>6865</v>
      </c>
    </row>
    <row r="3069" spans="1:10" hidden="1">
      <c r="A3069" s="4">
        <v>2.0210442209000301E+17</v>
      </c>
      <c r="B3069" s="4">
        <v>4208601788</v>
      </c>
      <c r="C3069" s="4" t="s">
        <v>7719</v>
      </c>
      <c r="D3069" s="4">
        <v>42209</v>
      </c>
      <c r="E3069" s="4">
        <v>20210427</v>
      </c>
      <c r="F3069" s="4">
        <v>20210427</v>
      </c>
      <c r="G3069" s="4">
        <v>20240427</v>
      </c>
      <c r="H3069" s="4" t="s">
        <v>7718</v>
      </c>
      <c r="I3069" s="4" t="s">
        <v>970</v>
      </c>
      <c r="J3069" s="4" t="s">
        <v>7717</v>
      </c>
    </row>
    <row r="3070" spans="1:10" hidden="1">
      <c r="A3070" s="4">
        <v>2.0210441226000301E+17</v>
      </c>
      <c r="B3070" s="4">
        <v>8848100858</v>
      </c>
      <c r="C3070" s="4" t="s">
        <v>7716</v>
      </c>
      <c r="D3070" s="4">
        <v>41226</v>
      </c>
      <c r="E3070" s="4">
        <v>20210427</v>
      </c>
      <c r="F3070" s="4">
        <v>20210427</v>
      </c>
      <c r="G3070" s="4">
        <v>20240427</v>
      </c>
      <c r="H3070" s="4" t="s">
        <v>7715</v>
      </c>
      <c r="I3070" s="4" t="s">
        <v>7714</v>
      </c>
      <c r="J3070" s="4" t="s">
        <v>1063</v>
      </c>
    </row>
    <row r="3071" spans="1:10" hidden="1">
      <c r="A3071" s="4">
        <v>2.0210425113000301E+17</v>
      </c>
      <c r="B3071" s="4">
        <v>6118600105</v>
      </c>
      <c r="C3071" s="4" t="s">
        <v>7713</v>
      </c>
      <c r="D3071" s="4">
        <v>25113</v>
      </c>
      <c r="E3071" s="4">
        <v>20210427</v>
      </c>
      <c r="F3071" s="4">
        <v>20210427</v>
      </c>
      <c r="G3071" s="4">
        <v>20220522</v>
      </c>
      <c r="H3071" s="4" t="s">
        <v>7712</v>
      </c>
      <c r="I3071" s="4" t="s">
        <v>7711</v>
      </c>
      <c r="J3071" s="4" t="s">
        <v>250</v>
      </c>
    </row>
    <row r="3072" spans="1:10" hidden="1">
      <c r="A3072" s="4">
        <v>2.0210424311000301E+17</v>
      </c>
      <c r="B3072" s="4">
        <v>5488601747</v>
      </c>
      <c r="C3072" s="4" t="s">
        <v>7710</v>
      </c>
      <c r="D3072" s="4">
        <v>24311</v>
      </c>
      <c r="E3072" s="4">
        <v>20210427</v>
      </c>
      <c r="F3072" s="4">
        <v>20210427</v>
      </c>
      <c r="G3072" s="4">
        <v>20240427</v>
      </c>
      <c r="H3072" s="4" t="s">
        <v>7709</v>
      </c>
      <c r="J3072" s="4" t="s">
        <v>7708</v>
      </c>
    </row>
    <row r="3073" spans="1:10" hidden="1">
      <c r="A3073" s="4">
        <v>2.0210446539000301E+17</v>
      </c>
      <c r="B3073" s="4">
        <v>3414900351</v>
      </c>
      <c r="C3073" s="4" t="s">
        <v>7707</v>
      </c>
      <c r="D3073" s="4">
        <v>46539</v>
      </c>
      <c r="E3073" s="4">
        <v>20210427</v>
      </c>
      <c r="F3073" s="4">
        <v>20210427</v>
      </c>
      <c r="G3073" s="4">
        <v>20240427</v>
      </c>
      <c r="H3073" s="4" t="s">
        <v>7706</v>
      </c>
      <c r="I3073" s="4" t="s">
        <v>7705</v>
      </c>
      <c r="J3073" s="4" t="s">
        <v>3056</v>
      </c>
    </row>
    <row r="3074" spans="1:10" hidden="1">
      <c r="A3074" s="4">
        <v>2.0210442412000301E+17</v>
      </c>
      <c r="B3074" s="4">
        <v>2958700399</v>
      </c>
      <c r="C3074" s="4" t="s">
        <v>7704</v>
      </c>
      <c r="D3074" s="4">
        <v>42412</v>
      </c>
      <c r="E3074" s="4">
        <v>20210426</v>
      </c>
      <c r="F3074" s="4">
        <v>20210426</v>
      </c>
      <c r="G3074" s="4">
        <v>20230722</v>
      </c>
      <c r="H3074" s="4" t="s">
        <v>7703</v>
      </c>
      <c r="I3074" s="4" t="s">
        <v>149</v>
      </c>
      <c r="J3074" s="4" t="s">
        <v>281</v>
      </c>
    </row>
    <row r="3075" spans="1:10" hidden="1">
      <c r="A3075" s="4">
        <v>2.0210458222000198E+17</v>
      </c>
      <c r="B3075" s="4">
        <v>4118600086</v>
      </c>
      <c r="C3075" s="4" t="s">
        <v>7702</v>
      </c>
      <c r="D3075" s="4">
        <v>58222</v>
      </c>
      <c r="E3075" s="4">
        <v>20210426</v>
      </c>
      <c r="F3075" s="4">
        <v>20210426</v>
      </c>
      <c r="G3075" s="4">
        <v>20220511</v>
      </c>
      <c r="H3075" s="4" t="s">
        <v>6873</v>
      </c>
      <c r="I3075" s="4" t="s">
        <v>7701</v>
      </c>
      <c r="J3075" s="4" t="s">
        <v>94</v>
      </c>
    </row>
    <row r="3076" spans="1:10" hidden="1">
      <c r="A3076" s="4">
        <v>2.0210442321000301E+17</v>
      </c>
      <c r="B3076" s="4">
        <v>8848801763</v>
      </c>
      <c r="C3076" s="4" t="s">
        <v>7700</v>
      </c>
      <c r="D3076" s="4">
        <v>42321</v>
      </c>
      <c r="E3076" s="4">
        <v>20210426</v>
      </c>
      <c r="F3076" s="4">
        <v>20210426</v>
      </c>
      <c r="G3076" s="4">
        <v>20240426</v>
      </c>
      <c r="H3076" s="4" t="s">
        <v>6113</v>
      </c>
      <c r="I3076" s="4" t="s">
        <v>7699</v>
      </c>
      <c r="J3076" s="4" t="s">
        <v>698</v>
      </c>
    </row>
    <row r="3077" spans="1:10" hidden="1">
      <c r="A3077" s="4">
        <v>2.0210442412000198E+17</v>
      </c>
      <c r="B3077" s="4">
        <v>8248701288</v>
      </c>
      <c r="C3077" s="4" t="s">
        <v>7698</v>
      </c>
      <c r="D3077" s="4">
        <v>42412</v>
      </c>
      <c r="E3077" s="4">
        <v>20210426</v>
      </c>
      <c r="F3077" s="4">
        <v>20210426</v>
      </c>
      <c r="G3077" s="4">
        <v>20240426</v>
      </c>
      <c r="H3077" s="4" t="s">
        <v>7697</v>
      </c>
      <c r="I3077" s="4" t="s">
        <v>7696</v>
      </c>
      <c r="J3077" s="4" t="s">
        <v>281</v>
      </c>
    </row>
    <row r="3078" spans="1:10" hidden="1">
      <c r="A3078" s="4">
        <v>2.0210428410000301E+17</v>
      </c>
      <c r="B3078" s="4">
        <v>6868801209</v>
      </c>
      <c r="C3078" s="4" t="s">
        <v>7695</v>
      </c>
      <c r="D3078" s="4">
        <v>28410</v>
      </c>
      <c r="E3078" s="4">
        <v>20210426</v>
      </c>
      <c r="F3078" s="4">
        <v>20210426</v>
      </c>
      <c r="G3078" s="4">
        <v>20240426</v>
      </c>
      <c r="H3078" s="4" t="s">
        <v>7694</v>
      </c>
      <c r="I3078" s="4" t="s">
        <v>7693</v>
      </c>
      <c r="J3078" s="4" t="s">
        <v>2199</v>
      </c>
    </row>
    <row r="3079" spans="1:10" hidden="1">
      <c r="A3079" s="4">
        <v>2.0210441226000301E+17</v>
      </c>
      <c r="B3079" s="4">
        <v>8488700475</v>
      </c>
      <c r="C3079" s="4" t="s">
        <v>7746</v>
      </c>
      <c r="D3079" s="4">
        <v>41226</v>
      </c>
      <c r="E3079" s="4">
        <v>20210427</v>
      </c>
      <c r="F3079" s="4">
        <v>20210427</v>
      </c>
      <c r="G3079" s="4">
        <v>20231012</v>
      </c>
      <c r="H3079" s="4" t="s">
        <v>7745</v>
      </c>
      <c r="I3079" s="4" t="s">
        <v>938</v>
      </c>
      <c r="J3079" s="4" t="s">
        <v>1063</v>
      </c>
    </row>
    <row r="3080" spans="1:10" hidden="1">
      <c r="A3080" s="4">
        <v>2.0210472111000301E+17</v>
      </c>
      <c r="B3080" s="4">
        <v>6938100330</v>
      </c>
      <c r="C3080" s="4" t="s">
        <v>7689</v>
      </c>
      <c r="D3080" s="4">
        <v>72111</v>
      </c>
      <c r="E3080" s="4">
        <v>20210426</v>
      </c>
      <c r="F3080" s="4">
        <v>20210426</v>
      </c>
      <c r="G3080" s="4">
        <v>20230108</v>
      </c>
      <c r="H3080" s="4" t="s">
        <v>5171</v>
      </c>
      <c r="I3080" s="4" t="s">
        <v>7688</v>
      </c>
      <c r="J3080" s="4" t="s">
        <v>3461</v>
      </c>
    </row>
    <row r="3081" spans="1:10" hidden="1">
      <c r="A3081" s="4">
        <v>2.0210473201000301E+17</v>
      </c>
      <c r="B3081" s="4">
        <v>6358700388</v>
      </c>
      <c r="C3081" s="4" t="s">
        <v>7687</v>
      </c>
      <c r="D3081" s="4">
        <v>73201</v>
      </c>
      <c r="E3081" s="4">
        <v>20210426</v>
      </c>
      <c r="F3081" s="4">
        <v>20210426</v>
      </c>
      <c r="G3081" s="4">
        <v>20230622</v>
      </c>
      <c r="H3081" s="4" t="s">
        <v>7686</v>
      </c>
      <c r="I3081" s="4" t="s">
        <v>591</v>
      </c>
      <c r="J3081" s="4" t="s">
        <v>569</v>
      </c>
    </row>
    <row r="3082" spans="1:10" hidden="1">
      <c r="A3082" s="4">
        <v>2.0210422221000301E+17</v>
      </c>
      <c r="B3082" s="4">
        <v>4178801597</v>
      </c>
      <c r="C3082" s="4" t="s">
        <v>7685</v>
      </c>
      <c r="D3082" s="4">
        <v>22221</v>
      </c>
      <c r="E3082" s="4">
        <v>20210426</v>
      </c>
      <c r="F3082" s="4">
        <v>20210426</v>
      </c>
      <c r="G3082" s="4">
        <v>20240426</v>
      </c>
      <c r="H3082" s="4" t="s">
        <v>7684</v>
      </c>
      <c r="I3082" s="4" t="s">
        <v>7683</v>
      </c>
      <c r="J3082" s="4" t="s">
        <v>5661</v>
      </c>
    </row>
    <row r="3083" spans="1:10" hidden="1">
      <c r="A3083" s="4">
        <v>2.0210458219000301E+17</v>
      </c>
      <c r="B3083" s="4">
        <v>3718800268</v>
      </c>
      <c r="C3083" s="4" t="s">
        <v>7682</v>
      </c>
      <c r="D3083" s="4">
        <v>58219</v>
      </c>
      <c r="E3083" s="4">
        <v>20210426</v>
      </c>
      <c r="F3083" s="4">
        <v>20210426</v>
      </c>
      <c r="G3083" s="4">
        <v>20221020</v>
      </c>
      <c r="H3083" s="4" t="s">
        <v>7681</v>
      </c>
      <c r="I3083" s="4" t="s">
        <v>7680</v>
      </c>
      <c r="J3083" s="4" t="s">
        <v>7679</v>
      </c>
    </row>
    <row r="3084" spans="1:10" hidden="1">
      <c r="A3084" s="4">
        <v>2.0210472121000301E+17</v>
      </c>
      <c r="B3084" s="4">
        <v>5328601567</v>
      </c>
      <c r="C3084" s="4" t="s">
        <v>7678</v>
      </c>
      <c r="D3084" s="4">
        <v>72121</v>
      </c>
      <c r="E3084" s="4">
        <v>20210426</v>
      </c>
      <c r="F3084" s="4">
        <v>20210426</v>
      </c>
      <c r="G3084" s="4">
        <v>20240426</v>
      </c>
      <c r="H3084" s="4" t="s">
        <v>7677</v>
      </c>
      <c r="I3084" s="4" t="s">
        <v>3530</v>
      </c>
      <c r="J3084" s="4" t="s">
        <v>2243</v>
      </c>
    </row>
    <row r="3085" spans="1:10" hidden="1">
      <c r="A3085" s="4">
        <v>2.0210428422000301E+17</v>
      </c>
      <c r="B3085" s="4">
        <v>3918101622</v>
      </c>
      <c r="C3085" s="4" t="s">
        <v>7675</v>
      </c>
      <c r="D3085" s="4">
        <v>28422</v>
      </c>
      <c r="E3085" s="4">
        <v>20210426</v>
      </c>
      <c r="F3085" s="4">
        <v>20210426</v>
      </c>
      <c r="G3085" s="4">
        <v>20240426</v>
      </c>
      <c r="H3085" s="4" t="s">
        <v>7676</v>
      </c>
      <c r="I3085" s="4" t="s">
        <v>7675</v>
      </c>
      <c r="J3085" s="4" t="s">
        <v>188</v>
      </c>
    </row>
    <row r="3086" spans="1:10" hidden="1">
      <c r="A3086" s="4">
        <v>2.0210458221000301E+17</v>
      </c>
      <c r="B3086" s="4">
        <v>7788801003</v>
      </c>
      <c r="C3086" s="4" t="s">
        <v>7674</v>
      </c>
      <c r="D3086" s="4">
        <v>58221</v>
      </c>
      <c r="E3086" s="4">
        <v>20210426</v>
      </c>
      <c r="F3086" s="4">
        <v>20210426</v>
      </c>
      <c r="G3086" s="4">
        <v>20240426</v>
      </c>
      <c r="H3086" s="4" t="s">
        <v>7673</v>
      </c>
      <c r="I3086" s="4" t="s">
        <v>7672</v>
      </c>
      <c r="J3086" s="4" t="s">
        <v>228</v>
      </c>
    </row>
    <row r="3087" spans="1:10" hidden="1">
      <c r="A3087" s="4">
        <v>2.0210442204000301E+17</v>
      </c>
      <c r="B3087" s="4">
        <v>3168127728</v>
      </c>
      <c r="C3087" s="4" t="s">
        <v>7671</v>
      </c>
      <c r="D3087" s="4">
        <v>42204</v>
      </c>
      <c r="E3087" s="4">
        <v>20210426</v>
      </c>
      <c r="F3087" s="4">
        <v>20210426</v>
      </c>
      <c r="G3087" s="4">
        <v>20240426</v>
      </c>
      <c r="H3087" s="4" t="s">
        <v>7670</v>
      </c>
      <c r="J3087" s="4" t="s">
        <v>7487</v>
      </c>
    </row>
    <row r="3088" spans="1:10">
      <c r="A3088" s="4">
        <v>2.0210318119000099E+17</v>
      </c>
      <c r="B3088" s="4">
        <v>6828200040</v>
      </c>
      <c r="C3088" s="4" t="s">
        <v>4036</v>
      </c>
      <c r="D3088" s="4">
        <v>18119</v>
      </c>
      <c r="E3088" s="4">
        <v>20210311</v>
      </c>
      <c r="F3088" s="4">
        <v>20210311</v>
      </c>
      <c r="G3088" s="4">
        <v>20221019</v>
      </c>
      <c r="H3088" s="4" t="s">
        <v>4035</v>
      </c>
      <c r="I3088" s="4" t="s">
        <v>4034</v>
      </c>
      <c r="J3088" s="4" t="s">
        <v>707</v>
      </c>
    </row>
    <row r="3089" spans="1:10" hidden="1">
      <c r="A3089" s="4">
        <v>2.0210410309000198E+17</v>
      </c>
      <c r="B3089" s="4">
        <v>5628700697</v>
      </c>
      <c r="C3089" s="4" t="s">
        <v>7666</v>
      </c>
      <c r="D3089" s="4">
        <v>10309</v>
      </c>
      <c r="E3089" s="4">
        <v>20210426</v>
      </c>
      <c r="F3089" s="4">
        <v>20210426</v>
      </c>
      <c r="G3089" s="4">
        <v>20240426</v>
      </c>
      <c r="H3089" s="4" t="s">
        <v>7665</v>
      </c>
      <c r="J3089" s="4" t="s">
        <v>519</v>
      </c>
    </row>
    <row r="3090" spans="1:10" hidden="1">
      <c r="A3090" s="4">
        <v>2.0210425119000301E+17</v>
      </c>
      <c r="B3090" s="4">
        <v>2198600990</v>
      </c>
      <c r="C3090" s="4" t="s">
        <v>7664</v>
      </c>
      <c r="D3090" s="4">
        <v>25119</v>
      </c>
      <c r="E3090" s="4">
        <v>20210426</v>
      </c>
      <c r="F3090" s="4">
        <v>20210426</v>
      </c>
      <c r="G3090" s="4">
        <v>20240426</v>
      </c>
      <c r="H3090" s="4" t="s">
        <v>7663</v>
      </c>
      <c r="J3090" s="4" t="s">
        <v>679</v>
      </c>
    </row>
    <row r="3091" spans="1:10" hidden="1">
      <c r="A3091" s="4">
        <v>2.0210463120000301E+17</v>
      </c>
      <c r="B3091" s="4">
        <v>5372900992</v>
      </c>
      <c r="C3091" s="4" t="s">
        <v>7662</v>
      </c>
      <c r="D3091" s="4">
        <v>63120</v>
      </c>
      <c r="E3091" s="4">
        <v>20210426</v>
      </c>
      <c r="F3091" s="4">
        <v>20210426</v>
      </c>
      <c r="G3091" s="4">
        <v>20240426</v>
      </c>
      <c r="H3091" s="4" t="s">
        <v>7661</v>
      </c>
      <c r="J3091" s="4" t="s">
        <v>632</v>
      </c>
    </row>
    <row r="3092" spans="1:10">
      <c r="A3092" s="4">
        <v>2.02106181110004E+17</v>
      </c>
      <c r="B3092" s="4">
        <v>2011840221</v>
      </c>
      <c r="C3092" s="4" t="s">
        <v>11397</v>
      </c>
      <c r="D3092" s="4">
        <v>18111</v>
      </c>
      <c r="E3092" s="4">
        <v>20210611</v>
      </c>
      <c r="F3092" s="4">
        <v>20210611</v>
      </c>
      <c r="G3092" s="4">
        <v>20211103</v>
      </c>
      <c r="H3092" s="4" t="s">
        <v>11396</v>
      </c>
      <c r="I3092" s="4" t="s">
        <v>11395</v>
      </c>
      <c r="J3092" s="4" t="s">
        <v>662</v>
      </c>
    </row>
    <row r="3093" spans="1:10" hidden="1">
      <c r="A3093" s="4">
        <v>2.0210429261000198E+17</v>
      </c>
      <c r="B3093" s="4">
        <v>5610300845</v>
      </c>
      <c r="C3093" s="4" t="s">
        <v>7657</v>
      </c>
      <c r="D3093" s="4">
        <v>29261</v>
      </c>
      <c r="E3093" s="4">
        <v>20210426</v>
      </c>
      <c r="F3093" s="4">
        <v>20210426</v>
      </c>
      <c r="G3093" s="4">
        <v>20240426</v>
      </c>
      <c r="H3093" s="4" t="s">
        <v>7656</v>
      </c>
      <c r="I3093" s="4" t="s">
        <v>1208</v>
      </c>
      <c r="J3093" s="4" t="s">
        <v>7655</v>
      </c>
    </row>
    <row r="3094" spans="1:10" hidden="1">
      <c r="A3094" s="4">
        <v>2.0210413999000301E+17</v>
      </c>
      <c r="B3094" s="4">
        <v>4248701851</v>
      </c>
      <c r="C3094" s="4" t="s">
        <v>7654</v>
      </c>
      <c r="D3094" s="4">
        <v>13999</v>
      </c>
      <c r="E3094" s="4">
        <v>20210426</v>
      </c>
      <c r="F3094" s="4">
        <v>20210426</v>
      </c>
      <c r="G3094" s="4">
        <v>20240426</v>
      </c>
      <c r="H3094" s="4" t="s">
        <v>7653</v>
      </c>
      <c r="I3094" s="4" t="s">
        <v>7652</v>
      </c>
      <c r="J3094" s="4" t="s">
        <v>130</v>
      </c>
    </row>
    <row r="3095" spans="1:10" hidden="1">
      <c r="A3095" s="4">
        <v>2.0210446499000301E+17</v>
      </c>
      <c r="B3095" s="4">
        <v>2230762893</v>
      </c>
      <c r="C3095" s="4" t="s">
        <v>7651</v>
      </c>
      <c r="D3095" s="4">
        <v>46499</v>
      </c>
      <c r="E3095" s="4">
        <v>20210426</v>
      </c>
      <c r="F3095" s="4">
        <v>20210426</v>
      </c>
      <c r="G3095" s="4">
        <v>20240426</v>
      </c>
      <c r="H3095" s="4" t="s">
        <v>7650</v>
      </c>
      <c r="I3095" s="4" t="s">
        <v>7649</v>
      </c>
      <c r="J3095" s="4" t="s">
        <v>184</v>
      </c>
    </row>
    <row r="3096" spans="1:10">
      <c r="A3096" s="4">
        <v>2.02106581900004E+17</v>
      </c>
      <c r="B3096" s="4">
        <v>2082264293</v>
      </c>
      <c r="C3096" s="4" t="s">
        <v>10097</v>
      </c>
      <c r="D3096" s="4">
        <v>58190</v>
      </c>
      <c r="E3096" s="4">
        <v>20210601</v>
      </c>
      <c r="F3096" s="4">
        <v>20210601</v>
      </c>
      <c r="G3096" s="4">
        <v>20240601</v>
      </c>
      <c r="H3096" s="4" t="s">
        <v>10096</v>
      </c>
      <c r="I3096" s="4" t="s">
        <v>10095</v>
      </c>
      <c r="J3096" s="4" t="s">
        <v>196</v>
      </c>
    </row>
    <row r="3097" spans="1:10" hidden="1">
      <c r="A3097" s="4">
        <v>2.0210471310000301E+17</v>
      </c>
      <c r="B3097" s="4">
        <v>1668800540</v>
      </c>
      <c r="C3097" s="4" t="s">
        <v>7645</v>
      </c>
      <c r="D3097" s="4">
        <v>71310</v>
      </c>
      <c r="E3097" s="4">
        <v>20210426</v>
      </c>
      <c r="F3097" s="4">
        <v>20210426</v>
      </c>
      <c r="G3097" s="4">
        <v>20240105</v>
      </c>
      <c r="H3097" s="4" t="s">
        <v>7644</v>
      </c>
      <c r="I3097" s="4" t="s">
        <v>1134</v>
      </c>
      <c r="J3097" s="4" t="s">
        <v>426</v>
      </c>
    </row>
    <row r="3098" spans="1:10" hidden="1">
      <c r="A3098" s="4">
        <v>2.0210429199000301E+17</v>
      </c>
      <c r="B3098" s="4">
        <v>7048100076</v>
      </c>
      <c r="C3098" s="4" t="s">
        <v>7643</v>
      </c>
      <c r="D3098" s="4">
        <v>29199</v>
      </c>
      <c r="E3098" s="4">
        <v>20210426</v>
      </c>
      <c r="F3098" s="4">
        <v>20210426</v>
      </c>
      <c r="G3098" s="4">
        <v>20220422</v>
      </c>
      <c r="H3098" s="4" t="s">
        <v>7642</v>
      </c>
      <c r="I3098" s="4" t="s">
        <v>7641</v>
      </c>
      <c r="J3098" s="4" t="s">
        <v>166</v>
      </c>
    </row>
    <row r="3099" spans="1:10" hidden="1">
      <c r="A3099" s="4">
        <v>2.0210442412000198E+17</v>
      </c>
      <c r="B3099" s="4">
        <v>5863200470</v>
      </c>
      <c r="C3099" s="4" t="s">
        <v>7640</v>
      </c>
      <c r="D3099" s="4">
        <v>42412</v>
      </c>
      <c r="E3099" s="4">
        <v>20210426</v>
      </c>
      <c r="F3099" s="4">
        <v>20210426</v>
      </c>
      <c r="G3099" s="4">
        <v>20240426</v>
      </c>
      <c r="H3099" s="4" t="s">
        <v>7639</v>
      </c>
      <c r="J3099" s="4" t="s">
        <v>281</v>
      </c>
    </row>
    <row r="3100" spans="1:10" hidden="1">
      <c r="A3100" s="4">
        <v>2.0210428422000301E+17</v>
      </c>
      <c r="B3100" s="4">
        <v>5618200200</v>
      </c>
      <c r="C3100" s="4" t="s">
        <v>7638</v>
      </c>
      <c r="D3100" s="4">
        <v>28422</v>
      </c>
      <c r="E3100" s="4">
        <v>20210426</v>
      </c>
      <c r="F3100" s="4">
        <v>20210426</v>
      </c>
      <c r="G3100" s="4">
        <v>20240426</v>
      </c>
      <c r="H3100" s="4" t="s">
        <v>7637</v>
      </c>
      <c r="I3100" s="4" t="s">
        <v>1813</v>
      </c>
      <c r="J3100" s="4" t="s">
        <v>188</v>
      </c>
    </row>
    <row r="3101" spans="1:10" hidden="1">
      <c r="A3101" s="4">
        <v>2.0210442491000301E+17</v>
      </c>
      <c r="B3101" s="4">
        <v>4158156229</v>
      </c>
      <c r="C3101" s="4" t="s">
        <v>7636</v>
      </c>
      <c r="D3101" s="4">
        <v>42491</v>
      </c>
      <c r="E3101" s="4">
        <v>20210426</v>
      </c>
      <c r="F3101" s="4">
        <v>20210426</v>
      </c>
      <c r="G3101" s="4">
        <v>20220122</v>
      </c>
      <c r="H3101" s="4" t="s">
        <v>7635</v>
      </c>
      <c r="J3101" s="4" t="s">
        <v>883</v>
      </c>
    </row>
    <row r="3102" spans="1:10" hidden="1">
      <c r="A3102" s="4">
        <v>2.0210425999000198E+17</v>
      </c>
      <c r="B3102" s="4">
        <v>2068707709</v>
      </c>
      <c r="C3102" s="4" t="s">
        <v>7634</v>
      </c>
      <c r="D3102" s="4">
        <v>25999</v>
      </c>
      <c r="E3102" s="4">
        <v>20210426</v>
      </c>
      <c r="F3102" s="4">
        <v>20210426</v>
      </c>
      <c r="G3102" s="4">
        <v>20240426</v>
      </c>
      <c r="H3102" s="4" t="s">
        <v>4888</v>
      </c>
      <c r="I3102" s="4" t="s">
        <v>7633</v>
      </c>
      <c r="J3102" s="4" t="s">
        <v>301</v>
      </c>
    </row>
    <row r="3103" spans="1:10" hidden="1">
      <c r="A3103" s="4">
        <v>2.0210447912000301E+17</v>
      </c>
      <c r="B3103" s="4">
        <v>8544300608</v>
      </c>
      <c r="C3103" s="4" t="s">
        <v>7632</v>
      </c>
      <c r="D3103" s="4">
        <v>47912</v>
      </c>
      <c r="E3103" s="4">
        <v>20210426</v>
      </c>
      <c r="F3103" s="4">
        <v>20210426</v>
      </c>
      <c r="G3103" s="4">
        <v>20240426</v>
      </c>
      <c r="H3103" s="4" t="s">
        <v>7631</v>
      </c>
      <c r="I3103" s="4">
        <v>202</v>
      </c>
      <c r="J3103" s="4" t="s">
        <v>78</v>
      </c>
    </row>
    <row r="3104" spans="1:10" hidden="1">
      <c r="A3104" s="4">
        <v>2.0210446452000301E+17</v>
      </c>
      <c r="B3104" s="4">
        <v>8137800287</v>
      </c>
      <c r="C3104" s="4" t="s">
        <v>7630</v>
      </c>
      <c r="D3104" s="4">
        <v>46452</v>
      </c>
      <c r="E3104" s="4">
        <v>20210426</v>
      </c>
      <c r="F3104" s="4">
        <v>20210426</v>
      </c>
      <c r="G3104" s="4">
        <v>20240426</v>
      </c>
      <c r="H3104" s="4" t="s">
        <v>7629</v>
      </c>
      <c r="J3104" s="4" t="s">
        <v>516</v>
      </c>
    </row>
    <row r="3105" spans="1:10" hidden="1">
      <c r="A3105" s="4">
        <v>2.0210474211000301E+17</v>
      </c>
      <c r="B3105" s="4">
        <v>4858801305</v>
      </c>
      <c r="C3105" s="4" t="s">
        <v>7628</v>
      </c>
      <c r="D3105" s="4">
        <v>74211</v>
      </c>
      <c r="E3105" s="4">
        <v>20210426</v>
      </c>
      <c r="F3105" s="4">
        <v>20210426</v>
      </c>
      <c r="G3105" s="4">
        <v>20240426</v>
      </c>
      <c r="H3105" s="4" t="s">
        <v>7627</v>
      </c>
      <c r="I3105" s="4" t="s">
        <v>7626</v>
      </c>
      <c r="J3105" s="4" t="s">
        <v>5576</v>
      </c>
    </row>
    <row r="3106" spans="1:10" hidden="1">
      <c r="A3106" s="4">
        <v>2.0210446452000301E+17</v>
      </c>
      <c r="B3106" s="4">
        <v>1091648184</v>
      </c>
      <c r="C3106" s="4" t="s">
        <v>7625</v>
      </c>
      <c r="D3106" s="4">
        <v>46452</v>
      </c>
      <c r="E3106" s="4">
        <v>20210426</v>
      </c>
      <c r="F3106" s="4">
        <v>20210426</v>
      </c>
      <c r="G3106" s="4">
        <v>20220102</v>
      </c>
      <c r="H3106" s="4" t="s">
        <v>7624</v>
      </c>
      <c r="I3106" s="4" t="s">
        <v>7623</v>
      </c>
      <c r="J3106" s="4" t="s">
        <v>516</v>
      </c>
    </row>
    <row r="3107" spans="1:10" hidden="1">
      <c r="A3107" s="4">
        <v>2.0210441229000198E+17</v>
      </c>
      <c r="B3107" s="4">
        <v>4218601928</v>
      </c>
      <c r="C3107" s="4" t="s">
        <v>7622</v>
      </c>
      <c r="D3107" s="4">
        <v>41229</v>
      </c>
      <c r="E3107" s="4">
        <v>20210426</v>
      </c>
      <c r="F3107" s="4">
        <v>20210426</v>
      </c>
      <c r="G3107" s="4">
        <v>20240426</v>
      </c>
      <c r="H3107" s="4" t="s">
        <v>7621</v>
      </c>
      <c r="J3107" s="4" t="s">
        <v>5083</v>
      </c>
    </row>
    <row r="3108" spans="1:10" hidden="1">
      <c r="A3108" s="4">
        <v>2.0210426429000301E+17</v>
      </c>
      <c r="B3108" s="4">
        <v>7798700956</v>
      </c>
      <c r="C3108" s="4" t="s">
        <v>7620</v>
      </c>
      <c r="D3108" s="4">
        <v>26429</v>
      </c>
      <c r="E3108" s="4">
        <v>20210426</v>
      </c>
      <c r="F3108" s="4">
        <v>20210426</v>
      </c>
      <c r="G3108" s="4">
        <v>20240426</v>
      </c>
      <c r="H3108" s="4" t="s">
        <v>350</v>
      </c>
      <c r="I3108" s="4" t="s">
        <v>7280</v>
      </c>
      <c r="J3108" s="4" t="s">
        <v>422</v>
      </c>
    </row>
    <row r="3109" spans="1:10" hidden="1">
      <c r="A3109" s="4">
        <v>2.0210428903000301E+17</v>
      </c>
      <c r="B3109" s="4">
        <v>1218701928</v>
      </c>
      <c r="C3109" s="4" t="s">
        <v>7619</v>
      </c>
      <c r="D3109" s="4">
        <v>28903</v>
      </c>
      <c r="E3109" s="4">
        <v>20210426</v>
      </c>
      <c r="F3109" s="4">
        <v>20210426</v>
      </c>
      <c r="G3109" s="4">
        <v>20240426</v>
      </c>
      <c r="H3109" s="4" t="s">
        <v>7618</v>
      </c>
      <c r="I3109" s="4" t="s">
        <v>7617</v>
      </c>
      <c r="J3109" s="4" t="s">
        <v>460</v>
      </c>
    </row>
    <row r="3110" spans="1:10" hidden="1">
      <c r="A3110" s="4">
        <v>2.0210446492000301E+17</v>
      </c>
      <c r="B3110" s="4">
        <v>6901900334</v>
      </c>
      <c r="C3110" s="4" t="s">
        <v>7616</v>
      </c>
      <c r="D3110" s="4">
        <v>46492</v>
      </c>
      <c r="E3110" s="4">
        <v>20210426</v>
      </c>
      <c r="F3110" s="4">
        <v>20210426</v>
      </c>
      <c r="G3110" s="4">
        <v>20231114</v>
      </c>
      <c r="H3110" s="4" t="s">
        <v>7615</v>
      </c>
      <c r="I3110" s="4" t="s">
        <v>7614</v>
      </c>
      <c r="J3110" s="4" t="s">
        <v>7613</v>
      </c>
    </row>
    <row r="3111" spans="1:10" hidden="1">
      <c r="A3111" s="4">
        <v>2.0210433910000301E+17</v>
      </c>
      <c r="B3111" s="4">
        <v>4248100694</v>
      </c>
      <c r="C3111" s="4" t="s">
        <v>7612</v>
      </c>
      <c r="D3111" s="4">
        <v>33910</v>
      </c>
      <c r="E3111" s="4">
        <v>20210426</v>
      </c>
      <c r="F3111" s="4">
        <v>20210426</v>
      </c>
      <c r="G3111" s="4">
        <v>20240418</v>
      </c>
      <c r="H3111" s="4" t="s">
        <v>7611</v>
      </c>
      <c r="I3111" s="4" t="s">
        <v>1742</v>
      </c>
      <c r="J3111" s="4" t="s">
        <v>310</v>
      </c>
    </row>
    <row r="3112" spans="1:10" hidden="1">
      <c r="A3112" s="4">
        <v>2.0210463120000301E+17</v>
      </c>
      <c r="B3112" s="4">
        <v>6415200644</v>
      </c>
      <c r="C3112" s="4" t="s">
        <v>7610</v>
      </c>
      <c r="D3112" s="4">
        <v>63120</v>
      </c>
      <c r="E3112" s="4">
        <v>20210426</v>
      </c>
      <c r="F3112" s="4">
        <v>20210426</v>
      </c>
      <c r="G3112" s="4">
        <v>20240426</v>
      </c>
      <c r="H3112" s="4" t="s">
        <v>7609</v>
      </c>
      <c r="I3112" s="4" t="s">
        <v>1695</v>
      </c>
      <c r="J3112" s="4" t="s">
        <v>632</v>
      </c>
    </row>
    <row r="3113" spans="1:10">
      <c r="A3113" s="4">
        <v>2.0210446453000198E+17</v>
      </c>
      <c r="B3113" s="4">
        <v>8021401232</v>
      </c>
      <c r="C3113" s="4" t="s">
        <v>7669</v>
      </c>
      <c r="D3113" s="4">
        <v>46453</v>
      </c>
      <c r="E3113" s="4">
        <v>20210426</v>
      </c>
      <c r="F3113" s="4">
        <v>20210426</v>
      </c>
      <c r="G3113" s="4">
        <v>20240426</v>
      </c>
      <c r="H3113" s="4" t="s">
        <v>7668</v>
      </c>
      <c r="I3113" s="4" t="s">
        <v>7667</v>
      </c>
      <c r="J3113" s="4" t="s">
        <v>816</v>
      </c>
    </row>
    <row r="3114" spans="1:10" hidden="1">
      <c r="A3114" s="4">
        <v>2.0210442321000198E+17</v>
      </c>
      <c r="B3114" s="4">
        <v>5611401286</v>
      </c>
      <c r="C3114" s="4" t="s">
        <v>7605</v>
      </c>
      <c r="D3114" s="4">
        <v>42321</v>
      </c>
      <c r="E3114" s="4">
        <v>20210426</v>
      </c>
      <c r="F3114" s="4">
        <v>20210426</v>
      </c>
      <c r="G3114" s="4">
        <v>20240426</v>
      </c>
      <c r="H3114" s="4" t="s">
        <v>7604</v>
      </c>
      <c r="J3114" s="4" t="s">
        <v>698</v>
      </c>
    </row>
    <row r="3115" spans="1:10" hidden="1">
      <c r="A3115" s="4">
        <v>2.0210446452000301E+17</v>
      </c>
      <c r="B3115" s="4">
        <v>3763100712</v>
      </c>
      <c r="C3115" s="4" t="s">
        <v>7603</v>
      </c>
      <c r="D3115" s="4">
        <v>46452</v>
      </c>
      <c r="E3115" s="4">
        <v>20210426</v>
      </c>
      <c r="F3115" s="4">
        <v>20210426</v>
      </c>
      <c r="G3115" s="4">
        <v>20240426</v>
      </c>
      <c r="H3115" s="4" t="s">
        <v>7602</v>
      </c>
      <c r="I3115" s="4" t="s">
        <v>7601</v>
      </c>
      <c r="J3115" s="4" t="s">
        <v>516</v>
      </c>
    </row>
    <row r="3116" spans="1:10">
      <c r="A3116" s="4">
        <v>2.0210346453000099E+17</v>
      </c>
      <c r="B3116" s="4">
        <v>4588801884</v>
      </c>
      <c r="C3116" s="4" t="s">
        <v>4988</v>
      </c>
      <c r="D3116" s="4">
        <v>46453</v>
      </c>
      <c r="E3116" s="4">
        <v>20210323</v>
      </c>
      <c r="F3116" s="4">
        <v>20210323</v>
      </c>
      <c r="G3116" s="4">
        <v>20240323</v>
      </c>
      <c r="H3116" s="4" t="s">
        <v>4987</v>
      </c>
      <c r="I3116" s="4" t="s">
        <v>4986</v>
      </c>
      <c r="J3116" s="4" t="s">
        <v>816</v>
      </c>
    </row>
    <row r="3117" spans="1:10" hidden="1">
      <c r="A3117" s="4">
        <v>2.0210446329000301E+17</v>
      </c>
      <c r="B3117" s="4">
        <v>7994000412</v>
      </c>
      <c r="C3117" s="4" t="s">
        <v>7597</v>
      </c>
      <c r="D3117" s="4">
        <v>46329</v>
      </c>
      <c r="E3117" s="4">
        <v>20210426</v>
      </c>
      <c r="F3117" s="4">
        <v>20210426</v>
      </c>
      <c r="G3117" s="4">
        <v>20240426</v>
      </c>
      <c r="H3117" s="4" t="s">
        <v>7596</v>
      </c>
      <c r="I3117" s="4" t="s">
        <v>149</v>
      </c>
      <c r="J3117" s="4" t="s">
        <v>830</v>
      </c>
    </row>
    <row r="3118" spans="1:10" hidden="1">
      <c r="A3118" s="4">
        <v>2.0210428422000301E+17</v>
      </c>
      <c r="B3118" s="4">
        <v>6028701131</v>
      </c>
      <c r="C3118" s="4" t="s">
        <v>7595</v>
      </c>
      <c r="D3118" s="4">
        <v>28422</v>
      </c>
      <c r="E3118" s="4">
        <v>20210426</v>
      </c>
      <c r="F3118" s="4">
        <v>20210426</v>
      </c>
      <c r="G3118" s="4">
        <v>20240426</v>
      </c>
      <c r="H3118" s="4" t="s">
        <v>7594</v>
      </c>
      <c r="I3118" s="4" t="s">
        <v>7593</v>
      </c>
      <c r="J3118" s="4" t="s">
        <v>188</v>
      </c>
    </row>
    <row r="3119" spans="1:10" hidden="1">
      <c r="A3119" s="4">
        <v>2.0210475110000198E+17</v>
      </c>
      <c r="B3119" s="4">
        <v>4648101634</v>
      </c>
      <c r="C3119" s="4" t="s">
        <v>7592</v>
      </c>
      <c r="D3119" s="4">
        <v>75110</v>
      </c>
      <c r="E3119" s="4">
        <v>20210426</v>
      </c>
      <c r="F3119" s="4">
        <v>20210426</v>
      </c>
      <c r="G3119" s="4">
        <v>20240426</v>
      </c>
      <c r="H3119" s="4" t="s">
        <v>7591</v>
      </c>
      <c r="I3119" s="4" t="s">
        <v>7590</v>
      </c>
      <c r="J3119" s="4" t="s">
        <v>2285</v>
      </c>
    </row>
    <row r="3120" spans="1:10" hidden="1">
      <c r="A3120" s="4">
        <v>2.0210425113000301E+17</v>
      </c>
      <c r="B3120" s="4">
        <v>7558600818</v>
      </c>
      <c r="C3120" s="4" t="s">
        <v>7589</v>
      </c>
      <c r="D3120" s="4">
        <v>25113</v>
      </c>
      <c r="E3120" s="4">
        <v>20210426</v>
      </c>
      <c r="F3120" s="4">
        <v>20210426</v>
      </c>
      <c r="G3120" s="4">
        <v>20240426</v>
      </c>
      <c r="H3120" s="4" t="s">
        <v>7588</v>
      </c>
      <c r="I3120" s="4" t="s">
        <v>7587</v>
      </c>
      <c r="J3120" s="4" t="s">
        <v>250</v>
      </c>
    </row>
    <row r="3121" spans="1:10" hidden="1">
      <c r="A3121" s="4">
        <v>2.0210442491000198E+17</v>
      </c>
      <c r="B3121" s="4">
        <v>4438801510</v>
      </c>
      <c r="C3121" s="4" t="s">
        <v>7586</v>
      </c>
      <c r="D3121" s="4">
        <v>42491</v>
      </c>
      <c r="E3121" s="4">
        <v>20210426</v>
      </c>
      <c r="F3121" s="4">
        <v>20210426</v>
      </c>
      <c r="G3121" s="4">
        <v>20240426</v>
      </c>
      <c r="H3121" s="4" t="s">
        <v>7585</v>
      </c>
      <c r="I3121" s="4" t="s">
        <v>149</v>
      </c>
      <c r="J3121" s="4" t="s">
        <v>883</v>
      </c>
    </row>
    <row r="3122" spans="1:10" hidden="1">
      <c r="A3122" s="4">
        <v>2.0210426429000301E+17</v>
      </c>
      <c r="B3122" s="4">
        <v>3258600408</v>
      </c>
      <c r="C3122" s="4" t="s">
        <v>7584</v>
      </c>
      <c r="D3122" s="4">
        <v>26429</v>
      </c>
      <c r="E3122" s="4">
        <v>20210426</v>
      </c>
      <c r="F3122" s="4">
        <v>20210426</v>
      </c>
      <c r="G3122" s="4">
        <v>20230620</v>
      </c>
      <c r="H3122" s="4" t="s">
        <v>7583</v>
      </c>
      <c r="I3122" s="4" t="s">
        <v>7582</v>
      </c>
      <c r="J3122" s="4" t="s">
        <v>422</v>
      </c>
    </row>
    <row r="3123" spans="1:10" hidden="1">
      <c r="A3123" s="4">
        <v>2.0210432029000301E+17</v>
      </c>
      <c r="B3123" s="4">
        <v>2258800252</v>
      </c>
      <c r="C3123" s="4" t="s">
        <v>7581</v>
      </c>
      <c r="D3123" s="4">
        <v>32029</v>
      </c>
      <c r="E3123" s="4">
        <v>20210426</v>
      </c>
      <c r="F3123" s="4">
        <v>20210426</v>
      </c>
      <c r="G3123" s="4">
        <v>20221016</v>
      </c>
      <c r="H3123" s="4" t="s">
        <v>7580</v>
      </c>
      <c r="I3123" s="4" t="s">
        <v>149</v>
      </c>
      <c r="J3123" s="4" t="s">
        <v>637</v>
      </c>
    </row>
    <row r="3124" spans="1:10" hidden="1">
      <c r="A3124" s="4">
        <v>2.0210458222000198E+17</v>
      </c>
      <c r="B3124" s="4">
        <v>5918700851</v>
      </c>
      <c r="C3124" s="4" t="s">
        <v>7579</v>
      </c>
      <c r="D3124" s="4">
        <v>58222</v>
      </c>
      <c r="E3124" s="4">
        <v>20210426</v>
      </c>
      <c r="F3124" s="4">
        <v>20210426</v>
      </c>
      <c r="G3124" s="4">
        <v>20240426</v>
      </c>
      <c r="H3124" s="4" t="s">
        <v>7578</v>
      </c>
      <c r="I3124" s="4" t="s">
        <v>3580</v>
      </c>
      <c r="J3124" s="4" t="s">
        <v>94</v>
      </c>
    </row>
    <row r="3125" spans="1:10" hidden="1">
      <c r="A3125" s="4">
        <v>2.0210422211000301E+17</v>
      </c>
      <c r="B3125" s="4">
        <v>2988601726</v>
      </c>
      <c r="C3125" s="4" t="s">
        <v>7577</v>
      </c>
      <c r="D3125" s="4">
        <v>22211</v>
      </c>
      <c r="E3125" s="4">
        <v>20210426</v>
      </c>
      <c r="F3125" s="4">
        <v>20210426</v>
      </c>
      <c r="G3125" s="4">
        <v>20240426</v>
      </c>
      <c r="H3125" s="4" t="s">
        <v>7576</v>
      </c>
      <c r="J3125" s="4" t="s">
        <v>1820</v>
      </c>
    </row>
    <row r="3126" spans="1:10" hidden="1">
      <c r="A3126" s="4">
        <v>2.0210442412000198E+17</v>
      </c>
      <c r="B3126" s="4">
        <v>5518101753</v>
      </c>
      <c r="C3126" s="4" t="s">
        <v>7575</v>
      </c>
      <c r="D3126" s="4">
        <v>42412</v>
      </c>
      <c r="E3126" s="4">
        <v>20210426</v>
      </c>
      <c r="F3126" s="4">
        <v>20210426</v>
      </c>
      <c r="G3126" s="4">
        <v>20240426</v>
      </c>
      <c r="H3126" s="4" t="s">
        <v>7574</v>
      </c>
      <c r="J3126" s="4" t="s">
        <v>281</v>
      </c>
    </row>
    <row r="3127" spans="1:10" hidden="1">
      <c r="A3127" s="4">
        <v>2.0210475992000301E+17</v>
      </c>
      <c r="B3127" s="4">
        <v>6788700901</v>
      </c>
      <c r="C3127" s="4" t="s">
        <v>7573</v>
      </c>
      <c r="D3127" s="4">
        <v>75992</v>
      </c>
      <c r="E3127" s="4">
        <v>20210426</v>
      </c>
      <c r="F3127" s="4">
        <v>20210426</v>
      </c>
      <c r="G3127" s="4">
        <v>20240426</v>
      </c>
      <c r="H3127" s="4" t="s">
        <v>7572</v>
      </c>
      <c r="I3127" s="4" t="s">
        <v>1177</v>
      </c>
      <c r="J3127" s="4" t="s">
        <v>111</v>
      </c>
    </row>
    <row r="3128" spans="1:10" hidden="1">
      <c r="A3128" s="4">
        <v>2.0210442311000198E+17</v>
      </c>
      <c r="B3128" s="4">
        <v>4788600089</v>
      </c>
      <c r="C3128" s="4" t="s">
        <v>7571</v>
      </c>
      <c r="D3128" s="4">
        <v>42311</v>
      </c>
      <c r="E3128" s="4">
        <v>20210426</v>
      </c>
      <c r="F3128" s="4">
        <v>20210426</v>
      </c>
      <c r="G3128" s="4">
        <v>20220616</v>
      </c>
      <c r="H3128" s="4" t="s">
        <v>1459</v>
      </c>
      <c r="I3128" s="4" t="s">
        <v>7570</v>
      </c>
      <c r="J3128" s="4" t="s">
        <v>718</v>
      </c>
    </row>
    <row r="3129" spans="1:10" hidden="1">
      <c r="A3129" s="4">
        <v>2.0210470129000301E+17</v>
      </c>
      <c r="B3129" s="4">
        <v>8548100255</v>
      </c>
      <c r="C3129" s="4" t="s">
        <v>7569</v>
      </c>
      <c r="D3129" s="4">
        <v>70129</v>
      </c>
      <c r="E3129" s="4">
        <v>20210426</v>
      </c>
      <c r="F3129" s="4">
        <v>20210426</v>
      </c>
      <c r="G3129" s="4">
        <v>20230114</v>
      </c>
      <c r="H3129" s="4" t="s">
        <v>7568</v>
      </c>
      <c r="I3129" s="4" t="s">
        <v>7567</v>
      </c>
      <c r="J3129" s="4" t="s">
        <v>937</v>
      </c>
    </row>
    <row r="3130" spans="1:10" hidden="1">
      <c r="A3130" s="4">
        <v>2.0210474100000301E+17</v>
      </c>
      <c r="B3130" s="4">
        <v>8808601618</v>
      </c>
      <c r="C3130" s="4" t="s">
        <v>7566</v>
      </c>
      <c r="D3130" s="4">
        <v>74100</v>
      </c>
      <c r="E3130" s="4">
        <v>20210426</v>
      </c>
      <c r="F3130" s="4">
        <v>20210426</v>
      </c>
      <c r="G3130" s="4">
        <v>20240426</v>
      </c>
      <c r="H3130" s="4" t="s">
        <v>7565</v>
      </c>
      <c r="I3130" s="4" t="s">
        <v>7564</v>
      </c>
      <c r="J3130" s="4" t="s">
        <v>2207</v>
      </c>
    </row>
    <row r="3131" spans="1:10" hidden="1">
      <c r="A3131" s="4">
        <v>2.0210463120000301E+17</v>
      </c>
      <c r="B3131" s="4">
        <v>4708102109</v>
      </c>
      <c r="C3131" s="4" t="s">
        <v>7563</v>
      </c>
      <c r="D3131" s="4">
        <v>63120</v>
      </c>
      <c r="E3131" s="4">
        <v>20210426</v>
      </c>
      <c r="F3131" s="4">
        <v>20210426</v>
      </c>
      <c r="G3131" s="4">
        <v>20240426</v>
      </c>
      <c r="H3131" s="4" t="s">
        <v>7562</v>
      </c>
      <c r="I3131" s="4" t="s">
        <v>91</v>
      </c>
      <c r="J3131" s="4" t="s">
        <v>632</v>
      </c>
    </row>
    <row r="3132" spans="1:10" hidden="1">
      <c r="A3132" s="4">
        <v>2.0210442321000301E+17</v>
      </c>
      <c r="B3132" s="4">
        <v>8278801891</v>
      </c>
      <c r="C3132" s="4" t="s">
        <v>7561</v>
      </c>
      <c r="D3132" s="4">
        <v>42321</v>
      </c>
      <c r="E3132" s="4">
        <v>20210426</v>
      </c>
      <c r="F3132" s="4">
        <v>20210426</v>
      </c>
      <c r="G3132" s="4">
        <v>20240426</v>
      </c>
      <c r="H3132" s="4" t="s">
        <v>7560</v>
      </c>
      <c r="J3132" s="4" t="s">
        <v>698</v>
      </c>
    </row>
    <row r="3133" spans="1:10" hidden="1">
      <c r="A3133" s="4">
        <v>2.0210415129000301E+17</v>
      </c>
      <c r="B3133" s="4">
        <v>2438800212</v>
      </c>
      <c r="C3133" s="4" t="s">
        <v>7559</v>
      </c>
      <c r="D3133" s="4">
        <v>15129</v>
      </c>
      <c r="E3133" s="4">
        <v>20210426</v>
      </c>
      <c r="F3133" s="4">
        <v>20210426</v>
      </c>
      <c r="G3133" s="4">
        <v>20221120</v>
      </c>
      <c r="H3133" s="4" t="s">
        <v>7558</v>
      </c>
      <c r="I3133" s="4" t="s">
        <v>7557</v>
      </c>
      <c r="J3133" s="4" t="s">
        <v>2024</v>
      </c>
    </row>
    <row r="3134" spans="1:10" hidden="1">
      <c r="A3134" s="4">
        <v>2.0210429175000301E+17</v>
      </c>
      <c r="B3134" s="4">
        <v>4668801060</v>
      </c>
      <c r="C3134" s="4" t="s">
        <v>7556</v>
      </c>
      <c r="D3134" s="4">
        <v>29175</v>
      </c>
      <c r="E3134" s="4">
        <v>20210426</v>
      </c>
      <c r="F3134" s="4">
        <v>20210426</v>
      </c>
      <c r="G3134" s="4">
        <v>20240426</v>
      </c>
      <c r="H3134" s="4" t="s">
        <v>7555</v>
      </c>
      <c r="I3134" s="4" t="s">
        <v>185</v>
      </c>
      <c r="J3134" s="4" t="s">
        <v>232</v>
      </c>
    </row>
    <row r="3135" spans="1:10" hidden="1">
      <c r="A3135" s="4">
        <v>2.0210429280000301E+17</v>
      </c>
      <c r="B3135" s="4">
        <v>1228801234</v>
      </c>
      <c r="C3135" s="4" t="s">
        <v>7554</v>
      </c>
      <c r="D3135" s="4">
        <v>29280</v>
      </c>
      <c r="E3135" s="4">
        <v>20210426</v>
      </c>
      <c r="F3135" s="4">
        <v>20210426</v>
      </c>
      <c r="G3135" s="4">
        <v>20240426</v>
      </c>
      <c r="H3135" s="4" t="s">
        <v>1154</v>
      </c>
      <c r="I3135" s="4" t="s">
        <v>7553</v>
      </c>
      <c r="J3135" s="4" t="s">
        <v>533</v>
      </c>
    </row>
    <row r="3136" spans="1:10" hidden="1">
      <c r="A3136" s="4">
        <v>2.0210442311000198E+17</v>
      </c>
      <c r="B3136" s="4">
        <v>5668701121</v>
      </c>
      <c r="C3136" s="4" t="s">
        <v>7552</v>
      </c>
      <c r="D3136" s="4">
        <v>42311</v>
      </c>
      <c r="E3136" s="4">
        <v>20210426</v>
      </c>
      <c r="F3136" s="4">
        <v>20210426</v>
      </c>
      <c r="G3136" s="4">
        <v>20240426</v>
      </c>
      <c r="H3136" s="4" t="s">
        <v>7551</v>
      </c>
      <c r="I3136" s="4" t="s">
        <v>239</v>
      </c>
      <c r="J3136" s="4" t="s">
        <v>718</v>
      </c>
    </row>
    <row r="3137" spans="1:10" hidden="1">
      <c r="A3137" s="4">
        <v>2.0210428123000301E+17</v>
      </c>
      <c r="B3137" s="4">
        <v>5318601244</v>
      </c>
      <c r="C3137" s="4" t="s">
        <v>7549</v>
      </c>
      <c r="D3137" s="4">
        <v>28123</v>
      </c>
      <c r="E3137" s="4">
        <v>20210426</v>
      </c>
      <c r="F3137" s="4">
        <v>20210426</v>
      </c>
      <c r="G3137" s="4">
        <v>20240426</v>
      </c>
      <c r="H3137" s="4" t="s">
        <v>7550</v>
      </c>
      <c r="I3137" s="4" t="s">
        <v>7549</v>
      </c>
      <c r="J3137" s="4" t="s">
        <v>640</v>
      </c>
    </row>
    <row r="3138" spans="1:10" hidden="1">
      <c r="A3138" s="4">
        <v>2.0210475999000301E+17</v>
      </c>
      <c r="B3138" s="4">
        <v>1028600635</v>
      </c>
      <c r="C3138" s="4" t="s">
        <v>7548</v>
      </c>
      <c r="D3138" s="4">
        <v>75999</v>
      </c>
      <c r="E3138" s="4">
        <v>20210426</v>
      </c>
      <c r="F3138" s="4">
        <v>20210426</v>
      </c>
      <c r="G3138" s="4">
        <v>20240222</v>
      </c>
      <c r="H3138" s="4" t="s">
        <v>7547</v>
      </c>
      <c r="I3138" s="4" t="s">
        <v>7546</v>
      </c>
      <c r="J3138" s="4" t="s">
        <v>158</v>
      </c>
    </row>
    <row r="3139" spans="1:10" hidden="1">
      <c r="A3139" s="4">
        <v>2.0210423919000301E+17</v>
      </c>
      <c r="B3139" s="4">
        <v>3638102136</v>
      </c>
      <c r="C3139" s="4" t="s">
        <v>7545</v>
      </c>
      <c r="D3139" s="4">
        <v>23919</v>
      </c>
      <c r="E3139" s="4">
        <v>20210426</v>
      </c>
      <c r="F3139" s="4">
        <v>20210426</v>
      </c>
      <c r="G3139" s="4">
        <v>20240426</v>
      </c>
      <c r="H3139" s="4" t="s">
        <v>7544</v>
      </c>
      <c r="J3139" s="4" t="s">
        <v>5040</v>
      </c>
    </row>
    <row r="3140" spans="1:10" hidden="1">
      <c r="A3140" s="4">
        <v>2.0210446595000301E+17</v>
      </c>
      <c r="B3140" s="4">
        <v>3078801363</v>
      </c>
      <c r="C3140" s="4" t="s">
        <v>7543</v>
      </c>
      <c r="D3140" s="4">
        <v>46595</v>
      </c>
      <c r="E3140" s="4">
        <v>20210426</v>
      </c>
      <c r="F3140" s="4">
        <v>20210426</v>
      </c>
      <c r="G3140" s="4">
        <v>20240426</v>
      </c>
      <c r="H3140" s="4" t="s">
        <v>7542</v>
      </c>
      <c r="J3140" s="4" t="s">
        <v>960</v>
      </c>
    </row>
    <row r="3141" spans="1:10" hidden="1">
      <c r="A3141" s="4">
        <v>2.0210446539000301E+17</v>
      </c>
      <c r="B3141" s="4">
        <v>5422600824</v>
      </c>
      <c r="C3141" s="4" t="s">
        <v>7541</v>
      </c>
      <c r="D3141" s="4">
        <v>46539</v>
      </c>
      <c r="E3141" s="4">
        <v>20210426</v>
      </c>
      <c r="F3141" s="4">
        <v>20210426</v>
      </c>
      <c r="G3141" s="4">
        <v>20240426</v>
      </c>
      <c r="H3141" s="4" t="s">
        <v>7540</v>
      </c>
      <c r="J3141" s="4" t="s">
        <v>3056</v>
      </c>
    </row>
    <row r="3142" spans="1:10">
      <c r="A3142" s="4">
        <v>2.0210146453E+17</v>
      </c>
      <c r="B3142" s="4">
        <v>3323100987</v>
      </c>
      <c r="C3142" s="4" t="s">
        <v>819</v>
      </c>
      <c r="D3142" s="4">
        <v>46453</v>
      </c>
      <c r="E3142" s="4">
        <v>20210128</v>
      </c>
      <c r="F3142" s="4">
        <v>20210128</v>
      </c>
      <c r="G3142" s="4">
        <v>20240128</v>
      </c>
      <c r="H3142" s="4" t="s">
        <v>818</v>
      </c>
      <c r="I3142" s="4" t="s">
        <v>817</v>
      </c>
      <c r="J3142" s="4" t="s">
        <v>816</v>
      </c>
    </row>
    <row r="3143" spans="1:10" hidden="1">
      <c r="A3143" s="4">
        <v>2.0210446739000301E+17</v>
      </c>
      <c r="B3143" s="4">
        <v>1985400445</v>
      </c>
      <c r="C3143" s="4" t="s">
        <v>7536</v>
      </c>
      <c r="D3143" s="4">
        <v>46739</v>
      </c>
      <c r="E3143" s="4">
        <v>20210426</v>
      </c>
      <c r="F3143" s="4">
        <v>20210426</v>
      </c>
      <c r="G3143" s="4">
        <v>20240426</v>
      </c>
      <c r="H3143" s="4" t="s">
        <v>7535</v>
      </c>
      <c r="I3143" s="4" t="s">
        <v>7534</v>
      </c>
      <c r="J3143" s="4" t="s">
        <v>2551</v>
      </c>
    </row>
    <row r="3144" spans="1:10">
      <c r="A3144" s="4">
        <v>2.0210118111E+17</v>
      </c>
      <c r="B3144" s="4">
        <v>8881300434</v>
      </c>
      <c r="C3144" s="4" t="s">
        <v>664</v>
      </c>
      <c r="D3144" s="4">
        <v>18111</v>
      </c>
      <c r="E3144" s="4">
        <v>20210123</v>
      </c>
      <c r="F3144" s="4">
        <v>20210123</v>
      </c>
      <c r="G3144" s="4">
        <v>20231110</v>
      </c>
      <c r="H3144" s="4" t="s">
        <v>663</v>
      </c>
      <c r="J3144" s="4" t="s">
        <v>662</v>
      </c>
    </row>
    <row r="3145" spans="1:10" hidden="1">
      <c r="A3145" s="4">
        <v>2.0210429163000301E+17</v>
      </c>
      <c r="B3145" s="4">
        <v>6278800685</v>
      </c>
      <c r="C3145" s="4" t="s">
        <v>7531</v>
      </c>
      <c r="D3145" s="4">
        <v>29163</v>
      </c>
      <c r="E3145" s="4">
        <v>20210426</v>
      </c>
      <c r="F3145" s="4">
        <v>20210426</v>
      </c>
      <c r="G3145" s="4">
        <v>20240426</v>
      </c>
      <c r="H3145" s="4" t="s">
        <v>7530</v>
      </c>
      <c r="I3145" s="4" t="s">
        <v>7529</v>
      </c>
      <c r="J3145" s="4" t="s">
        <v>313</v>
      </c>
    </row>
    <row r="3146" spans="1:10" hidden="1">
      <c r="A3146" s="4">
        <v>2.0210446452000301E+17</v>
      </c>
      <c r="B3146" s="4">
        <v>7481201292</v>
      </c>
      <c r="C3146" s="4" t="s">
        <v>7528</v>
      </c>
      <c r="D3146" s="4">
        <v>46452</v>
      </c>
      <c r="E3146" s="4">
        <v>20210426</v>
      </c>
      <c r="F3146" s="4">
        <v>20210426</v>
      </c>
      <c r="G3146" s="4">
        <v>20240426</v>
      </c>
      <c r="H3146" s="4" t="s">
        <v>7527</v>
      </c>
      <c r="I3146" s="4" t="s">
        <v>7526</v>
      </c>
      <c r="J3146" s="4" t="s">
        <v>516</v>
      </c>
    </row>
    <row r="3147" spans="1:10" hidden="1">
      <c r="A3147" s="4">
        <v>2.0210446452000301E+17</v>
      </c>
      <c r="B3147" s="4">
        <v>8231900841</v>
      </c>
      <c r="C3147" s="4" t="s">
        <v>7525</v>
      </c>
      <c r="D3147" s="4">
        <v>46452</v>
      </c>
      <c r="E3147" s="4">
        <v>20210426</v>
      </c>
      <c r="F3147" s="4">
        <v>20210426</v>
      </c>
      <c r="G3147" s="4">
        <v>20240426</v>
      </c>
      <c r="H3147" s="4" t="s">
        <v>7524</v>
      </c>
      <c r="I3147" s="4" t="s">
        <v>7523</v>
      </c>
      <c r="J3147" s="4" t="s">
        <v>516</v>
      </c>
    </row>
    <row r="3148" spans="1:10" hidden="1">
      <c r="A3148" s="4">
        <v>2.0210434019000301E+17</v>
      </c>
      <c r="B3148" s="4">
        <v>4996400217</v>
      </c>
      <c r="C3148" s="4" t="s">
        <v>7522</v>
      </c>
      <c r="D3148" s="4">
        <v>34019</v>
      </c>
      <c r="E3148" s="4">
        <v>20210426</v>
      </c>
      <c r="F3148" s="4">
        <v>20210426</v>
      </c>
      <c r="G3148" s="4">
        <v>20240426</v>
      </c>
      <c r="H3148" s="4" t="s">
        <v>7521</v>
      </c>
      <c r="J3148" s="4" t="s">
        <v>7335</v>
      </c>
    </row>
    <row r="3149" spans="1:10" hidden="1">
      <c r="A3149" s="4">
        <v>2.0210447912000198E+17</v>
      </c>
      <c r="B3149" s="4">
        <v>5778102002</v>
      </c>
      <c r="C3149" s="4" t="s">
        <v>7520</v>
      </c>
      <c r="D3149" s="4">
        <v>47912</v>
      </c>
      <c r="E3149" s="4">
        <v>20210424</v>
      </c>
      <c r="F3149" s="4">
        <v>20210424</v>
      </c>
      <c r="G3149" s="4">
        <v>20240424</v>
      </c>
      <c r="H3149" s="4" t="s">
        <v>7519</v>
      </c>
      <c r="I3149" s="4" t="s">
        <v>7518</v>
      </c>
      <c r="J3149" s="4" t="s">
        <v>78</v>
      </c>
    </row>
    <row r="3150" spans="1:10" hidden="1">
      <c r="A3150" s="4">
        <v>2.0210447859000198E+17</v>
      </c>
      <c r="B3150" s="4">
        <v>4248601645</v>
      </c>
      <c r="C3150" s="4" t="s">
        <v>7517</v>
      </c>
      <c r="D3150" s="4">
        <v>47859</v>
      </c>
      <c r="E3150" s="4">
        <v>20210424</v>
      </c>
      <c r="F3150" s="4">
        <v>20210424</v>
      </c>
      <c r="G3150" s="4">
        <v>20240424</v>
      </c>
      <c r="H3150" s="4" t="s">
        <v>7516</v>
      </c>
      <c r="J3150" s="4" t="s">
        <v>5820</v>
      </c>
    </row>
    <row r="3151" spans="1:10" hidden="1">
      <c r="A3151" s="4">
        <v>2.0210428519000198E+17</v>
      </c>
      <c r="B3151" s="4">
        <v>3558800252</v>
      </c>
      <c r="C3151" s="4" t="s">
        <v>7514</v>
      </c>
      <c r="D3151" s="4">
        <v>28519</v>
      </c>
      <c r="E3151" s="4">
        <v>20210424</v>
      </c>
      <c r="F3151" s="4">
        <v>20210424</v>
      </c>
      <c r="G3151" s="4">
        <v>20230114</v>
      </c>
      <c r="H3151" s="4" t="s">
        <v>7515</v>
      </c>
      <c r="I3151" s="4" t="s">
        <v>7514</v>
      </c>
      <c r="J3151" s="4" t="s">
        <v>1412</v>
      </c>
    </row>
    <row r="3152" spans="1:10" hidden="1">
      <c r="A3152" s="4">
        <v>2.0210413225000198E+17</v>
      </c>
      <c r="B3152" s="4">
        <v>5468701826</v>
      </c>
      <c r="C3152" s="4" t="s">
        <v>7513</v>
      </c>
      <c r="D3152" s="4">
        <v>13225</v>
      </c>
      <c r="E3152" s="4">
        <v>20210424</v>
      </c>
      <c r="F3152" s="4">
        <v>20210424</v>
      </c>
      <c r="G3152" s="4">
        <v>20240424</v>
      </c>
      <c r="H3152" s="4" t="s">
        <v>7512</v>
      </c>
      <c r="I3152" s="4" t="s">
        <v>247</v>
      </c>
      <c r="J3152" s="4" t="s">
        <v>2307</v>
      </c>
    </row>
    <row r="3153" spans="1:10" hidden="1">
      <c r="A3153" s="4">
        <v>2.0210446596000198E+17</v>
      </c>
      <c r="B3153" s="4">
        <v>8830501433</v>
      </c>
      <c r="C3153" s="4" t="s">
        <v>7511</v>
      </c>
      <c r="D3153" s="4">
        <v>46596</v>
      </c>
      <c r="E3153" s="4">
        <v>20210424</v>
      </c>
      <c r="F3153" s="4">
        <v>20210424</v>
      </c>
      <c r="G3153" s="4">
        <v>20240424</v>
      </c>
      <c r="H3153" s="4" t="s">
        <v>7510</v>
      </c>
      <c r="I3153" s="4" t="s">
        <v>7509</v>
      </c>
      <c r="J3153" s="4" t="s">
        <v>4394</v>
      </c>
    </row>
    <row r="3154" spans="1:10" hidden="1">
      <c r="A3154" s="4">
        <v>2.0210487294000198E+17</v>
      </c>
      <c r="B3154" s="4">
        <v>4379300728</v>
      </c>
      <c r="C3154" s="4" t="s">
        <v>7508</v>
      </c>
      <c r="D3154" s="4">
        <v>87294</v>
      </c>
      <c r="E3154" s="4">
        <v>20210424</v>
      </c>
      <c r="F3154" s="4">
        <v>20210424</v>
      </c>
      <c r="G3154" s="4">
        <v>20240424</v>
      </c>
      <c r="H3154" s="4" t="s">
        <v>7507</v>
      </c>
      <c r="J3154" s="4" t="s">
        <v>7506</v>
      </c>
    </row>
    <row r="3155" spans="1:10" hidden="1">
      <c r="A3155" s="4">
        <v>2.0210428111000198E+17</v>
      </c>
      <c r="B3155" s="4">
        <v>7838600322</v>
      </c>
      <c r="C3155" s="4" t="s">
        <v>7505</v>
      </c>
      <c r="D3155" s="4">
        <v>28111</v>
      </c>
      <c r="E3155" s="4">
        <v>20210424</v>
      </c>
      <c r="F3155" s="4">
        <v>20210424</v>
      </c>
      <c r="G3155" s="4">
        <v>20230426</v>
      </c>
      <c r="H3155" s="4" t="s">
        <v>7504</v>
      </c>
      <c r="J3155" s="4" t="s">
        <v>1614</v>
      </c>
    </row>
    <row r="3156" spans="1:10" hidden="1">
      <c r="A3156" s="4">
        <v>2.0210442411000198E+17</v>
      </c>
      <c r="B3156" s="4">
        <v>4218701658</v>
      </c>
      <c r="C3156" s="4" t="s">
        <v>7503</v>
      </c>
      <c r="D3156" s="4">
        <v>42411</v>
      </c>
      <c r="E3156" s="4">
        <v>20210424</v>
      </c>
      <c r="F3156" s="4">
        <v>20210424</v>
      </c>
      <c r="G3156" s="4">
        <v>20240424</v>
      </c>
      <c r="H3156" s="4" t="s">
        <v>7502</v>
      </c>
      <c r="I3156" s="4" t="s">
        <v>591</v>
      </c>
      <c r="J3156" s="4" t="s">
        <v>2211</v>
      </c>
    </row>
    <row r="3157" spans="1:10" hidden="1">
      <c r="A3157" s="4">
        <v>2.0210459113000198E+17</v>
      </c>
      <c r="B3157" s="4">
        <v>5698600217</v>
      </c>
      <c r="C3157" s="4" t="s">
        <v>7501</v>
      </c>
      <c r="D3157" s="4">
        <v>59113</v>
      </c>
      <c r="E3157" s="4">
        <v>20210424</v>
      </c>
      <c r="F3157" s="4">
        <v>20210424</v>
      </c>
      <c r="G3157" s="4">
        <v>20221203</v>
      </c>
      <c r="H3157" s="4" t="s">
        <v>7500</v>
      </c>
      <c r="I3157" s="4" t="s">
        <v>3036</v>
      </c>
      <c r="J3157" s="4" t="s">
        <v>3651</v>
      </c>
    </row>
    <row r="3158" spans="1:10" hidden="1">
      <c r="A3158" s="4">
        <v>2.0210442500000198E+17</v>
      </c>
      <c r="B3158" s="4">
        <v>2418101292</v>
      </c>
      <c r="C3158" s="4" t="s">
        <v>7499</v>
      </c>
      <c r="D3158" s="4">
        <v>42500</v>
      </c>
      <c r="E3158" s="4">
        <v>20210424</v>
      </c>
      <c r="F3158" s="4">
        <v>20210424</v>
      </c>
      <c r="G3158" s="4">
        <v>20240424</v>
      </c>
      <c r="H3158" s="4" t="s">
        <v>7498</v>
      </c>
      <c r="I3158" s="4" t="s">
        <v>175</v>
      </c>
      <c r="J3158" s="4" t="s">
        <v>740</v>
      </c>
    </row>
    <row r="3159" spans="1:10" hidden="1">
      <c r="A3159" s="4">
        <v>2.0210420202000198E+17</v>
      </c>
      <c r="B3159" s="4">
        <v>3268600279</v>
      </c>
      <c r="C3159" s="4" t="s">
        <v>7497</v>
      </c>
      <c r="D3159" s="4">
        <v>20202</v>
      </c>
      <c r="E3159" s="4">
        <v>20210424</v>
      </c>
      <c r="F3159" s="4">
        <v>20210424</v>
      </c>
      <c r="G3159" s="4">
        <v>20221120</v>
      </c>
      <c r="H3159" s="4" t="s">
        <v>7496</v>
      </c>
      <c r="I3159" s="4" t="s">
        <v>7495</v>
      </c>
      <c r="J3159" s="4" t="s">
        <v>224</v>
      </c>
    </row>
    <row r="3160" spans="1:10" hidden="1">
      <c r="A3160" s="4">
        <v>2.0210425119000198E+17</v>
      </c>
      <c r="B3160" s="4">
        <v>4168701563</v>
      </c>
      <c r="C3160" s="4" t="s">
        <v>7494</v>
      </c>
      <c r="D3160" s="4">
        <v>25119</v>
      </c>
      <c r="E3160" s="4">
        <v>20210424</v>
      </c>
      <c r="F3160" s="4">
        <v>20210424</v>
      </c>
      <c r="G3160" s="4">
        <v>20240424</v>
      </c>
      <c r="H3160" s="4" t="s">
        <v>7493</v>
      </c>
      <c r="J3160" s="4" t="s">
        <v>679</v>
      </c>
    </row>
    <row r="3161" spans="1:10" hidden="1">
      <c r="A3161" s="4">
        <v>2.0210442311000198E+17</v>
      </c>
      <c r="B3161" s="4">
        <v>7048700684</v>
      </c>
      <c r="C3161" s="4" t="s">
        <v>7492</v>
      </c>
      <c r="D3161" s="4">
        <v>42311</v>
      </c>
      <c r="E3161" s="4">
        <v>20210424</v>
      </c>
      <c r="F3161" s="4">
        <v>20210424</v>
      </c>
      <c r="G3161" s="4">
        <v>20240424</v>
      </c>
      <c r="H3161" s="4" t="s">
        <v>7491</v>
      </c>
      <c r="I3161" s="4" t="s">
        <v>591</v>
      </c>
      <c r="J3161" s="4" t="s">
        <v>718</v>
      </c>
    </row>
    <row r="3162" spans="1:10" hidden="1">
      <c r="A3162" s="4">
        <v>2.0210426129000198E+17</v>
      </c>
      <c r="B3162" s="4">
        <v>7241701137</v>
      </c>
      <c r="C3162" s="4" t="s">
        <v>2925</v>
      </c>
      <c r="D3162" s="4">
        <v>26129</v>
      </c>
      <c r="E3162" s="4">
        <v>20210424</v>
      </c>
      <c r="F3162" s="4">
        <v>20210424</v>
      </c>
      <c r="G3162" s="4">
        <v>20240424</v>
      </c>
      <c r="H3162" s="4" t="s">
        <v>7490</v>
      </c>
      <c r="J3162" s="4" t="s">
        <v>403</v>
      </c>
    </row>
    <row r="3163" spans="1:10" hidden="1">
      <c r="A3163" s="4">
        <v>2.0210442204000198E+17</v>
      </c>
      <c r="B3163" s="4">
        <v>3098801165</v>
      </c>
      <c r="C3163" s="4" t="s">
        <v>7489</v>
      </c>
      <c r="D3163" s="4">
        <v>42204</v>
      </c>
      <c r="E3163" s="4">
        <v>20210424</v>
      </c>
      <c r="F3163" s="4">
        <v>20210424</v>
      </c>
      <c r="G3163" s="4">
        <v>20240424</v>
      </c>
      <c r="H3163" s="4" t="s">
        <v>7488</v>
      </c>
      <c r="I3163" s="4" t="s">
        <v>149</v>
      </c>
      <c r="J3163" s="4" t="s">
        <v>7487</v>
      </c>
    </row>
    <row r="3164" spans="1:10" hidden="1">
      <c r="A3164" s="4">
        <v>2.0210441229000198E+17</v>
      </c>
      <c r="B3164" s="4">
        <v>8618600938</v>
      </c>
      <c r="C3164" s="4" t="s">
        <v>7486</v>
      </c>
      <c r="D3164" s="4">
        <v>41229</v>
      </c>
      <c r="E3164" s="4">
        <v>20210423</v>
      </c>
      <c r="F3164" s="4">
        <v>20210423</v>
      </c>
      <c r="G3164" s="4">
        <v>20240423</v>
      </c>
      <c r="H3164" s="4" t="s">
        <v>7485</v>
      </c>
      <c r="I3164" s="4" t="s">
        <v>7484</v>
      </c>
      <c r="J3164" s="4" t="s">
        <v>5083</v>
      </c>
    </row>
    <row r="3165" spans="1:10" hidden="1">
      <c r="A3165" s="4">
        <v>2.0210442312000198E+17</v>
      </c>
      <c r="B3165" s="4">
        <v>6848102125</v>
      </c>
      <c r="C3165" s="4" t="s">
        <v>7483</v>
      </c>
      <c r="D3165" s="4">
        <v>42312</v>
      </c>
      <c r="E3165" s="4">
        <v>20210423</v>
      </c>
      <c r="F3165" s="4">
        <v>20210423</v>
      </c>
      <c r="G3165" s="4">
        <v>20240423</v>
      </c>
      <c r="H3165" s="4" t="s">
        <v>7482</v>
      </c>
      <c r="I3165" s="4" t="s">
        <v>149</v>
      </c>
      <c r="J3165" s="4" t="s">
        <v>6044</v>
      </c>
    </row>
    <row r="3166" spans="1:10" hidden="1">
      <c r="A3166" s="4">
        <v>2.0210472111000198E+17</v>
      </c>
      <c r="B3166" s="4">
        <v>8988601827</v>
      </c>
      <c r="C3166" s="4" t="s">
        <v>7481</v>
      </c>
      <c r="D3166" s="4">
        <v>72111</v>
      </c>
      <c r="E3166" s="4">
        <v>20210423</v>
      </c>
      <c r="F3166" s="4">
        <v>20210423</v>
      </c>
      <c r="G3166" s="4">
        <v>20240423</v>
      </c>
      <c r="H3166" s="4" t="s">
        <v>7314</v>
      </c>
      <c r="J3166" s="4" t="s">
        <v>3461</v>
      </c>
    </row>
    <row r="3167" spans="1:10" hidden="1">
      <c r="A3167" s="4">
        <v>2.0210425111000198E+17</v>
      </c>
      <c r="B3167" s="4">
        <v>1528101949</v>
      </c>
      <c r="C3167" s="4" t="s">
        <v>7480</v>
      </c>
      <c r="D3167" s="4">
        <v>25111</v>
      </c>
      <c r="E3167" s="4">
        <v>20210423</v>
      </c>
      <c r="F3167" s="4">
        <v>20210423</v>
      </c>
      <c r="G3167" s="4">
        <v>20240423</v>
      </c>
      <c r="H3167" s="4" t="s">
        <v>7479</v>
      </c>
      <c r="I3167" s="4" t="s">
        <v>7478</v>
      </c>
      <c r="J3167" s="4" t="s">
        <v>82</v>
      </c>
    </row>
    <row r="3168" spans="1:10" hidden="1">
      <c r="A3168" s="4">
        <v>2.0210446539000198E+17</v>
      </c>
      <c r="B3168" s="4">
        <v>6918100784</v>
      </c>
      <c r="C3168" s="4" t="s">
        <v>7477</v>
      </c>
      <c r="D3168" s="4">
        <v>46539</v>
      </c>
      <c r="E3168" s="4">
        <v>20210423</v>
      </c>
      <c r="F3168" s="4">
        <v>20210423</v>
      </c>
      <c r="G3168" s="4">
        <v>20240423</v>
      </c>
      <c r="H3168" s="4" t="s">
        <v>379</v>
      </c>
      <c r="J3168" s="4" t="s">
        <v>3056</v>
      </c>
    </row>
    <row r="3169" spans="1:10" hidden="1">
      <c r="A3169" s="4">
        <v>2.0210458222000198E+17</v>
      </c>
      <c r="B3169" s="4">
        <v>3688601893</v>
      </c>
      <c r="C3169" s="4" t="s">
        <v>7476</v>
      </c>
      <c r="D3169" s="4">
        <v>58222</v>
      </c>
      <c r="E3169" s="4">
        <v>20210423</v>
      </c>
      <c r="F3169" s="4">
        <v>20210423</v>
      </c>
      <c r="G3169" s="4">
        <v>20240423</v>
      </c>
      <c r="H3169" s="4" t="s">
        <v>7475</v>
      </c>
      <c r="I3169" s="4" t="s">
        <v>7474</v>
      </c>
      <c r="J3169" s="4" t="s">
        <v>94</v>
      </c>
    </row>
    <row r="3170" spans="1:10" hidden="1">
      <c r="A3170" s="4">
        <v>2.0210459120000198E+17</v>
      </c>
      <c r="B3170" s="4">
        <v>7128602110</v>
      </c>
      <c r="C3170" s="4" t="s">
        <v>7473</v>
      </c>
      <c r="D3170" s="4">
        <v>59120</v>
      </c>
      <c r="E3170" s="4">
        <v>20210423</v>
      </c>
      <c r="F3170" s="4">
        <v>20210423</v>
      </c>
      <c r="G3170" s="4">
        <v>20240423</v>
      </c>
      <c r="H3170" s="4" t="s">
        <v>7472</v>
      </c>
      <c r="I3170" s="4" t="s">
        <v>91</v>
      </c>
      <c r="J3170" s="4" t="s">
        <v>2961</v>
      </c>
    </row>
    <row r="3171" spans="1:10" hidden="1">
      <c r="A3171" s="4">
        <v>2.0210426410000198E+17</v>
      </c>
      <c r="B3171" s="4">
        <v>8428700706</v>
      </c>
      <c r="C3171" s="4" t="s">
        <v>7471</v>
      </c>
      <c r="D3171" s="4">
        <v>26410</v>
      </c>
      <c r="E3171" s="4">
        <v>20210423</v>
      </c>
      <c r="F3171" s="4">
        <v>20210423</v>
      </c>
      <c r="G3171" s="4">
        <v>20240423</v>
      </c>
      <c r="H3171" s="4" t="s">
        <v>7470</v>
      </c>
      <c r="I3171" s="4" t="s">
        <v>91</v>
      </c>
      <c r="J3171" s="4" t="s">
        <v>1102</v>
      </c>
    </row>
    <row r="3172" spans="1:10" hidden="1">
      <c r="A3172" s="4">
        <v>2.0210458222000198E+17</v>
      </c>
      <c r="B3172" s="4">
        <v>6528101492</v>
      </c>
      <c r="C3172" s="4" t="s">
        <v>7469</v>
      </c>
      <c r="D3172" s="4">
        <v>58222</v>
      </c>
      <c r="E3172" s="4">
        <v>20210423</v>
      </c>
      <c r="F3172" s="4">
        <v>20210423</v>
      </c>
      <c r="G3172" s="4">
        <v>20240423</v>
      </c>
      <c r="H3172" s="4" t="s">
        <v>7468</v>
      </c>
      <c r="I3172" s="4" t="s">
        <v>7467</v>
      </c>
      <c r="J3172" s="4" t="s">
        <v>94</v>
      </c>
    </row>
    <row r="3173" spans="1:10" hidden="1">
      <c r="A3173" s="4">
        <v>2.0210472129000198E+17</v>
      </c>
      <c r="B3173" s="4">
        <v>6248100479</v>
      </c>
      <c r="C3173" s="4" t="s">
        <v>7466</v>
      </c>
      <c r="D3173" s="4">
        <v>72129</v>
      </c>
      <c r="E3173" s="4">
        <v>20210423</v>
      </c>
      <c r="F3173" s="4">
        <v>20210423</v>
      </c>
      <c r="G3173" s="4">
        <v>20230701</v>
      </c>
      <c r="H3173" s="4" t="s">
        <v>7465</v>
      </c>
      <c r="J3173" s="4" t="s">
        <v>1679</v>
      </c>
    </row>
    <row r="3174" spans="1:10" hidden="1">
      <c r="A3174" s="4">
        <v>2.0210446699000198E+17</v>
      </c>
      <c r="B3174" s="4">
        <v>7094100304</v>
      </c>
      <c r="C3174" s="4" t="s">
        <v>7464</v>
      </c>
      <c r="D3174" s="4">
        <v>46699</v>
      </c>
      <c r="E3174" s="4">
        <v>20210423</v>
      </c>
      <c r="F3174" s="4">
        <v>20210423</v>
      </c>
      <c r="G3174" s="4">
        <v>20240118</v>
      </c>
      <c r="H3174" s="4" t="s">
        <v>7463</v>
      </c>
      <c r="I3174" s="4" t="s">
        <v>7462</v>
      </c>
      <c r="J3174" s="4" t="s">
        <v>208</v>
      </c>
    </row>
    <row r="3175" spans="1:10">
      <c r="A3175" s="4">
        <v>2.02106181110004E+17</v>
      </c>
      <c r="B3175" s="4">
        <v>5098700018</v>
      </c>
      <c r="C3175" s="4" t="s">
        <v>10624</v>
      </c>
      <c r="D3175" s="4">
        <v>18111</v>
      </c>
      <c r="E3175" s="4">
        <v>20210607</v>
      </c>
      <c r="F3175" s="4">
        <v>20210607</v>
      </c>
      <c r="G3175" s="4">
        <v>20220225</v>
      </c>
      <c r="H3175" s="4" t="s">
        <v>10623</v>
      </c>
      <c r="I3175" s="4" t="s">
        <v>10622</v>
      </c>
      <c r="J3175" s="4" t="s">
        <v>662</v>
      </c>
    </row>
    <row r="3176" spans="1:10" hidden="1">
      <c r="A3176" s="4">
        <v>2.0210474220000198E+17</v>
      </c>
      <c r="B3176" s="4">
        <v>8035700529</v>
      </c>
      <c r="C3176" s="4" t="s">
        <v>7458</v>
      </c>
      <c r="D3176" s="4">
        <v>74220</v>
      </c>
      <c r="E3176" s="4">
        <v>20210423</v>
      </c>
      <c r="F3176" s="4">
        <v>20210423</v>
      </c>
      <c r="G3176" s="4">
        <v>20240423</v>
      </c>
      <c r="H3176" s="4" t="s">
        <v>7457</v>
      </c>
      <c r="I3176" s="4" t="s">
        <v>7456</v>
      </c>
      <c r="J3176" s="4" t="s">
        <v>2988</v>
      </c>
    </row>
    <row r="3177" spans="1:10" hidden="1">
      <c r="A3177" s="4">
        <v>2.0210410611000198E+17</v>
      </c>
      <c r="B3177" s="4">
        <v>2938601250</v>
      </c>
      <c r="C3177" s="4" t="s">
        <v>7455</v>
      </c>
      <c r="D3177" s="4">
        <v>10611</v>
      </c>
      <c r="E3177" s="4">
        <v>20210423</v>
      </c>
      <c r="F3177" s="4">
        <v>20210423</v>
      </c>
      <c r="G3177" s="4">
        <v>20240423</v>
      </c>
      <c r="H3177" s="4" t="s">
        <v>7454</v>
      </c>
      <c r="J3177" s="4" t="s">
        <v>7453</v>
      </c>
    </row>
    <row r="3178" spans="1:10" hidden="1">
      <c r="A3178" s="4">
        <v>2.0210425923000198E+17</v>
      </c>
      <c r="B3178" s="4">
        <v>7750901765</v>
      </c>
      <c r="C3178" s="4" t="s">
        <v>7452</v>
      </c>
      <c r="D3178" s="4">
        <v>25923</v>
      </c>
      <c r="E3178" s="4">
        <v>20210423</v>
      </c>
      <c r="F3178" s="4">
        <v>20210423</v>
      </c>
      <c r="G3178" s="4">
        <v>20240423</v>
      </c>
      <c r="H3178" s="4" t="s">
        <v>7451</v>
      </c>
      <c r="J3178" s="4" t="s">
        <v>204</v>
      </c>
    </row>
    <row r="3179" spans="1:10" hidden="1">
      <c r="A3179" s="4">
        <v>2.0210429162000198E+17</v>
      </c>
      <c r="B3179" s="4">
        <v>3398802132</v>
      </c>
      <c r="C3179" s="4" t="s">
        <v>7450</v>
      </c>
      <c r="D3179" s="4">
        <v>29162</v>
      </c>
      <c r="E3179" s="4">
        <v>20210423</v>
      </c>
      <c r="F3179" s="4">
        <v>20210423</v>
      </c>
      <c r="G3179" s="4">
        <v>20240423</v>
      </c>
      <c r="H3179" s="4" t="s">
        <v>7449</v>
      </c>
      <c r="J3179" s="4" t="s">
        <v>4569</v>
      </c>
    </row>
    <row r="3180" spans="1:10" hidden="1">
      <c r="A3180" s="4">
        <v>2.0210431312000198E+17</v>
      </c>
      <c r="B3180" s="4">
        <v>2190813712</v>
      </c>
      <c r="C3180" s="4" t="s">
        <v>7448</v>
      </c>
      <c r="D3180" s="4">
        <v>31312</v>
      </c>
      <c r="E3180" s="4">
        <v>20210423</v>
      </c>
      <c r="F3180" s="4">
        <v>20210423</v>
      </c>
      <c r="G3180" s="4">
        <v>20240423</v>
      </c>
      <c r="H3180" s="4" t="s">
        <v>7447</v>
      </c>
      <c r="I3180" s="4" t="s">
        <v>7446</v>
      </c>
      <c r="J3180" s="4" t="s">
        <v>748</v>
      </c>
    </row>
    <row r="3181" spans="1:10" hidden="1">
      <c r="A3181" s="4">
        <v>2.0210485503000198E+17</v>
      </c>
      <c r="B3181" s="4">
        <v>7718800866</v>
      </c>
      <c r="C3181" s="4" t="s">
        <v>7445</v>
      </c>
      <c r="D3181" s="4">
        <v>85503</v>
      </c>
      <c r="E3181" s="4">
        <v>20210423</v>
      </c>
      <c r="F3181" s="4">
        <v>20210423</v>
      </c>
      <c r="G3181" s="4">
        <v>20240423</v>
      </c>
      <c r="H3181" s="4" t="s">
        <v>7444</v>
      </c>
      <c r="I3181" s="4" t="s">
        <v>7443</v>
      </c>
      <c r="J3181" s="4" t="s">
        <v>4470</v>
      </c>
    </row>
    <row r="3182" spans="1:10" hidden="1">
      <c r="A3182" s="4">
        <v>2.0210446595000198E+17</v>
      </c>
      <c r="B3182" s="4">
        <v>4171651412</v>
      </c>
      <c r="C3182" s="4" t="s">
        <v>7442</v>
      </c>
      <c r="D3182" s="4">
        <v>46595</v>
      </c>
      <c r="E3182" s="4">
        <v>20210423</v>
      </c>
      <c r="F3182" s="4">
        <v>20210423</v>
      </c>
      <c r="G3182" s="4">
        <v>20240423</v>
      </c>
      <c r="H3182" s="4" t="s">
        <v>230</v>
      </c>
      <c r="I3182" s="4" t="s">
        <v>7441</v>
      </c>
      <c r="J3182" s="4" t="s">
        <v>960</v>
      </c>
    </row>
    <row r="3183" spans="1:10" hidden="1">
      <c r="A3183" s="4">
        <v>2.0210459111000198E+17</v>
      </c>
      <c r="B3183" s="4">
        <v>2083292745</v>
      </c>
      <c r="C3183" s="4" t="s">
        <v>7440</v>
      </c>
      <c r="D3183" s="4">
        <v>59111</v>
      </c>
      <c r="E3183" s="4">
        <v>20210423</v>
      </c>
      <c r="F3183" s="4">
        <v>20210423</v>
      </c>
      <c r="G3183" s="4">
        <v>20240423</v>
      </c>
      <c r="H3183" s="4" t="s">
        <v>7439</v>
      </c>
      <c r="I3183" s="4" t="s">
        <v>3442</v>
      </c>
      <c r="J3183" s="4" t="s">
        <v>1857</v>
      </c>
    </row>
    <row r="3184" spans="1:10" hidden="1">
      <c r="A3184" s="4">
        <v>2.0210432029000198E+17</v>
      </c>
      <c r="B3184" s="4">
        <v>3054961181</v>
      </c>
      <c r="C3184" s="4" t="s">
        <v>7438</v>
      </c>
      <c r="D3184" s="4">
        <v>32029</v>
      </c>
      <c r="E3184" s="4">
        <v>20210423</v>
      </c>
      <c r="F3184" s="4">
        <v>20210423</v>
      </c>
      <c r="G3184" s="4">
        <v>20240423</v>
      </c>
      <c r="H3184" s="4" t="s">
        <v>7437</v>
      </c>
      <c r="J3184" s="4" t="s">
        <v>637</v>
      </c>
    </row>
    <row r="3185" spans="1:10" hidden="1">
      <c r="A3185" s="4">
        <v>2.0210495310000198E+17</v>
      </c>
      <c r="B3185" s="4">
        <v>7223200867</v>
      </c>
      <c r="C3185" s="4" t="s">
        <v>7436</v>
      </c>
      <c r="D3185" s="4">
        <v>95310</v>
      </c>
      <c r="E3185" s="4">
        <v>20210423</v>
      </c>
      <c r="F3185" s="4">
        <v>20210423</v>
      </c>
      <c r="G3185" s="4">
        <v>20240423</v>
      </c>
      <c r="H3185" s="4" t="s">
        <v>7435</v>
      </c>
      <c r="I3185" s="4" t="s">
        <v>7434</v>
      </c>
      <c r="J3185" s="4" t="s">
        <v>7433</v>
      </c>
    </row>
    <row r="3186" spans="1:10" hidden="1">
      <c r="A3186" s="4">
        <v>2.0210446593000198E+17</v>
      </c>
      <c r="B3186" s="4">
        <v>6221700899</v>
      </c>
      <c r="C3186" s="4" t="s">
        <v>7432</v>
      </c>
      <c r="D3186" s="4">
        <v>46593</v>
      </c>
      <c r="E3186" s="4">
        <v>20210423</v>
      </c>
      <c r="F3186" s="4">
        <v>20210423</v>
      </c>
      <c r="G3186" s="4">
        <v>20240423</v>
      </c>
      <c r="H3186" s="4" t="s">
        <v>7431</v>
      </c>
      <c r="I3186" s="4" t="s">
        <v>7430</v>
      </c>
      <c r="J3186" s="4" t="s">
        <v>1469</v>
      </c>
    </row>
    <row r="3187" spans="1:10" hidden="1">
      <c r="A3187" s="4">
        <v>2.0210414192000198E+17</v>
      </c>
      <c r="B3187" s="4">
        <v>1022351648</v>
      </c>
      <c r="C3187" s="4" t="s">
        <v>7429</v>
      </c>
      <c r="D3187" s="4">
        <v>14192</v>
      </c>
      <c r="E3187" s="4">
        <v>20210423</v>
      </c>
      <c r="F3187" s="4">
        <v>20210423</v>
      </c>
      <c r="G3187" s="4">
        <v>20240423</v>
      </c>
      <c r="H3187" s="4" t="s">
        <v>7428</v>
      </c>
      <c r="I3187" s="4" t="s">
        <v>175</v>
      </c>
      <c r="J3187" s="4" t="s">
        <v>4910</v>
      </c>
    </row>
    <row r="3188" spans="1:10" hidden="1">
      <c r="A3188" s="4">
        <v>2.0210485613000198E+17</v>
      </c>
      <c r="B3188" s="4">
        <v>8658600702</v>
      </c>
      <c r="C3188" s="4" t="s">
        <v>7427</v>
      </c>
      <c r="D3188" s="4">
        <v>85613</v>
      </c>
      <c r="E3188" s="4">
        <v>20210423</v>
      </c>
      <c r="F3188" s="4">
        <v>20210423</v>
      </c>
      <c r="G3188" s="4">
        <v>20240223</v>
      </c>
      <c r="H3188" s="4" t="s">
        <v>7426</v>
      </c>
      <c r="J3188" s="4" t="s">
        <v>7425</v>
      </c>
    </row>
    <row r="3189" spans="1:10" hidden="1">
      <c r="A3189" s="4">
        <v>2.0210473203000198E+17</v>
      </c>
      <c r="B3189" s="4">
        <v>3080992450</v>
      </c>
      <c r="C3189" s="4" t="s">
        <v>7424</v>
      </c>
      <c r="D3189" s="4">
        <v>73203</v>
      </c>
      <c r="E3189" s="4">
        <v>20210423</v>
      </c>
      <c r="F3189" s="4">
        <v>20210423</v>
      </c>
      <c r="G3189" s="4">
        <v>20240423</v>
      </c>
      <c r="H3189" s="4" t="s">
        <v>7423</v>
      </c>
      <c r="I3189" s="4" t="s">
        <v>7422</v>
      </c>
      <c r="J3189" s="4" t="s">
        <v>260</v>
      </c>
    </row>
    <row r="3190" spans="1:10" hidden="1">
      <c r="A3190" s="4">
        <v>2.0210475310000301E+17</v>
      </c>
      <c r="B3190" s="4">
        <v>7408701530</v>
      </c>
      <c r="C3190" s="4" t="s">
        <v>7692</v>
      </c>
      <c r="D3190" s="4">
        <v>75310</v>
      </c>
      <c r="E3190" s="4">
        <v>20210426</v>
      </c>
      <c r="F3190" s="4">
        <v>20210426</v>
      </c>
      <c r="G3190" s="4">
        <v>20240426</v>
      </c>
      <c r="H3190" s="4" t="s">
        <v>7691</v>
      </c>
      <c r="I3190" s="4" t="s">
        <v>185</v>
      </c>
      <c r="J3190" s="4" t="s">
        <v>7690</v>
      </c>
    </row>
    <row r="3191" spans="1:10" hidden="1">
      <c r="A3191" s="4">
        <v>2.0210472111000198E+17</v>
      </c>
      <c r="B3191" s="4">
        <v>3878602122</v>
      </c>
      <c r="C3191" s="4" t="s">
        <v>7421</v>
      </c>
      <c r="D3191" s="4">
        <v>72111</v>
      </c>
      <c r="E3191" s="4">
        <v>20210423</v>
      </c>
      <c r="F3191" s="4">
        <v>20210423</v>
      </c>
      <c r="G3191" s="4">
        <v>20240423</v>
      </c>
      <c r="H3191" s="4" t="s">
        <v>7420</v>
      </c>
      <c r="I3191" s="4" t="s">
        <v>7419</v>
      </c>
      <c r="J3191" s="4" t="s">
        <v>3461</v>
      </c>
    </row>
    <row r="3192" spans="1:10" hidden="1">
      <c r="A3192" s="4">
        <v>2.0210472121000198E+17</v>
      </c>
      <c r="B3192" s="4">
        <v>4818101264</v>
      </c>
      <c r="C3192" s="4" t="s">
        <v>7418</v>
      </c>
      <c r="D3192" s="4">
        <v>72121</v>
      </c>
      <c r="E3192" s="4">
        <v>20210423</v>
      </c>
      <c r="F3192" s="4">
        <v>20210423</v>
      </c>
      <c r="G3192" s="4">
        <v>20240423</v>
      </c>
      <c r="H3192" s="4" t="s">
        <v>315</v>
      </c>
      <c r="I3192" s="4" t="s">
        <v>7417</v>
      </c>
      <c r="J3192" s="4" t="s">
        <v>2243</v>
      </c>
    </row>
    <row r="3193" spans="1:10" hidden="1">
      <c r="A3193" s="4">
        <v>2.0210425999000198E+17</v>
      </c>
      <c r="B3193" s="4">
        <v>4521400436</v>
      </c>
      <c r="C3193" s="4" t="s">
        <v>6675</v>
      </c>
      <c r="D3193" s="4">
        <v>25999</v>
      </c>
      <c r="E3193" s="4">
        <v>20210423</v>
      </c>
      <c r="F3193" s="4">
        <v>20210423</v>
      </c>
      <c r="G3193" s="4">
        <v>20230902</v>
      </c>
      <c r="H3193" s="4" t="s">
        <v>6676</v>
      </c>
      <c r="I3193" s="4" t="s">
        <v>6675</v>
      </c>
      <c r="J3193" s="4" t="s">
        <v>301</v>
      </c>
    </row>
    <row r="3194" spans="1:10" hidden="1">
      <c r="A3194" s="4">
        <v>2.0210426529000198E+17</v>
      </c>
      <c r="B3194" s="4">
        <v>4088615813</v>
      </c>
      <c r="C3194" s="4" t="s">
        <v>7414</v>
      </c>
      <c r="D3194" s="4">
        <v>26529</v>
      </c>
      <c r="E3194" s="4">
        <v>20210423</v>
      </c>
      <c r="F3194" s="4">
        <v>20210423</v>
      </c>
      <c r="G3194" s="4">
        <v>20240423</v>
      </c>
      <c r="H3194" s="4" t="s">
        <v>1061</v>
      </c>
      <c r="I3194" s="4" t="s">
        <v>7413</v>
      </c>
      <c r="J3194" s="4" t="s">
        <v>1207</v>
      </c>
    </row>
    <row r="3195" spans="1:10" hidden="1">
      <c r="A3195" s="4">
        <v>2.0210442321000198E+17</v>
      </c>
      <c r="B3195" s="4">
        <v>5678602198</v>
      </c>
      <c r="C3195" s="4" t="s">
        <v>7412</v>
      </c>
      <c r="D3195" s="4">
        <v>42321</v>
      </c>
      <c r="E3195" s="4">
        <v>20210423</v>
      </c>
      <c r="F3195" s="4">
        <v>20210423</v>
      </c>
      <c r="G3195" s="4">
        <v>20240423</v>
      </c>
      <c r="H3195" s="4" t="s">
        <v>7411</v>
      </c>
      <c r="J3195" s="4" t="s">
        <v>698</v>
      </c>
    </row>
    <row r="3196" spans="1:10" hidden="1">
      <c r="A3196" s="4">
        <v>2.0210446699000198E+17</v>
      </c>
      <c r="B3196" s="4">
        <v>1791601489</v>
      </c>
      <c r="C3196" s="4" t="s">
        <v>7410</v>
      </c>
      <c r="D3196" s="4">
        <v>46699</v>
      </c>
      <c r="E3196" s="4">
        <v>20210423</v>
      </c>
      <c r="F3196" s="4">
        <v>20210423</v>
      </c>
      <c r="G3196" s="4">
        <v>20240423</v>
      </c>
      <c r="H3196" s="4" t="s">
        <v>7409</v>
      </c>
      <c r="J3196" s="4" t="s">
        <v>208</v>
      </c>
    </row>
    <row r="3197" spans="1:10" hidden="1">
      <c r="A3197" s="4">
        <v>2.0210441226000198E+17</v>
      </c>
      <c r="B3197" s="4">
        <v>7388701293</v>
      </c>
      <c r="C3197" s="4" t="s">
        <v>7408</v>
      </c>
      <c r="D3197" s="4">
        <v>41226</v>
      </c>
      <c r="E3197" s="4">
        <v>20210423</v>
      </c>
      <c r="F3197" s="4">
        <v>20210423</v>
      </c>
      <c r="G3197" s="4">
        <v>20240423</v>
      </c>
      <c r="H3197" s="4" t="s">
        <v>7407</v>
      </c>
      <c r="I3197" s="4" t="s">
        <v>7406</v>
      </c>
      <c r="J3197" s="4" t="s">
        <v>1063</v>
      </c>
    </row>
    <row r="3198" spans="1:10" hidden="1">
      <c r="A3198" s="4">
        <v>2.0210442412000198E+17</v>
      </c>
      <c r="B3198" s="4">
        <v>5548602095</v>
      </c>
      <c r="C3198" s="4" t="s">
        <v>7405</v>
      </c>
      <c r="D3198" s="4">
        <v>42412</v>
      </c>
      <c r="E3198" s="4">
        <v>20210423</v>
      </c>
      <c r="F3198" s="4">
        <v>20210423</v>
      </c>
      <c r="G3198" s="4">
        <v>20240423</v>
      </c>
      <c r="H3198" s="4" t="s">
        <v>7404</v>
      </c>
      <c r="I3198" s="4" t="s">
        <v>7403</v>
      </c>
      <c r="J3198" s="4" t="s">
        <v>281</v>
      </c>
    </row>
    <row r="3199" spans="1:10" hidden="1">
      <c r="A3199" s="4">
        <v>2.0210428422000198E+17</v>
      </c>
      <c r="B3199" s="4">
        <v>1588601812</v>
      </c>
      <c r="C3199" s="4" t="s">
        <v>7402</v>
      </c>
      <c r="D3199" s="4">
        <v>28422</v>
      </c>
      <c r="E3199" s="4">
        <v>20210423</v>
      </c>
      <c r="F3199" s="4">
        <v>20210423</v>
      </c>
      <c r="G3199" s="4">
        <v>20240423</v>
      </c>
      <c r="H3199" s="4" t="s">
        <v>7401</v>
      </c>
      <c r="I3199" s="4" t="s">
        <v>6226</v>
      </c>
      <c r="J3199" s="4" t="s">
        <v>188</v>
      </c>
    </row>
    <row r="3200" spans="1:10" hidden="1">
      <c r="A3200" s="4">
        <v>2.0210442311000198E+17</v>
      </c>
      <c r="B3200" s="4">
        <v>8648600484</v>
      </c>
      <c r="C3200" s="4" t="s">
        <v>7400</v>
      </c>
      <c r="D3200" s="4">
        <v>42311</v>
      </c>
      <c r="E3200" s="4">
        <v>20210423</v>
      </c>
      <c r="F3200" s="4">
        <v>20210423</v>
      </c>
      <c r="G3200" s="4">
        <v>20231122</v>
      </c>
      <c r="H3200" s="4" t="s">
        <v>7399</v>
      </c>
      <c r="I3200" s="4" t="s">
        <v>91</v>
      </c>
      <c r="J3200" s="4" t="s">
        <v>718</v>
      </c>
    </row>
    <row r="3201" spans="1:10" hidden="1">
      <c r="A3201" s="4">
        <v>2.0210442311000198E+17</v>
      </c>
      <c r="B3201" s="4">
        <v>4508800687</v>
      </c>
      <c r="C3201" s="4" t="s">
        <v>7398</v>
      </c>
      <c r="D3201" s="4">
        <v>42311</v>
      </c>
      <c r="E3201" s="4">
        <v>20210423</v>
      </c>
      <c r="F3201" s="4">
        <v>20210423</v>
      </c>
      <c r="G3201" s="4">
        <v>20240423</v>
      </c>
      <c r="H3201" s="4" t="s">
        <v>7397</v>
      </c>
      <c r="I3201" s="4" t="s">
        <v>2362</v>
      </c>
      <c r="J3201" s="4" t="s">
        <v>718</v>
      </c>
    </row>
    <row r="3202" spans="1:10" hidden="1">
      <c r="A3202" s="4">
        <v>2.0210472112000198E+17</v>
      </c>
      <c r="B3202" s="4">
        <v>3868801634</v>
      </c>
      <c r="C3202" s="4" t="s">
        <v>7396</v>
      </c>
      <c r="D3202" s="4">
        <v>72112</v>
      </c>
      <c r="E3202" s="4">
        <v>20210423</v>
      </c>
      <c r="F3202" s="4">
        <v>20210423</v>
      </c>
      <c r="G3202" s="4">
        <v>20240423</v>
      </c>
      <c r="H3202" s="4" t="s">
        <v>7395</v>
      </c>
      <c r="J3202" s="4" t="s">
        <v>5034</v>
      </c>
    </row>
    <row r="3203" spans="1:10" hidden="1">
      <c r="A3203" s="4">
        <v>2.0210426421000198E+17</v>
      </c>
      <c r="B3203" s="4">
        <v>4868800347</v>
      </c>
      <c r="C3203" s="4" t="s">
        <v>7394</v>
      </c>
      <c r="D3203" s="4">
        <v>26421</v>
      </c>
      <c r="E3203" s="4">
        <v>20210423</v>
      </c>
      <c r="F3203" s="4">
        <v>20210423</v>
      </c>
      <c r="G3203" s="4">
        <v>20230218</v>
      </c>
      <c r="H3203" s="4" t="s">
        <v>7393</v>
      </c>
      <c r="I3203" s="4" t="s">
        <v>7392</v>
      </c>
      <c r="J3203" s="4" t="s">
        <v>1767</v>
      </c>
    </row>
    <row r="3204" spans="1:10" hidden="1">
      <c r="A3204" s="4">
        <v>2.0210458221000198E+17</v>
      </c>
      <c r="B3204" s="4">
        <v>8478800237</v>
      </c>
      <c r="C3204" s="4" t="s">
        <v>7391</v>
      </c>
      <c r="D3204" s="4">
        <v>58221</v>
      </c>
      <c r="E3204" s="4">
        <v>20210423</v>
      </c>
      <c r="F3204" s="4">
        <v>20210423</v>
      </c>
      <c r="G3204" s="4">
        <v>20220909</v>
      </c>
      <c r="H3204" s="4" t="s">
        <v>7390</v>
      </c>
      <c r="I3204" s="4" t="s">
        <v>91</v>
      </c>
      <c r="J3204" s="4" t="s">
        <v>228</v>
      </c>
    </row>
    <row r="3205" spans="1:10" hidden="1">
      <c r="A3205" s="4">
        <v>2.0210428123000198E+17</v>
      </c>
      <c r="B3205" s="4">
        <v>1548702077</v>
      </c>
      <c r="C3205" s="4" t="s">
        <v>7389</v>
      </c>
      <c r="D3205" s="4">
        <v>28123</v>
      </c>
      <c r="E3205" s="4">
        <v>20210423</v>
      </c>
      <c r="F3205" s="4">
        <v>20210423</v>
      </c>
      <c r="G3205" s="4">
        <v>20240423</v>
      </c>
      <c r="H3205" s="4" t="s">
        <v>7388</v>
      </c>
      <c r="J3205" s="4" t="s">
        <v>640</v>
      </c>
    </row>
    <row r="3206" spans="1:10" hidden="1">
      <c r="A3206" s="4">
        <v>2.0210458222000198E+17</v>
      </c>
      <c r="B3206" s="4">
        <v>2188173248</v>
      </c>
      <c r="C3206" s="4" t="s">
        <v>7387</v>
      </c>
      <c r="D3206" s="4">
        <v>58222</v>
      </c>
      <c r="E3206" s="4">
        <v>20210423</v>
      </c>
      <c r="F3206" s="4">
        <v>20210423</v>
      </c>
      <c r="G3206" s="4">
        <v>20240423</v>
      </c>
      <c r="H3206" s="4" t="s">
        <v>4995</v>
      </c>
      <c r="I3206" s="4" t="s">
        <v>7386</v>
      </c>
      <c r="J3206" s="4" t="s">
        <v>94</v>
      </c>
    </row>
    <row r="3207" spans="1:10" hidden="1">
      <c r="A3207" s="4">
        <v>2.0210442412000198E+17</v>
      </c>
      <c r="B3207" s="4">
        <v>4698101809</v>
      </c>
      <c r="C3207" s="4" t="s">
        <v>7385</v>
      </c>
      <c r="D3207" s="4">
        <v>42412</v>
      </c>
      <c r="E3207" s="4">
        <v>20210423</v>
      </c>
      <c r="F3207" s="4">
        <v>20210423</v>
      </c>
      <c r="G3207" s="4">
        <v>20240423</v>
      </c>
      <c r="H3207" s="4" t="s">
        <v>7384</v>
      </c>
      <c r="I3207" s="4" t="s">
        <v>7383</v>
      </c>
      <c r="J3207" s="4" t="s">
        <v>281</v>
      </c>
    </row>
    <row r="3208" spans="1:10" hidden="1">
      <c r="A3208" s="4">
        <v>2.0210463991000198E+17</v>
      </c>
      <c r="B3208" s="4">
        <v>3588700818</v>
      </c>
      <c r="C3208" s="4" t="s">
        <v>7382</v>
      </c>
      <c r="D3208" s="4">
        <v>63991</v>
      </c>
      <c r="E3208" s="4">
        <v>20210423</v>
      </c>
      <c r="F3208" s="4">
        <v>20210423</v>
      </c>
      <c r="G3208" s="4">
        <v>20240423</v>
      </c>
      <c r="H3208" s="4" t="s">
        <v>7381</v>
      </c>
      <c r="I3208" s="4" t="s">
        <v>7380</v>
      </c>
      <c r="J3208" s="4" t="s">
        <v>395</v>
      </c>
    </row>
    <row r="3209" spans="1:10" hidden="1">
      <c r="A3209" s="4">
        <v>2.0210462021000198E+17</v>
      </c>
      <c r="B3209" s="4">
        <v>4408801452</v>
      </c>
      <c r="C3209" s="4" t="s">
        <v>7379</v>
      </c>
      <c r="D3209" s="4">
        <v>62021</v>
      </c>
      <c r="E3209" s="4">
        <v>20210423</v>
      </c>
      <c r="F3209" s="4">
        <v>20210423</v>
      </c>
      <c r="G3209" s="4">
        <v>20240423</v>
      </c>
      <c r="H3209" s="4" t="s">
        <v>7378</v>
      </c>
      <c r="I3209" s="4" t="s">
        <v>7377</v>
      </c>
      <c r="J3209" s="4" t="s">
        <v>1505</v>
      </c>
    </row>
    <row r="3210" spans="1:10" hidden="1">
      <c r="A3210" s="4">
        <v>2.0210429299000198E+17</v>
      </c>
      <c r="B3210" s="4">
        <v>5018130082</v>
      </c>
      <c r="C3210" s="4" t="s">
        <v>7376</v>
      </c>
      <c r="D3210" s="4">
        <v>29299</v>
      </c>
      <c r="E3210" s="4">
        <v>20210423</v>
      </c>
      <c r="F3210" s="4">
        <v>20210423</v>
      </c>
      <c r="G3210" s="4">
        <v>20240423</v>
      </c>
      <c r="H3210" s="4" t="s">
        <v>2360</v>
      </c>
      <c r="I3210" s="4" t="s">
        <v>7375</v>
      </c>
      <c r="J3210" s="4" t="s">
        <v>137</v>
      </c>
    </row>
    <row r="3211" spans="1:10" hidden="1">
      <c r="A3211" s="4">
        <v>2.0210442411000198E+17</v>
      </c>
      <c r="B3211" s="4">
        <v>8548801011</v>
      </c>
      <c r="C3211" s="4" t="s">
        <v>7374</v>
      </c>
      <c r="D3211" s="4">
        <v>42411</v>
      </c>
      <c r="E3211" s="4">
        <v>20210423</v>
      </c>
      <c r="F3211" s="4">
        <v>20210423</v>
      </c>
      <c r="G3211" s="4">
        <v>20240423</v>
      </c>
      <c r="H3211" s="4" t="s">
        <v>7373</v>
      </c>
      <c r="I3211" s="4" t="s">
        <v>2525</v>
      </c>
      <c r="J3211" s="4" t="s">
        <v>2211</v>
      </c>
    </row>
    <row r="3212" spans="1:10" hidden="1">
      <c r="A3212" s="4">
        <v>2.0210429272000198E+17</v>
      </c>
      <c r="B3212" s="4">
        <v>8118701244</v>
      </c>
      <c r="C3212" s="4" t="s">
        <v>7372</v>
      </c>
      <c r="D3212" s="4">
        <v>29272</v>
      </c>
      <c r="E3212" s="4">
        <v>20210423</v>
      </c>
      <c r="F3212" s="4">
        <v>20210423</v>
      </c>
      <c r="G3212" s="4">
        <v>20240423</v>
      </c>
      <c r="H3212" s="4" t="s">
        <v>7371</v>
      </c>
      <c r="J3212" s="4" t="s">
        <v>1124</v>
      </c>
    </row>
    <row r="3213" spans="1:10" hidden="1">
      <c r="A3213" s="4">
        <v>2.0210426421000198E+17</v>
      </c>
      <c r="B3213" s="4">
        <v>1328632915</v>
      </c>
      <c r="C3213" s="4" t="s">
        <v>7370</v>
      </c>
      <c r="D3213" s="4">
        <v>26421</v>
      </c>
      <c r="E3213" s="4">
        <v>20210423</v>
      </c>
      <c r="F3213" s="4">
        <v>20210423</v>
      </c>
      <c r="G3213" s="4">
        <v>20211224</v>
      </c>
      <c r="H3213" s="4" t="s">
        <v>7369</v>
      </c>
      <c r="J3213" s="4" t="s">
        <v>1767</v>
      </c>
    </row>
    <row r="3214" spans="1:10" hidden="1">
      <c r="A3214" s="4">
        <v>2.0210428422000198E+17</v>
      </c>
      <c r="B3214" s="4">
        <v>5148199277</v>
      </c>
      <c r="C3214" s="4" t="s">
        <v>7368</v>
      </c>
      <c r="D3214" s="4">
        <v>28422</v>
      </c>
      <c r="E3214" s="4">
        <v>20210423</v>
      </c>
      <c r="F3214" s="4">
        <v>20210423</v>
      </c>
      <c r="G3214" s="4">
        <v>20240423</v>
      </c>
      <c r="H3214" s="4" t="s">
        <v>7367</v>
      </c>
      <c r="I3214" s="4" t="s">
        <v>7366</v>
      </c>
      <c r="J3214" s="4" t="s">
        <v>188</v>
      </c>
    </row>
    <row r="3215" spans="1:10" hidden="1">
      <c r="A3215" s="4">
        <v>2.0210474212000198E+17</v>
      </c>
      <c r="B3215" s="4">
        <v>7878602109</v>
      </c>
      <c r="C3215" s="4" t="s">
        <v>7365</v>
      </c>
      <c r="D3215" s="4">
        <v>74212</v>
      </c>
      <c r="E3215" s="4">
        <v>20210423</v>
      </c>
      <c r="F3215" s="4">
        <v>20210423</v>
      </c>
      <c r="G3215" s="4">
        <v>20240423</v>
      </c>
      <c r="H3215" s="4" t="s">
        <v>7364</v>
      </c>
      <c r="I3215" s="4" t="s">
        <v>7363</v>
      </c>
      <c r="J3215" s="4" t="s">
        <v>7362</v>
      </c>
    </row>
    <row r="3216" spans="1:10" hidden="1">
      <c r="A3216" s="4">
        <v>2.0210475122000198E+17</v>
      </c>
      <c r="B3216" s="4">
        <v>6178625706</v>
      </c>
      <c r="C3216" s="4" t="s">
        <v>7361</v>
      </c>
      <c r="D3216" s="4">
        <v>75122</v>
      </c>
      <c r="E3216" s="4">
        <v>20210423</v>
      </c>
      <c r="F3216" s="4">
        <v>20210423</v>
      </c>
      <c r="G3216" s="4">
        <v>20220107</v>
      </c>
      <c r="H3216" s="4" t="s">
        <v>7360</v>
      </c>
      <c r="I3216" s="4" t="s">
        <v>7359</v>
      </c>
      <c r="J3216" s="4" t="s">
        <v>7358</v>
      </c>
    </row>
    <row r="3217" spans="1:10" hidden="1">
      <c r="A3217" s="4">
        <v>2.0210441229000198E+17</v>
      </c>
      <c r="B3217" s="4">
        <v>4388800917</v>
      </c>
      <c r="C3217" s="4" t="s">
        <v>7416</v>
      </c>
      <c r="D3217" s="4">
        <v>41229</v>
      </c>
      <c r="E3217" s="4">
        <v>20210423</v>
      </c>
      <c r="F3217" s="4">
        <v>20210423</v>
      </c>
      <c r="G3217" s="4">
        <v>20240423</v>
      </c>
      <c r="H3217" s="4" t="s">
        <v>7415</v>
      </c>
      <c r="I3217" s="4" t="s">
        <v>657</v>
      </c>
      <c r="J3217" s="4" t="s">
        <v>5083</v>
      </c>
    </row>
    <row r="3218" spans="1:10" hidden="1">
      <c r="A3218" s="4">
        <v>2.0210426421000198E+17</v>
      </c>
      <c r="B3218" s="4">
        <v>4960900674</v>
      </c>
      <c r="C3218" s="4" t="s">
        <v>957</v>
      </c>
      <c r="D3218" s="4">
        <v>26421</v>
      </c>
      <c r="E3218" s="4">
        <v>20210423</v>
      </c>
      <c r="F3218" s="4">
        <v>20210423</v>
      </c>
      <c r="G3218" s="4">
        <v>20240423</v>
      </c>
      <c r="H3218" s="4" t="s">
        <v>7355</v>
      </c>
      <c r="I3218" s="4" t="s">
        <v>7354</v>
      </c>
      <c r="J3218" s="4" t="s">
        <v>1767</v>
      </c>
    </row>
    <row r="3219" spans="1:10">
      <c r="A3219" s="5">
        <v>2.02106181110004E+17</v>
      </c>
      <c r="B3219" s="5">
        <v>2871101072</v>
      </c>
      <c r="C3219" s="5" t="s">
        <v>11154</v>
      </c>
      <c r="D3219" s="5">
        <v>18111</v>
      </c>
      <c r="E3219" s="5">
        <v>20210610</v>
      </c>
      <c r="F3219" s="5">
        <v>20210610</v>
      </c>
      <c r="G3219" s="5">
        <v>20240610</v>
      </c>
      <c r="H3219" s="5" t="s">
        <v>11153</v>
      </c>
      <c r="I3219" s="5" t="s">
        <v>149</v>
      </c>
      <c r="J3219" s="5" t="s">
        <v>662</v>
      </c>
    </row>
    <row r="3220" spans="1:10">
      <c r="A3220" s="4">
        <v>2.0210446453000301E+17</v>
      </c>
      <c r="B3220" s="4">
        <v>7385400471</v>
      </c>
      <c r="C3220" s="4" t="s">
        <v>7539</v>
      </c>
      <c r="D3220" s="4">
        <v>46453</v>
      </c>
      <c r="E3220" s="4">
        <v>20210426</v>
      </c>
      <c r="F3220" s="4">
        <v>20210426</v>
      </c>
      <c r="G3220" s="4">
        <v>20240426</v>
      </c>
      <c r="H3220" s="4" t="s">
        <v>7538</v>
      </c>
      <c r="I3220" s="4" t="s">
        <v>7537</v>
      </c>
      <c r="J3220" s="4" t="s">
        <v>816</v>
      </c>
    </row>
    <row r="3221" spans="1:10" hidden="1">
      <c r="A3221" s="4">
        <v>2.0210458222000198E+17</v>
      </c>
      <c r="B3221" s="4">
        <v>2648145876</v>
      </c>
      <c r="C3221" s="4" t="s">
        <v>7348</v>
      </c>
      <c r="D3221" s="4">
        <v>58222</v>
      </c>
      <c r="E3221" s="4">
        <v>20210423</v>
      </c>
      <c r="F3221" s="4">
        <v>20210423</v>
      </c>
      <c r="G3221" s="4">
        <v>20211127</v>
      </c>
      <c r="H3221" s="4" t="s">
        <v>7347</v>
      </c>
      <c r="I3221" s="4" t="s">
        <v>7346</v>
      </c>
      <c r="J3221" s="4" t="s">
        <v>94</v>
      </c>
    </row>
    <row r="3222" spans="1:10" hidden="1">
      <c r="A3222" s="4">
        <v>2.0210429169000198E+17</v>
      </c>
      <c r="B3222" s="4">
        <v>7348700249</v>
      </c>
      <c r="C3222" s="4" t="s">
        <v>7345</v>
      </c>
      <c r="D3222" s="4">
        <v>29169</v>
      </c>
      <c r="E3222" s="4">
        <v>20210423</v>
      </c>
      <c r="F3222" s="4">
        <v>20210423</v>
      </c>
      <c r="G3222" s="4">
        <v>20230502</v>
      </c>
      <c r="H3222" s="4" t="s">
        <v>7344</v>
      </c>
      <c r="J3222" s="4" t="s">
        <v>1734</v>
      </c>
    </row>
    <row r="3223" spans="1:10">
      <c r="A3223" s="4">
        <v>2.0210446453000198E+17</v>
      </c>
      <c r="B3223" s="4">
        <v>2028166795</v>
      </c>
      <c r="C3223" s="4" t="s">
        <v>6060</v>
      </c>
      <c r="D3223" s="4">
        <v>46453</v>
      </c>
      <c r="E3223" s="4">
        <v>20210407</v>
      </c>
      <c r="F3223" s="4">
        <v>20210407</v>
      </c>
      <c r="G3223" s="4">
        <v>20240407</v>
      </c>
      <c r="H3223" s="4" t="s">
        <v>6059</v>
      </c>
      <c r="I3223" s="4" t="s">
        <v>6058</v>
      </c>
      <c r="J3223" s="4" t="s">
        <v>816</v>
      </c>
    </row>
    <row r="3224" spans="1:10" hidden="1">
      <c r="A3224" s="4">
        <v>2.0210428903000198E+17</v>
      </c>
      <c r="B3224" s="4">
        <v>8812600258</v>
      </c>
      <c r="C3224" s="4" t="s">
        <v>7339</v>
      </c>
      <c r="D3224" s="4">
        <v>28903</v>
      </c>
      <c r="E3224" s="4">
        <v>20210423</v>
      </c>
      <c r="F3224" s="4">
        <v>20210423</v>
      </c>
      <c r="G3224" s="4">
        <v>20230725</v>
      </c>
      <c r="H3224" s="4" t="s">
        <v>7340</v>
      </c>
      <c r="I3224" s="4" t="s">
        <v>7339</v>
      </c>
      <c r="J3224" s="4" t="s">
        <v>460</v>
      </c>
    </row>
    <row r="3225" spans="1:10" hidden="1">
      <c r="A3225" s="4">
        <v>2.0210434019000198E+17</v>
      </c>
      <c r="B3225" s="4">
        <v>2918700719</v>
      </c>
      <c r="C3225" s="4" t="s">
        <v>7338</v>
      </c>
      <c r="D3225" s="4">
        <v>34019</v>
      </c>
      <c r="E3225" s="4">
        <v>20210423</v>
      </c>
      <c r="F3225" s="4">
        <v>20210423</v>
      </c>
      <c r="G3225" s="4">
        <v>20240224</v>
      </c>
      <c r="H3225" s="4" t="s">
        <v>7337</v>
      </c>
      <c r="I3225" s="4" t="s">
        <v>7336</v>
      </c>
      <c r="J3225" s="4" t="s">
        <v>7335</v>
      </c>
    </row>
    <row r="3226" spans="1:10" hidden="1">
      <c r="A3226" s="4">
        <v>2.0210428429000198E+17</v>
      </c>
      <c r="B3226" s="4">
        <v>8400500913</v>
      </c>
      <c r="C3226" s="4" t="s">
        <v>7334</v>
      </c>
      <c r="D3226" s="4">
        <v>28429</v>
      </c>
      <c r="E3226" s="4">
        <v>20210423</v>
      </c>
      <c r="F3226" s="4">
        <v>20210423</v>
      </c>
      <c r="G3226" s="4">
        <v>20240423</v>
      </c>
      <c r="H3226" s="4" t="s">
        <v>7333</v>
      </c>
      <c r="I3226" s="4" t="s">
        <v>149</v>
      </c>
      <c r="J3226" s="4" t="s">
        <v>765</v>
      </c>
    </row>
    <row r="3227" spans="1:10">
      <c r="A3227" s="4">
        <v>2.0210318111000099E+17</v>
      </c>
      <c r="B3227" s="4">
        <v>3818700782</v>
      </c>
      <c r="C3227" s="4" t="s">
        <v>4837</v>
      </c>
      <c r="D3227" s="4">
        <v>18111</v>
      </c>
      <c r="E3227" s="4">
        <v>20210322</v>
      </c>
      <c r="F3227" s="4">
        <v>20210322</v>
      </c>
      <c r="G3227" s="4">
        <v>20240322</v>
      </c>
      <c r="H3227" s="4" t="s">
        <v>4836</v>
      </c>
      <c r="I3227" s="4" t="s">
        <v>2362</v>
      </c>
      <c r="J3227" s="4" t="s">
        <v>662</v>
      </c>
    </row>
    <row r="3228" spans="1:10" hidden="1">
      <c r="A3228" s="4">
        <v>2.0210433999000198E+17</v>
      </c>
      <c r="B3228" s="4">
        <v>5378100739</v>
      </c>
      <c r="C3228" s="4" t="s">
        <v>7330</v>
      </c>
      <c r="D3228" s="4">
        <v>33999</v>
      </c>
      <c r="E3228" s="4">
        <v>20210422</v>
      </c>
      <c r="F3228" s="4">
        <v>20210422</v>
      </c>
      <c r="G3228" s="4">
        <v>20240422</v>
      </c>
      <c r="H3228" s="4" t="s">
        <v>7329</v>
      </c>
      <c r="J3228" s="4" t="s">
        <v>780</v>
      </c>
    </row>
    <row r="3229" spans="1:10" hidden="1">
      <c r="A3229" s="4">
        <v>2.0210485669000198E+17</v>
      </c>
      <c r="B3229" s="4">
        <v>5168801647</v>
      </c>
      <c r="C3229" s="4" t="s">
        <v>7328</v>
      </c>
      <c r="D3229" s="4">
        <v>85669</v>
      </c>
      <c r="E3229" s="4">
        <v>20210422</v>
      </c>
      <c r="F3229" s="4">
        <v>20210422</v>
      </c>
      <c r="G3229" s="4">
        <v>20240422</v>
      </c>
      <c r="H3229" s="4" t="s">
        <v>7327</v>
      </c>
      <c r="I3229" s="4" t="s">
        <v>7326</v>
      </c>
      <c r="J3229" s="4" t="s">
        <v>3833</v>
      </c>
    </row>
    <row r="3230" spans="1:10" hidden="1">
      <c r="A3230" s="4">
        <v>2.0210428123000198E+17</v>
      </c>
      <c r="B3230" s="4">
        <v>6878802050</v>
      </c>
      <c r="C3230" s="4" t="s">
        <v>7325</v>
      </c>
      <c r="D3230" s="4">
        <v>28123</v>
      </c>
      <c r="E3230" s="4">
        <v>20210422</v>
      </c>
      <c r="F3230" s="4">
        <v>20210422</v>
      </c>
      <c r="G3230" s="4">
        <v>20240422</v>
      </c>
      <c r="H3230" s="4" t="s">
        <v>7324</v>
      </c>
      <c r="J3230" s="4" t="s">
        <v>640</v>
      </c>
    </row>
    <row r="3231" spans="1:10" hidden="1">
      <c r="A3231" s="4">
        <v>2.0210458222000198E+17</v>
      </c>
      <c r="B3231" s="4">
        <v>5898800665</v>
      </c>
      <c r="C3231" s="4" t="s">
        <v>7323</v>
      </c>
      <c r="D3231" s="4">
        <v>58222</v>
      </c>
      <c r="E3231" s="4">
        <v>20210422</v>
      </c>
      <c r="F3231" s="4">
        <v>20210422</v>
      </c>
      <c r="G3231" s="4">
        <v>20240422</v>
      </c>
      <c r="H3231" s="4" t="s">
        <v>3594</v>
      </c>
      <c r="I3231" s="4" t="s">
        <v>7322</v>
      </c>
      <c r="J3231" s="4" t="s">
        <v>94</v>
      </c>
    </row>
    <row r="3232" spans="1:10" hidden="1">
      <c r="A3232" s="4">
        <v>2.0210446699000198E+17</v>
      </c>
      <c r="B3232" s="4">
        <v>2068800149</v>
      </c>
      <c r="C3232" s="4" t="s">
        <v>7321</v>
      </c>
      <c r="D3232" s="4">
        <v>46699</v>
      </c>
      <c r="E3232" s="4">
        <v>20210422</v>
      </c>
      <c r="F3232" s="4">
        <v>20210422</v>
      </c>
      <c r="G3232" s="4">
        <v>20220701</v>
      </c>
      <c r="H3232" s="4" t="s">
        <v>6829</v>
      </c>
      <c r="I3232" s="4" t="s">
        <v>3220</v>
      </c>
      <c r="J3232" s="4" t="s">
        <v>208</v>
      </c>
    </row>
    <row r="3233" spans="1:10" hidden="1">
      <c r="A3233" s="4">
        <v>2.0210442311000198E+17</v>
      </c>
      <c r="B3233" s="4">
        <v>8448100414</v>
      </c>
      <c r="C3233" s="4" t="s">
        <v>7320</v>
      </c>
      <c r="D3233" s="4">
        <v>42311</v>
      </c>
      <c r="E3233" s="4">
        <v>20210422</v>
      </c>
      <c r="F3233" s="4">
        <v>20210422</v>
      </c>
      <c r="G3233" s="4">
        <v>20231215</v>
      </c>
      <c r="H3233" s="4" t="s">
        <v>4493</v>
      </c>
      <c r="I3233" s="4" t="s">
        <v>7319</v>
      </c>
      <c r="J3233" s="4" t="s">
        <v>718</v>
      </c>
    </row>
    <row r="3234" spans="1:10" hidden="1">
      <c r="A3234" s="4">
        <v>2.0210459111000198E+17</v>
      </c>
      <c r="B3234" s="4">
        <v>8238801623</v>
      </c>
      <c r="C3234" s="4" t="s">
        <v>7318</v>
      </c>
      <c r="D3234" s="4">
        <v>59111</v>
      </c>
      <c r="E3234" s="4">
        <v>20210422</v>
      </c>
      <c r="F3234" s="4">
        <v>20210422</v>
      </c>
      <c r="G3234" s="4">
        <v>20240422</v>
      </c>
      <c r="H3234" s="4" t="s">
        <v>7317</v>
      </c>
      <c r="I3234" s="4" t="s">
        <v>7316</v>
      </c>
      <c r="J3234" s="4" t="s">
        <v>1857</v>
      </c>
    </row>
    <row r="3235" spans="1:10" hidden="1">
      <c r="A3235" s="4">
        <v>2.0210474100000198E+17</v>
      </c>
      <c r="B3235" s="4">
        <v>3448802191</v>
      </c>
      <c r="C3235" s="4" t="s">
        <v>7315</v>
      </c>
      <c r="D3235" s="4">
        <v>74100</v>
      </c>
      <c r="E3235" s="4">
        <v>20210422</v>
      </c>
      <c r="F3235" s="4">
        <v>20210422</v>
      </c>
      <c r="G3235" s="4">
        <v>20240422</v>
      </c>
      <c r="H3235" s="4" t="s">
        <v>7314</v>
      </c>
      <c r="I3235" s="4" t="s">
        <v>7313</v>
      </c>
      <c r="J3235" s="4" t="s">
        <v>2207</v>
      </c>
    </row>
    <row r="3236" spans="1:10">
      <c r="A3236" s="4">
        <v>2.0210318129000099E+17</v>
      </c>
      <c r="B3236" s="4">
        <v>1078832951</v>
      </c>
      <c r="C3236" s="4" t="s">
        <v>4007</v>
      </c>
      <c r="D3236" s="4">
        <v>18129</v>
      </c>
      <c r="E3236" s="4">
        <v>20210311</v>
      </c>
      <c r="F3236" s="4">
        <v>20210311</v>
      </c>
      <c r="G3236" s="4">
        <v>20211022</v>
      </c>
      <c r="H3236" s="4" t="s">
        <v>4006</v>
      </c>
      <c r="I3236" s="4" t="s">
        <v>149</v>
      </c>
      <c r="J3236" s="4" t="s">
        <v>2546</v>
      </c>
    </row>
    <row r="3237" spans="1:10" hidden="1">
      <c r="A3237" s="4">
        <v>2.0210428112000198E+17</v>
      </c>
      <c r="B3237" s="4">
        <v>2230951992</v>
      </c>
      <c r="C3237" s="4" t="s">
        <v>7309</v>
      </c>
      <c r="D3237" s="4">
        <v>28112</v>
      </c>
      <c r="E3237" s="4">
        <v>20210422</v>
      </c>
      <c r="F3237" s="4">
        <v>20210422</v>
      </c>
      <c r="G3237" s="4">
        <v>20240422</v>
      </c>
      <c r="H3237" s="4" t="s">
        <v>7308</v>
      </c>
      <c r="J3237" s="4" t="s">
        <v>7307</v>
      </c>
    </row>
    <row r="3238" spans="1:10" hidden="1">
      <c r="A3238" s="4">
        <v>2.0210470113000198E+17</v>
      </c>
      <c r="B3238" s="4">
        <v>7028101889</v>
      </c>
      <c r="C3238" s="4" t="s">
        <v>7306</v>
      </c>
      <c r="D3238" s="4">
        <v>70113</v>
      </c>
      <c r="E3238" s="4">
        <v>20210422</v>
      </c>
      <c r="F3238" s="4">
        <v>20210422</v>
      </c>
      <c r="G3238" s="4">
        <v>20240422</v>
      </c>
      <c r="H3238" s="4" t="s">
        <v>7305</v>
      </c>
      <c r="I3238" s="4" t="s">
        <v>7304</v>
      </c>
      <c r="J3238" s="4" t="s">
        <v>1173</v>
      </c>
    </row>
    <row r="3239" spans="1:10" hidden="1">
      <c r="A3239" s="4">
        <v>2.0210475999000198E+17</v>
      </c>
      <c r="B3239" s="4">
        <v>4268200213</v>
      </c>
      <c r="C3239" s="4" t="s">
        <v>7303</v>
      </c>
      <c r="D3239" s="4">
        <v>75999</v>
      </c>
      <c r="E3239" s="4">
        <v>20210422</v>
      </c>
      <c r="F3239" s="4">
        <v>20210422</v>
      </c>
      <c r="G3239" s="4">
        <v>20240422</v>
      </c>
      <c r="H3239" s="4" t="s">
        <v>7302</v>
      </c>
      <c r="I3239" s="4" t="s">
        <v>91</v>
      </c>
      <c r="J3239" s="4" t="s">
        <v>158</v>
      </c>
    </row>
    <row r="3240" spans="1:10" hidden="1">
      <c r="A3240" s="4">
        <v>2.0210462010000198E+17</v>
      </c>
      <c r="B3240" s="4">
        <v>6478600948</v>
      </c>
      <c r="C3240" s="4" t="s">
        <v>7357</v>
      </c>
      <c r="D3240" s="4">
        <v>62010</v>
      </c>
      <c r="E3240" s="4">
        <v>20210423</v>
      </c>
      <c r="F3240" s="4">
        <v>20210423</v>
      </c>
      <c r="G3240" s="4">
        <v>20240423</v>
      </c>
      <c r="H3240" s="4" t="s">
        <v>7356</v>
      </c>
      <c r="I3240" s="4" t="s">
        <v>142</v>
      </c>
      <c r="J3240" s="4" t="s">
        <v>118</v>
      </c>
    </row>
    <row r="3241" spans="1:10" hidden="1">
      <c r="A3241" s="4">
        <v>2.0210472129000198E+17</v>
      </c>
      <c r="B3241" s="4">
        <v>5424100152</v>
      </c>
      <c r="C3241" s="4" t="s">
        <v>7299</v>
      </c>
      <c r="D3241" s="4">
        <v>72129</v>
      </c>
      <c r="E3241" s="4">
        <v>20210422</v>
      </c>
      <c r="F3241" s="4">
        <v>20210422</v>
      </c>
      <c r="G3241" s="4">
        <v>20230211</v>
      </c>
      <c r="H3241" s="4" t="s">
        <v>7298</v>
      </c>
      <c r="J3241" s="4" t="s">
        <v>1679</v>
      </c>
    </row>
    <row r="3242" spans="1:10" hidden="1">
      <c r="A3242" s="4">
        <v>2.0210446452000198E+17</v>
      </c>
      <c r="B3242" s="4">
        <v>5545800250</v>
      </c>
      <c r="C3242" s="4" t="s">
        <v>7297</v>
      </c>
      <c r="D3242" s="4">
        <v>46452</v>
      </c>
      <c r="E3242" s="4">
        <v>20210422</v>
      </c>
      <c r="F3242" s="4">
        <v>20210422</v>
      </c>
      <c r="G3242" s="4">
        <v>20240422</v>
      </c>
      <c r="H3242" s="4" t="s">
        <v>7296</v>
      </c>
      <c r="J3242" s="4" t="s">
        <v>516</v>
      </c>
    </row>
    <row r="3243" spans="1:10" hidden="1">
      <c r="A3243" s="4">
        <v>2.0210417902000198E+17</v>
      </c>
      <c r="B3243" s="4">
        <v>2988200199</v>
      </c>
      <c r="C3243" s="4" t="s">
        <v>7295</v>
      </c>
      <c r="D3243" s="4">
        <v>17902</v>
      </c>
      <c r="E3243" s="4">
        <v>20210422</v>
      </c>
      <c r="F3243" s="4">
        <v>20210422</v>
      </c>
      <c r="G3243" s="4">
        <v>20240422</v>
      </c>
      <c r="H3243" s="4" t="s">
        <v>7294</v>
      </c>
      <c r="J3243" s="4" t="s">
        <v>6653</v>
      </c>
    </row>
    <row r="3244" spans="1:10" hidden="1">
      <c r="A3244" s="4">
        <v>2.0210446699000198E+17</v>
      </c>
      <c r="B3244" s="4">
        <v>4953900101</v>
      </c>
      <c r="C3244" s="4" t="s">
        <v>7293</v>
      </c>
      <c r="D3244" s="4">
        <v>46699</v>
      </c>
      <c r="E3244" s="4">
        <v>20210422</v>
      </c>
      <c r="F3244" s="4">
        <v>20210422</v>
      </c>
      <c r="G3244" s="4">
        <v>20221211</v>
      </c>
      <c r="H3244" s="4" t="s">
        <v>7292</v>
      </c>
      <c r="I3244" s="4" t="s">
        <v>175</v>
      </c>
      <c r="J3244" s="4" t="s">
        <v>208</v>
      </c>
    </row>
    <row r="3245" spans="1:10" hidden="1">
      <c r="A3245" s="4">
        <v>2.0210442311000198E+17</v>
      </c>
      <c r="B3245" s="4">
        <v>5918100747</v>
      </c>
      <c r="C3245" s="4" t="s">
        <v>7291</v>
      </c>
      <c r="D3245" s="4">
        <v>42311</v>
      </c>
      <c r="E3245" s="4">
        <v>20210422</v>
      </c>
      <c r="F3245" s="4">
        <v>20210422</v>
      </c>
      <c r="G3245" s="4">
        <v>20240422</v>
      </c>
      <c r="H3245" s="4" t="s">
        <v>7290</v>
      </c>
      <c r="J3245" s="4" t="s">
        <v>718</v>
      </c>
    </row>
    <row r="3246" spans="1:10" hidden="1">
      <c r="A3246" s="4">
        <v>2.0210447611000198E+17</v>
      </c>
      <c r="B3246" s="4">
        <v>6632100709</v>
      </c>
      <c r="C3246" s="4" t="s">
        <v>7289</v>
      </c>
      <c r="D3246" s="4">
        <v>47611</v>
      </c>
      <c r="E3246" s="4">
        <v>20210422</v>
      </c>
      <c r="F3246" s="4">
        <v>20210422</v>
      </c>
      <c r="G3246" s="4">
        <v>20240422</v>
      </c>
      <c r="H3246" s="4" t="s">
        <v>7288</v>
      </c>
      <c r="I3246" s="4" t="s">
        <v>185</v>
      </c>
      <c r="J3246" s="4" t="s">
        <v>4252</v>
      </c>
    </row>
    <row r="3247" spans="1:10" hidden="1">
      <c r="A3247" s="4">
        <v>2.0210446591000198E+17</v>
      </c>
      <c r="B3247" s="4">
        <v>1053030825</v>
      </c>
      <c r="C3247" s="4" t="s">
        <v>7301</v>
      </c>
      <c r="D3247" s="4">
        <v>46591</v>
      </c>
      <c r="E3247" s="4">
        <v>20210422</v>
      </c>
      <c r="F3247" s="4">
        <v>20210422</v>
      </c>
      <c r="G3247" s="4">
        <v>20230421</v>
      </c>
      <c r="H3247" s="4" t="s">
        <v>7300</v>
      </c>
      <c r="J3247" s="4" t="s">
        <v>985</v>
      </c>
    </row>
    <row r="3248" spans="1:10" hidden="1">
      <c r="A3248" s="4">
        <v>2.0210446432000198E+17</v>
      </c>
      <c r="B3248" s="4">
        <v>1516200039</v>
      </c>
      <c r="C3248" s="4" t="s">
        <v>7285</v>
      </c>
      <c r="D3248" s="4">
        <v>46432</v>
      </c>
      <c r="E3248" s="4">
        <v>20210422</v>
      </c>
      <c r="F3248" s="4">
        <v>20210422</v>
      </c>
      <c r="G3248" s="4">
        <v>20230104</v>
      </c>
      <c r="H3248" s="4" t="s">
        <v>1853</v>
      </c>
      <c r="I3248" s="4" t="s">
        <v>7284</v>
      </c>
      <c r="J3248" s="4" t="s">
        <v>414</v>
      </c>
    </row>
    <row r="3249" spans="1:10" hidden="1">
      <c r="A3249" s="4">
        <v>2.0210447912000198E+17</v>
      </c>
      <c r="B3249" s="4">
        <v>3103000355</v>
      </c>
      <c r="C3249" s="4" t="s">
        <v>7283</v>
      </c>
      <c r="D3249" s="4">
        <v>47912</v>
      </c>
      <c r="E3249" s="4">
        <v>20210422</v>
      </c>
      <c r="F3249" s="4">
        <v>20210422</v>
      </c>
      <c r="G3249" s="4">
        <v>20240302</v>
      </c>
      <c r="H3249" s="4" t="s">
        <v>7282</v>
      </c>
      <c r="J3249" s="4" t="s">
        <v>78</v>
      </c>
    </row>
    <row r="3250" spans="1:10" hidden="1">
      <c r="A3250" s="4">
        <v>2.0210410309000198E+17</v>
      </c>
      <c r="B3250" s="4">
        <v>2918800910</v>
      </c>
      <c r="C3250" s="4" t="s">
        <v>7281</v>
      </c>
      <c r="D3250" s="4">
        <v>10309</v>
      </c>
      <c r="E3250" s="4">
        <v>20210422</v>
      </c>
      <c r="F3250" s="4">
        <v>20210422</v>
      </c>
      <c r="G3250" s="4">
        <v>20240422</v>
      </c>
      <c r="H3250" s="4" t="s">
        <v>350</v>
      </c>
      <c r="I3250" s="4" t="s">
        <v>7280</v>
      </c>
      <c r="J3250" s="4" t="s">
        <v>519</v>
      </c>
    </row>
    <row r="3251" spans="1:10">
      <c r="A3251" s="4">
        <v>2.0210358190000198E+17</v>
      </c>
      <c r="B3251" s="4">
        <v>3631101319</v>
      </c>
      <c r="C3251" s="4" t="s">
        <v>5264</v>
      </c>
      <c r="D3251" s="4">
        <v>58190</v>
      </c>
      <c r="E3251" s="4">
        <v>20210325</v>
      </c>
      <c r="F3251" s="4">
        <v>20210325</v>
      </c>
      <c r="G3251" s="4">
        <v>20240325</v>
      </c>
      <c r="H3251" s="4" t="s">
        <v>5263</v>
      </c>
      <c r="I3251" s="4" t="s">
        <v>5262</v>
      </c>
      <c r="J3251" s="4" t="s">
        <v>196</v>
      </c>
    </row>
    <row r="3252" spans="1:10" hidden="1">
      <c r="A3252" s="4">
        <v>2.0210446452000198E+17</v>
      </c>
      <c r="B3252" s="4">
        <v>6552300774</v>
      </c>
      <c r="C3252" s="4" t="s">
        <v>7276</v>
      </c>
      <c r="D3252" s="4">
        <v>46452</v>
      </c>
      <c r="E3252" s="4">
        <v>20210422</v>
      </c>
      <c r="F3252" s="4">
        <v>20210422</v>
      </c>
      <c r="G3252" s="4">
        <v>20240422</v>
      </c>
      <c r="H3252" s="4" t="s">
        <v>7275</v>
      </c>
      <c r="I3252" s="4" t="s">
        <v>7274</v>
      </c>
      <c r="J3252" s="4" t="s">
        <v>516</v>
      </c>
    </row>
    <row r="3253" spans="1:10" hidden="1">
      <c r="A3253" s="4">
        <v>2.0210425929000198E+17</v>
      </c>
      <c r="B3253" s="4">
        <v>2088700963</v>
      </c>
      <c r="C3253" s="4" t="s">
        <v>7272</v>
      </c>
      <c r="D3253" s="4">
        <v>25929</v>
      </c>
      <c r="E3253" s="4">
        <v>20210422</v>
      </c>
      <c r="F3253" s="4">
        <v>20210422</v>
      </c>
      <c r="G3253" s="4">
        <v>20240422</v>
      </c>
      <c r="H3253" s="4" t="s">
        <v>7273</v>
      </c>
      <c r="I3253" s="4" t="s">
        <v>7272</v>
      </c>
      <c r="J3253" s="4" t="s">
        <v>701</v>
      </c>
    </row>
    <row r="3254" spans="1:10">
      <c r="A3254" s="4">
        <v>2.0210418111000198E+17</v>
      </c>
      <c r="B3254" s="4">
        <v>2368102310</v>
      </c>
      <c r="C3254" s="4" t="s">
        <v>6331</v>
      </c>
      <c r="D3254" s="4">
        <v>18111</v>
      </c>
      <c r="E3254" s="4">
        <v>20210408</v>
      </c>
      <c r="F3254" s="4">
        <v>20210408</v>
      </c>
      <c r="G3254" s="4">
        <v>20240408</v>
      </c>
      <c r="H3254" s="4" t="s">
        <v>6330</v>
      </c>
      <c r="I3254" s="4" t="s">
        <v>91</v>
      </c>
      <c r="J3254" s="4" t="s">
        <v>662</v>
      </c>
    </row>
    <row r="3255" spans="1:10" hidden="1">
      <c r="A3255" s="4">
        <v>2.0210446442000198E+17</v>
      </c>
      <c r="B3255" s="4">
        <v>3020662092</v>
      </c>
      <c r="C3255" s="4" t="s">
        <v>7268</v>
      </c>
      <c r="D3255" s="4">
        <v>46442</v>
      </c>
      <c r="E3255" s="4">
        <v>20210422</v>
      </c>
      <c r="F3255" s="4">
        <v>20210422</v>
      </c>
      <c r="G3255" s="4">
        <v>20240422</v>
      </c>
      <c r="H3255" s="4" t="s">
        <v>230</v>
      </c>
      <c r="I3255" s="4" t="s">
        <v>7267</v>
      </c>
      <c r="J3255" s="4" t="s">
        <v>3282</v>
      </c>
    </row>
    <row r="3256" spans="1:10" hidden="1">
      <c r="A3256" s="4">
        <v>2.0210442411000198E+17</v>
      </c>
      <c r="B3256" s="4">
        <v>6858701077</v>
      </c>
      <c r="C3256" s="4" t="s">
        <v>7266</v>
      </c>
      <c r="D3256" s="4">
        <v>42411</v>
      </c>
      <c r="E3256" s="4">
        <v>20210422</v>
      </c>
      <c r="F3256" s="4">
        <v>20210422</v>
      </c>
      <c r="G3256" s="4">
        <v>20240422</v>
      </c>
      <c r="H3256" s="4" t="s">
        <v>7265</v>
      </c>
      <c r="J3256" s="4" t="s">
        <v>2211</v>
      </c>
    </row>
    <row r="3257" spans="1:10" hidden="1">
      <c r="A3257" s="4">
        <v>2.0210446452000198E+17</v>
      </c>
      <c r="B3257" s="4">
        <v>6614700533</v>
      </c>
      <c r="C3257" s="4" t="s">
        <v>7264</v>
      </c>
      <c r="D3257" s="4">
        <v>46452</v>
      </c>
      <c r="E3257" s="4">
        <v>20210422</v>
      </c>
      <c r="F3257" s="4">
        <v>20210422</v>
      </c>
      <c r="G3257" s="4">
        <v>20240422</v>
      </c>
      <c r="H3257" s="4" t="s">
        <v>7263</v>
      </c>
      <c r="I3257" s="4" t="s">
        <v>7262</v>
      </c>
      <c r="J3257" s="4" t="s">
        <v>516</v>
      </c>
    </row>
    <row r="3258" spans="1:10" hidden="1">
      <c r="A3258" s="4">
        <v>2.0210438110000198E+17</v>
      </c>
      <c r="B3258" s="4">
        <v>3358600477</v>
      </c>
      <c r="C3258" s="4" t="s">
        <v>7261</v>
      </c>
      <c r="D3258" s="4">
        <v>38110</v>
      </c>
      <c r="E3258" s="4">
        <v>20210422</v>
      </c>
      <c r="F3258" s="4">
        <v>20210422</v>
      </c>
      <c r="G3258" s="4">
        <v>20230706</v>
      </c>
      <c r="H3258" s="4" t="s">
        <v>7141</v>
      </c>
      <c r="I3258" s="4" t="s">
        <v>142</v>
      </c>
      <c r="J3258" s="4" t="s">
        <v>3177</v>
      </c>
    </row>
    <row r="3259" spans="1:10" hidden="1">
      <c r="A3259" s="4">
        <v>2.0210447519000198E+17</v>
      </c>
      <c r="B3259" s="4">
        <v>5218801824</v>
      </c>
      <c r="C3259" s="4" t="s">
        <v>7260</v>
      </c>
      <c r="D3259" s="4">
        <v>47519</v>
      </c>
      <c r="E3259" s="4">
        <v>20210422</v>
      </c>
      <c r="F3259" s="4">
        <v>20210422</v>
      </c>
      <c r="G3259" s="4">
        <v>20240422</v>
      </c>
      <c r="H3259" s="4" t="s">
        <v>7259</v>
      </c>
      <c r="I3259" s="4" t="s">
        <v>239</v>
      </c>
      <c r="J3259" s="4" t="s">
        <v>4031</v>
      </c>
    </row>
    <row r="3260" spans="1:10" hidden="1">
      <c r="A3260" s="4">
        <v>2.0210441226000198E+17</v>
      </c>
      <c r="B3260" s="4">
        <v>5028801255</v>
      </c>
      <c r="C3260" s="4" t="s">
        <v>7258</v>
      </c>
      <c r="D3260" s="4">
        <v>41226</v>
      </c>
      <c r="E3260" s="4">
        <v>20210422</v>
      </c>
      <c r="F3260" s="4">
        <v>20210422</v>
      </c>
      <c r="G3260" s="4">
        <v>20240422</v>
      </c>
      <c r="H3260" s="4" t="s">
        <v>7256</v>
      </c>
      <c r="I3260" s="4" t="s">
        <v>239</v>
      </c>
      <c r="J3260" s="4" t="s">
        <v>1063</v>
      </c>
    </row>
    <row r="3261" spans="1:10" hidden="1">
      <c r="A3261" s="4">
        <v>2.0210442322000198E+17</v>
      </c>
      <c r="B3261" s="4">
        <v>7708101484</v>
      </c>
      <c r="C3261" s="4" t="s">
        <v>7257</v>
      </c>
      <c r="D3261" s="4">
        <v>42322</v>
      </c>
      <c r="E3261" s="4">
        <v>20210422</v>
      </c>
      <c r="F3261" s="4">
        <v>20210422</v>
      </c>
      <c r="G3261" s="4">
        <v>20240422</v>
      </c>
      <c r="H3261" s="4" t="s">
        <v>7256</v>
      </c>
      <c r="I3261" s="4" t="s">
        <v>175</v>
      </c>
      <c r="J3261" s="4" t="s">
        <v>2524</v>
      </c>
    </row>
    <row r="3262" spans="1:10" hidden="1">
      <c r="A3262" s="4">
        <v>2.0210446522000198E+17</v>
      </c>
      <c r="B3262" s="4">
        <v>4458600212</v>
      </c>
      <c r="C3262" s="4" t="s">
        <v>7255</v>
      </c>
      <c r="D3262" s="4">
        <v>46522</v>
      </c>
      <c r="E3262" s="4">
        <v>20210422</v>
      </c>
      <c r="F3262" s="4">
        <v>20210422</v>
      </c>
      <c r="G3262" s="4">
        <v>20220918</v>
      </c>
      <c r="H3262" s="4" t="s">
        <v>7254</v>
      </c>
      <c r="I3262" s="4" t="s">
        <v>7253</v>
      </c>
      <c r="J3262" s="4" t="s">
        <v>3922</v>
      </c>
    </row>
    <row r="3263" spans="1:10" hidden="1">
      <c r="A3263" s="4">
        <v>2.0210432091000198E+17</v>
      </c>
      <c r="B3263" s="4">
        <v>5998100872</v>
      </c>
      <c r="C3263" s="4" t="s">
        <v>7252</v>
      </c>
      <c r="D3263" s="4">
        <v>32091</v>
      </c>
      <c r="E3263" s="4">
        <v>20210422</v>
      </c>
      <c r="F3263" s="4">
        <v>20210422</v>
      </c>
      <c r="G3263" s="4">
        <v>20240422</v>
      </c>
      <c r="H3263" s="4" t="s">
        <v>7251</v>
      </c>
      <c r="I3263" s="4" t="s">
        <v>7250</v>
      </c>
      <c r="J3263" s="4" t="s">
        <v>908</v>
      </c>
    </row>
    <row r="3264" spans="1:10" hidden="1">
      <c r="A3264" s="4">
        <v>2.0210458222000198E+17</v>
      </c>
      <c r="B3264" s="4">
        <v>7248600546</v>
      </c>
      <c r="C3264" s="4" t="s">
        <v>7287</v>
      </c>
      <c r="D3264" s="4">
        <v>58222</v>
      </c>
      <c r="E3264" s="4">
        <v>20210422</v>
      </c>
      <c r="F3264" s="4">
        <v>20210422</v>
      </c>
      <c r="G3264" s="4">
        <v>20230923</v>
      </c>
      <c r="H3264" s="4" t="s">
        <v>7286</v>
      </c>
      <c r="J3264" s="4" t="s">
        <v>94</v>
      </c>
    </row>
    <row r="3265" spans="1:10" hidden="1">
      <c r="A3265" s="4">
        <v>2.0210429224000198E+17</v>
      </c>
      <c r="B3265" s="4">
        <v>4068165608</v>
      </c>
      <c r="C3265" s="4" t="s">
        <v>7249</v>
      </c>
      <c r="D3265" s="4">
        <v>29224</v>
      </c>
      <c r="E3265" s="4">
        <v>20210422</v>
      </c>
      <c r="F3265" s="4">
        <v>20210422</v>
      </c>
      <c r="G3265" s="4">
        <v>20240422</v>
      </c>
      <c r="H3265" s="4" t="s">
        <v>774</v>
      </c>
      <c r="J3265" s="4" t="s">
        <v>3190</v>
      </c>
    </row>
    <row r="3266" spans="1:10" hidden="1">
      <c r="A3266" s="4">
        <v>2.0210425112000198E+17</v>
      </c>
      <c r="B3266" s="4">
        <v>8498701050</v>
      </c>
      <c r="C3266" s="4" t="s">
        <v>7245</v>
      </c>
      <c r="D3266" s="4">
        <v>25112</v>
      </c>
      <c r="E3266" s="4">
        <v>20210422</v>
      </c>
      <c r="F3266" s="4">
        <v>20210422</v>
      </c>
      <c r="G3266" s="4">
        <v>20240422</v>
      </c>
      <c r="H3266" s="4" t="s">
        <v>7244</v>
      </c>
      <c r="J3266" s="4" t="s">
        <v>320</v>
      </c>
    </row>
    <row r="3267" spans="1:10" hidden="1">
      <c r="A3267" s="4">
        <v>2.0210458221000198E+17</v>
      </c>
      <c r="B3267" s="4">
        <v>4208800162</v>
      </c>
      <c r="C3267" s="4" t="s">
        <v>7243</v>
      </c>
      <c r="D3267" s="4">
        <v>58221</v>
      </c>
      <c r="E3267" s="4">
        <v>20210422</v>
      </c>
      <c r="F3267" s="4">
        <v>20210422</v>
      </c>
      <c r="G3267" s="4">
        <v>20221210</v>
      </c>
      <c r="H3267" s="4" t="s">
        <v>2578</v>
      </c>
      <c r="I3267" s="4" t="s">
        <v>7242</v>
      </c>
      <c r="J3267" s="4" t="s">
        <v>228</v>
      </c>
    </row>
    <row r="3268" spans="1:10" hidden="1">
      <c r="A3268" s="4">
        <v>2.0210414199000198E+17</v>
      </c>
      <c r="B3268" s="4">
        <v>7288701826</v>
      </c>
      <c r="C3268" s="4" t="s">
        <v>7241</v>
      </c>
      <c r="D3268" s="4">
        <v>14199</v>
      </c>
      <c r="E3268" s="4">
        <v>20210422</v>
      </c>
      <c r="F3268" s="4">
        <v>20210422</v>
      </c>
      <c r="G3268" s="4">
        <v>20240422</v>
      </c>
      <c r="H3268" s="4" t="s">
        <v>7240</v>
      </c>
      <c r="I3268" s="4" t="s">
        <v>7239</v>
      </c>
      <c r="J3268" s="4" t="s">
        <v>3215</v>
      </c>
    </row>
    <row r="3269" spans="1:10" hidden="1">
      <c r="A3269" s="4">
        <v>2.0210427211000198E+17</v>
      </c>
      <c r="B3269" s="4">
        <v>4738700776</v>
      </c>
      <c r="C3269" s="4" t="s">
        <v>7238</v>
      </c>
      <c r="D3269" s="4">
        <v>27211</v>
      </c>
      <c r="E3269" s="4">
        <v>20210422</v>
      </c>
      <c r="F3269" s="4">
        <v>20210422</v>
      </c>
      <c r="G3269" s="4">
        <v>20240422</v>
      </c>
      <c r="H3269" s="4" t="s">
        <v>7237</v>
      </c>
      <c r="I3269" s="4" t="s">
        <v>5369</v>
      </c>
      <c r="J3269" s="4" t="s">
        <v>1585</v>
      </c>
    </row>
    <row r="3270" spans="1:10" hidden="1">
      <c r="A3270" s="4">
        <v>2.0210426410000198E+17</v>
      </c>
      <c r="B3270" s="4">
        <v>3848102040</v>
      </c>
      <c r="C3270" s="4" t="s">
        <v>7236</v>
      </c>
      <c r="D3270" s="4">
        <v>26410</v>
      </c>
      <c r="E3270" s="4">
        <v>20210422</v>
      </c>
      <c r="F3270" s="4">
        <v>20210422</v>
      </c>
      <c r="G3270" s="4">
        <v>20230407</v>
      </c>
      <c r="H3270" s="4" t="s">
        <v>1546</v>
      </c>
      <c r="I3270" s="4" t="s">
        <v>7235</v>
      </c>
      <c r="J3270" s="4" t="s">
        <v>1102</v>
      </c>
    </row>
    <row r="3271" spans="1:10" hidden="1">
      <c r="A3271" s="4">
        <v>2.0210416300000198E+17</v>
      </c>
      <c r="B3271" s="4">
        <v>8688101457</v>
      </c>
      <c r="C3271" s="4" t="s">
        <v>7234</v>
      </c>
      <c r="D3271" s="4">
        <v>16300</v>
      </c>
      <c r="E3271" s="4">
        <v>20210422</v>
      </c>
      <c r="F3271" s="4">
        <v>20210422</v>
      </c>
      <c r="G3271" s="4">
        <v>20240422</v>
      </c>
      <c r="H3271" s="4" t="s">
        <v>7233</v>
      </c>
      <c r="J3271" s="4" t="s">
        <v>4865</v>
      </c>
    </row>
    <row r="3272" spans="1:10" hidden="1">
      <c r="A3272" s="4">
        <v>2.0210429221000198E+17</v>
      </c>
      <c r="B3272" s="4">
        <v>2708700314</v>
      </c>
      <c r="C3272" s="4" t="s">
        <v>7232</v>
      </c>
      <c r="D3272" s="4">
        <v>29221</v>
      </c>
      <c r="E3272" s="4">
        <v>20210422</v>
      </c>
      <c r="F3272" s="4">
        <v>20210422</v>
      </c>
      <c r="G3272" s="4">
        <v>20221210</v>
      </c>
      <c r="H3272" s="4" t="s">
        <v>3627</v>
      </c>
      <c r="I3272" s="4" t="s">
        <v>7231</v>
      </c>
      <c r="J3272" s="4" t="s">
        <v>7230</v>
      </c>
    </row>
    <row r="3273" spans="1:10" hidden="1">
      <c r="A3273" s="4">
        <v>2.0210446800000198E+17</v>
      </c>
      <c r="B3273" s="4">
        <v>7628801861</v>
      </c>
      <c r="C3273" s="4" t="s">
        <v>7229</v>
      </c>
      <c r="D3273" s="4">
        <v>46800</v>
      </c>
      <c r="E3273" s="4">
        <v>20210422</v>
      </c>
      <c r="F3273" s="4">
        <v>20210422</v>
      </c>
      <c r="G3273" s="4">
        <v>20240422</v>
      </c>
      <c r="H3273" s="4" t="s">
        <v>4675</v>
      </c>
      <c r="I3273" s="4" t="s">
        <v>7228</v>
      </c>
      <c r="J3273" s="4" t="s">
        <v>979</v>
      </c>
    </row>
    <row r="3274" spans="1:10" hidden="1">
      <c r="A3274" s="4">
        <v>2.0210426294000198E+17</v>
      </c>
      <c r="B3274" s="4">
        <v>4528601238</v>
      </c>
      <c r="C3274" s="4" t="s">
        <v>7227</v>
      </c>
      <c r="D3274" s="4">
        <v>26294</v>
      </c>
      <c r="E3274" s="4">
        <v>20210422</v>
      </c>
      <c r="F3274" s="4">
        <v>20210422</v>
      </c>
      <c r="G3274" s="4">
        <v>20240422</v>
      </c>
      <c r="H3274" s="4" t="s">
        <v>7226</v>
      </c>
      <c r="I3274" s="4" t="s">
        <v>7225</v>
      </c>
      <c r="J3274" s="4" t="s">
        <v>5589</v>
      </c>
    </row>
    <row r="3275" spans="1:10" hidden="1">
      <c r="A3275" s="4">
        <v>2.0210458222000198E+17</v>
      </c>
      <c r="B3275" s="4">
        <v>2398801380</v>
      </c>
      <c r="C3275" s="4" t="s">
        <v>7224</v>
      </c>
      <c r="D3275" s="4">
        <v>58222</v>
      </c>
      <c r="E3275" s="4">
        <v>20210422</v>
      </c>
      <c r="F3275" s="4">
        <v>20210422</v>
      </c>
      <c r="G3275" s="4">
        <v>20240422</v>
      </c>
      <c r="H3275" s="4" t="s">
        <v>7223</v>
      </c>
      <c r="I3275" s="4" t="s">
        <v>7222</v>
      </c>
      <c r="J3275" s="4" t="s">
        <v>94</v>
      </c>
    </row>
    <row r="3276" spans="1:10" hidden="1">
      <c r="A3276" s="4">
        <v>2.0210429192000198E+17</v>
      </c>
      <c r="B3276" s="4">
        <v>8058800723</v>
      </c>
      <c r="C3276" s="4" t="s">
        <v>7221</v>
      </c>
      <c r="D3276" s="4">
        <v>29192</v>
      </c>
      <c r="E3276" s="4">
        <v>20210422</v>
      </c>
      <c r="F3276" s="4">
        <v>20210422</v>
      </c>
      <c r="G3276" s="4">
        <v>20240422</v>
      </c>
      <c r="H3276" s="4" t="s">
        <v>7220</v>
      </c>
      <c r="I3276" s="4" t="s">
        <v>7219</v>
      </c>
      <c r="J3276" s="4" t="s">
        <v>7218</v>
      </c>
    </row>
    <row r="3277" spans="1:10" hidden="1">
      <c r="A3277" s="4">
        <v>2.0210422299000198E+17</v>
      </c>
      <c r="B3277" s="4">
        <v>2398601654</v>
      </c>
      <c r="C3277" s="4" t="s">
        <v>7217</v>
      </c>
      <c r="D3277" s="4">
        <v>22299</v>
      </c>
      <c r="E3277" s="4">
        <v>20210422</v>
      </c>
      <c r="F3277" s="4">
        <v>20210422</v>
      </c>
      <c r="G3277" s="4">
        <v>20240422</v>
      </c>
      <c r="H3277" s="4" t="s">
        <v>7216</v>
      </c>
      <c r="I3277" s="4" t="s">
        <v>7215</v>
      </c>
      <c r="J3277" s="4" t="s">
        <v>384</v>
      </c>
    </row>
    <row r="3278" spans="1:10" hidden="1">
      <c r="A3278" s="4">
        <v>2.0210458212000198E+17</v>
      </c>
      <c r="B3278" s="4">
        <v>1798801981</v>
      </c>
      <c r="C3278" s="4" t="s">
        <v>7214</v>
      </c>
      <c r="D3278" s="4">
        <v>58212</v>
      </c>
      <c r="E3278" s="4">
        <v>20210422</v>
      </c>
      <c r="F3278" s="4">
        <v>20210422</v>
      </c>
      <c r="G3278" s="4">
        <v>20240422</v>
      </c>
      <c r="H3278" s="4" t="s">
        <v>7213</v>
      </c>
      <c r="I3278" s="4" t="s">
        <v>7212</v>
      </c>
      <c r="J3278" s="4" t="s">
        <v>1076</v>
      </c>
    </row>
    <row r="3279" spans="1:10" hidden="1">
      <c r="A3279" s="4">
        <v>2.0210431114000198E+17</v>
      </c>
      <c r="B3279" s="4">
        <v>4318702014</v>
      </c>
      <c r="C3279" s="4" t="s">
        <v>7211</v>
      </c>
      <c r="D3279" s="4">
        <v>31114</v>
      </c>
      <c r="E3279" s="4">
        <v>20210422</v>
      </c>
      <c r="F3279" s="4">
        <v>20210422</v>
      </c>
      <c r="G3279" s="4">
        <v>20240422</v>
      </c>
      <c r="H3279" s="4" t="s">
        <v>7210</v>
      </c>
      <c r="J3279" s="4" t="s">
        <v>1070</v>
      </c>
    </row>
    <row r="3280" spans="1:10" hidden="1">
      <c r="A3280" s="4">
        <v>2.0210442491000198E+17</v>
      </c>
      <c r="B3280" s="4">
        <v>6528601541</v>
      </c>
      <c r="C3280" s="4" t="s">
        <v>7209</v>
      </c>
      <c r="D3280" s="4">
        <v>42491</v>
      </c>
      <c r="E3280" s="4">
        <v>20210422</v>
      </c>
      <c r="F3280" s="4">
        <v>20210422</v>
      </c>
      <c r="G3280" s="4">
        <v>20240422</v>
      </c>
      <c r="H3280" s="4" t="s">
        <v>7208</v>
      </c>
      <c r="I3280" s="4" t="s">
        <v>149</v>
      </c>
      <c r="J3280" s="4" t="s">
        <v>883</v>
      </c>
    </row>
    <row r="3281" spans="1:10" hidden="1">
      <c r="A3281" s="4">
        <v>2.0210446591000198E+17</v>
      </c>
      <c r="B3281" s="4">
        <v>4256500362</v>
      </c>
      <c r="C3281" s="4" t="s">
        <v>7207</v>
      </c>
      <c r="D3281" s="4">
        <v>46591</v>
      </c>
      <c r="E3281" s="4">
        <v>20210422</v>
      </c>
      <c r="F3281" s="4">
        <v>20210422</v>
      </c>
      <c r="G3281" s="4">
        <v>20240422</v>
      </c>
      <c r="H3281" s="4" t="s">
        <v>7206</v>
      </c>
      <c r="I3281" s="4" t="s">
        <v>7205</v>
      </c>
      <c r="J3281" s="4" t="s">
        <v>985</v>
      </c>
    </row>
    <row r="3282" spans="1:10" hidden="1">
      <c r="A3282" s="4">
        <v>2.0210429133000198E+17</v>
      </c>
      <c r="B3282" s="4">
        <v>5915200179</v>
      </c>
      <c r="C3282" s="4" t="s">
        <v>7204</v>
      </c>
      <c r="D3282" s="4">
        <v>29133</v>
      </c>
      <c r="E3282" s="4">
        <v>20210422</v>
      </c>
      <c r="F3282" s="4">
        <v>20210422</v>
      </c>
      <c r="G3282" s="4">
        <v>20230510</v>
      </c>
      <c r="H3282" s="4" t="s">
        <v>7203</v>
      </c>
      <c r="I3282" s="4" t="s">
        <v>149</v>
      </c>
      <c r="J3282" s="4" t="s">
        <v>990</v>
      </c>
    </row>
    <row r="3283" spans="1:10">
      <c r="A3283" s="4">
        <v>2.0210546453000301E+17</v>
      </c>
      <c r="B3283" s="4">
        <v>7108102405</v>
      </c>
      <c r="C3283" s="4" t="s">
        <v>8224</v>
      </c>
      <c r="D3283" s="4">
        <v>46453</v>
      </c>
      <c r="E3283" s="4">
        <v>20210504</v>
      </c>
      <c r="F3283" s="4">
        <v>20210504</v>
      </c>
      <c r="G3283" s="4">
        <v>20240504</v>
      </c>
      <c r="H3283" s="4" t="s">
        <v>4645</v>
      </c>
      <c r="I3283" s="4" t="s">
        <v>8223</v>
      </c>
      <c r="J3283" s="4" t="s">
        <v>816</v>
      </c>
    </row>
    <row r="3284" spans="1:10" hidden="1">
      <c r="A3284" s="4">
        <v>2.0210446593000198E+17</v>
      </c>
      <c r="B3284" s="4">
        <v>2201501330</v>
      </c>
      <c r="C3284" s="4" t="s">
        <v>7200</v>
      </c>
      <c r="D3284" s="4">
        <v>46593</v>
      </c>
      <c r="E3284" s="4">
        <v>20210422</v>
      </c>
      <c r="F3284" s="4">
        <v>20210422</v>
      </c>
      <c r="G3284" s="4">
        <v>20240422</v>
      </c>
      <c r="H3284" s="4" t="s">
        <v>7199</v>
      </c>
      <c r="J3284" s="4" t="s">
        <v>1469</v>
      </c>
    </row>
    <row r="3285" spans="1:10" hidden="1">
      <c r="A3285" s="4">
        <v>2.0210446452000198E+17</v>
      </c>
      <c r="B3285" s="4">
        <v>5884800195</v>
      </c>
      <c r="C3285" s="4" t="s">
        <v>7198</v>
      </c>
      <c r="D3285" s="4">
        <v>46452</v>
      </c>
      <c r="E3285" s="4">
        <v>20210422</v>
      </c>
      <c r="F3285" s="4">
        <v>20210422</v>
      </c>
      <c r="G3285" s="4">
        <v>20240417</v>
      </c>
      <c r="H3285" s="4" t="s">
        <v>7197</v>
      </c>
      <c r="I3285" s="4" t="s">
        <v>7196</v>
      </c>
      <c r="J3285" s="4" t="s">
        <v>516</v>
      </c>
    </row>
    <row r="3286" spans="1:10" hidden="1">
      <c r="A3286" s="4">
        <v>2.0210446622000198E+17</v>
      </c>
      <c r="B3286" s="4">
        <v>2207800108</v>
      </c>
      <c r="C3286" s="4" t="s">
        <v>7194</v>
      </c>
      <c r="D3286" s="4">
        <v>46622</v>
      </c>
      <c r="E3286" s="4">
        <v>20210422</v>
      </c>
      <c r="F3286" s="4">
        <v>20210422</v>
      </c>
      <c r="G3286" s="4">
        <v>20240102</v>
      </c>
      <c r="H3286" s="4" t="s">
        <v>7195</v>
      </c>
      <c r="I3286" s="4" t="s">
        <v>7194</v>
      </c>
      <c r="J3286" s="4" t="s">
        <v>7011</v>
      </c>
    </row>
    <row r="3287" spans="1:10" hidden="1">
      <c r="A3287" s="4">
        <v>2.0210413999000198E+17</v>
      </c>
      <c r="B3287" s="4">
        <v>4928801415</v>
      </c>
      <c r="C3287" s="4" t="s">
        <v>7193</v>
      </c>
      <c r="D3287" s="4">
        <v>13999</v>
      </c>
      <c r="E3287" s="4">
        <v>20210421</v>
      </c>
      <c r="F3287" s="4">
        <v>20210421</v>
      </c>
      <c r="G3287" s="4">
        <v>20240421</v>
      </c>
      <c r="H3287" s="4" t="s">
        <v>7192</v>
      </c>
      <c r="J3287" s="4" t="s">
        <v>130</v>
      </c>
    </row>
    <row r="3288" spans="1:10" hidden="1">
      <c r="A3288" s="4">
        <v>2.0210468121000198E+17</v>
      </c>
      <c r="B3288" s="4">
        <v>3368602008</v>
      </c>
      <c r="C3288" s="4" t="s">
        <v>7191</v>
      </c>
      <c r="D3288" s="4">
        <v>68121</v>
      </c>
      <c r="E3288" s="4">
        <v>20210421</v>
      </c>
      <c r="F3288" s="4">
        <v>20210421</v>
      </c>
      <c r="G3288" s="4">
        <v>20240421</v>
      </c>
      <c r="H3288" s="4" t="s">
        <v>7190</v>
      </c>
      <c r="I3288" s="4" t="s">
        <v>7189</v>
      </c>
      <c r="J3288" s="4" t="s">
        <v>6747</v>
      </c>
    </row>
    <row r="3289" spans="1:10" hidden="1">
      <c r="A3289" s="4">
        <v>2.0210470112000198E+17</v>
      </c>
      <c r="B3289" s="4">
        <v>3688602174</v>
      </c>
      <c r="C3289" s="4" t="s">
        <v>7188</v>
      </c>
      <c r="D3289" s="4">
        <v>70112</v>
      </c>
      <c r="E3289" s="4">
        <v>20210421</v>
      </c>
      <c r="F3289" s="4">
        <v>20210421</v>
      </c>
      <c r="G3289" s="4">
        <v>20240421</v>
      </c>
      <c r="H3289" s="4" t="s">
        <v>7187</v>
      </c>
      <c r="I3289" s="4" t="s">
        <v>7186</v>
      </c>
      <c r="J3289" s="4" t="s">
        <v>1975</v>
      </c>
    </row>
    <row r="3290" spans="1:10" hidden="1">
      <c r="A3290" s="4">
        <v>2.0210458222000198E+17</v>
      </c>
      <c r="B3290" s="4">
        <v>2198801858</v>
      </c>
      <c r="C3290" s="4" t="s">
        <v>7185</v>
      </c>
      <c r="D3290" s="4">
        <v>58222</v>
      </c>
      <c r="E3290" s="4">
        <v>20210421</v>
      </c>
      <c r="F3290" s="4">
        <v>20210421</v>
      </c>
      <c r="G3290" s="4">
        <v>20240421</v>
      </c>
      <c r="H3290" s="4" t="s">
        <v>7184</v>
      </c>
      <c r="I3290" s="4" t="s">
        <v>7183</v>
      </c>
      <c r="J3290" s="4" t="s">
        <v>94</v>
      </c>
    </row>
    <row r="3291" spans="1:10" hidden="1">
      <c r="A3291" s="4">
        <v>2.0210428519000198E+17</v>
      </c>
      <c r="B3291" s="4">
        <v>6978701099</v>
      </c>
      <c r="C3291" s="4" t="s">
        <v>7182</v>
      </c>
      <c r="D3291" s="4">
        <v>28519</v>
      </c>
      <c r="E3291" s="4">
        <v>20210421</v>
      </c>
      <c r="F3291" s="4">
        <v>20210421</v>
      </c>
      <c r="G3291" s="4">
        <v>20240421</v>
      </c>
      <c r="H3291" s="4" t="s">
        <v>2956</v>
      </c>
      <c r="J3291" s="4" t="s">
        <v>1412</v>
      </c>
    </row>
    <row r="3292" spans="1:10" hidden="1">
      <c r="A3292" s="4">
        <v>2.0210458222000198E+17</v>
      </c>
      <c r="B3292" s="4">
        <v>1198701395</v>
      </c>
      <c r="C3292" s="4" t="s">
        <v>7181</v>
      </c>
      <c r="D3292" s="4">
        <v>58222</v>
      </c>
      <c r="E3292" s="4">
        <v>20210421</v>
      </c>
      <c r="F3292" s="4">
        <v>20210421</v>
      </c>
      <c r="G3292" s="4">
        <v>20211020</v>
      </c>
      <c r="H3292" s="4" t="s">
        <v>7180</v>
      </c>
      <c r="I3292" s="4" t="s">
        <v>7179</v>
      </c>
      <c r="J3292" s="4" t="s">
        <v>94</v>
      </c>
    </row>
    <row r="3293" spans="1:10" hidden="1">
      <c r="A3293" s="4">
        <v>2.0210462021000198E+17</v>
      </c>
      <c r="B3293" s="4">
        <v>1128601723</v>
      </c>
      <c r="C3293" s="4" t="s">
        <v>7178</v>
      </c>
      <c r="D3293" s="4">
        <v>62021</v>
      </c>
      <c r="E3293" s="4">
        <v>20210421</v>
      </c>
      <c r="F3293" s="4">
        <v>20210421</v>
      </c>
      <c r="G3293" s="4">
        <v>20240421</v>
      </c>
      <c r="H3293" s="4" t="s">
        <v>4881</v>
      </c>
      <c r="I3293" s="4" t="s">
        <v>7177</v>
      </c>
      <c r="J3293" s="4" t="s">
        <v>1505</v>
      </c>
    </row>
    <row r="3294" spans="1:10" hidden="1">
      <c r="A3294" s="4">
        <v>2.0210428422000198E+17</v>
      </c>
      <c r="B3294" s="4">
        <v>2318110284</v>
      </c>
      <c r="C3294" s="4" t="s">
        <v>7175</v>
      </c>
      <c r="D3294" s="4">
        <v>28422</v>
      </c>
      <c r="E3294" s="4">
        <v>20210421</v>
      </c>
      <c r="F3294" s="4">
        <v>20210421</v>
      </c>
      <c r="G3294" s="4">
        <v>20240421</v>
      </c>
      <c r="H3294" s="4" t="s">
        <v>7176</v>
      </c>
      <c r="I3294" s="4" t="s">
        <v>7175</v>
      </c>
      <c r="J3294" s="4" t="s">
        <v>188</v>
      </c>
    </row>
    <row r="3295" spans="1:10" hidden="1">
      <c r="A3295" s="4">
        <v>2.0210420202000198E+17</v>
      </c>
      <c r="B3295" s="4">
        <v>7638101152</v>
      </c>
      <c r="C3295" s="4" t="s">
        <v>7174</v>
      </c>
      <c r="D3295" s="4">
        <v>20202</v>
      </c>
      <c r="E3295" s="4">
        <v>20210421</v>
      </c>
      <c r="F3295" s="4">
        <v>20210421</v>
      </c>
      <c r="G3295" s="4">
        <v>20240421</v>
      </c>
      <c r="H3295" s="4" t="s">
        <v>7173</v>
      </c>
      <c r="J3295" s="4" t="s">
        <v>224</v>
      </c>
    </row>
    <row r="3296" spans="1:10" hidden="1">
      <c r="A3296" s="4">
        <v>2.0210416299000198E+17</v>
      </c>
      <c r="B3296" s="4">
        <v>2038167254</v>
      </c>
      <c r="C3296" s="4" t="s">
        <v>7172</v>
      </c>
      <c r="D3296" s="4">
        <v>16299</v>
      </c>
      <c r="E3296" s="4">
        <v>20210421</v>
      </c>
      <c r="F3296" s="4">
        <v>20210421</v>
      </c>
      <c r="G3296" s="4">
        <v>20240421</v>
      </c>
      <c r="H3296" s="4" t="s">
        <v>7171</v>
      </c>
      <c r="I3296" s="4" t="s">
        <v>7170</v>
      </c>
      <c r="J3296" s="4" t="s">
        <v>1863</v>
      </c>
    </row>
    <row r="3297" spans="1:10" hidden="1">
      <c r="A3297" s="4">
        <v>2.0210446510000198E+17</v>
      </c>
      <c r="B3297" s="4">
        <v>1428177291</v>
      </c>
      <c r="C3297" s="4" t="s">
        <v>7169</v>
      </c>
      <c r="D3297" s="4">
        <v>46510</v>
      </c>
      <c r="E3297" s="4">
        <v>20210421</v>
      </c>
      <c r="F3297" s="4">
        <v>20210421</v>
      </c>
      <c r="G3297" s="4">
        <v>20210917</v>
      </c>
      <c r="H3297" s="4" t="s">
        <v>7168</v>
      </c>
      <c r="I3297" s="4" t="s">
        <v>7167</v>
      </c>
      <c r="J3297" s="4" t="s">
        <v>126</v>
      </c>
    </row>
    <row r="3298" spans="1:10" hidden="1">
      <c r="A3298" s="4">
        <v>2.0210420422000198E+17</v>
      </c>
      <c r="B3298" s="4">
        <v>6778800773</v>
      </c>
      <c r="C3298" s="4" t="s">
        <v>7166</v>
      </c>
      <c r="D3298" s="4">
        <v>20422</v>
      </c>
      <c r="E3298" s="4">
        <v>20210421</v>
      </c>
      <c r="F3298" s="4">
        <v>20210421</v>
      </c>
      <c r="G3298" s="4">
        <v>20240421</v>
      </c>
      <c r="H3298" s="4" t="s">
        <v>7165</v>
      </c>
      <c r="I3298" s="4" t="s">
        <v>1403</v>
      </c>
      <c r="J3298" s="4" t="s">
        <v>392</v>
      </c>
    </row>
    <row r="3299" spans="1:10" hidden="1">
      <c r="A3299" s="4">
        <v>2.0210429172000198E+17</v>
      </c>
      <c r="B3299" s="4">
        <v>1330127311</v>
      </c>
      <c r="C3299" s="4" t="s">
        <v>7164</v>
      </c>
      <c r="D3299" s="4">
        <v>29172</v>
      </c>
      <c r="E3299" s="4">
        <v>20210421</v>
      </c>
      <c r="F3299" s="4">
        <v>20210421</v>
      </c>
      <c r="G3299" s="4">
        <v>20211001</v>
      </c>
      <c r="H3299" s="4" t="s">
        <v>7163</v>
      </c>
      <c r="I3299" s="4" t="s">
        <v>7162</v>
      </c>
      <c r="J3299" s="4" t="s">
        <v>1204</v>
      </c>
    </row>
    <row r="3300" spans="1:10" hidden="1">
      <c r="A3300" s="4">
        <v>2.0210428909000198E+17</v>
      </c>
      <c r="B3300" s="4">
        <v>1147378325</v>
      </c>
      <c r="C3300" s="4" t="s">
        <v>7161</v>
      </c>
      <c r="D3300" s="4">
        <v>28909</v>
      </c>
      <c r="E3300" s="4">
        <v>20210421</v>
      </c>
      <c r="F3300" s="4">
        <v>20210421</v>
      </c>
      <c r="G3300" s="4">
        <v>20240421</v>
      </c>
      <c r="H3300" s="4" t="s">
        <v>1126</v>
      </c>
      <c r="I3300" s="4" t="s">
        <v>7160</v>
      </c>
      <c r="J3300" s="4" t="s">
        <v>253</v>
      </c>
    </row>
    <row r="3301" spans="1:10" hidden="1">
      <c r="A3301" s="4">
        <v>2.0210446451000198E+17</v>
      </c>
      <c r="B3301" s="4">
        <v>2885300396</v>
      </c>
      <c r="C3301" s="4" t="s">
        <v>7159</v>
      </c>
      <c r="D3301" s="4">
        <v>46451</v>
      </c>
      <c r="E3301" s="4">
        <v>20210421</v>
      </c>
      <c r="F3301" s="4">
        <v>20210421</v>
      </c>
      <c r="G3301" s="4">
        <v>20240421</v>
      </c>
      <c r="H3301" s="4" t="s">
        <v>7158</v>
      </c>
      <c r="I3301" s="4" t="s">
        <v>185</v>
      </c>
      <c r="J3301" s="4" t="s">
        <v>6607</v>
      </c>
    </row>
    <row r="3302" spans="1:10">
      <c r="A3302" s="4">
        <v>2.02106181130004E+17</v>
      </c>
      <c r="B3302" s="4">
        <v>3178801088</v>
      </c>
      <c r="C3302" s="4" t="s">
        <v>11258</v>
      </c>
      <c r="D3302" s="4">
        <v>18113</v>
      </c>
      <c r="E3302" s="4">
        <v>20210611</v>
      </c>
      <c r="F3302" s="4">
        <v>20210611</v>
      </c>
      <c r="G3302" s="4">
        <v>20240611</v>
      </c>
      <c r="H3302" s="4" t="s">
        <v>11257</v>
      </c>
      <c r="I3302" s="4" t="s">
        <v>361</v>
      </c>
      <c r="J3302" s="4" t="s">
        <v>11256</v>
      </c>
    </row>
    <row r="3303" spans="1:10" hidden="1">
      <c r="A3303" s="4">
        <v>2.0210473203000198E+17</v>
      </c>
      <c r="B3303" s="4">
        <v>1965400279</v>
      </c>
      <c r="C3303" s="4" t="s">
        <v>7155</v>
      </c>
      <c r="D3303" s="4">
        <v>73203</v>
      </c>
      <c r="E3303" s="4">
        <v>20210421</v>
      </c>
      <c r="F3303" s="4">
        <v>20210421</v>
      </c>
      <c r="G3303" s="4">
        <v>20240421</v>
      </c>
      <c r="H3303" s="4" t="s">
        <v>7154</v>
      </c>
      <c r="J3303" s="4" t="s">
        <v>260</v>
      </c>
    </row>
    <row r="3304" spans="1:10" hidden="1">
      <c r="A3304" s="4">
        <v>2.0210446204000198E+17</v>
      </c>
      <c r="B3304" s="4">
        <v>5209900449</v>
      </c>
      <c r="C3304" s="4" t="s">
        <v>7153</v>
      </c>
      <c r="D3304" s="4">
        <v>46204</v>
      </c>
      <c r="E3304" s="4">
        <v>20210421</v>
      </c>
      <c r="F3304" s="4">
        <v>20210421</v>
      </c>
      <c r="G3304" s="4">
        <v>20240421</v>
      </c>
      <c r="H3304" s="4" t="s">
        <v>7152</v>
      </c>
      <c r="I3304" s="4" t="s">
        <v>1490</v>
      </c>
      <c r="J3304" s="4" t="s">
        <v>4397</v>
      </c>
    </row>
    <row r="3305" spans="1:10" hidden="1">
      <c r="A3305" s="4">
        <v>2.0210429169000198E+17</v>
      </c>
      <c r="B3305" s="4">
        <v>4350800667</v>
      </c>
      <c r="C3305" s="4" t="s">
        <v>7151</v>
      </c>
      <c r="D3305" s="4">
        <v>29169</v>
      </c>
      <c r="E3305" s="4">
        <v>20210421</v>
      </c>
      <c r="F3305" s="4">
        <v>20210421</v>
      </c>
      <c r="G3305" s="4">
        <v>20240421</v>
      </c>
      <c r="H3305" s="4" t="s">
        <v>7150</v>
      </c>
      <c r="J3305" s="4" t="s">
        <v>1734</v>
      </c>
    </row>
    <row r="3306" spans="1:10" hidden="1">
      <c r="A3306" s="4">
        <v>2.0210474100000198E+17</v>
      </c>
      <c r="B3306" s="4">
        <v>5598801867</v>
      </c>
      <c r="C3306" s="4" t="s">
        <v>7248</v>
      </c>
      <c r="D3306" s="4">
        <v>74100</v>
      </c>
      <c r="E3306" s="4">
        <v>20210422</v>
      </c>
      <c r="F3306" s="4">
        <v>20210422</v>
      </c>
      <c r="G3306" s="4">
        <v>20240422</v>
      </c>
      <c r="H3306" s="4" t="s">
        <v>7247</v>
      </c>
      <c r="I3306" s="4" t="s">
        <v>7246</v>
      </c>
      <c r="J3306" s="4" t="s">
        <v>2207</v>
      </c>
    </row>
    <row r="3307" spans="1:10" hidden="1">
      <c r="A3307" s="4">
        <v>2.0210458221000198E+17</v>
      </c>
      <c r="B3307" s="4">
        <v>5598700560</v>
      </c>
      <c r="C3307" s="4" t="s">
        <v>7147</v>
      </c>
      <c r="D3307" s="4">
        <v>58221</v>
      </c>
      <c r="E3307" s="4">
        <v>20210421</v>
      </c>
      <c r="F3307" s="4">
        <v>20210421</v>
      </c>
      <c r="G3307" s="4">
        <v>20240421</v>
      </c>
      <c r="H3307" s="4" t="s">
        <v>7146</v>
      </c>
      <c r="I3307" s="4" t="s">
        <v>91</v>
      </c>
      <c r="J3307" s="4" t="s">
        <v>228</v>
      </c>
    </row>
    <row r="3308" spans="1:10" hidden="1">
      <c r="A3308" s="4">
        <v>2.0210442412000198E+17</v>
      </c>
      <c r="B3308" s="4">
        <v>7458801605</v>
      </c>
      <c r="C3308" s="4" t="s">
        <v>7145</v>
      </c>
      <c r="D3308" s="4">
        <v>42412</v>
      </c>
      <c r="E3308" s="4">
        <v>20210421</v>
      </c>
      <c r="F3308" s="4">
        <v>20210421</v>
      </c>
      <c r="G3308" s="4">
        <v>20240421</v>
      </c>
      <c r="H3308" s="4" t="s">
        <v>7144</v>
      </c>
      <c r="J3308" s="4" t="s">
        <v>281</v>
      </c>
    </row>
    <row r="3309" spans="1:10" hidden="1">
      <c r="A3309" s="4">
        <v>2.0210428202000198E+17</v>
      </c>
      <c r="B3309" s="4">
        <v>6301501158</v>
      </c>
      <c r="C3309" s="4" t="s">
        <v>7143</v>
      </c>
      <c r="D3309" s="4">
        <v>28202</v>
      </c>
      <c r="E3309" s="4">
        <v>20210421</v>
      </c>
      <c r="F3309" s="4">
        <v>20210421</v>
      </c>
      <c r="G3309" s="4">
        <v>20240421</v>
      </c>
      <c r="H3309" s="4" t="s">
        <v>5301</v>
      </c>
      <c r="J3309" s="4" t="s">
        <v>544</v>
      </c>
    </row>
    <row r="3310" spans="1:10" hidden="1">
      <c r="A3310" s="4">
        <v>2.0210446739000198E+17</v>
      </c>
      <c r="B3310" s="4">
        <v>3584400669</v>
      </c>
      <c r="C3310" s="4" t="s">
        <v>7142</v>
      </c>
      <c r="D3310" s="4">
        <v>46739</v>
      </c>
      <c r="E3310" s="4">
        <v>20210421</v>
      </c>
      <c r="F3310" s="4">
        <v>20210421</v>
      </c>
      <c r="G3310" s="4">
        <v>20240421</v>
      </c>
      <c r="H3310" s="4" t="s">
        <v>7141</v>
      </c>
      <c r="I3310" s="4" t="s">
        <v>7140</v>
      </c>
      <c r="J3310" s="4" t="s">
        <v>2551</v>
      </c>
    </row>
    <row r="3311" spans="1:10" hidden="1">
      <c r="A3311" s="4">
        <v>2.0210446452000198E+17</v>
      </c>
      <c r="B3311" s="4">
        <v>1512200770</v>
      </c>
      <c r="C3311" s="4" t="s">
        <v>7139</v>
      </c>
      <c r="D3311" s="4">
        <v>46452</v>
      </c>
      <c r="E3311" s="4">
        <v>20210421</v>
      </c>
      <c r="F3311" s="4">
        <v>20210421</v>
      </c>
      <c r="G3311" s="4">
        <v>20240421</v>
      </c>
      <c r="H3311" s="4" t="s">
        <v>7138</v>
      </c>
      <c r="I3311" s="4" t="s">
        <v>7137</v>
      </c>
      <c r="J3311" s="4" t="s">
        <v>516</v>
      </c>
    </row>
    <row r="3312" spans="1:10" hidden="1">
      <c r="A3312" s="4">
        <v>2.0210426310000198E+17</v>
      </c>
      <c r="B3312" s="4">
        <v>6260601195</v>
      </c>
      <c r="C3312" s="4" t="s">
        <v>7136</v>
      </c>
      <c r="D3312" s="4">
        <v>26310</v>
      </c>
      <c r="E3312" s="4">
        <v>20210421</v>
      </c>
      <c r="F3312" s="4">
        <v>20210421</v>
      </c>
      <c r="G3312" s="4">
        <v>20240421</v>
      </c>
      <c r="H3312" s="4" t="s">
        <v>7135</v>
      </c>
      <c r="I3312" s="4" t="s">
        <v>7134</v>
      </c>
      <c r="J3312" s="4" t="s">
        <v>372</v>
      </c>
    </row>
    <row r="3313" spans="1:10" hidden="1">
      <c r="A3313" s="4">
        <v>2.0210442311000198E+17</v>
      </c>
      <c r="B3313" s="4">
        <v>4891000920</v>
      </c>
      <c r="C3313" s="4" t="s">
        <v>7133</v>
      </c>
      <c r="D3313" s="4">
        <v>42311</v>
      </c>
      <c r="E3313" s="4">
        <v>20210421</v>
      </c>
      <c r="F3313" s="4">
        <v>20210421</v>
      </c>
      <c r="G3313" s="4">
        <v>20240421</v>
      </c>
      <c r="H3313" s="4" t="s">
        <v>7132</v>
      </c>
      <c r="I3313" s="4" t="s">
        <v>7131</v>
      </c>
      <c r="J3313" s="4" t="s">
        <v>718</v>
      </c>
    </row>
    <row r="3314" spans="1:10" hidden="1">
      <c r="A3314" s="4">
        <v>2.0210446593000198E+17</v>
      </c>
      <c r="B3314" s="4">
        <v>6770200992</v>
      </c>
      <c r="C3314" s="4" t="s">
        <v>7130</v>
      </c>
      <c r="D3314" s="4">
        <v>46593</v>
      </c>
      <c r="E3314" s="4">
        <v>20210421</v>
      </c>
      <c r="F3314" s="4">
        <v>20210421</v>
      </c>
      <c r="G3314" s="4">
        <v>20240421</v>
      </c>
      <c r="H3314" s="4" t="s">
        <v>7129</v>
      </c>
      <c r="I3314" s="4" t="s">
        <v>7128</v>
      </c>
      <c r="J3314" s="4" t="s">
        <v>1469</v>
      </c>
    </row>
    <row r="3315" spans="1:10" hidden="1">
      <c r="A3315" s="4">
        <v>2.0210471393000198E+17</v>
      </c>
      <c r="B3315" s="4">
        <v>6504400605</v>
      </c>
      <c r="C3315" s="4" t="s">
        <v>7127</v>
      </c>
      <c r="D3315" s="4">
        <v>71393</v>
      </c>
      <c r="E3315" s="4">
        <v>20210421</v>
      </c>
      <c r="F3315" s="4">
        <v>20210421</v>
      </c>
      <c r="G3315" s="4">
        <v>20240421</v>
      </c>
      <c r="H3315" s="4" t="s">
        <v>7126</v>
      </c>
      <c r="J3315" s="4" t="s">
        <v>7125</v>
      </c>
    </row>
    <row r="3316" spans="1:10" hidden="1">
      <c r="A3316" s="4">
        <v>2.0210442412000198E+17</v>
      </c>
      <c r="B3316" s="4">
        <v>3048600599</v>
      </c>
      <c r="C3316" s="4" t="s">
        <v>7124</v>
      </c>
      <c r="D3316" s="4">
        <v>42412</v>
      </c>
      <c r="E3316" s="4">
        <v>20210421</v>
      </c>
      <c r="F3316" s="4">
        <v>20210421</v>
      </c>
      <c r="G3316" s="4">
        <v>20230913</v>
      </c>
      <c r="H3316" s="4" t="s">
        <v>7123</v>
      </c>
      <c r="I3316" s="4" t="s">
        <v>7122</v>
      </c>
      <c r="J3316" s="4" t="s">
        <v>281</v>
      </c>
    </row>
    <row r="3317" spans="1:10" hidden="1">
      <c r="A3317" s="4">
        <v>2.0210462021000198E+17</v>
      </c>
      <c r="B3317" s="4">
        <v>5288800302</v>
      </c>
      <c r="C3317" s="4" t="s">
        <v>7121</v>
      </c>
      <c r="D3317" s="4">
        <v>62021</v>
      </c>
      <c r="E3317" s="4">
        <v>20210421</v>
      </c>
      <c r="F3317" s="4">
        <v>20210421</v>
      </c>
      <c r="G3317" s="4">
        <v>20230309</v>
      </c>
      <c r="H3317" s="4" t="s">
        <v>7120</v>
      </c>
      <c r="I3317" s="4" t="s">
        <v>7119</v>
      </c>
      <c r="J3317" s="4" t="s">
        <v>1505</v>
      </c>
    </row>
    <row r="3318" spans="1:10" hidden="1">
      <c r="A3318" s="4">
        <v>2.0210429131000198E+17</v>
      </c>
      <c r="B3318" s="4">
        <v>4448701423</v>
      </c>
      <c r="C3318" s="4" t="s">
        <v>7118</v>
      </c>
      <c r="D3318" s="4">
        <v>29131</v>
      </c>
      <c r="E3318" s="4">
        <v>20210421</v>
      </c>
      <c r="F3318" s="4">
        <v>20210421</v>
      </c>
      <c r="G3318" s="4">
        <v>20240421</v>
      </c>
      <c r="H3318" s="4" t="s">
        <v>7117</v>
      </c>
      <c r="J3318" s="4" t="s">
        <v>4077</v>
      </c>
    </row>
    <row r="3319" spans="1:10" hidden="1">
      <c r="A3319" s="4">
        <v>2.0210426429000198E+17</v>
      </c>
      <c r="B3319" s="4">
        <v>1428800582</v>
      </c>
      <c r="C3319" s="4" t="s">
        <v>7116</v>
      </c>
      <c r="D3319" s="4">
        <v>26429</v>
      </c>
      <c r="E3319" s="4">
        <v>20210421</v>
      </c>
      <c r="F3319" s="4">
        <v>20210421</v>
      </c>
      <c r="G3319" s="4">
        <v>20231206</v>
      </c>
      <c r="H3319" s="4" t="s">
        <v>1407</v>
      </c>
      <c r="I3319" s="4" t="s">
        <v>7115</v>
      </c>
      <c r="J3319" s="4" t="s">
        <v>422</v>
      </c>
    </row>
    <row r="3320" spans="1:10" s="51" customFormat="1">
      <c r="A3320" s="4">
        <v>2.0210218119E+17</v>
      </c>
      <c r="B3320" s="4">
        <v>1808200127</v>
      </c>
      <c r="C3320" s="4" t="s">
        <v>2073</v>
      </c>
      <c r="D3320" s="4">
        <v>18119</v>
      </c>
      <c r="E3320" s="4">
        <v>20210219</v>
      </c>
      <c r="F3320" s="4">
        <v>20210219</v>
      </c>
      <c r="G3320" s="4">
        <v>20240219</v>
      </c>
      <c r="H3320" s="4" t="s">
        <v>2072</v>
      </c>
      <c r="I3320" s="4" t="s">
        <v>2071</v>
      </c>
      <c r="J3320" s="4" t="s">
        <v>707</v>
      </c>
    </row>
    <row r="3321" spans="1:10" hidden="1">
      <c r="A3321" s="4">
        <v>2.0210446106000198E+17</v>
      </c>
      <c r="B3321" s="4">
        <v>6261101336</v>
      </c>
      <c r="C3321" s="4" t="s">
        <v>7112</v>
      </c>
      <c r="D3321" s="4">
        <v>46106</v>
      </c>
      <c r="E3321" s="4">
        <v>20210421</v>
      </c>
      <c r="F3321" s="4">
        <v>20210421</v>
      </c>
      <c r="G3321" s="4">
        <v>20240421</v>
      </c>
      <c r="H3321" s="4" t="s">
        <v>7111</v>
      </c>
      <c r="J3321" s="4" t="s">
        <v>6705</v>
      </c>
    </row>
    <row r="3322" spans="1:10" hidden="1">
      <c r="A3322" s="4">
        <v>2.0210428123000198E+17</v>
      </c>
      <c r="B3322" s="4">
        <v>6546100400</v>
      </c>
      <c r="C3322" s="4" t="s">
        <v>7110</v>
      </c>
      <c r="D3322" s="4">
        <v>28123</v>
      </c>
      <c r="E3322" s="4">
        <v>20210421</v>
      </c>
      <c r="F3322" s="4">
        <v>20210421</v>
      </c>
      <c r="G3322" s="4">
        <v>20240421</v>
      </c>
      <c r="H3322" s="4" t="s">
        <v>7109</v>
      </c>
      <c r="J3322" s="4" t="s">
        <v>640</v>
      </c>
    </row>
    <row r="3323" spans="1:10" hidden="1">
      <c r="A3323" s="4">
        <v>2.0210442311000198E+17</v>
      </c>
      <c r="B3323" s="4">
        <v>4118701817</v>
      </c>
      <c r="C3323" s="4" t="s">
        <v>7108</v>
      </c>
      <c r="D3323" s="4">
        <v>42311</v>
      </c>
      <c r="E3323" s="4">
        <v>20210421</v>
      </c>
      <c r="F3323" s="4">
        <v>20210421</v>
      </c>
      <c r="G3323" s="4">
        <v>20240421</v>
      </c>
      <c r="H3323" s="4" t="s">
        <v>7107</v>
      </c>
      <c r="J3323" s="4" t="s">
        <v>718</v>
      </c>
    </row>
    <row r="3324" spans="1:10" hidden="1">
      <c r="A3324" s="4">
        <v>2.0210447320000198E+17</v>
      </c>
      <c r="B3324" s="4">
        <v>8490702023</v>
      </c>
      <c r="C3324" s="4" t="s">
        <v>7106</v>
      </c>
      <c r="D3324" s="4">
        <v>47320</v>
      </c>
      <c r="E3324" s="4">
        <v>20210421</v>
      </c>
      <c r="F3324" s="4">
        <v>20210421</v>
      </c>
      <c r="G3324" s="4">
        <v>20240421</v>
      </c>
      <c r="H3324" s="4" t="s">
        <v>7105</v>
      </c>
      <c r="J3324" s="4" t="s">
        <v>4628</v>
      </c>
    </row>
    <row r="3325" spans="1:10" hidden="1">
      <c r="A3325" s="4">
        <v>2.0210422299000198E+17</v>
      </c>
      <c r="B3325" s="4">
        <v>5951100805</v>
      </c>
      <c r="C3325" s="4" t="s">
        <v>7103</v>
      </c>
      <c r="D3325" s="4">
        <v>22299</v>
      </c>
      <c r="E3325" s="4">
        <v>20210421</v>
      </c>
      <c r="F3325" s="4">
        <v>20210421</v>
      </c>
      <c r="G3325" s="4">
        <v>20240421</v>
      </c>
      <c r="H3325" s="4" t="s">
        <v>7104</v>
      </c>
      <c r="I3325" s="4" t="s">
        <v>7103</v>
      </c>
      <c r="J3325" s="4" t="s">
        <v>384</v>
      </c>
    </row>
    <row r="3326" spans="1:10">
      <c r="A3326" s="4">
        <v>2.0210446453000301E+17</v>
      </c>
      <c r="B3326" s="4">
        <v>6494500179</v>
      </c>
      <c r="C3326" s="4" t="s">
        <v>7941</v>
      </c>
      <c r="D3326" s="4">
        <v>46453</v>
      </c>
      <c r="E3326" s="4">
        <v>20210429</v>
      </c>
      <c r="F3326" s="4">
        <v>20210429</v>
      </c>
      <c r="G3326" s="4">
        <v>20231005</v>
      </c>
      <c r="H3326" s="4" t="s">
        <v>7940</v>
      </c>
      <c r="I3326" s="4" t="s">
        <v>6814</v>
      </c>
      <c r="J3326" s="4" t="s">
        <v>816</v>
      </c>
    </row>
    <row r="3327" spans="1:10" hidden="1">
      <c r="A3327" s="4">
        <v>2.0210429163000198E+17</v>
      </c>
      <c r="B3327" s="4">
        <v>2181808118</v>
      </c>
      <c r="C3327" s="4" t="s">
        <v>7099</v>
      </c>
      <c r="D3327" s="4">
        <v>29163</v>
      </c>
      <c r="E3327" s="4">
        <v>20210421</v>
      </c>
      <c r="F3327" s="4">
        <v>20210421</v>
      </c>
      <c r="G3327" s="4">
        <v>20240421</v>
      </c>
      <c r="H3327" s="4" t="s">
        <v>206</v>
      </c>
      <c r="I3327" s="4" t="s">
        <v>7098</v>
      </c>
      <c r="J3327" s="4" t="s">
        <v>313</v>
      </c>
    </row>
    <row r="3328" spans="1:10" hidden="1">
      <c r="A3328" s="4">
        <v>2.0210426421000198E+17</v>
      </c>
      <c r="B3328" s="4">
        <v>4678701770</v>
      </c>
      <c r="C3328" s="4" t="s">
        <v>7097</v>
      </c>
      <c r="D3328" s="4">
        <v>26421</v>
      </c>
      <c r="E3328" s="4">
        <v>20210421</v>
      </c>
      <c r="F3328" s="4">
        <v>20210421</v>
      </c>
      <c r="G3328" s="4">
        <v>20240421</v>
      </c>
      <c r="H3328" s="4" t="s">
        <v>7096</v>
      </c>
      <c r="J3328" s="4" t="s">
        <v>1767</v>
      </c>
    </row>
    <row r="3329" spans="1:10" hidden="1">
      <c r="A3329" s="4">
        <v>2.0210474211000198E+17</v>
      </c>
      <c r="B3329" s="4">
        <v>4051263824</v>
      </c>
      <c r="C3329" s="4" t="s">
        <v>7095</v>
      </c>
      <c r="D3329" s="4">
        <v>74211</v>
      </c>
      <c r="E3329" s="4">
        <v>20210421</v>
      </c>
      <c r="F3329" s="4">
        <v>20210421</v>
      </c>
      <c r="G3329" s="4">
        <v>20240421</v>
      </c>
      <c r="H3329" s="4" t="s">
        <v>7094</v>
      </c>
      <c r="I3329" s="4" t="s">
        <v>7093</v>
      </c>
      <c r="J3329" s="4" t="s">
        <v>5576</v>
      </c>
    </row>
    <row r="3330" spans="1:10" hidden="1">
      <c r="A3330" s="4">
        <v>2.0210458222000198E+17</v>
      </c>
      <c r="B3330" s="4">
        <v>7804100695</v>
      </c>
      <c r="C3330" s="4" t="s">
        <v>7092</v>
      </c>
      <c r="D3330" s="4">
        <v>58222</v>
      </c>
      <c r="E3330" s="4">
        <v>20210421</v>
      </c>
      <c r="F3330" s="4">
        <v>20210421</v>
      </c>
      <c r="G3330" s="4">
        <v>20240421</v>
      </c>
      <c r="H3330" s="4" t="s">
        <v>4125</v>
      </c>
      <c r="J3330" s="4" t="s">
        <v>94</v>
      </c>
    </row>
    <row r="3331" spans="1:10" hidden="1">
      <c r="A3331" s="4">
        <v>2.0210446109000198E+17</v>
      </c>
      <c r="B3331" s="4">
        <v>4670101757</v>
      </c>
      <c r="C3331" s="4" t="s">
        <v>7091</v>
      </c>
      <c r="D3331" s="4">
        <v>46109</v>
      </c>
      <c r="E3331" s="4">
        <v>20210421</v>
      </c>
      <c r="F3331" s="4">
        <v>20210421</v>
      </c>
      <c r="G3331" s="4">
        <v>20240421</v>
      </c>
      <c r="H3331" s="4" t="s">
        <v>7090</v>
      </c>
      <c r="I3331" s="4" t="s">
        <v>7089</v>
      </c>
      <c r="J3331" s="4" t="s">
        <v>133</v>
      </c>
    </row>
    <row r="3332" spans="1:10" hidden="1">
      <c r="A3332" s="4">
        <v>2.0210425119000198E+17</v>
      </c>
      <c r="B3332" s="4">
        <v>3038800455</v>
      </c>
      <c r="C3332" s="4" t="s">
        <v>7088</v>
      </c>
      <c r="D3332" s="4">
        <v>25119</v>
      </c>
      <c r="E3332" s="4">
        <v>20210421</v>
      </c>
      <c r="F3332" s="4">
        <v>20210421</v>
      </c>
      <c r="G3332" s="4">
        <v>20230622</v>
      </c>
      <c r="H3332" s="4" t="s">
        <v>7087</v>
      </c>
      <c r="I3332" s="4" t="s">
        <v>7086</v>
      </c>
      <c r="J3332" s="4" t="s">
        <v>679</v>
      </c>
    </row>
    <row r="3333" spans="1:10" hidden="1">
      <c r="A3333" s="4">
        <v>2.0210425112000198E+17</v>
      </c>
      <c r="B3333" s="4">
        <v>7068101300</v>
      </c>
      <c r="C3333" s="4" t="s">
        <v>7085</v>
      </c>
      <c r="D3333" s="4">
        <v>25112</v>
      </c>
      <c r="E3333" s="4">
        <v>20210421</v>
      </c>
      <c r="F3333" s="4">
        <v>20210421</v>
      </c>
      <c r="G3333" s="4">
        <v>20240421</v>
      </c>
      <c r="H3333" s="4" t="s">
        <v>7084</v>
      </c>
      <c r="J3333" s="4" t="s">
        <v>320</v>
      </c>
    </row>
    <row r="3334" spans="1:10" hidden="1">
      <c r="A3334" s="4">
        <v>2.0210458222000198E+17</v>
      </c>
      <c r="B3334" s="4">
        <v>8178102064</v>
      </c>
      <c r="C3334" s="4" t="s">
        <v>7083</v>
      </c>
      <c r="D3334" s="4">
        <v>58222</v>
      </c>
      <c r="E3334" s="4">
        <v>20210421</v>
      </c>
      <c r="F3334" s="4">
        <v>20210421</v>
      </c>
      <c r="G3334" s="4">
        <v>20240421</v>
      </c>
      <c r="H3334" s="4" t="s">
        <v>2140</v>
      </c>
      <c r="I3334" s="4" t="s">
        <v>7082</v>
      </c>
      <c r="J3334" s="4" t="s">
        <v>94</v>
      </c>
    </row>
    <row r="3335" spans="1:10" hidden="1">
      <c r="A3335" s="4">
        <v>2.0210422211000198E+17</v>
      </c>
      <c r="B3335" s="4">
        <v>6558800545</v>
      </c>
      <c r="C3335" s="4" t="s">
        <v>7081</v>
      </c>
      <c r="D3335" s="4">
        <v>22211</v>
      </c>
      <c r="E3335" s="4">
        <v>20210421</v>
      </c>
      <c r="F3335" s="4">
        <v>20210421</v>
      </c>
      <c r="G3335" s="4">
        <v>20240308</v>
      </c>
      <c r="H3335" s="4" t="s">
        <v>7080</v>
      </c>
      <c r="J3335" s="4" t="s">
        <v>1820</v>
      </c>
    </row>
    <row r="3336" spans="1:10" hidden="1">
      <c r="A3336" s="4">
        <v>2.0210426529000198E+17</v>
      </c>
      <c r="B3336" s="4">
        <v>6098800300</v>
      </c>
      <c r="C3336" s="4" t="s">
        <v>7079</v>
      </c>
      <c r="D3336" s="4">
        <v>26529</v>
      </c>
      <c r="E3336" s="4">
        <v>20210421</v>
      </c>
      <c r="F3336" s="4">
        <v>20210421</v>
      </c>
      <c r="G3336" s="4">
        <v>20230205</v>
      </c>
      <c r="H3336" s="4" t="s">
        <v>2782</v>
      </c>
      <c r="J3336" s="4" t="s">
        <v>1207</v>
      </c>
    </row>
    <row r="3337" spans="1:10" hidden="1">
      <c r="A3337" s="4">
        <v>2.0210428410000198E+17</v>
      </c>
      <c r="B3337" s="4">
        <v>6568600369</v>
      </c>
      <c r="C3337" s="4" t="s">
        <v>7078</v>
      </c>
      <c r="D3337" s="4">
        <v>28410</v>
      </c>
      <c r="E3337" s="4">
        <v>20210421</v>
      </c>
      <c r="F3337" s="4">
        <v>20210421</v>
      </c>
      <c r="G3337" s="4">
        <v>20230802</v>
      </c>
      <c r="H3337" s="4" t="s">
        <v>7077</v>
      </c>
      <c r="I3337" s="4" t="s">
        <v>7076</v>
      </c>
      <c r="J3337" s="4" t="s">
        <v>2199</v>
      </c>
    </row>
    <row r="3338" spans="1:10" hidden="1">
      <c r="A3338" s="4">
        <v>2.0210429210000198E+17</v>
      </c>
      <c r="B3338" s="4">
        <v>7388601452</v>
      </c>
      <c r="C3338" s="4" t="s">
        <v>7075</v>
      </c>
      <c r="D3338" s="4">
        <v>29210</v>
      </c>
      <c r="E3338" s="4">
        <v>20210421</v>
      </c>
      <c r="F3338" s="4">
        <v>20210421</v>
      </c>
      <c r="G3338" s="4">
        <v>20240421</v>
      </c>
      <c r="H3338" s="4" t="s">
        <v>7074</v>
      </c>
      <c r="I3338" s="4" t="s">
        <v>7073</v>
      </c>
      <c r="J3338" s="4" t="s">
        <v>1274</v>
      </c>
    </row>
    <row r="3339" spans="1:10" hidden="1">
      <c r="A3339" s="4">
        <v>2.0210410801000198E+17</v>
      </c>
      <c r="B3339" s="4">
        <v>2808801791</v>
      </c>
      <c r="C3339" s="4" t="s">
        <v>7072</v>
      </c>
      <c r="D3339" s="4">
        <v>10801</v>
      </c>
      <c r="E3339" s="4">
        <v>20210421</v>
      </c>
      <c r="F3339" s="4">
        <v>20210421</v>
      </c>
      <c r="G3339" s="4">
        <v>20240421</v>
      </c>
      <c r="H3339" s="4" t="s">
        <v>7071</v>
      </c>
      <c r="I3339" s="4" t="s">
        <v>7070</v>
      </c>
      <c r="J3339" s="4" t="s">
        <v>7069</v>
      </c>
    </row>
    <row r="3340" spans="1:10" hidden="1">
      <c r="A3340" s="4">
        <v>2.0210446522000198E+17</v>
      </c>
      <c r="B3340" s="4">
        <v>5318702099</v>
      </c>
      <c r="C3340" s="4" t="s">
        <v>7068</v>
      </c>
      <c r="D3340" s="4">
        <v>46522</v>
      </c>
      <c r="E3340" s="4">
        <v>20210421</v>
      </c>
      <c r="F3340" s="4">
        <v>20210421</v>
      </c>
      <c r="G3340" s="4">
        <v>20240421</v>
      </c>
      <c r="H3340" s="4" t="s">
        <v>7067</v>
      </c>
      <c r="I3340" s="4" t="s">
        <v>7066</v>
      </c>
      <c r="J3340" s="4" t="s">
        <v>3922</v>
      </c>
    </row>
    <row r="3341" spans="1:10" hidden="1">
      <c r="A3341" s="4">
        <v>2.0210442201000198E+17</v>
      </c>
      <c r="B3341" s="4">
        <v>8338700041</v>
      </c>
      <c r="C3341" s="4" t="s">
        <v>7065</v>
      </c>
      <c r="D3341" s="4">
        <v>42201</v>
      </c>
      <c r="E3341" s="4">
        <v>20210421</v>
      </c>
      <c r="F3341" s="4">
        <v>20210421</v>
      </c>
      <c r="G3341" s="4">
        <v>20220414</v>
      </c>
      <c r="H3341" s="4" t="s">
        <v>7064</v>
      </c>
      <c r="J3341" s="4" t="s">
        <v>1710</v>
      </c>
    </row>
    <row r="3342" spans="1:10" hidden="1">
      <c r="A3342" s="4">
        <v>2.0210442491000198E+17</v>
      </c>
      <c r="B3342" s="4">
        <v>8578101554</v>
      </c>
      <c r="C3342" s="4" t="s">
        <v>7063</v>
      </c>
      <c r="D3342" s="4">
        <v>42491</v>
      </c>
      <c r="E3342" s="4">
        <v>20210421</v>
      </c>
      <c r="F3342" s="4">
        <v>20210421</v>
      </c>
      <c r="G3342" s="4">
        <v>20240421</v>
      </c>
      <c r="H3342" s="4" t="s">
        <v>7062</v>
      </c>
      <c r="I3342" s="4" t="s">
        <v>7061</v>
      </c>
      <c r="J3342" s="4" t="s">
        <v>883</v>
      </c>
    </row>
    <row r="3343" spans="1:10" hidden="1">
      <c r="A3343" s="4">
        <v>2.0210429175000198E+17</v>
      </c>
      <c r="B3343" s="4">
        <v>2498100133</v>
      </c>
      <c r="C3343" s="4" t="s">
        <v>7060</v>
      </c>
      <c r="D3343" s="4">
        <v>29175</v>
      </c>
      <c r="E3343" s="4">
        <v>20210421</v>
      </c>
      <c r="F3343" s="4">
        <v>20210421</v>
      </c>
      <c r="G3343" s="4">
        <v>20220819</v>
      </c>
      <c r="H3343" s="4" t="s">
        <v>7059</v>
      </c>
      <c r="I3343" s="4" t="s">
        <v>7058</v>
      </c>
      <c r="J3343" s="4" t="s">
        <v>232</v>
      </c>
    </row>
    <row r="3344" spans="1:10" hidden="1">
      <c r="A3344" s="4">
        <v>2.0210472919000198E+17</v>
      </c>
      <c r="B3344" s="4">
        <v>1778100537</v>
      </c>
      <c r="C3344" s="4" t="s">
        <v>7057</v>
      </c>
      <c r="D3344" s="4">
        <v>72919</v>
      </c>
      <c r="E3344" s="4">
        <v>20210421</v>
      </c>
      <c r="F3344" s="4">
        <v>20210421</v>
      </c>
      <c r="G3344" s="4">
        <v>20240105</v>
      </c>
      <c r="H3344" s="4" t="s">
        <v>7056</v>
      </c>
      <c r="I3344" s="4" t="s">
        <v>185</v>
      </c>
      <c r="J3344" s="4" t="s">
        <v>6865</v>
      </c>
    </row>
    <row r="3345" spans="1:10" hidden="1">
      <c r="A3345" s="4">
        <v>2.0210425130000198E+17</v>
      </c>
      <c r="B3345" s="4">
        <v>1708600491</v>
      </c>
      <c r="C3345" s="4" t="s">
        <v>7055</v>
      </c>
      <c r="D3345" s="4">
        <v>25130</v>
      </c>
      <c r="E3345" s="4">
        <v>20210421</v>
      </c>
      <c r="F3345" s="4">
        <v>20210421</v>
      </c>
      <c r="G3345" s="4">
        <v>20230324</v>
      </c>
      <c r="H3345" s="4" t="s">
        <v>7054</v>
      </c>
      <c r="I3345" s="4" t="s">
        <v>7053</v>
      </c>
      <c r="J3345" s="4" t="s">
        <v>7052</v>
      </c>
    </row>
    <row r="3346" spans="1:10" hidden="1">
      <c r="A3346" s="4">
        <v>2.0210441226000198E+17</v>
      </c>
      <c r="B3346" s="4">
        <v>4548701788</v>
      </c>
      <c r="C3346" s="4" t="s">
        <v>7051</v>
      </c>
      <c r="D3346" s="4">
        <v>41226</v>
      </c>
      <c r="E3346" s="4">
        <v>20210421</v>
      </c>
      <c r="F3346" s="4">
        <v>20210421</v>
      </c>
      <c r="G3346" s="4">
        <v>20240421</v>
      </c>
      <c r="H3346" s="4" t="s">
        <v>7050</v>
      </c>
      <c r="I3346" s="4" t="s">
        <v>3363</v>
      </c>
      <c r="J3346" s="4" t="s">
        <v>1063</v>
      </c>
    </row>
    <row r="3347" spans="1:10" hidden="1">
      <c r="A3347" s="4">
        <v>2.0210446595000198E+17</v>
      </c>
      <c r="B3347" s="4">
        <v>1343294030</v>
      </c>
      <c r="C3347" s="4" t="s">
        <v>7049</v>
      </c>
      <c r="D3347" s="4">
        <v>46595</v>
      </c>
      <c r="E3347" s="4">
        <v>20210421</v>
      </c>
      <c r="F3347" s="4">
        <v>20210421</v>
      </c>
      <c r="G3347" s="4">
        <v>20210903</v>
      </c>
      <c r="H3347" s="4" t="s">
        <v>7048</v>
      </c>
      <c r="J3347" s="4" t="s">
        <v>960</v>
      </c>
    </row>
    <row r="3348" spans="1:10" hidden="1">
      <c r="A3348" s="4">
        <v>2.0210432029000198E+17</v>
      </c>
      <c r="B3348" s="4">
        <v>7712900189</v>
      </c>
      <c r="C3348" s="4" t="s">
        <v>7114</v>
      </c>
      <c r="D3348" s="4">
        <v>32029</v>
      </c>
      <c r="E3348" s="4">
        <v>20210421</v>
      </c>
      <c r="F3348" s="4">
        <v>20210421</v>
      </c>
      <c r="G3348" s="4">
        <v>20230725</v>
      </c>
      <c r="H3348" s="4" t="s">
        <v>7113</v>
      </c>
      <c r="I3348" s="4">
        <v>0</v>
      </c>
      <c r="J3348" s="4" t="s">
        <v>637</v>
      </c>
    </row>
    <row r="3349" spans="1:10" hidden="1">
      <c r="A3349" s="4">
        <v>2.0210446510000198E+17</v>
      </c>
      <c r="B3349" s="4">
        <v>2457200255</v>
      </c>
      <c r="C3349" s="4" t="s">
        <v>7044</v>
      </c>
      <c r="D3349" s="4">
        <v>46510</v>
      </c>
      <c r="E3349" s="4">
        <v>20210421</v>
      </c>
      <c r="F3349" s="4">
        <v>20210421</v>
      </c>
      <c r="G3349" s="4">
        <v>20240421</v>
      </c>
      <c r="H3349" s="4" t="s">
        <v>7043</v>
      </c>
      <c r="J3349" s="4" t="s">
        <v>126</v>
      </c>
    </row>
    <row r="3350" spans="1:10" hidden="1">
      <c r="A3350" s="4">
        <v>2.0210446595000198E+17</v>
      </c>
      <c r="B3350" s="4">
        <v>6518800897</v>
      </c>
      <c r="C3350" s="4" t="s">
        <v>7042</v>
      </c>
      <c r="D3350" s="4">
        <v>46595</v>
      </c>
      <c r="E3350" s="4">
        <v>20210420</v>
      </c>
      <c r="F3350" s="4">
        <v>20210420</v>
      </c>
      <c r="G3350" s="4">
        <v>20240420</v>
      </c>
      <c r="H3350" s="4" t="s">
        <v>7041</v>
      </c>
      <c r="I3350" s="4" t="s">
        <v>6063</v>
      </c>
      <c r="J3350" s="4" t="s">
        <v>960</v>
      </c>
    </row>
    <row r="3351" spans="1:10" hidden="1">
      <c r="A3351" s="4">
        <v>2.0210441226000198E+17</v>
      </c>
      <c r="B3351" s="4">
        <v>2368101121</v>
      </c>
      <c r="C3351" s="4" t="s">
        <v>7040</v>
      </c>
      <c r="D3351" s="4">
        <v>41226</v>
      </c>
      <c r="E3351" s="4">
        <v>20210420</v>
      </c>
      <c r="F3351" s="4">
        <v>20210420</v>
      </c>
      <c r="G3351" s="4">
        <v>20240420</v>
      </c>
      <c r="H3351" s="4" t="s">
        <v>7039</v>
      </c>
      <c r="I3351" s="4">
        <v>501</v>
      </c>
      <c r="J3351" s="4" t="s">
        <v>1063</v>
      </c>
    </row>
    <row r="3352" spans="1:10" hidden="1">
      <c r="A3352" s="4">
        <v>2.0210429199000198E+17</v>
      </c>
      <c r="B3352" s="4">
        <v>3968600147</v>
      </c>
      <c r="C3352" s="4" t="s">
        <v>7038</v>
      </c>
      <c r="D3352" s="4">
        <v>29199</v>
      </c>
      <c r="E3352" s="4">
        <v>20210420</v>
      </c>
      <c r="F3352" s="4">
        <v>20210420</v>
      </c>
      <c r="G3352" s="4">
        <v>20220818</v>
      </c>
      <c r="H3352" s="4" t="s">
        <v>7037</v>
      </c>
      <c r="J3352" s="4" t="s">
        <v>166</v>
      </c>
    </row>
    <row r="3353" spans="1:10" hidden="1">
      <c r="A3353" s="4">
        <v>2.0210429199000198E+17</v>
      </c>
      <c r="B3353" s="4">
        <v>3178700710</v>
      </c>
      <c r="C3353" s="4" t="s">
        <v>7035</v>
      </c>
      <c r="D3353" s="4">
        <v>29199</v>
      </c>
      <c r="E3353" s="4">
        <v>20210420</v>
      </c>
      <c r="F3353" s="4">
        <v>20210420</v>
      </c>
      <c r="G3353" s="4">
        <v>20240420</v>
      </c>
      <c r="H3353" s="4" t="s">
        <v>7036</v>
      </c>
      <c r="I3353" s="4" t="s">
        <v>7035</v>
      </c>
      <c r="J3353" s="4" t="s">
        <v>166</v>
      </c>
    </row>
    <row r="3354" spans="1:10" hidden="1">
      <c r="A3354" s="4">
        <v>2.0210446522000198E+17</v>
      </c>
      <c r="B3354" s="4">
        <v>2788102032</v>
      </c>
      <c r="C3354" s="4" t="s">
        <v>7034</v>
      </c>
      <c r="D3354" s="4">
        <v>46522</v>
      </c>
      <c r="E3354" s="4">
        <v>20210420</v>
      </c>
      <c r="F3354" s="4">
        <v>20210420</v>
      </c>
      <c r="G3354" s="4">
        <v>20240420</v>
      </c>
      <c r="H3354" s="4" t="s">
        <v>2220</v>
      </c>
      <c r="I3354" s="4" t="s">
        <v>7033</v>
      </c>
      <c r="J3354" s="4" t="s">
        <v>3922</v>
      </c>
    </row>
    <row r="3355" spans="1:10" hidden="1">
      <c r="A3355" s="4">
        <v>2.0210459113000198E+17</v>
      </c>
      <c r="B3355" s="4">
        <v>3718800327</v>
      </c>
      <c r="C3355" s="4" t="s">
        <v>7032</v>
      </c>
      <c r="D3355" s="4">
        <v>59113</v>
      </c>
      <c r="E3355" s="4">
        <v>20210420</v>
      </c>
      <c r="F3355" s="4">
        <v>20210420</v>
      </c>
      <c r="G3355" s="4">
        <v>20221210</v>
      </c>
      <c r="H3355" s="4" t="s">
        <v>7031</v>
      </c>
      <c r="I3355" s="4" t="s">
        <v>185</v>
      </c>
      <c r="J3355" s="4" t="s">
        <v>3651</v>
      </c>
    </row>
    <row r="3356" spans="1:10" hidden="1">
      <c r="A3356" s="4">
        <v>2.0210441226000198E+17</v>
      </c>
      <c r="B3356" s="4">
        <v>3268101593</v>
      </c>
      <c r="C3356" s="4" t="s">
        <v>7030</v>
      </c>
      <c r="D3356" s="4">
        <v>41226</v>
      </c>
      <c r="E3356" s="4">
        <v>20210420</v>
      </c>
      <c r="F3356" s="4">
        <v>20210420</v>
      </c>
      <c r="G3356" s="4">
        <v>20240420</v>
      </c>
      <c r="H3356" s="4" t="s">
        <v>7029</v>
      </c>
      <c r="I3356" s="4" t="s">
        <v>91</v>
      </c>
      <c r="J3356" s="4" t="s">
        <v>1063</v>
      </c>
    </row>
    <row r="3357" spans="1:10" hidden="1">
      <c r="A3357" s="4">
        <v>2.0210442491000198E+17</v>
      </c>
      <c r="B3357" s="4">
        <v>1158701068</v>
      </c>
      <c r="C3357" s="4" t="s">
        <v>7028</v>
      </c>
      <c r="D3357" s="4">
        <v>42491</v>
      </c>
      <c r="E3357" s="4">
        <v>20210420</v>
      </c>
      <c r="F3357" s="4">
        <v>20210420</v>
      </c>
      <c r="G3357" s="4">
        <v>20240420</v>
      </c>
      <c r="H3357" s="4" t="s">
        <v>7027</v>
      </c>
      <c r="J3357" s="4" t="s">
        <v>883</v>
      </c>
    </row>
    <row r="3358" spans="1:10" hidden="1">
      <c r="A3358" s="4">
        <v>2.0210433999000198E+17</v>
      </c>
      <c r="B3358" s="4">
        <v>8618801926</v>
      </c>
      <c r="C3358" s="4" t="s">
        <v>7026</v>
      </c>
      <c r="D3358" s="4">
        <v>33999</v>
      </c>
      <c r="E3358" s="4">
        <v>20210420</v>
      </c>
      <c r="F3358" s="4">
        <v>20210420</v>
      </c>
      <c r="G3358" s="4">
        <v>20240420</v>
      </c>
      <c r="H3358" s="4" t="s">
        <v>7025</v>
      </c>
      <c r="I3358" s="4" t="s">
        <v>91</v>
      </c>
      <c r="J3358" s="4" t="s">
        <v>780</v>
      </c>
    </row>
    <row r="3359" spans="1:10" hidden="1">
      <c r="A3359" s="4">
        <v>2.0210472111000198E+17</v>
      </c>
      <c r="B3359" s="4">
        <v>1126268830</v>
      </c>
      <c r="C3359" s="4" t="s">
        <v>7024</v>
      </c>
      <c r="D3359" s="4">
        <v>72111</v>
      </c>
      <c r="E3359" s="4">
        <v>20210420</v>
      </c>
      <c r="F3359" s="4">
        <v>20210420</v>
      </c>
      <c r="G3359" s="4">
        <v>20240420</v>
      </c>
      <c r="H3359" s="4" t="s">
        <v>7023</v>
      </c>
      <c r="I3359" s="4" t="s">
        <v>7022</v>
      </c>
      <c r="J3359" s="4" t="s">
        <v>3461</v>
      </c>
    </row>
    <row r="3360" spans="1:10" hidden="1">
      <c r="A3360" s="4">
        <v>2.0210410302000198E+17</v>
      </c>
      <c r="B3360" s="4">
        <v>2828801496</v>
      </c>
      <c r="C3360" s="4" t="s">
        <v>7021</v>
      </c>
      <c r="D3360" s="4">
        <v>10302</v>
      </c>
      <c r="E3360" s="4">
        <v>20210420</v>
      </c>
      <c r="F3360" s="4">
        <v>20210420</v>
      </c>
      <c r="G3360" s="4">
        <v>20240420</v>
      </c>
      <c r="H3360" s="4" t="s">
        <v>7020</v>
      </c>
      <c r="J3360" s="4" t="s">
        <v>7019</v>
      </c>
    </row>
    <row r="3361" spans="1:10" hidden="1">
      <c r="A3361" s="4">
        <v>2.0210447912000198E+17</v>
      </c>
      <c r="B3361" s="4">
        <v>3276800341</v>
      </c>
      <c r="C3361" s="4" t="s">
        <v>7018</v>
      </c>
      <c r="D3361" s="4">
        <v>47912</v>
      </c>
      <c r="E3361" s="4">
        <v>20210420</v>
      </c>
      <c r="F3361" s="4">
        <v>20210420</v>
      </c>
      <c r="G3361" s="4">
        <v>20240420</v>
      </c>
      <c r="H3361" s="4" t="s">
        <v>3171</v>
      </c>
      <c r="I3361" s="4" t="s">
        <v>549</v>
      </c>
      <c r="J3361" s="4" t="s">
        <v>78</v>
      </c>
    </row>
    <row r="3362" spans="1:10" hidden="1">
      <c r="A3362" s="4">
        <v>2.0210470129000198E+17</v>
      </c>
      <c r="B3362" s="4">
        <v>8380202218</v>
      </c>
      <c r="C3362" s="4" t="s">
        <v>7017</v>
      </c>
      <c r="D3362" s="4">
        <v>70129</v>
      </c>
      <c r="E3362" s="4">
        <v>20210420</v>
      </c>
      <c r="F3362" s="4">
        <v>20210420</v>
      </c>
      <c r="G3362" s="4">
        <v>20240420</v>
      </c>
      <c r="H3362" s="4" t="s">
        <v>825</v>
      </c>
      <c r="I3362" s="4" t="s">
        <v>7016</v>
      </c>
      <c r="J3362" s="4" t="s">
        <v>937</v>
      </c>
    </row>
    <row r="3363" spans="1:10" hidden="1">
      <c r="A3363" s="4">
        <v>2.0210442500000198E+17</v>
      </c>
      <c r="B3363" s="4">
        <v>1248758755</v>
      </c>
      <c r="C3363" s="4" t="s">
        <v>7015</v>
      </c>
      <c r="D3363" s="4">
        <v>42500</v>
      </c>
      <c r="E3363" s="4">
        <v>20210420</v>
      </c>
      <c r="F3363" s="4">
        <v>20210420</v>
      </c>
      <c r="G3363" s="4">
        <v>20240420</v>
      </c>
      <c r="H3363" s="4" t="s">
        <v>7014</v>
      </c>
      <c r="I3363" s="4" t="s">
        <v>4215</v>
      </c>
      <c r="J3363" s="4" t="s">
        <v>740</v>
      </c>
    </row>
    <row r="3364" spans="1:10" hidden="1">
      <c r="A3364" s="4">
        <v>2.0210446622000198E+17</v>
      </c>
      <c r="B3364" s="4">
        <v>5170901456</v>
      </c>
      <c r="C3364" s="4" t="s">
        <v>7013</v>
      </c>
      <c r="D3364" s="4">
        <v>46622</v>
      </c>
      <c r="E3364" s="4">
        <v>20210420</v>
      </c>
      <c r="F3364" s="4">
        <v>20210420</v>
      </c>
      <c r="G3364" s="4">
        <v>20240420</v>
      </c>
      <c r="H3364" s="4" t="s">
        <v>7012</v>
      </c>
      <c r="J3364" s="4" t="s">
        <v>7011</v>
      </c>
    </row>
    <row r="3365" spans="1:10" hidden="1">
      <c r="A3365" s="4">
        <v>2.0210474211000198E+17</v>
      </c>
      <c r="B3365" s="4">
        <v>6290201901</v>
      </c>
      <c r="C3365" s="4" t="s">
        <v>7010</v>
      </c>
      <c r="D3365" s="4">
        <v>74211</v>
      </c>
      <c r="E3365" s="4">
        <v>20210420</v>
      </c>
      <c r="F3365" s="4">
        <v>20210420</v>
      </c>
      <c r="G3365" s="4">
        <v>20240420</v>
      </c>
      <c r="H3365" s="4" t="s">
        <v>7009</v>
      </c>
      <c r="I3365" s="4">
        <v>-1</v>
      </c>
      <c r="J3365" s="4" t="s">
        <v>5576</v>
      </c>
    </row>
    <row r="3366" spans="1:10" hidden="1">
      <c r="A3366" s="4">
        <v>2.0210427213000198E+17</v>
      </c>
      <c r="B3366" s="4">
        <v>4386300156</v>
      </c>
      <c r="C3366" s="4" t="s">
        <v>7008</v>
      </c>
      <c r="D3366" s="4">
        <v>27213</v>
      </c>
      <c r="E3366" s="4">
        <v>20210420</v>
      </c>
      <c r="F3366" s="4">
        <v>20210420</v>
      </c>
      <c r="G3366" s="4">
        <v>20240102</v>
      </c>
      <c r="H3366" s="4" t="s">
        <v>7007</v>
      </c>
      <c r="I3366" s="4" t="s">
        <v>7006</v>
      </c>
      <c r="J3366" s="4" t="s">
        <v>264</v>
      </c>
    </row>
    <row r="3367" spans="1:10" hidden="1">
      <c r="A3367" s="4">
        <v>2.0210476320000198E+17</v>
      </c>
      <c r="B3367" s="4">
        <v>5211501096</v>
      </c>
      <c r="C3367" s="4" t="s">
        <v>7005</v>
      </c>
      <c r="D3367" s="4">
        <v>76320</v>
      </c>
      <c r="E3367" s="4">
        <v>20210420</v>
      </c>
      <c r="F3367" s="4">
        <v>20210420</v>
      </c>
      <c r="G3367" s="4">
        <v>20240420</v>
      </c>
      <c r="H3367" s="4" t="s">
        <v>7004</v>
      </c>
      <c r="I3367" s="4" t="s">
        <v>2200</v>
      </c>
      <c r="J3367" s="4" t="s">
        <v>4673</v>
      </c>
    </row>
    <row r="3368" spans="1:10" hidden="1">
      <c r="A3368" s="4">
        <v>2.0210428422000198E+17</v>
      </c>
      <c r="B3368" s="4">
        <v>7283100553</v>
      </c>
      <c r="C3368" s="4" t="s">
        <v>7003</v>
      </c>
      <c r="D3368" s="4">
        <v>28422</v>
      </c>
      <c r="E3368" s="4">
        <v>20210420</v>
      </c>
      <c r="F3368" s="4">
        <v>20210420</v>
      </c>
      <c r="G3368" s="4">
        <v>20240420</v>
      </c>
      <c r="H3368" s="4" t="s">
        <v>7002</v>
      </c>
      <c r="J3368" s="4" t="s">
        <v>188</v>
      </c>
    </row>
    <row r="3369" spans="1:10" hidden="1">
      <c r="A3369" s="4">
        <v>2.0210458222000198E+17</v>
      </c>
      <c r="B3369" s="4">
        <v>8548701858</v>
      </c>
      <c r="C3369" s="4" t="s">
        <v>7001</v>
      </c>
      <c r="D3369" s="4">
        <v>58222</v>
      </c>
      <c r="E3369" s="4">
        <v>20210420</v>
      </c>
      <c r="F3369" s="4">
        <v>20210420</v>
      </c>
      <c r="G3369" s="4">
        <v>20240420</v>
      </c>
      <c r="H3369" s="4" t="s">
        <v>7000</v>
      </c>
      <c r="I3369" s="4" t="s">
        <v>6999</v>
      </c>
      <c r="J3369" s="4" t="s">
        <v>94</v>
      </c>
    </row>
    <row r="3370" spans="1:10" hidden="1">
      <c r="A3370" s="4">
        <v>2.0210420202000198E+17</v>
      </c>
      <c r="B3370" s="4">
        <v>1402001135</v>
      </c>
      <c r="C3370" s="4" t="s">
        <v>6998</v>
      </c>
      <c r="D3370" s="4">
        <v>20202</v>
      </c>
      <c r="E3370" s="4">
        <v>20210420</v>
      </c>
      <c r="F3370" s="4">
        <v>20210420</v>
      </c>
      <c r="G3370" s="4">
        <v>20240420</v>
      </c>
      <c r="H3370" s="4" t="s">
        <v>6997</v>
      </c>
      <c r="J3370" s="4" t="s">
        <v>224</v>
      </c>
    </row>
    <row r="3371" spans="1:10" hidden="1">
      <c r="A3371" s="4">
        <v>2.0210425929000198E+17</v>
      </c>
      <c r="B3371" s="4">
        <v>6400200480</v>
      </c>
      <c r="C3371" s="4" t="s">
        <v>7047</v>
      </c>
      <c r="D3371" s="4">
        <v>25929</v>
      </c>
      <c r="E3371" s="4">
        <v>20210421</v>
      </c>
      <c r="F3371" s="4">
        <v>20210421</v>
      </c>
      <c r="G3371" s="4">
        <v>20230804</v>
      </c>
      <c r="H3371" s="4" t="s">
        <v>7046</v>
      </c>
      <c r="I3371" s="4" t="s">
        <v>7045</v>
      </c>
      <c r="J3371" s="4" t="s">
        <v>701</v>
      </c>
    </row>
    <row r="3372" spans="1:10" hidden="1">
      <c r="A3372" s="4">
        <v>2.0210446452000198E+17</v>
      </c>
      <c r="B3372" s="4">
        <v>3171800621</v>
      </c>
      <c r="C3372" s="4" t="s">
        <v>6993</v>
      </c>
      <c r="D3372" s="4">
        <v>46452</v>
      </c>
      <c r="E3372" s="4">
        <v>20210420</v>
      </c>
      <c r="F3372" s="4">
        <v>20210420</v>
      </c>
      <c r="G3372" s="4">
        <v>20240420</v>
      </c>
      <c r="H3372" s="4" t="s">
        <v>6992</v>
      </c>
      <c r="J3372" s="4" t="s">
        <v>516</v>
      </c>
    </row>
    <row r="3373" spans="1:10" hidden="1">
      <c r="A3373" s="4">
        <v>2.0210472111000198E+17</v>
      </c>
      <c r="B3373" s="4">
        <v>3062094777</v>
      </c>
      <c r="C3373" s="4" t="s">
        <v>6991</v>
      </c>
      <c r="D3373" s="4">
        <v>72111</v>
      </c>
      <c r="E3373" s="4">
        <v>20210420</v>
      </c>
      <c r="F3373" s="4">
        <v>20210420</v>
      </c>
      <c r="G3373" s="4">
        <v>20220902</v>
      </c>
      <c r="H3373" s="4" t="s">
        <v>6990</v>
      </c>
      <c r="I3373" s="4" t="s">
        <v>6989</v>
      </c>
      <c r="J3373" s="4" t="s">
        <v>3461</v>
      </c>
    </row>
    <row r="3374" spans="1:10" hidden="1">
      <c r="A3374" s="4">
        <v>2.0210427216000198E+17</v>
      </c>
      <c r="B3374" s="4">
        <v>5388700544</v>
      </c>
      <c r="C3374" s="4" t="s">
        <v>6988</v>
      </c>
      <c r="D3374" s="4">
        <v>27216</v>
      </c>
      <c r="E3374" s="4">
        <v>20210420</v>
      </c>
      <c r="F3374" s="4">
        <v>20210420</v>
      </c>
      <c r="G3374" s="4">
        <v>20231006</v>
      </c>
      <c r="H3374" s="4" t="s">
        <v>6987</v>
      </c>
      <c r="I3374" s="4" t="s">
        <v>6986</v>
      </c>
      <c r="J3374" s="4" t="s">
        <v>527</v>
      </c>
    </row>
    <row r="3375" spans="1:10" hidden="1">
      <c r="A3375" s="4">
        <v>2.0210410309000198E+17</v>
      </c>
      <c r="B3375" s="4">
        <v>1630401875</v>
      </c>
      <c r="C3375" s="4" t="s">
        <v>6985</v>
      </c>
      <c r="D3375" s="4">
        <v>10309</v>
      </c>
      <c r="E3375" s="4">
        <v>20210420</v>
      </c>
      <c r="F3375" s="4">
        <v>20210420</v>
      </c>
      <c r="G3375" s="4">
        <v>20240420</v>
      </c>
      <c r="H3375" s="4" t="s">
        <v>6984</v>
      </c>
      <c r="J3375" s="4" t="s">
        <v>519</v>
      </c>
    </row>
    <row r="3376" spans="1:10" hidden="1">
      <c r="A3376" s="4">
        <v>2.0210442311000198E+17</v>
      </c>
      <c r="B3376" s="4">
        <v>5758101900</v>
      </c>
      <c r="C3376" s="4" t="s">
        <v>6983</v>
      </c>
      <c r="D3376" s="4">
        <v>42311</v>
      </c>
      <c r="E3376" s="4">
        <v>20210420</v>
      </c>
      <c r="F3376" s="4">
        <v>20210420</v>
      </c>
      <c r="G3376" s="4">
        <v>20240420</v>
      </c>
      <c r="H3376" s="4" t="s">
        <v>3335</v>
      </c>
      <c r="I3376" s="4" t="s">
        <v>6982</v>
      </c>
      <c r="J3376" s="4" t="s">
        <v>718</v>
      </c>
    </row>
    <row r="3377" spans="1:10" hidden="1">
      <c r="A3377" s="4">
        <v>2.0210447911000198E+17</v>
      </c>
      <c r="B3377" s="4">
        <v>7272400979</v>
      </c>
      <c r="C3377" s="4" t="s">
        <v>6981</v>
      </c>
      <c r="D3377" s="4">
        <v>47911</v>
      </c>
      <c r="E3377" s="4">
        <v>20210420</v>
      </c>
      <c r="F3377" s="4">
        <v>20210420</v>
      </c>
      <c r="G3377" s="4">
        <v>20240420</v>
      </c>
      <c r="H3377" s="4" t="s">
        <v>6980</v>
      </c>
      <c r="I3377" s="4" t="s">
        <v>6979</v>
      </c>
      <c r="J3377" s="4" t="s">
        <v>440</v>
      </c>
    </row>
    <row r="3378" spans="1:10" hidden="1">
      <c r="A3378" s="4">
        <v>2.0210442311000198E+17</v>
      </c>
      <c r="B3378" s="4">
        <v>8828700679</v>
      </c>
      <c r="C3378" s="4" t="s">
        <v>6978</v>
      </c>
      <c r="D3378" s="4">
        <v>42311</v>
      </c>
      <c r="E3378" s="4">
        <v>20210420</v>
      </c>
      <c r="F3378" s="4">
        <v>20210420</v>
      </c>
      <c r="G3378" s="4">
        <v>20240213</v>
      </c>
      <c r="H3378" s="4" t="s">
        <v>6977</v>
      </c>
      <c r="I3378" s="4" t="s">
        <v>6976</v>
      </c>
      <c r="J3378" s="4" t="s">
        <v>718</v>
      </c>
    </row>
    <row r="3379" spans="1:10" hidden="1">
      <c r="A3379" s="4">
        <v>2.0210446800000198E+17</v>
      </c>
      <c r="B3379" s="4">
        <v>3338601470</v>
      </c>
      <c r="C3379" s="4" t="s">
        <v>6975</v>
      </c>
      <c r="D3379" s="4">
        <v>46800</v>
      </c>
      <c r="E3379" s="4">
        <v>20210420</v>
      </c>
      <c r="F3379" s="4">
        <v>20210420</v>
      </c>
      <c r="G3379" s="4">
        <v>20240420</v>
      </c>
      <c r="H3379" s="4" t="s">
        <v>1891</v>
      </c>
      <c r="I3379" s="4" t="s">
        <v>6974</v>
      </c>
      <c r="J3379" s="4" t="s">
        <v>979</v>
      </c>
    </row>
    <row r="3380" spans="1:10" hidden="1">
      <c r="A3380" s="4">
        <v>2.0210446800000198E+17</v>
      </c>
      <c r="B3380" s="4">
        <v>1838701926</v>
      </c>
      <c r="C3380" s="4" t="s">
        <v>6973</v>
      </c>
      <c r="D3380" s="4">
        <v>46800</v>
      </c>
      <c r="E3380" s="4">
        <v>20210420</v>
      </c>
      <c r="F3380" s="4">
        <v>20210420</v>
      </c>
      <c r="G3380" s="4">
        <v>20240420</v>
      </c>
      <c r="H3380" s="4" t="s">
        <v>6972</v>
      </c>
      <c r="J3380" s="4" t="s">
        <v>979</v>
      </c>
    </row>
    <row r="3381" spans="1:10" hidden="1">
      <c r="A3381" s="4">
        <v>2.0210410712000198E+17</v>
      </c>
      <c r="B3381" s="4">
        <v>8178601736</v>
      </c>
      <c r="C3381" s="4" t="s">
        <v>6971</v>
      </c>
      <c r="D3381" s="4">
        <v>10712</v>
      </c>
      <c r="E3381" s="4">
        <v>20210420</v>
      </c>
      <c r="F3381" s="4">
        <v>20210420</v>
      </c>
      <c r="G3381" s="4">
        <v>20240420</v>
      </c>
      <c r="H3381" s="4" t="s">
        <v>6970</v>
      </c>
      <c r="J3381" s="4" t="s">
        <v>3047</v>
      </c>
    </row>
    <row r="3382" spans="1:10" hidden="1">
      <c r="A3382" s="4">
        <v>2.0210416212000198E+17</v>
      </c>
      <c r="B3382" s="4">
        <v>6948600866</v>
      </c>
      <c r="C3382" s="4" t="s">
        <v>6969</v>
      </c>
      <c r="D3382" s="4">
        <v>16212</v>
      </c>
      <c r="E3382" s="4">
        <v>20210420</v>
      </c>
      <c r="F3382" s="4">
        <v>20210420</v>
      </c>
      <c r="G3382" s="4">
        <v>20240420</v>
      </c>
      <c r="H3382" s="4" t="s">
        <v>6968</v>
      </c>
      <c r="I3382" s="4" t="s">
        <v>6967</v>
      </c>
      <c r="J3382" s="4" t="s">
        <v>6966</v>
      </c>
    </row>
    <row r="3383" spans="1:10" hidden="1">
      <c r="A3383" s="4">
        <v>2.0210428519000198E+17</v>
      </c>
      <c r="B3383" s="4">
        <v>7888101637</v>
      </c>
      <c r="C3383" s="4" t="s">
        <v>6965</v>
      </c>
      <c r="D3383" s="4">
        <v>28519</v>
      </c>
      <c r="E3383" s="4">
        <v>20210420</v>
      </c>
      <c r="F3383" s="4">
        <v>20210420</v>
      </c>
      <c r="G3383" s="4">
        <v>20240420</v>
      </c>
      <c r="H3383" s="4" t="s">
        <v>6964</v>
      </c>
      <c r="I3383" s="4" t="s">
        <v>6963</v>
      </c>
      <c r="J3383" s="4" t="s">
        <v>1412</v>
      </c>
    </row>
    <row r="3384" spans="1:10" hidden="1">
      <c r="A3384" s="4">
        <v>2.0210425112000198E+17</v>
      </c>
      <c r="B3384" s="4">
        <v>2938701280</v>
      </c>
      <c r="C3384" s="4" t="s">
        <v>6962</v>
      </c>
      <c r="D3384" s="4">
        <v>25112</v>
      </c>
      <c r="E3384" s="4">
        <v>20210420</v>
      </c>
      <c r="F3384" s="4">
        <v>20210420</v>
      </c>
      <c r="G3384" s="4">
        <v>20240420</v>
      </c>
      <c r="H3384" s="4" t="s">
        <v>6961</v>
      </c>
      <c r="J3384" s="4" t="s">
        <v>320</v>
      </c>
    </row>
    <row r="3385" spans="1:10" hidden="1">
      <c r="A3385" s="4">
        <v>2.0210442321000198E+17</v>
      </c>
      <c r="B3385" s="4">
        <v>3968600943</v>
      </c>
      <c r="C3385" s="4" t="s">
        <v>6960</v>
      </c>
      <c r="D3385" s="4">
        <v>42321</v>
      </c>
      <c r="E3385" s="4">
        <v>20210420</v>
      </c>
      <c r="F3385" s="4">
        <v>20210420</v>
      </c>
      <c r="G3385" s="4">
        <v>20240420</v>
      </c>
      <c r="H3385" s="4" t="s">
        <v>6959</v>
      </c>
      <c r="I3385" s="4" t="s">
        <v>149</v>
      </c>
      <c r="J3385" s="4" t="s">
        <v>698</v>
      </c>
    </row>
    <row r="3386" spans="1:10" hidden="1">
      <c r="A3386" s="4">
        <v>2.0210447912000198E+17</v>
      </c>
      <c r="B3386" s="4">
        <v>4817000274</v>
      </c>
      <c r="C3386" s="4" t="s">
        <v>6958</v>
      </c>
      <c r="D3386" s="4">
        <v>47912</v>
      </c>
      <c r="E3386" s="4">
        <v>20210420</v>
      </c>
      <c r="F3386" s="4">
        <v>20210420</v>
      </c>
      <c r="G3386" s="4">
        <v>20240420</v>
      </c>
      <c r="H3386" s="4" t="s">
        <v>6957</v>
      </c>
      <c r="J3386" s="4" t="s">
        <v>78</v>
      </c>
    </row>
    <row r="3387" spans="1:10" hidden="1">
      <c r="A3387" s="4">
        <v>2.0210474211000198E+17</v>
      </c>
      <c r="B3387" s="4">
        <v>2078701178</v>
      </c>
      <c r="C3387" s="4" t="s">
        <v>6956</v>
      </c>
      <c r="D3387" s="4">
        <v>74211</v>
      </c>
      <c r="E3387" s="4">
        <v>20210420</v>
      </c>
      <c r="F3387" s="4">
        <v>20210420</v>
      </c>
      <c r="G3387" s="4">
        <v>20240420</v>
      </c>
      <c r="H3387" s="4" t="s">
        <v>6955</v>
      </c>
      <c r="I3387" s="4" t="s">
        <v>6954</v>
      </c>
      <c r="J3387" s="4" t="s">
        <v>5576</v>
      </c>
    </row>
    <row r="3388" spans="1:10" hidden="1">
      <c r="A3388" s="4">
        <v>2.0210474211000198E+17</v>
      </c>
      <c r="B3388" s="4">
        <v>3410100553</v>
      </c>
      <c r="C3388" s="4" t="s">
        <v>6953</v>
      </c>
      <c r="D3388" s="4">
        <v>74211</v>
      </c>
      <c r="E3388" s="4">
        <v>20210420</v>
      </c>
      <c r="F3388" s="4">
        <v>20210420</v>
      </c>
      <c r="G3388" s="4">
        <v>20231219</v>
      </c>
      <c r="H3388" s="4" t="s">
        <v>6952</v>
      </c>
      <c r="I3388" s="4" t="s">
        <v>6951</v>
      </c>
      <c r="J3388" s="4" t="s">
        <v>5576</v>
      </c>
    </row>
    <row r="3389" spans="1:10" hidden="1">
      <c r="A3389" s="4">
        <v>2.0210413992000198E+17</v>
      </c>
      <c r="B3389" s="4">
        <v>4778600543</v>
      </c>
      <c r="C3389" s="4" t="s">
        <v>6950</v>
      </c>
      <c r="D3389" s="4">
        <v>13992</v>
      </c>
      <c r="E3389" s="4">
        <v>20210420</v>
      </c>
      <c r="F3389" s="4">
        <v>20210420</v>
      </c>
      <c r="G3389" s="4">
        <v>20231005</v>
      </c>
      <c r="H3389" s="4" t="s">
        <v>1546</v>
      </c>
      <c r="I3389" s="4" t="s">
        <v>6949</v>
      </c>
      <c r="J3389" s="4" t="s">
        <v>2982</v>
      </c>
    </row>
    <row r="3390" spans="1:10" hidden="1">
      <c r="A3390" s="4">
        <v>2.0210446800000198E+17</v>
      </c>
      <c r="B3390" s="4">
        <v>8625900240</v>
      </c>
      <c r="C3390" s="4" t="s">
        <v>6947</v>
      </c>
      <c r="D3390" s="4">
        <v>46800</v>
      </c>
      <c r="E3390" s="4">
        <v>20210420</v>
      </c>
      <c r="F3390" s="4">
        <v>20210420</v>
      </c>
      <c r="G3390" s="4">
        <v>20240420</v>
      </c>
      <c r="H3390" s="4" t="s">
        <v>6948</v>
      </c>
      <c r="I3390" s="4" t="s">
        <v>6947</v>
      </c>
      <c r="J3390" s="4" t="s">
        <v>979</v>
      </c>
    </row>
    <row r="3391" spans="1:10" hidden="1">
      <c r="A3391" s="4">
        <v>2.0210429131000198E+17</v>
      </c>
      <c r="B3391" s="4">
        <v>1971600057</v>
      </c>
      <c r="C3391" s="4" t="s">
        <v>6946</v>
      </c>
      <c r="D3391" s="4">
        <v>29131</v>
      </c>
      <c r="E3391" s="4">
        <v>20210420</v>
      </c>
      <c r="F3391" s="4">
        <v>20210420</v>
      </c>
      <c r="G3391" s="4">
        <v>20220403</v>
      </c>
      <c r="H3391" s="4" t="s">
        <v>6945</v>
      </c>
      <c r="J3391" s="4" t="s">
        <v>4077</v>
      </c>
    </row>
    <row r="3392" spans="1:10" hidden="1">
      <c r="A3392" s="4">
        <v>2.0210414499000198E+17</v>
      </c>
      <c r="B3392" s="4">
        <v>1563501003</v>
      </c>
      <c r="C3392" s="4" t="s">
        <v>6944</v>
      </c>
      <c r="D3392" s="4">
        <v>14499</v>
      </c>
      <c r="E3392" s="4">
        <v>20210420</v>
      </c>
      <c r="F3392" s="4">
        <v>20210420</v>
      </c>
      <c r="G3392" s="4">
        <v>20240420</v>
      </c>
      <c r="H3392" s="4" t="s">
        <v>6943</v>
      </c>
      <c r="I3392" s="4">
        <v>201</v>
      </c>
      <c r="J3392" s="4" t="s">
        <v>502</v>
      </c>
    </row>
    <row r="3393" spans="1:10" hidden="1">
      <c r="A3393" s="4">
        <v>2.0210471201000198E+17</v>
      </c>
      <c r="B3393" s="4">
        <v>8978800775</v>
      </c>
      <c r="C3393" s="4" t="s">
        <v>6942</v>
      </c>
      <c r="D3393" s="4">
        <v>71201</v>
      </c>
      <c r="E3393" s="4">
        <v>20210420</v>
      </c>
      <c r="F3393" s="4">
        <v>20210420</v>
      </c>
      <c r="G3393" s="4">
        <v>20240320</v>
      </c>
      <c r="H3393" s="4" t="s">
        <v>6941</v>
      </c>
      <c r="J3393" s="4" t="s">
        <v>6940</v>
      </c>
    </row>
    <row r="3394" spans="1:10" hidden="1">
      <c r="A3394" s="4">
        <v>2.0210446109000198E+17</v>
      </c>
      <c r="B3394" s="4">
        <v>1093360491</v>
      </c>
      <c r="C3394" s="4" t="s">
        <v>6939</v>
      </c>
      <c r="D3394" s="4">
        <v>46109</v>
      </c>
      <c r="E3394" s="4">
        <v>20210420</v>
      </c>
      <c r="F3394" s="4">
        <v>20210420</v>
      </c>
      <c r="G3394" s="4">
        <v>20230110</v>
      </c>
      <c r="H3394" s="4" t="s">
        <v>6938</v>
      </c>
      <c r="I3394" s="4" t="s">
        <v>6937</v>
      </c>
      <c r="J3394" s="4" t="s">
        <v>133</v>
      </c>
    </row>
    <row r="3395" spans="1:10" hidden="1">
      <c r="A3395" s="4">
        <v>2.0210446451000198E+17</v>
      </c>
      <c r="B3395" s="4">
        <v>1103150892</v>
      </c>
      <c r="C3395" s="4" t="s">
        <v>6936</v>
      </c>
      <c r="D3395" s="4">
        <v>46451</v>
      </c>
      <c r="E3395" s="4">
        <v>20210420</v>
      </c>
      <c r="F3395" s="4">
        <v>20210420</v>
      </c>
      <c r="G3395" s="4">
        <v>20230202</v>
      </c>
      <c r="H3395" s="4" t="s">
        <v>6935</v>
      </c>
      <c r="I3395" s="4" t="s">
        <v>6934</v>
      </c>
      <c r="J3395" s="4" t="s">
        <v>6607</v>
      </c>
    </row>
    <row r="3396" spans="1:10" hidden="1">
      <c r="A3396" s="4">
        <v>2.0210459120000198E+17</v>
      </c>
      <c r="B3396" s="4">
        <v>8228101960</v>
      </c>
      <c r="C3396" s="4" t="s">
        <v>6933</v>
      </c>
      <c r="D3396" s="4">
        <v>59120</v>
      </c>
      <c r="E3396" s="4">
        <v>20210419</v>
      </c>
      <c r="F3396" s="4">
        <v>20210419</v>
      </c>
      <c r="G3396" s="4">
        <v>20240419</v>
      </c>
      <c r="H3396" s="4" t="s">
        <v>6932</v>
      </c>
      <c r="I3396" s="4" t="s">
        <v>6931</v>
      </c>
      <c r="J3396" s="4" t="s">
        <v>2961</v>
      </c>
    </row>
    <row r="3397" spans="1:10" hidden="1">
      <c r="A3397" s="4">
        <v>2.0210442311000198E+17</v>
      </c>
      <c r="B3397" s="4">
        <v>5488601524</v>
      </c>
      <c r="C3397" s="4" t="s">
        <v>6692</v>
      </c>
      <c r="D3397" s="4">
        <v>42311</v>
      </c>
      <c r="E3397" s="4">
        <v>20210419</v>
      </c>
      <c r="F3397" s="4">
        <v>20210419</v>
      </c>
      <c r="G3397" s="4">
        <v>20240419</v>
      </c>
      <c r="H3397" s="4" t="s">
        <v>6930</v>
      </c>
      <c r="I3397" s="4" t="s">
        <v>185</v>
      </c>
      <c r="J3397" s="4" t="s">
        <v>718</v>
      </c>
    </row>
    <row r="3398" spans="1:10" hidden="1">
      <c r="A3398" s="4">
        <v>2.0210429292000198E+17</v>
      </c>
      <c r="B3398" s="4">
        <v>5478100420</v>
      </c>
      <c r="C3398" s="4" t="s">
        <v>6929</v>
      </c>
      <c r="D3398" s="4">
        <v>29292</v>
      </c>
      <c r="E3398" s="4">
        <v>20210419</v>
      </c>
      <c r="F3398" s="4">
        <v>20210419</v>
      </c>
      <c r="G3398" s="4">
        <v>20230808</v>
      </c>
      <c r="H3398" s="4" t="s">
        <v>6928</v>
      </c>
      <c r="J3398" s="4" t="s">
        <v>6927</v>
      </c>
    </row>
    <row r="3399" spans="1:10" hidden="1">
      <c r="A3399" s="4">
        <v>2.0210428123000198E+17</v>
      </c>
      <c r="B3399" s="4">
        <v>1368135151</v>
      </c>
      <c r="C3399" s="4" t="s">
        <v>6926</v>
      </c>
      <c r="D3399" s="4">
        <v>28123</v>
      </c>
      <c r="E3399" s="4">
        <v>20210419</v>
      </c>
      <c r="F3399" s="4">
        <v>20210419</v>
      </c>
      <c r="G3399" s="4">
        <v>20240419</v>
      </c>
      <c r="H3399" s="4" t="s">
        <v>3351</v>
      </c>
      <c r="I3399" s="4" t="s">
        <v>6925</v>
      </c>
      <c r="J3399" s="4" t="s">
        <v>640</v>
      </c>
    </row>
    <row r="3400" spans="1:10" hidden="1">
      <c r="A3400" s="4">
        <v>2.0210425119000198E+17</v>
      </c>
      <c r="B3400" s="4">
        <v>4078602090</v>
      </c>
      <c r="C3400" s="4" t="s">
        <v>6924</v>
      </c>
      <c r="D3400" s="4">
        <v>25119</v>
      </c>
      <c r="E3400" s="4">
        <v>20210419</v>
      </c>
      <c r="F3400" s="4">
        <v>20210419</v>
      </c>
      <c r="G3400" s="4">
        <v>20240419</v>
      </c>
      <c r="H3400" s="4" t="s">
        <v>6923</v>
      </c>
      <c r="J3400" s="4" t="s">
        <v>679</v>
      </c>
    </row>
    <row r="3401" spans="1:10" hidden="1">
      <c r="A3401" s="4">
        <v>2.0210424290000198E+17</v>
      </c>
      <c r="B3401" s="4">
        <v>5098600947</v>
      </c>
      <c r="C3401" s="4" t="s">
        <v>6922</v>
      </c>
      <c r="D3401" s="4">
        <v>24290</v>
      </c>
      <c r="E3401" s="4">
        <v>20210419</v>
      </c>
      <c r="F3401" s="4">
        <v>20210419</v>
      </c>
      <c r="G3401" s="4">
        <v>20240419</v>
      </c>
      <c r="H3401" s="4" t="s">
        <v>6921</v>
      </c>
      <c r="I3401" s="4" t="s">
        <v>6920</v>
      </c>
      <c r="J3401" s="4" t="s">
        <v>325</v>
      </c>
    </row>
    <row r="3402" spans="1:10" hidden="1">
      <c r="A3402" s="4">
        <v>2.0210428123000198E+17</v>
      </c>
      <c r="B3402" s="4">
        <v>7688800991</v>
      </c>
      <c r="C3402" s="4" t="s">
        <v>6919</v>
      </c>
      <c r="D3402" s="4">
        <v>28123</v>
      </c>
      <c r="E3402" s="4">
        <v>20210419</v>
      </c>
      <c r="F3402" s="4">
        <v>20210419</v>
      </c>
      <c r="G3402" s="4">
        <v>20240419</v>
      </c>
      <c r="H3402" s="4" t="s">
        <v>6918</v>
      </c>
      <c r="I3402" s="4" t="s">
        <v>6917</v>
      </c>
      <c r="J3402" s="4" t="s">
        <v>640</v>
      </c>
    </row>
    <row r="3403" spans="1:10" hidden="1">
      <c r="A3403" s="4">
        <v>2.0210413992000198E+17</v>
      </c>
      <c r="B3403" s="4">
        <v>1338700960</v>
      </c>
      <c r="C3403" s="4" t="s">
        <v>6916</v>
      </c>
      <c r="D3403" s="4">
        <v>13992</v>
      </c>
      <c r="E3403" s="4">
        <v>20210419</v>
      </c>
      <c r="F3403" s="4">
        <v>20210419</v>
      </c>
      <c r="G3403" s="4">
        <v>20240419</v>
      </c>
      <c r="H3403" s="4" t="s">
        <v>6915</v>
      </c>
      <c r="J3403" s="4" t="s">
        <v>2982</v>
      </c>
    </row>
    <row r="3404" spans="1:10" hidden="1">
      <c r="A3404" s="4">
        <v>2.0210425112000198E+17</v>
      </c>
      <c r="B3404" s="4">
        <v>3028701546</v>
      </c>
      <c r="C3404" s="4" t="s">
        <v>6914</v>
      </c>
      <c r="D3404" s="4">
        <v>25112</v>
      </c>
      <c r="E3404" s="4">
        <v>20210419</v>
      </c>
      <c r="F3404" s="4">
        <v>20210419</v>
      </c>
      <c r="G3404" s="4">
        <v>20240419</v>
      </c>
      <c r="H3404" s="4" t="s">
        <v>6913</v>
      </c>
      <c r="J3404" s="4" t="s">
        <v>320</v>
      </c>
    </row>
    <row r="3405" spans="1:10" hidden="1">
      <c r="A3405" s="4">
        <v>2.0210447591000198E+17</v>
      </c>
      <c r="B3405" s="4">
        <v>7748801239</v>
      </c>
      <c r="C3405" s="4" t="s">
        <v>6912</v>
      </c>
      <c r="D3405" s="4">
        <v>47591</v>
      </c>
      <c r="E3405" s="4">
        <v>20210419</v>
      </c>
      <c r="F3405" s="4">
        <v>20210419</v>
      </c>
      <c r="G3405" s="4">
        <v>20240419</v>
      </c>
      <c r="H3405" s="4" t="s">
        <v>6911</v>
      </c>
      <c r="J3405" s="4" t="s">
        <v>476</v>
      </c>
    </row>
    <row r="3406" spans="1:10" hidden="1">
      <c r="A3406" s="4">
        <v>2.0210425112000198E+17</v>
      </c>
      <c r="B3406" s="4">
        <v>7128800251</v>
      </c>
      <c r="C3406" s="4" t="s">
        <v>6910</v>
      </c>
      <c r="D3406" s="4">
        <v>25112</v>
      </c>
      <c r="E3406" s="4">
        <v>20210419</v>
      </c>
      <c r="F3406" s="4">
        <v>20210419</v>
      </c>
      <c r="G3406" s="4">
        <v>20221118</v>
      </c>
      <c r="H3406" s="4" t="s">
        <v>3905</v>
      </c>
      <c r="I3406" s="4" t="s">
        <v>6909</v>
      </c>
      <c r="J3406" s="4" t="s">
        <v>320</v>
      </c>
    </row>
    <row r="3407" spans="1:10" hidden="1">
      <c r="A3407" s="4">
        <v>2.0210426410000198E+17</v>
      </c>
      <c r="B3407" s="4">
        <v>2368701351</v>
      </c>
      <c r="C3407" s="4" t="s">
        <v>6908</v>
      </c>
      <c r="D3407" s="4">
        <v>26410</v>
      </c>
      <c r="E3407" s="4">
        <v>20210419</v>
      </c>
      <c r="F3407" s="4">
        <v>20210419</v>
      </c>
      <c r="G3407" s="4">
        <v>20240419</v>
      </c>
      <c r="H3407" s="4" t="s">
        <v>6907</v>
      </c>
      <c r="I3407" s="4" t="s">
        <v>2919</v>
      </c>
      <c r="J3407" s="4" t="s">
        <v>1102</v>
      </c>
    </row>
    <row r="3408" spans="1:10" hidden="1">
      <c r="A3408" s="4">
        <v>2.0210410749000198E+17</v>
      </c>
      <c r="B3408" s="4">
        <v>1123331556</v>
      </c>
      <c r="C3408" s="4" t="s">
        <v>6906</v>
      </c>
      <c r="D3408" s="4">
        <v>10749</v>
      </c>
      <c r="E3408" s="4">
        <v>20210419</v>
      </c>
      <c r="F3408" s="4">
        <v>20210419</v>
      </c>
      <c r="G3408" s="4">
        <v>20240419</v>
      </c>
      <c r="H3408" s="4" t="s">
        <v>6905</v>
      </c>
      <c r="I3408" s="4" t="s">
        <v>6904</v>
      </c>
      <c r="J3408" s="4" t="s">
        <v>2822</v>
      </c>
    </row>
    <row r="3409" spans="1:10" hidden="1">
      <c r="A3409" s="4">
        <v>2.0210401122000198E+17</v>
      </c>
      <c r="B3409" s="4">
        <v>1568801940</v>
      </c>
      <c r="C3409" s="4" t="s">
        <v>6903</v>
      </c>
      <c r="D3409" s="4">
        <v>1122</v>
      </c>
      <c r="E3409" s="4">
        <v>20210419</v>
      </c>
      <c r="F3409" s="4">
        <v>20210419</v>
      </c>
      <c r="G3409" s="4">
        <v>20240419</v>
      </c>
      <c r="H3409" s="4" t="s">
        <v>6902</v>
      </c>
      <c r="J3409" s="4" t="s">
        <v>4733</v>
      </c>
    </row>
    <row r="3410" spans="1:10">
      <c r="A3410" s="4">
        <v>2.0210758190000499E+17</v>
      </c>
      <c r="B3410" s="4">
        <v>8648801508</v>
      </c>
      <c r="C3410" s="4" t="s">
        <v>13783</v>
      </c>
      <c r="D3410" s="4">
        <v>58190</v>
      </c>
      <c r="E3410" s="4">
        <v>20210702</v>
      </c>
      <c r="F3410" s="4">
        <v>20210702</v>
      </c>
      <c r="G3410" s="4">
        <v>20240702</v>
      </c>
      <c r="H3410" s="4" t="s">
        <v>13782</v>
      </c>
      <c r="J3410" s="4" t="s">
        <v>196</v>
      </c>
    </row>
    <row r="3411" spans="1:10" hidden="1">
      <c r="A3411" s="4">
        <v>2.0210446599000198E+17</v>
      </c>
      <c r="B3411" s="4">
        <v>3641300715</v>
      </c>
      <c r="C3411" s="4" t="s">
        <v>6898</v>
      </c>
      <c r="D3411" s="4">
        <v>46599</v>
      </c>
      <c r="E3411" s="4">
        <v>20210419</v>
      </c>
      <c r="F3411" s="4">
        <v>20210419</v>
      </c>
      <c r="G3411" s="4">
        <v>20240419</v>
      </c>
      <c r="H3411" s="4" t="s">
        <v>6897</v>
      </c>
      <c r="J3411" s="4" t="s">
        <v>2310</v>
      </c>
    </row>
    <row r="3412" spans="1:10" hidden="1">
      <c r="A3412" s="4">
        <v>2.0210447912000198E+17</v>
      </c>
      <c r="B3412" s="4">
        <v>6868102188</v>
      </c>
      <c r="C3412" s="4" t="s">
        <v>6896</v>
      </c>
      <c r="D3412" s="4">
        <v>47912</v>
      </c>
      <c r="E3412" s="4">
        <v>20210419</v>
      </c>
      <c r="F3412" s="4">
        <v>20210419</v>
      </c>
      <c r="G3412" s="4">
        <v>20240419</v>
      </c>
      <c r="H3412" s="4" t="s">
        <v>6895</v>
      </c>
      <c r="I3412" s="4" t="s">
        <v>209</v>
      </c>
      <c r="J3412" s="4" t="s">
        <v>78</v>
      </c>
    </row>
    <row r="3413" spans="1:10" hidden="1">
      <c r="A3413" s="4">
        <v>2.0210427213000198E+17</v>
      </c>
      <c r="B3413" s="4">
        <v>7798701620</v>
      </c>
      <c r="C3413" s="4" t="s">
        <v>6894</v>
      </c>
      <c r="D3413" s="4">
        <v>27213</v>
      </c>
      <c r="E3413" s="4">
        <v>20210419</v>
      </c>
      <c r="F3413" s="4">
        <v>20210419</v>
      </c>
      <c r="G3413" s="4">
        <v>20240419</v>
      </c>
      <c r="H3413" s="4" t="s">
        <v>3483</v>
      </c>
      <c r="I3413" s="4" t="s">
        <v>6893</v>
      </c>
      <c r="J3413" s="4" t="s">
        <v>264</v>
      </c>
    </row>
    <row r="3414" spans="1:10" hidden="1">
      <c r="A3414" s="4">
        <v>2.0210474211000198E+17</v>
      </c>
      <c r="B3414" s="4">
        <v>1038701783</v>
      </c>
      <c r="C3414" s="4" t="s">
        <v>6892</v>
      </c>
      <c r="D3414" s="4">
        <v>74211</v>
      </c>
      <c r="E3414" s="4">
        <v>20210419</v>
      </c>
      <c r="F3414" s="4">
        <v>20210419</v>
      </c>
      <c r="G3414" s="4">
        <v>20240419</v>
      </c>
      <c r="H3414" s="4" t="s">
        <v>6891</v>
      </c>
      <c r="I3414" s="4" t="s">
        <v>6890</v>
      </c>
      <c r="J3414" s="4" t="s">
        <v>5576</v>
      </c>
    </row>
    <row r="3415" spans="1:10" hidden="1">
      <c r="A3415" s="4">
        <v>2.0210474100000198E+17</v>
      </c>
      <c r="B3415" s="4">
        <v>2135100103</v>
      </c>
      <c r="C3415" s="4" t="s">
        <v>6889</v>
      </c>
      <c r="D3415" s="4">
        <v>74100</v>
      </c>
      <c r="E3415" s="4">
        <v>20210419</v>
      </c>
      <c r="F3415" s="4">
        <v>20210419</v>
      </c>
      <c r="G3415" s="4">
        <v>20240103</v>
      </c>
      <c r="H3415" s="4" t="s">
        <v>6888</v>
      </c>
      <c r="J3415" s="4" t="s">
        <v>2207</v>
      </c>
    </row>
    <row r="3416" spans="1:10" hidden="1">
      <c r="A3416" s="4">
        <v>2.0210446452000198E+17</v>
      </c>
      <c r="B3416" s="4">
        <v>2984800365</v>
      </c>
      <c r="C3416" s="4" t="s">
        <v>6996</v>
      </c>
      <c r="D3416" s="4">
        <v>46452</v>
      </c>
      <c r="E3416" s="4">
        <v>20210420</v>
      </c>
      <c r="F3416" s="4">
        <v>20210420</v>
      </c>
      <c r="G3416" s="4">
        <v>20240420</v>
      </c>
      <c r="H3416" s="4" t="s">
        <v>6995</v>
      </c>
      <c r="I3416" s="4" t="s">
        <v>6994</v>
      </c>
      <c r="J3416" s="4" t="s">
        <v>516</v>
      </c>
    </row>
    <row r="3417" spans="1:10" hidden="1">
      <c r="A3417" s="4">
        <v>2.0210429199000198E+17</v>
      </c>
      <c r="B3417" s="4">
        <v>6534500047</v>
      </c>
      <c r="C3417" s="4" t="s">
        <v>6884</v>
      </c>
      <c r="D3417" s="4">
        <v>29199</v>
      </c>
      <c r="E3417" s="4">
        <v>20210419</v>
      </c>
      <c r="F3417" s="4">
        <v>20210419</v>
      </c>
      <c r="G3417" s="4">
        <v>20220608</v>
      </c>
      <c r="H3417" s="4" t="s">
        <v>6885</v>
      </c>
      <c r="I3417" s="4" t="s">
        <v>6884</v>
      </c>
      <c r="J3417" s="4" t="s">
        <v>166</v>
      </c>
    </row>
    <row r="3418" spans="1:10" hidden="1">
      <c r="A3418" s="4">
        <v>2.0210446595000198E+17</v>
      </c>
      <c r="B3418" s="4">
        <v>2640300022</v>
      </c>
      <c r="C3418" s="4" t="s">
        <v>6883</v>
      </c>
      <c r="D3418" s="4">
        <v>46595</v>
      </c>
      <c r="E3418" s="4">
        <v>20210419</v>
      </c>
      <c r="F3418" s="4">
        <v>20210419</v>
      </c>
      <c r="G3418" s="4">
        <v>20220325</v>
      </c>
      <c r="H3418" s="4" t="s">
        <v>6882</v>
      </c>
      <c r="I3418" s="4" t="s">
        <v>1455</v>
      </c>
      <c r="J3418" s="4" t="s">
        <v>960</v>
      </c>
    </row>
    <row r="3419" spans="1:10" hidden="1">
      <c r="A3419" s="4">
        <v>2.0210447821000198E+17</v>
      </c>
      <c r="B3419" s="4">
        <v>7352700118</v>
      </c>
      <c r="C3419" s="4" t="s">
        <v>6881</v>
      </c>
      <c r="D3419" s="4">
        <v>47821</v>
      </c>
      <c r="E3419" s="4">
        <v>20210419</v>
      </c>
      <c r="F3419" s="4">
        <v>20210419</v>
      </c>
      <c r="G3419" s="4">
        <v>20230104</v>
      </c>
      <c r="H3419" s="4" t="s">
        <v>5114</v>
      </c>
      <c r="I3419" s="4" t="s">
        <v>6880</v>
      </c>
      <c r="J3419" s="4" t="s">
        <v>4207</v>
      </c>
    </row>
    <row r="3420" spans="1:10" hidden="1">
      <c r="A3420" s="4">
        <v>2.0210428123000198E+17</v>
      </c>
      <c r="B3420" s="4">
        <v>4782900688</v>
      </c>
      <c r="C3420" s="4" t="s">
        <v>6879</v>
      </c>
      <c r="D3420" s="4">
        <v>28123</v>
      </c>
      <c r="E3420" s="4">
        <v>20210419</v>
      </c>
      <c r="F3420" s="4">
        <v>20210419</v>
      </c>
      <c r="G3420" s="4">
        <v>20240419</v>
      </c>
      <c r="H3420" s="4" t="s">
        <v>6878</v>
      </c>
      <c r="I3420" s="4" t="s">
        <v>6877</v>
      </c>
      <c r="J3420" s="4" t="s">
        <v>640</v>
      </c>
    </row>
    <row r="3421" spans="1:10" hidden="1">
      <c r="A3421" s="4">
        <v>2.0210447611000198E+17</v>
      </c>
      <c r="B3421" s="4">
        <v>3611100522</v>
      </c>
      <c r="C3421" s="4" t="s">
        <v>6876</v>
      </c>
      <c r="D3421" s="4">
        <v>47611</v>
      </c>
      <c r="E3421" s="4">
        <v>20210419</v>
      </c>
      <c r="F3421" s="4">
        <v>20210419</v>
      </c>
      <c r="G3421" s="4">
        <v>20240118</v>
      </c>
      <c r="H3421" s="4" t="s">
        <v>6875</v>
      </c>
      <c r="I3421" s="4" t="s">
        <v>185</v>
      </c>
      <c r="J3421" s="4" t="s">
        <v>4252</v>
      </c>
    </row>
    <row r="3422" spans="1:10" hidden="1">
      <c r="A3422" s="4">
        <v>2.0210426329000198E+17</v>
      </c>
      <c r="B3422" s="4">
        <v>2698100419</v>
      </c>
      <c r="C3422" s="4" t="s">
        <v>6874</v>
      </c>
      <c r="D3422" s="4">
        <v>26329</v>
      </c>
      <c r="E3422" s="4">
        <v>20210419</v>
      </c>
      <c r="F3422" s="4">
        <v>20210419</v>
      </c>
      <c r="G3422" s="4">
        <v>20230404</v>
      </c>
      <c r="H3422" s="4" t="s">
        <v>6873</v>
      </c>
      <c r="I3422" s="4" t="s">
        <v>6872</v>
      </c>
      <c r="J3422" s="4" t="s">
        <v>565</v>
      </c>
    </row>
    <row r="3423" spans="1:10" hidden="1">
      <c r="A3423" s="4">
        <v>2.0210445301000198E+17</v>
      </c>
      <c r="B3423" s="4">
        <v>4060196491</v>
      </c>
      <c r="C3423" s="4" t="s">
        <v>6871</v>
      </c>
      <c r="D3423" s="4">
        <v>45301</v>
      </c>
      <c r="E3423" s="4">
        <v>20210419</v>
      </c>
      <c r="F3423" s="4">
        <v>20210419</v>
      </c>
      <c r="G3423" s="4">
        <v>20230201</v>
      </c>
      <c r="H3423" s="4" t="s">
        <v>6870</v>
      </c>
      <c r="I3423" s="4" t="s">
        <v>6869</v>
      </c>
      <c r="J3423" s="4" t="s">
        <v>6868</v>
      </c>
    </row>
    <row r="3424" spans="1:10" hidden="1">
      <c r="A3424" s="4">
        <v>2.0210472919000198E+17</v>
      </c>
      <c r="B3424" s="4">
        <v>5893600119</v>
      </c>
      <c r="C3424" s="4" t="s">
        <v>6867</v>
      </c>
      <c r="D3424" s="4">
        <v>72919</v>
      </c>
      <c r="E3424" s="4">
        <v>20210419</v>
      </c>
      <c r="F3424" s="4">
        <v>20210419</v>
      </c>
      <c r="G3424" s="4">
        <v>20221223</v>
      </c>
      <c r="H3424" s="4" t="s">
        <v>2824</v>
      </c>
      <c r="I3424" s="4" t="s">
        <v>6866</v>
      </c>
      <c r="J3424" s="4" t="s">
        <v>6865</v>
      </c>
    </row>
    <row r="3425" spans="1:10" hidden="1">
      <c r="A3425" s="4">
        <v>2.0210446431000198E+17</v>
      </c>
      <c r="B3425" s="4">
        <v>3372201183</v>
      </c>
      <c r="C3425" s="4" t="s">
        <v>6864</v>
      </c>
      <c r="D3425" s="4">
        <v>46431</v>
      </c>
      <c r="E3425" s="4">
        <v>20210419</v>
      </c>
      <c r="F3425" s="4">
        <v>20210419</v>
      </c>
      <c r="G3425" s="4">
        <v>20240419</v>
      </c>
      <c r="H3425" s="4" t="s">
        <v>1530</v>
      </c>
      <c r="I3425" s="4" t="s">
        <v>6863</v>
      </c>
      <c r="J3425" s="4" t="s">
        <v>2911</v>
      </c>
    </row>
    <row r="3426" spans="1:10" hidden="1">
      <c r="A3426" s="4">
        <v>2.0210446539000198E+17</v>
      </c>
      <c r="B3426" s="4">
        <v>3620901569</v>
      </c>
      <c r="C3426" s="4" t="s">
        <v>6862</v>
      </c>
      <c r="D3426" s="4">
        <v>46539</v>
      </c>
      <c r="E3426" s="4">
        <v>20210419</v>
      </c>
      <c r="F3426" s="4">
        <v>20210419</v>
      </c>
      <c r="G3426" s="4">
        <v>20240419</v>
      </c>
      <c r="H3426" s="4" t="s">
        <v>6861</v>
      </c>
      <c r="I3426" s="4" t="s">
        <v>6860</v>
      </c>
      <c r="J3426" s="4" t="s">
        <v>3056</v>
      </c>
    </row>
    <row r="3427" spans="1:10" hidden="1">
      <c r="A3427" s="4">
        <v>2.0210472129000198E+17</v>
      </c>
      <c r="B3427" s="4">
        <v>4588100697</v>
      </c>
      <c r="C3427" s="4" t="s">
        <v>6859</v>
      </c>
      <c r="D3427" s="4">
        <v>72129</v>
      </c>
      <c r="E3427" s="4">
        <v>20210419</v>
      </c>
      <c r="F3427" s="4">
        <v>20210419</v>
      </c>
      <c r="G3427" s="4">
        <v>20240419</v>
      </c>
      <c r="H3427" s="4" t="s">
        <v>1666</v>
      </c>
      <c r="I3427" s="4" t="s">
        <v>6858</v>
      </c>
      <c r="J3427" s="4" t="s">
        <v>1679</v>
      </c>
    </row>
    <row r="3428" spans="1:10" hidden="1">
      <c r="A3428" s="4">
        <v>2.0210447859000198E+17</v>
      </c>
      <c r="B3428" s="4">
        <v>3265100277</v>
      </c>
      <c r="C3428" s="4" t="s">
        <v>6857</v>
      </c>
      <c r="D3428" s="4">
        <v>47859</v>
      </c>
      <c r="E3428" s="4">
        <v>20210419</v>
      </c>
      <c r="F3428" s="4">
        <v>20210419</v>
      </c>
      <c r="G3428" s="4">
        <v>20240419</v>
      </c>
      <c r="H3428" s="4" t="s">
        <v>1661</v>
      </c>
      <c r="I3428" s="4" t="s">
        <v>6856</v>
      </c>
      <c r="J3428" s="4" t="s">
        <v>5820</v>
      </c>
    </row>
    <row r="3429" spans="1:10" hidden="1">
      <c r="A3429" s="4">
        <v>2.0210442203000198E+17</v>
      </c>
      <c r="B3429" s="4">
        <v>3583500589</v>
      </c>
      <c r="C3429" s="4" t="s">
        <v>6855</v>
      </c>
      <c r="D3429" s="4">
        <v>42203</v>
      </c>
      <c r="E3429" s="4">
        <v>20210419</v>
      </c>
      <c r="F3429" s="4">
        <v>20210419</v>
      </c>
      <c r="G3429" s="4">
        <v>20240419</v>
      </c>
      <c r="H3429" s="4" t="s">
        <v>6854</v>
      </c>
      <c r="I3429" s="4" t="s">
        <v>6853</v>
      </c>
      <c r="J3429" s="4" t="s">
        <v>6852</v>
      </c>
    </row>
    <row r="3430" spans="1:10" hidden="1">
      <c r="A3430" s="4">
        <v>2.0210446521000198E+17</v>
      </c>
      <c r="B3430" s="4">
        <v>3581000951</v>
      </c>
      <c r="C3430" s="4" t="s">
        <v>6851</v>
      </c>
      <c r="D3430" s="4">
        <v>46521</v>
      </c>
      <c r="E3430" s="4">
        <v>20210419</v>
      </c>
      <c r="F3430" s="4">
        <v>20210419</v>
      </c>
      <c r="G3430" s="4">
        <v>20240419</v>
      </c>
      <c r="H3430" s="4" t="s">
        <v>6850</v>
      </c>
      <c r="I3430" s="4" t="s">
        <v>1801</v>
      </c>
      <c r="J3430" s="4" t="s">
        <v>6178</v>
      </c>
    </row>
    <row r="3431" spans="1:10" hidden="1">
      <c r="A3431" s="4">
        <v>2.0210446510000198E+17</v>
      </c>
      <c r="B3431" s="4">
        <v>7465100506</v>
      </c>
      <c r="C3431" s="4" t="s">
        <v>6849</v>
      </c>
      <c r="D3431" s="4">
        <v>46510</v>
      </c>
      <c r="E3431" s="4">
        <v>20210419</v>
      </c>
      <c r="F3431" s="4">
        <v>20210419</v>
      </c>
      <c r="G3431" s="4">
        <v>20240419</v>
      </c>
      <c r="H3431" s="4" t="s">
        <v>3734</v>
      </c>
      <c r="I3431" s="4" t="s">
        <v>6848</v>
      </c>
      <c r="J3431" s="4" t="s">
        <v>126</v>
      </c>
    </row>
    <row r="3432" spans="1:10" hidden="1">
      <c r="A3432" s="4">
        <v>2.0210442311000198E+17</v>
      </c>
      <c r="B3432" s="4">
        <v>1548701364</v>
      </c>
      <c r="C3432" s="4" t="s">
        <v>6847</v>
      </c>
      <c r="D3432" s="4">
        <v>42311</v>
      </c>
      <c r="E3432" s="4">
        <v>20210419</v>
      </c>
      <c r="F3432" s="4">
        <v>20210419</v>
      </c>
      <c r="G3432" s="4">
        <v>20240419</v>
      </c>
      <c r="H3432" s="4" t="s">
        <v>6846</v>
      </c>
      <c r="I3432" s="4" t="s">
        <v>91</v>
      </c>
      <c r="J3432" s="4" t="s">
        <v>718</v>
      </c>
    </row>
    <row r="3433" spans="1:10" hidden="1">
      <c r="A3433" s="4">
        <v>2.0210413229000198E+17</v>
      </c>
      <c r="B3433" s="4">
        <v>4862101208</v>
      </c>
      <c r="C3433" s="4" t="s">
        <v>6887</v>
      </c>
      <c r="D3433" s="4">
        <v>13229</v>
      </c>
      <c r="E3433" s="4">
        <v>20210419</v>
      </c>
      <c r="F3433" s="4">
        <v>20210419</v>
      </c>
      <c r="G3433" s="4">
        <v>20240419</v>
      </c>
      <c r="H3433" s="4" t="s">
        <v>6886</v>
      </c>
      <c r="I3433" s="4" t="s">
        <v>91</v>
      </c>
      <c r="J3433" s="4" t="s">
        <v>115</v>
      </c>
    </row>
    <row r="3434" spans="1:10" hidden="1">
      <c r="A3434" s="4">
        <v>2.0210442312000198E+17</v>
      </c>
      <c r="B3434" s="4">
        <v>7488701820</v>
      </c>
      <c r="C3434" s="4" t="s">
        <v>6842</v>
      </c>
      <c r="D3434" s="4">
        <v>42312</v>
      </c>
      <c r="E3434" s="4">
        <v>20210419</v>
      </c>
      <c r="F3434" s="4">
        <v>20210419</v>
      </c>
      <c r="G3434" s="4">
        <v>20240419</v>
      </c>
      <c r="H3434" s="4" t="s">
        <v>6841</v>
      </c>
      <c r="I3434" s="4" t="s">
        <v>6840</v>
      </c>
      <c r="J3434" s="4" t="s">
        <v>6044</v>
      </c>
    </row>
    <row r="3435" spans="1:10" hidden="1">
      <c r="A3435" s="4">
        <v>2.0210442412000198E+17</v>
      </c>
      <c r="B3435" s="4">
        <v>8818100636</v>
      </c>
      <c r="C3435" s="4" t="s">
        <v>6839</v>
      </c>
      <c r="D3435" s="4">
        <v>42412</v>
      </c>
      <c r="E3435" s="4">
        <v>20210419</v>
      </c>
      <c r="F3435" s="4">
        <v>20210419</v>
      </c>
      <c r="G3435" s="4">
        <v>20231018</v>
      </c>
      <c r="H3435" s="4" t="s">
        <v>6838</v>
      </c>
      <c r="I3435" s="4" t="s">
        <v>91</v>
      </c>
      <c r="J3435" s="4" t="s">
        <v>281</v>
      </c>
    </row>
    <row r="3436" spans="1:10" hidden="1">
      <c r="A3436" s="4">
        <v>2.0210429171000198E+17</v>
      </c>
      <c r="B3436" s="4">
        <v>8988601069</v>
      </c>
      <c r="C3436" s="4" t="s">
        <v>6837</v>
      </c>
      <c r="D3436" s="4">
        <v>29171</v>
      </c>
      <c r="E3436" s="4">
        <v>20210419</v>
      </c>
      <c r="F3436" s="4">
        <v>20210419</v>
      </c>
      <c r="G3436" s="4">
        <v>20240419</v>
      </c>
      <c r="H3436" s="4" t="s">
        <v>6836</v>
      </c>
      <c r="J3436" s="4" t="s">
        <v>2082</v>
      </c>
    </row>
    <row r="3437" spans="1:10" hidden="1">
      <c r="A3437" s="4">
        <v>2.0210428123000198E+17</v>
      </c>
      <c r="B3437" s="4">
        <v>8328800778</v>
      </c>
      <c r="C3437" s="4" t="s">
        <v>6835</v>
      </c>
      <c r="D3437" s="4">
        <v>28123</v>
      </c>
      <c r="E3437" s="4">
        <v>20210419</v>
      </c>
      <c r="F3437" s="4">
        <v>20210419</v>
      </c>
      <c r="G3437" s="4">
        <v>20240419</v>
      </c>
      <c r="H3437" s="4" t="s">
        <v>1183</v>
      </c>
      <c r="I3437" s="4" t="s">
        <v>6834</v>
      </c>
      <c r="J3437" s="4" t="s">
        <v>640</v>
      </c>
    </row>
    <row r="3438" spans="1:10" hidden="1">
      <c r="A3438" s="4">
        <v>2.0210425932000198E+17</v>
      </c>
      <c r="B3438" s="4">
        <v>6878800576</v>
      </c>
      <c r="C3438" s="4" t="s">
        <v>6833</v>
      </c>
      <c r="D3438" s="4">
        <v>25932</v>
      </c>
      <c r="E3438" s="4">
        <v>20210419</v>
      </c>
      <c r="F3438" s="4">
        <v>20210419</v>
      </c>
      <c r="G3438" s="4">
        <v>20240419</v>
      </c>
      <c r="H3438" s="4" t="s">
        <v>5273</v>
      </c>
      <c r="J3438" s="4" t="s">
        <v>246</v>
      </c>
    </row>
    <row r="3439" spans="1:10" hidden="1">
      <c r="A3439" s="4">
        <v>2.0210441226000198E+17</v>
      </c>
      <c r="B3439" s="4">
        <v>8218600774</v>
      </c>
      <c r="C3439" s="4" t="s">
        <v>6832</v>
      </c>
      <c r="D3439" s="4">
        <v>41226</v>
      </c>
      <c r="E3439" s="4">
        <v>20210419</v>
      </c>
      <c r="F3439" s="4">
        <v>20210419</v>
      </c>
      <c r="G3439" s="4">
        <v>20240419</v>
      </c>
      <c r="H3439" s="4" t="s">
        <v>6831</v>
      </c>
      <c r="J3439" s="4" t="s">
        <v>1063</v>
      </c>
    </row>
    <row r="3440" spans="1:10" hidden="1">
      <c r="A3440" s="4">
        <v>2.0210441226000198E+17</v>
      </c>
      <c r="B3440" s="4">
        <v>8738601323</v>
      </c>
      <c r="C3440" s="4" t="s">
        <v>6830</v>
      </c>
      <c r="D3440" s="4">
        <v>41226</v>
      </c>
      <c r="E3440" s="4">
        <v>20210419</v>
      </c>
      <c r="F3440" s="4">
        <v>20210419</v>
      </c>
      <c r="G3440" s="4">
        <v>20240419</v>
      </c>
      <c r="H3440" s="4" t="s">
        <v>6829</v>
      </c>
      <c r="I3440" s="4" t="s">
        <v>3036</v>
      </c>
      <c r="J3440" s="4" t="s">
        <v>1063</v>
      </c>
    </row>
    <row r="3441" spans="1:10" hidden="1">
      <c r="A3441" s="4">
        <v>2.0210442121000198E+17</v>
      </c>
      <c r="B3441" s="4">
        <v>5228801429</v>
      </c>
      <c r="C3441" s="4" t="s">
        <v>6828</v>
      </c>
      <c r="D3441" s="4">
        <v>42121</v>
      </c>
      <c r="E3441" s="4">
        <v>20210419</v>
      </c>
      <c r="F3441" s="4">
        <v>20210419</v>
      </c>
      <c r="G3441" s="4">
        <v>20240419</v>
      </c>
      <c r="H3441" s="4" t="s">
        <v>6827</v>
      </c>
      <c r="I3441" s="4" t="s">
        <v>657</v>
      </c>
      <c r="J3441" s="4" t="s">
        <v>3103</v>
      </c>
    </row>
    <row r="3442" spans="1:10" hidden="1">
      <c r="A3442" s="4">
        <v>2.0210442412000198E+17</v>
      </c>
      <c r="B3442" s="4">
        <v>5968801639</v>
      </c>
      <c r="C3442" s="4" t="s">
        <v>6826</v>
      </c>
      <c r="D3442" s="4">
        <v>42412</v>
      </c>
      <c r="E3442" s="4">
        <v>20210419</v>
      </c>
      <c r="F3442" s="4">
        <v>20210419</v>
      </c>
      <c r="G3442" s="4">
        <v>20240419</v>
      </c>
      <c r="H3442" s="4" t="s">
        <v>5807</v>
      </c>
      <c r="I3442" s="4" t="s">
        <v>754</v>
      </c>
      <c r="J3442" s="4" t="s">
        <v>281</v>
      </c>
    </row>
    <row r="3443" spans="1:10" hidden="1">
      <c r="A3443" s="4">
        <v>2.0210458222000198E+17</v>
      </c>
      <c r="B3443" s="4">
        <v>6568100840</v>
      </c>
      <c r="C3443" s="4" t="s">
        <v>6825</v>
      </c>
      <c r="D3443" s="4">
        <v>58222</v>
      </c>
      <c r="E3443" s="4">
        <v>20210419</v>
      </c>
      <c r="F3443" s="4">
        <v>20210419</v>
      </c>
      <c r="G3443" s="4">
        <v>20240419</v>
      </c>
      <c r="H3443" s="4" t="s">
        <v>6824</v>
      </c>
      <c r="I3443" s="4" t="s">
        <v>591</v>
      </c>
      <c r="J3443" s="4" t="s">
        <v>94</v>
      </c>
    </row>
    <row r="3444" spans="1:10" hidden="1">
      <c r="A3444" s="4">
        <v>2.0210462021000198E+17</v>
      </c>
      <c r="B3444" s="4">
        <v>6118800415</v>
      </c>
      <c r="C3444" s="4" t="s">
        <v>6823</v>
      </c>
      <c r="D3444" s="4">
        <v>62021</v>
      </c>
      <c r="E3444" s="4">
        <v>20210419</v>
      </c>
      <c r="F3444" s="4">
        <v>20210419</v>
      </c>
      <c r="G3444" s="4">
        <v>20230802</v>
      </c>
      <c r="H3444" s="4" t="s">
        <v>6822</v>
      </c>
      <c r="I3444" s="4" t="s">
        <v>6821</v>
      </c>
      <c r="J3444" s="4" t="s">
        <v>1505</v>
      </c>
    </row>
    <row r="3445" spans="1:10" hidden="1">
      <c r="A3445" s="4">
        <v>2.0210446203000198E+17</v>
      </c>
      <c r="B3445" s="4">
        <v>3318700394</v>
      </c>
      <c r="C3445" s="4" t="s">
        <v>6820</v>
      </c>
      <c r="D3445" s="4">
        <v>46203</v>
      </c>
      <c r="E3445" s="4">
        <v>20210419</v>
      </c>
      <c r="F3445" s="4">
        <v>20210419</v>
      </c>
      <c r="G3445" s="4">
        <v>20230615</v>
      </c>
      <c r="H3445" s="4" t="s">
        <v>6819</v>
      </c>
      <c r="I3445" s="4" t="s">
        <v>5113</v>
      </c>
      <c r="J3445" s="4" t="s">
        <v>3762</v>
      </c>
    </row>
    <row r="3446" spans="1:10" hidden="1">
      <c r="A3446" s="4">
        <v>2.0210446521000198E+17</v>
      </c>
      <c r="B3446" s="4">
        <v>7153900422</v>
      </c>
      <c r="C3446" s="4" t="s">
        <v>6818</v>
      </c>
      <c r="D3446" s="4">
        <v>46521</v>
      </c>
      <c r="E3446" s="4">
        <v>20210419</v>
      </c>
      <c r="F3446" s="4">
        <v>20210419</v>
      </c>
      <c r="G3446" s="4">
        <v>20240419</v>
      </c>
      <c r="H3446" s="4" t="s">
        <v>6817</v>
      </c>
      <c r="I3446" s="4" t="s">
        <v>239</v>
      </c>
      <c r="J3446" s="4" t="s">
        <v>6178</v>
      </c>
    </row>
    <row r="3447" spans="1:10" hidden="1">
      <c r="A3447" s="4">
        <v>2.0210426410000198E+17</v>
      </c>
      <c r="B3447" s="4">
        <v>5452000331</v>
      </c>
      <c r="C3447" s="4" t="s">
        <v>6816</v>
      </c>
      <c r="D3447" s="4">
        <v>26410</v>
      </c>
      <c r="E3447" s="4">
        <v>20210419</v>
      </c>
      <c r="F3447" s="4">
        <v>20210419</v>
      </c>
      <c r="G3447" s="4">
        <v>20230603</v>
      </c>
      <c r="H3447" s="4" t="s">
        <v>6815</v>
      </c>
      <c r="I3447" s="4" t="s">
        <v>6814</v>
      </c>
      <c r="J3447" s="4" t="s">
        <v>1102</v>
      </c>
    </row>
    <row r="3448" spans="1:10" hidden="1">
      <c r="A3448" s="4">
        <v>2.0210425112000198E+17</v>
      </c>
      <c r="B3448" s="4">
        <v>5242500737</v>
      </c>
      <c r="C3448" s="4" t="s">
        <v>6812</v>
      </c>
      <c r="D3448" s="4">
        <v>25112</v>
      </c>
      <c r="E3448" s="4">
        <v>20210419</v>
      </c>
      <c r="F3448" s="4">
        <v>20210419</v>
      </c>
      <c r="G3448" s="4">
        <v>20240419</v>
      </c>
      <c r="H3448" s="4" t="s">
        <v>6813</v>
      </c>
      <c r="I3448" s="4" t="s">
        <v>6812</v>
      </c>
      <c r="J3448" s="4" t="s">
        <v>320</v>
      </c>
    </row>
    <row r="3449" spans="1:10" hidden="1">
      <c r="A3449" s="4">
        <v>2.0210446510000198E+17</v>
      </c>
      <c r="B3449" s="4">
        <v>5911900906</v>
      </c>
      <c r="C3449" s="4" t="s">
        <v>6811</v>
      </c>
      <c r="D3449" s="4">
        <v>46510</v>
      </c>
      <c r="E3449" s="4">
        <v>20210419</v>
      </c>
      <c r="F3449" s="4">
        <v>20210419</v>
      </c>
      <c r="G3449" s="4">
        <v>20240419</v>
      </c>
      <c r="H3449" s="4" t="s">
        <v>6810</v>
      </c>
      <c r="I3449" s="4" t="s">
        <v>811</v>
      </c>
      <c r="J3449" s="4" t="s">
        <v>126</v>
      </c>
    </row>
    <row r="3450" spans="1:10">
      <c r="A3450" s="4">
        <v>2.0210318119000099E+17</v>
      </c>
      <c r="B3450" s="4">
        <v>1678200139</v>
      </c>
      <c r="C3450" s="4" t="s">
        <v>4197</v>
      </c>
      <c r="D3450" s="4">
        <v>18119</v>
      </c>
      <c r="E3450" s="4">
        <v>20210315</v>
      </c>
      <c r="F3450" s="4">
        <v>20210315</v>
      </c>
      <c r="G3450" s="4">
        <v>20231013</v>
      </c>
      <c r="H3450" s="4" t="s">
        <v>4196</v>
      </c>
      <c r="I3450" s="4" t="s">
        <v>4195</v>
      </c>
      <c r="J3450" s="4" t="s">
        <v>707</v>
      </c>
    </row>
    <row r="3451" spans="1:10" hidden="1">
      <c r="A3451" s="4">
        <v>2.0210446499000198E+17</v>
      </c>
      <c r="B3451" s="4">
        <v>1701600130</v>
      </c>
      <c r="C3451" s="4" t="s">
        <v>6806</v>
      </c>
      <c r="D3451" s="4">
        <v>46499</v>
      </c>
      <c r="E3451" s="4">
        <v>20210419</v>
      </c>
      <c r="F3451" s="4">
        <v>20210419</v>
      </c>
      <c r="G3451" s="4">
        <v>20221006</v>
      </c>
      <c r="H3451" s="4" t="s">
        <v>6805</v>
      </c>
      <c r="I3451" s="4" t="s">
        <v>6804</v>
      </c>
      <c r="J3451" s="4" t="s">
        <v>184</v>
      </c>
    </row>
    <row r="3452" spans="1:10" hidden="1">
      <c r="A3452" s="4">
        <v>2.0210428903000198E+17</v>
      </c>
      <c r="B3452" s="4">
        <v>1748701577</v>
      </c>
      <c r="C3452" s="4" t="s">
        <v>6803</v>
      </c>
      <c r="D3452" s="4">
        <v>28903</v>
      </c>
      <c r="E3452" s="4">
        <v>20210417</v>
      </c>
      <c r="F3452" s="4">
        <v>20210417</v>
      </c>
      <c r="G3452" s="4">
        <v>20240417</v>
      </c>
      <c r="H3452" s="4" t="s">
        <v>1323</v>
      </c>
      <c r="J3452" s="4" t="s">
        <v>460</v>
      </c>
    </row>
    <row r="3453" spans="1:10" hidden="1">
      <c r="A3453" s="4">
        <v>2.0210473203000198E+17</v>
      </c>
      <c r="B3453" s="4">
        <v>3228601621</v>
      </c>
      <c r="C3453" s="4" t="s">
        <v>6802</v>
      </c>
      <c r="D3453" s="4">
        <v>73203</v>
      </c>
      <c r="E3453" s="4">
        <v>20210417</v>
      </c>
      <c r="F3453" s="4">
        <v>20210417</v>
      </c>
      <c r="G3453" s="4">
        <v>20240417</v>
      </c>
      <c r="H3453" s="4" t="s">
        <v>6801</v>
      </c>
      <c r="I3453" s="4" t="s">
        <v>91</v>
      </c>
      <c r="J3453" s="4" t="s">
        <v>260</v>
      </c>
    </row>
    <row r="3454" spans="1:10" hidden="1">
      <c r="A3454" s="4">
        <v>2.0210447512000198E+17</v>
      </c>
      <c r="B3454" s="4">
        <v>5675400511</v>
      </c>
      <c r="C3454" s="4" t="s">
        <v>6800</v>
      </c>
      <c r="D3454" s="4">
        <v>47512</v>
      </c>
      <c r="E3454" s="4">
        <v>20210417</v>
      </c>
      <c r="F3454" s="4">
        <v>20210417</v>
      </c>
      <c r="G3454" s="4">
        <v>20240417</v>
      </c>
      <c r="H3454" s="4" t="s">
        <v>6799</v>
      </c>
      <c r="I3454" s="4" t="s">
        <v>6798</v>
      </c>
      <c r="J3454" s="4" t="s">
        <v>3052</v>
      </c>
    </row>
    <row r="3455" spans="1:10" hidden="1">
      <c r="A3455" s="4">
        <v>2.0210420423000198E+17</v>
      </c>
      <c r="B3455" s="4">
        <v>1798102088</v>
      </c>
      <c r="C3455" s="4" t="s">
        <v>6797</v>
      </c>
      <c r="D3455" s="4">
        <v>20423</v>
      </c>
      <c r="E3455" s="4">
        <v>20210417</v>
      </c>
      <c r="F3455" s="4">
        <v>20210417</v>
      </c>
      <c r="G3455" s="4">
        <v>20240417</v>
      </c>
      <c r="H3455" s="4" t="s">
        <v>1430</v>
      </c>
      <c r="I3455" s="4" t="s">
        <v>6796</v>
      </c>
      <c r="J3455" s="4" t="s">
        <v>368</v>
      </c>
    </row>
    <row r="3456" spans="1:10" hidden="1">
      <c r="A3456" s="4">
        <v>2.0210463999000198E+17</v>
      </c>
      <c r="B3456" s="4">
        <v>1658701627</v>
      </c>
      <c r="C3456" s="4" t="s">
        <v>6795</v>
      </c>
      <c r="D3456" s="4">
        <v>63999</v>
      </c>
      <c r="E3456" s="4">
        <v>20210417</v>
      </c>
      <c r="F3456" s="4">
        <v>20210417</v>
      </c>
      <c r="G3456" s="4">
        <v>20240417</v>
      </c>
      <c r="H3456" s="4" t="s">
        <v>6794</v>
      </c>
      <c r="I3456" s="4" t="s">
        <v>6274</v>
      </c>
      <c r="J3456" s="4" t="s">
        <v>643</v>
      </c>
    </row>
    <row r="3457" spans="1:10" hidden="1">
      <c r="A3457" s="4">
        <v>2.0210410802000198E+17</v>
      </c>
      <c r="B3457" s="4">
        <v>1638701539</v>
      </c>
      <c r="C3457" s="4" t="s">
        <v>6793</v>
      </c>
      <c r="D3457" s="4">
        <v>10802</v>
      </c>
      <c r="E3457" s="4">
        <v>20210417</v>
      </c>
      <c r="F3457" s="4">
        <v>20210417</v>
      </c>
      <c r="G3457" s="4">
        <v>20240417</v>
      </c>
      <c r="H3457" s="4" t="s">
        <v>2507</v>
      </c>
      <c r="I3457" s="4" t="s">
        <v>6792</v>
      </c>
      <c r="J3457" s="4" t="s">
        <v>973</v>
      </c>
    </row>
    <row r="3458" spans="1:10" hidden="1">
      <c r="A3458" s="4">
        <v>2.0210420499000198E+17</v>
      </c>
      <c r="B3458" s="4">
        <v>2698102116</v>
      </c>
      <c r="C3458" s="4" t="s">
        <v>6791</v>
      </c>
      <c r="D3458" s="4">
        <v>20499</v>
      </c>
      <c r="E3458" s="4">
        <v>20210417</v>
      </c>
      <c r="F3458" s="4">
        <v>20210417</v>
      </c>
      <c r="G3458" s="4">
        <v>20240417</v>
      </c>
      <c r="H3458" s="4" t="s">
        <v>6790</v>
      </c>
      <c r="J3458" s="4" t="s">
        <v>406</v>
      </c>
    </row>
    <row r="3459" spans="1:10" hidden="1">
      <c r="A3459" s="4">
        <v>2.0210471310000198E+17</v>
      </c>
      <c r="B3459" s="4">
        <v>5578801861</v>
      </c>
      <c r="C3459" s="4" t="s">
        <v>6789</v>
      </c>
      <c r="D3459" s="4">
        <v>71310</v>
      </c>
      <c r="E3459" s="4">
        <v>20210417</v>
      </c>
      <c r="F3459" s="4">
        <v>20210417</v>
      </c>
      <c r="G3459" s="4">
        <v>20240417</v>
      </c>
      <c r="H3459" s="4" t="s">
        <v>1888</v>
      </c>
      <c r="I3459" s="4" t="s">
        <v>6788</v>
      </c>
      <c r="J3459" s="4" t="s">
        <v>426</v>
      </c>
    </row>
    <row r="3460" spans="1:10" hidden="1">
      <c r="A3460" s="4">
        <v>2.0210428909000198E+17</v>
      </c>
      <c r="B3460" s="4">
        <v>6108801648</v>
      </c>
      <c r="C3460" s="4" t="s">
        <v>6787</v>
      </c>
      <c r="D3460" s="4">
        <v>28909</v>
      </c>
      <c r="E3460" s="4">
        <v>20210417</v>
      </c>
      <c r="F3460" s="4">
        <v>20210417</v>
      </c>
      <c r="G3460" s="4">
        <v>20240417</v>
      </c>
      <c r="H3460" s="4" t="s">
        <v>6786</v>
      </c>
      <c r="I3460" s="4" t="s">
        <v>970</v>
      </c>
      <c r="J3460" s="4" t="s">
        <v>253</v>
      </c>
    </row>
    <row r="3461" spans="1:10" hidden="1">
      <c r="A3461" s="4">
        <v>2.0210433993000198E+17</v>
      </c>
      <c r="B3461" s="4">
        <v>8938700378</v>
      </c>
      <c r="C3461" s="4" t="s">
        <v>6785</v>
      </c>
      <c r="D3461" s="4">
        <v>33993</v>
      </c>
      <c r="E3461" s="4">
        <v>20210417</v>
      </c>
      <c r="F3461" s="4">
        <v>20210417</v>
      </c>
      <c r="G3461" s="4">
        <v>20230114</v>
      </c>
      <c r="H3461" s="4" t="s">
        <v>6784</v>
      </c>
      <c r="J3461" s="4" t="s">
        <v>1147</v>
      </c>
    </row>
    <row r="3462" spans="1:10" hidden="1">
      <c r="A3462" s="4">
        <v>2.0210458221000198E+17</v>
      </c>
      <c r="B3462" s="4">
        <v>5408100701</v>
      </c>
      <c r="C3462" s="4" t="s">
        <v>6783</v>
      </c>
      <c r="D3462" s="4">
        <v>58221</v>
      </c>
      <c r="E3462" s="4">
        <v>20210417</v>
      </c>
      <c r="F3462" s="4">
        <v>20210417</v>
      </c>
      <c r="G3462" s="4">
        <v>20240417</v>
      </c>
      <c r="H3462" s="4" t="s">
        <v>6782</v>
      </c>
      <c r="I3462" s="4" t="s">
        <v>6781</v>
      </c>
      <c r="J3462" s="4" t="s">
        <v>228</v>
      </c>
    </row>
    <row r="3463" spans="1:10" hidden="1">
      <c r="A3463" s="4">
        <v>2.0210442491000198E+17</v>
      </c>
      <c r="B3463" s="4">
        <v>2568100524</v>
      </c>
      <c r="C3463" s="4" t="s">
        <v>6780</v>
      </c>
      <c r="D3463" s="4">
        <v>42491</v>
      </c>
      <c r="E3463" s="4">
        <v>20210416</v>
      </c>
      <c r="F3463" s="4">
        <v>20210416</v>
      </c>
      <c r="G3463" s="4">
        <v>20231124</v>
      </c>
      <c r="H3463" s="4" t="s">
        <v>6779</v>
      </c>
      <c r="I3463" s="4" t="s">
        <v>3036</v>
      </c>
      <c r="J3463" s="4" t="s">
        <v>883</v>
      </c>
    </row>
    <row r="3464" spans="1:10" hidden="1">
      <c r="A3464" s="4">
        <v>2.0210458222000198E+17</v>
      </c>
      <c r="B3464" s="4">
        <v>3848100232</v>
      </c>
      <c r="C3464" s="4" t="s">
        <v>6778</v>
      </c>
      <c r="D3464" s="4">
        <v>58222</v>
      </c>
      <c r="E3464" s="4">
        <v>20210416</v>
      </c>
      <c r="F3464" s="4">
        <v>20210416</v>
      </c>
      <c r="G3464" s="4">
        <v>20221201</v>
      </c>
      <c r="H3464" s="4" t="s">
        <v>1433</v>
      </c>
      <c r="I3464" s="4" t="s">
        <v>6777</v>
      </c>
      <c r="J3464" s="4" t="s">
        <v>94</v>
      </c>
    </row>
    <row r="3465" spans="1:10" hidden="1">
      <c r="A3465" s="4">
        <v>2.0210433910000198E+17</v>
      </c>
      <c r="B3465" s="4">
        <v>1408700425</v>
      </c>
      <c r="C3465" s="4" t="s">
        <v>6776</v>
      </c>
      <c r="D3465" s="4">
        <v>33910</v>
      </c>
      <c r="E3465" s="4">
        <v>20210416</v>
      </c>
      <c r="F3465" s="4">
        <v>20210416</v>
      </c>
      <c r="G3465" s="4">
        <v>20230503</v>
      </c>
      <c r="H3465" s="4" t="s">
        <v>6775</v>
      </c>
      <c r="J3465" s="4" t="s">
        <v>310</v>
      </c>
    </row>
    <row r="3466" spans="1:10" hidden="1">
      <c r="A3466" s="4">
        <v>2.0210426323000198E+17</v>
      </c>
      <c r="B3466" s="4">
        <v>7608101129</v>
      </c>
      <c r="C3466" s="4" t="s">
        <v>6774</v>
      </c>
      <c r="D3466" s="4">
        <v>26323</v>
      </c>
      <c r="E3466" s="4">
        <v>20210416</v>
      </c>
      <c r="F3466" s="4">
        <v>20210416</v>
      </c>
      <c r="G3466" s="4">
        <v>20240416</v>
      </c>
      <c r="H3466" s="4" t="s">
        <v>6773</v>
      </c>
      <c r="J3466" s="4" t="s">
        <v>2186</v>
      </c>
    </row>
    <row r="3467" spans="1:10" hidden="1">
      <c r="A3467" s="4">
        <v>2.0210410121000198E+17</v>
      </c>
      <c r="B3467" s="4">
        <v>1788701943</v>
      </c>
      <c r="C3467" s="4" t="s">
        <v>6772</v>
      </c>
      <c r="D3467" s="4">
        <v>10121</v>
      </c>
      <c r="E3467" s="4">
        <v>20210416</v>
      </c>
      <c r="F3467" s="4">
        <v>20210416</v>
      </c>
      <c r="G3467" s="4">
        <v>20240416</v>
      </c>
      <c r="H3467" s="4" t="s">
        <v>6771</v>
      </c>
      <c r="I3467" s="4" t="s">
        <v>6770</v>
      </c>
      <c r="J3467" s="4" t="s">
        <v>6769</v>
      </c>
    </row>
    <row r="3468" spans="1:10" hidden="1">
      <c r="A3468" s="4">
        <v>2.0210473203000198E+17</v>
      </c>
      <c r="B3468" s="4">
        <v>6777200369</v>
      </c>
      <c r="C3468" s="4" t="s">
        <v>6768</v>
      </c>
      <c r="D3468" s="4">
        <v>73203</v>
      </c>
      <c r="E3468" s="4">
        <v>20210416</v>
      </c>
      <c r="F3468" s="4">
        <v>20210416</v>
      </c>
      <c r="G3468" s="4">
        <v>20240416</v>
      </c>
      <c r="H3468" s="4" t="s">
        <v>6767</v>
      </c>
      <c r="J3468" s="4" t="s">
        <v>260</v>
      </c>
    </row>
    <row r="3469" spans="1:10" hidden="1">
      <c r="A3469" s="4">
        <v>2.0210413999000198E+17</v>
      </c>
      <c r="B3469" s="4">
        <v>6838801613</v>
      </c>
      <c r="C3469" s="4" t="s">
        <v>6766</v>
      </c>
      <c r="D3469" s="4">
        <v>13999</v>
      </c>
      <c r="E3469" s="4">
        <v>20210416</v>
      </c>
      <c r="F3469" s="4">
        <v>20210416</v>
      </c>
      <c r="G3469" s="4">
        <v>20240416</v>
      </c>
      <c r="H3469" s="4" t="s">
        <v>2575</v>
      </c>
      <c r="I3469" s="4" t="s">
        <v>6765</v>
      </c>
      <c r="J3469" s="4" t="s">
        <v>130</v>
      </c>
    </row>
    <row r="3470" spans="1:10" hidden="1">
      <c r="A3470" s="4">
        <v>2.0210425112000198E+17</v>
      </c>
      <c r="B3470" s="4">
        <v>3062576191</v>
      </c>
      <c r="C3470" s="4" t="s">
        <v>6764</v>
      </c>
      <c r="D3470" s="4">
        <v>25112</v>
      </c>
      <c r="E3470" s="4">
        <v>20210416</v>
      </c>
      <c r="F3470" s="4">
        <v>20210416</v>
      </c>
      <c r="G3470" s="4">
        <v>20240416</v>
      </c>
      <c r="H3470" s="4" t="s">
        <v>6763</v>
      </c>
      <c r="I3470" s="4" t="s">
        <v>6762</v>
      </c>
      <c r="J3470" s="4" t="s">
        <v>320</v>
      </c>
    </row>
    <row r="3471" spans="1:10" hidden="1">
      <c r="A3471" s="4">
        <v>2.0210473203000198E+17</v>
      </c>
      <c r="B3471" s="4">
        <v>2312700289</v>
      </c>
      <c r="C3471" s="4" t="s">
        <v>6761</v>
      </c>
      <c r="D3471" s="4">
        <v>73203</v>
      </c>
      <c r="E3471" s="4">
        <v>20210416</v>
      </c>
      <c r="F3471" s="4">
        <v>20210416</v>
      </c>
      <c r="G3471" s="4">
        <v>20230824</v>
      </c>
      <c r="H3471" s="4" t="s">
        <v>6760</v>
      </c>
      <c r="I3471" s="4" t="s">
        <v>3119</v>
      </c>
      <c r="J3471" s="4" t="s">
        <v>260</v>
      </c>
    </row>
    <row r="3472" spans="1:10" hidden="1">
      <c r="A3472" s="4">
        <v>2.0210428422000198E+17</v>
      </c>
      <c r="B3472" s="4">
        <v>1238800126</v>
      </c>
      <c r="C3472" s="4" t="s">
        <v>6759</v>
      </c>
      <c r="D3472" s="4">
        <v>28422</v>
      </c>
      <c r="E3472" s="4">
        <v>20210416</v>
      </c>
      <c r="F3472" s="4">
        <v>20210416</v>
      </c>
      <c r="G3472" s="4">
        <v>20220916</v>
      </c>
      <c r="H3472" s="4" t="s">
        <v>6758</v>
      </c>
      <c r="I3472" s="4" t="s">
        <v>6757</v>
      </c>
      <c r="J3472" s="4" t="s">
        <v>188</v>
      </c>
    </row>
    <row r="3473" spans="1:10" hidden="1">
      <c r="A3473" s="4">
        <v>2.0210447912000198E+17</v>
      </c>
      <c r="B3473" s="4">
        <v>3180801454</v>
      </c>
      <c r="C3473" s="4" t="s">
        <v>6756</v>
      </c>
      <c r="D3473" s="4">
        <v>47912</v>
      </c>
      <c r="E3473" s="4">
        <v>20210416</v>
      </c>
      <c r="F3473" s="4">
        <v>20210416</v>
      </c>
      <c r="G3473" s="4">
        <v>20240416</v>
      </c>
      <c r="H3473" s="4" t="s">
        <v>1906</v>
      </c>
      <c r="I3473" s="4" t="s">
        <v>6755</v>
      </c>
      <c r="J3473" s="4" t="s">
        <v>78</v>
      </c>
    </row>
    <row r="3474" spans="1:10" hidden="1">
      <c r="A3474" s="4">
        <v>2.0210425929000198E+17</v>
      </c>
      <c r="B3474" s="4">
        <v>2162187174</v>
      </c>
      <c r="C3474" s="4" t="s">
        <v>6754</v>
      </c>
      <c r="D3474" s="4">
        <v>25929</v>
      </c>
      <c r="E3474" s="4">
        <v>20210416</v>
      </c>
      <c r="F3474" s="4">
        <v>20210416</v>
      </c>
      <c r="G3474" s="4">
        <v>20240416</v>
      </c>
      <c r="H3474" s="4" t="s">
        <v>6753</v>
      </c>
      <c r="I3474" s="4" t="s">
        <v>6752</v>
      </c>
      <c r="J3474" s="4" t="s">
        <v>701</v>
      </c>
    </row>
    <row r="3475" spans="1:10" hidden="1">
      <c r="A3475" s="4">
        <v>2.0210446532000198E+17</v>
      </c>
      <c r="B3475" s="4">
        <v>4748100985</v>
      </c>
      <c r="C3475" s="4" t="s">
        <v>6845</v>
      </c>
      <c r="D3475" s="4">
        <v>46532</v>
      </c>
      <c r="E3475" s="4">
        <v>20210419</v>
      </c>
      <c r="F3475" s="4">
        <v>20210419</v>
      </c>
      <c r="G3475" s="4">
        <v>20240419</v>
      </c>
      <c r="H3475" s="4" t="s">
        <v>3772</v>
      </c>
      <c r="I3475" s="4" t="s">
        <v>6844</v>
      </c>
      <c r="J3475" s="4" t="s">
        <v>6843</v>
      </c>
    </row>
    <row r="3476" spans="1:10" hidden="1">
      <c r="A3476" s="4">
        <v>2.0210468121000198E+17</v>
      </c>
      <c r="B3476" s="4">
        <v>6868101869</v>
      </c>
      <c r="C3476" s="4" t="s">
        <v>6749</v>
      </c>
      <c r="D3476" s="4">
        <v>68121</v>
      </c>
      <c r="E3476" s="4">
        <v>20210416</v>
      </c>
      <c r="F3476" s="4">
        <v>20210416</v>
      </c>
      <c r="G3476" s="4">
        <v>20240416</v>
      </c>
      <c r="H3476" s="4" t="s">
        <v>6748</v>
      </c>
      <c r="J3476" s="4" t="s">
        <v>6747</v>
      </c>
    </row>
    <row r="3477" spans="1:10" hidden="1">
      <c r="A3477" s="4">
        <v>2.0210447911000198E+17</v>
      </c>
      <c r="B3477" s="4">
        <v>3341100442</v>
      </c>
      <c r="C3477" s="4" t="s">
        <v>6746</v>
      </c>
      <c r="D3477" s="4">
        <v>47911</v>
      </c>
      <c r="E3477" s="4">
        <v>20210416</v>
      </c>
      <c r="F3477" s="4">
        <v>20210416</v>
      </c>
      <c r="G3477" s="4">
        <v>20230728</v>
      </c>
      <c r="H3477" s="4" t="s">
        <v>6745</v>
      </c>
      <c r="I3477" s="4" t="s">
        <v>6744</v>
      </c>
      <c r="J3477" s="4" t="s">
        <v>440</v>
      </c>
    </row>
    <row r="3478" spans="1:10" hidden="1">
      <c r="A3478" s="4">
        <v>2.0210474211000198E+17</v>
      </c>
      <c r="B3478" s="4">
        <v>6078619056</v>
      </c>
      <c r="C3478" s="4" t="s">
        <v>6743</v>
      </c>
      <c r="D3478" s="4">
        <v>74211</v>
      </c>
      <c r="E3478" s="4">
        <v>20210416</v>
      </c>
      <c r="F3478" s="4">
        <v>20210416</v>
      </c>
      <c r="G3478" s="4">
        <v>20220625</v>
      </c>
      <c r="H3478" s="4" t="s">
        <v>6742</v>
      </c>
      <c r="I3478" s="4" t="s">
        <v>91</v>
      </c>
      <c r="J3478" s="4" t="s">
        <v>5576</v>
      </c>
    </row>
    <row r="3479" spans="1:10" hidden="1">
      <c r="A3479" s="4">
        <v>2.0210446109000198E+17</v>
      </c>
      <c r="B3479" s="4">
        <v>4692700958</v>
      </c>
      <c r="C3479" s="4" t="s">
        <v>6741</v>
      </c>
      <c r="D3479" s="4">
        <v>46109</v>
      </c>
      <c r="E3479" s="4">
        <v>20210416</v>
      </c>
      <c r="F3479" s="4">
        <v>20210416</v>
      </c>
      <c r="G3479" s="4">
        <v>20240416</v>
      </c>
      <c r="H3479" s="4" t="s">
        <v>6740</v>
      </c>
      <c r="I3479" s="4" t="s">
        <v>175</v>
      </c>
      <c r="J3479" s="4" t="s">
        <v>133</v>
      </c>
    </row>
    <row r="3480" spans="1:10" hidden="1">
      <c r="A3480" s="4">
        <v>2.0210420203000198E+17</v>
      </c>
      <c r="B3480" s="4">
        <v>3068701382</v>
      </c>
      <c r="C3480" s="4" t="s">
        <v>6739</v>
      </c>
      <c r="D3480" s="4">
        <v>20203</v>
      </c>
      <c r="E3480" s="4">
        <v>20210416</v>
      </c>
      <c r="F3480" s="4">
        <v>20210416</v>
      </c>
      <c r="G3480" s="4">
        <v>20240416</v>
      </c>
      <c r="H3480" s="4" t="s">
        <v>6738</v>
      </c>
      <c r="J3480" s="4" t="s">
        <v>576</v>
      </c>
    </row>
    <row r="3481" spans="1:10" hidden="1">
      <c r="A3481" s="4">
        <v>2.0210442321000198E+17</v>
      </c>
      <c r="B3481" s="4">
        <v>6688700433</v>
      </c>
      <c r="C3481" s="4" t="s">
        <v>6737</v>
      </c>
      <c r="D3481" s="4">
        <v>42321</v>
      </c>
      <c r="E3481" s="4">
        <v>20210416</v>
      </c>
      <c r="F3481" s="4">
        <v>20210416</v>
      </c>
      <c r="G3481" s="4">
        <v>20230613</v>
      </c>
      <c r="H3481" s="4" t="s">
        <v>6736</v>
      </c>
      <c r="I3481" s="4" t="s">
        <v>6735</v>
      </c>
      <c r="J3481" s="4" t="s">
        <v>698</v>
      </c>
    </row>
    <row r="3482" spans="1:10" hidden="1">
      <c r="A3482" s="4">
        <v>2.0210428111000198E+17</v>
      </c>
      <c r="B3482" s="4">
        <v>2088701579</v>
      </c>
      <c r="C3482" s="4" t="s">
        <v>6734</v>
      </c>
      <c r="D3482" s="4">
        <v>28111</v>
      </c>
      <c r="E3482" s="4">
        <v>20210416</v>
      </c>
      <c r="F3482" s="4">
        <v>20210416</v>
      </c>
      <c r="G3482" s="4">
        <v>20240416</v>
      </c>
      <c r="H3482" s="4" t="s">
        <v>6733</v>
      </c>
      <c r="I3482" s="4" t="s">
        <v>6732</v>
      </c>
      <c r="J3482" s="4" t="s">
        <v>1614</v>
      </c>
    </row>
    <row r="3483" spans="1:10" hidden="1">
      <c r="A3483" s="4">
        <v>2.0210426111000198E+17</v>
      </c>
      <c r="B3483" s="4">
        <v>5858100285</v>
      </c>
      <c r="C3483" s="4" t="s">
        <v>6731</v>
      </c>
      <c r="D3483" s="4">
        <v>26111</v>
      </c>
      <c r="E3483" s="4">
        <v>20210416</v>
      </c>
      <c r="F3483" s="4">
        <v>20210416</v>
      </c>
      <c r="G3483" s="4">
        <v>20221028</v>
      </c>
      <c r="H3483" s="4" t="s">
        <v>1587</v>
      </c>
      <c r="I3483" s="4" t="s">
        <v>6730</v>
      </c>
      <c r="J3483" s="4" t="s">
        <v>6729</v>
      </c>
    </row>
    <row r="3484" spans="1:10" hidden="1">
      <c r="A3484" s="4">
        <v>2.0210428519000198E+17</v>
      </c>
      <c r="B3484" s="4">
        <v>5398101786</v>
      </c>
      <c r="C3484" s="4" t="s">
        <v>6728</v>
      </c>
      <c r="D3484" s="4">
        <v>28519</v>
      </c>
      <c r="E3484" s="4">
        <v>20210416</v>
      </c>
      <c r="F3484" s="4">
        <v>20210416</v>
      </c>
      <c r="G3484" s="4">
        <v>20240416</v>
      </c>
      <c r="H3484" s="4" t="s">
        <v>6727</v>
      </c>
      <c r="I3484" s="4" t="s">
        <v>6726</v>
      </c>
      <c r="J3484" s="4" t="s">
        <v>1412</v>
      </c>
    </row>
    <row r="3485" spans="1:10" hidden="1">
      <c r="A3485" s="4">
        <v>2.0210442311000198E+17</v>
      </c>
      <c r="B3485" s="4">
        <v>1378801162</v>
      </c>
      <c r="C3485" s="4" t="s">
        <v>6725</v>
      </c>
      <c r="D3485" s="4">
        <v>42311</v>
      </c>
      <c r="E3485" s="4">
        <v>20210416</v>
      </c>
      <c r="F3485" s="4">
        <v>20210416</v>
      </c>
      <c r="G3485" s="4">
        <v>20240416</v>
      </c>
      <c r="H3485" s="4" t="s">
        <v>6724</v>
      </c>
      <c r="I3485" s="4" t="s">
        <v>6723</v>
      </c>
      <c r="J3485" s="4" t="s">
        <v>718</v>
      </c>
    </row>
    <row r="3486" spans="1:10" hidden="1">
      <c r="A3486" s="4">
        <v>2.0210414120000198E+17</v>
      </c>
      <c r="B3486" s="4">
        <v>8408801822</v>
      </c>
      <c r="C3486" s="4" t="s">
        <v>6722</v>
      </c>
      <c r="D3486" s="4">
        <v>14120</v>
      </c>
      <c r="E3486" s="4">
        <v>20210416</v>
      </c>
      <c r="F3486" s="4">
        <v>20210416</v>
      </c>
      <c r="G3486" s="4">
        <v>20240416</v>
      </c>
      <c r="H3486" s="4" t="s">
        <v>6721</v>
      </c>
      <c r="J3486" s="4" t="s">
        <v>6720</v>
      </c>
    </row>
    <row r="3487" spans="1:10" hidden="1">
      <c r="A3487" s="4">
        <v>2.0210446712000198E+17</v>
      </c>
      <c r="B3487" s="4">
        <v>2678600515</v>
      </c>
      <c r="C3487" s="4" t="s">
        <v>6719</v>
      </c>
      <c r="D3487" s="4">
        <v>46712</v>
      </c>
      <c r="E3487" s="4">
        <v>20210416</v>
      </c>
      <c r="F3487" s="4">
        <v>20210416</v>
      </c>
      <c r="G3487" s="4">
        <v>20240102</v>
      </c>
      <c r="H3487" s="4" t="s">
        <v>6718</v>
      </c>
      <c r="J3487" s="4" t="s">
        <v>6717</v>
      </c>
    </row>
    <row r="3488" spans="1:10" hidden="1">
      <c r="A3488" s="4">
        <v>2.0210429162000198E+17</v>
      </c>
      <c r="B3488" s="4">
        <v>2748101986</v>
      </c>
      <c r="C3488" s="4" t="s">
        <v>6716</v>
      </c>
      <c r="D3488" s="4">
        <v>29162</v>
      </c>
      <c r="E3488" s="4">
        <v>20210416</v>
      </c>
      <c r="F3488" s="4">
        <v>20210416</v>
      </c>
      <c r="G3488" s="4">
        <v>20240416</v>
      </c>
      <c r="H3488" s="4" t="s">
        <v>6715</v>
      </c>
      <c r="I3488" s="4" t="s">
        <v>6714</v>
      </c>
      <c r="J3488" s="4" t="s">
        <v>4569</v>
      </c>
    </row>
    <row r="3489" spans="1:10" hidden="1">
      <c r="A3489" s="4">
        <v>2.0210470121000198E+17</v>
      </c>
      <c r="B3489" s="4">
        <v>6668701737</v>
      </c>
      <c r="C3489" s="4" t="s">
        <v>6713</v>
      </c>
      <c r="D3489" s="4">
        <v>70121</v>
      </c>
      <c r="E3489" s="4">
        <v>20210416</v>
      </c>
      <c r="F3489" s="4">
        <v>20210416</v>
      </c>
      <c r="G3489" s="4">
        <v>20240416</v>
      </c>
      <c r="H3489" s="4" t="s">
        <v>6712</v>
      </c>
      <c r="I3489" s="4" t="s">
        <v>6711</v>
      </c>
      <c r="J3489" s="4" t="s">
        <v>1267</v>
      </c>
    </row>
    <row r="3490" spans="1:10" hidden="1">
      <c r="A3490" s="4">
        <v>2.0210442491000198E+17</v>
      </c>
      <c r="B3490" s="4">
        <v>2668700203</v>
      </c>
      <c r="C3490" s="4" t="s">
        <v>6710</v>
      </c>
      <c r="D3490" s="4">
        <v>42491</v>
      </c>
      <c r="E3490" s="4">
        <v>20210416</v>
      </c>
      <c r="F3490" s="4">
        <v>20210416</v>
      </c>
      <c r="G3490" s="4">
        <v>20220907</v>
      </c>
      <c r="H3490" s="4" t="s">
        <v>6709</v>
      </c>
      <c r="J3490" s="4" t="s">
        <v>883</v>
      </c>
    </row>
    <row r="3491" spans="1:10" hidden="1">
      <c r="A3491" s="4">
        <v>2.0210446106000198E+17</v>
      </c>
      <c r="B3491" s="4">
        <v>2952001022</v>
      </c>
      <c r="C3491" s="4" t="s">
        <v>6708</v>
      </c>
      <c r="D3491" s="4">
        <v>46106</v>
      </c>
      <c r="E3491" s="4">
        <v>20210416</v>
      </c>
      <c r="F3491" s="4">
        <v>20210416</v>
      </c>
      <c r="G3491" s="4">
        <v>20240416</v>
      </c>
      <c r="H3491" s="4" t="s">
        <v>6707</v>
      </c>
      <c r="I3491" s="4" t="s">
        <v>6706</v>
      </c>
      <c r="J3491" s="4" t="s">
        <v>6705</v>
      </c>
    </row>
    <row r="3492" spans="1:10" hidden="1">
      <c r="A3492" s="4">
        <v>2.0210472111000198E+17</v>
      </c>
      <c r="B3492" s="4">
        <v>1043414679</v>
      </c>
      <c r="C3492" s="4" t="s">
        <v>6704</v>
      </c>
      <c r="D3492" s="4">
        <v>72111</v>
      </c>
      <c r="E3492" s="4">
        <v>20210416</v>
      </c>
      <c r="F3492" s="4">
        <v>20210416</v>
      </c>
      <c r="G3492" s="4">
        <v>20240416</v>
      </c>
      <c r="H3492" s="4" t="s">
        <v>6703</v>
      </c>
      <c r="I3492" s="4" t="s">
        <v>6702</v>
      </c>
      <c r="J3492" s="4" t="s">
        <v>3461</v>
      </c>
    </row>
    <row r="3493" spans="1:10" hidden="1">
      <c r="A3493" s="4">
        <v>2.0210420202000198E+17</v>
      </c>
      <c r="B3493" s="4">
        <v>3481100209</v>
      </c>
      <c r="C3493" s="4" t="s">
        <v>6701</v>
      </c>
      <c r="D3493" s="4">
        <v>20202</v>
      </c>
      <c r="E3493" s="4">
        <v>20210416</v>
      </c>
      <c r="F3493" s="4">
        <v>20210416</v>
      </c>
      <c r="G3493" s="4">
        <v>20221215</v>
      </c>
      <c r="H3493" s="4" t="s">
        <v>6700</v>
      </c>
      <c r="I3493" s="4" t="s">
        <v>185</v>
      </c>
      <c r="J3493" s="4" t="s">
        <v>224</v>
      </c>
    </row>
    <row r="3494" spans="1:10" hidden="1">
      <c r="A3494" s="4">
        <v>2.0210413994000198E+17</v>
      </c>
      <c r="B3494" s="4">
        <v>8168800233</v>
      </c>
      <c r="C3494" s="4" t="s">
        <v>6699</v>
      </c>
      <c r="D3494" s="4">
        <v>13994</v>
      </c>
      <c r="E3494" s="4">
        <v>20210415</v>
      </c>
      <c r="F3494" s="4">
        <v>20210415</v>
      </c>
      <c r="G3494" s="4">
        <v>20230129</v>
      </c>
      <c r="H3494" s="4" t="s">
        <v>6698</v>
      </c>
      <c r="I3494" s="4" t="s">
        <v>6697</v>
      </c>
      <c r="J3494" s="4" t="s">
        <v>6696</v>
      </c>
    </row>
    <row r="3495" spans="1:10" hidden="1">
      <c r="A3495" s="4">
        <v>2.0210458222000198E+17</v>
      </c>
      <c r="B3495" s="4">
        <v>8178701669</v>
      </c>
      <c r="C3495" s="4" t="s">
        <v>6695</v>
      </c>
      <c r="D3495" s="4">
        <v>58222</v>
      </c>
      <c r="E3495" s="4">
        <v>20210415</v>
      </c>
      <c r="F3495" s="4">
        <v>20210415</v>
      </c>
      <c r="G3495" s="4">
        <v>20240415</v>
      </c>
      <c r="H3495" s="4" t="s">
        <v>6694</v>
      </c>
      <c r="I3495" s="4" t="s">
        <v>6693</v>
      </c>
      <c r="J3495" s="4" t="s">
        <v>94</v>
      </c>
    </row>
    <row r="3496" spans="1:10" hidden="1">
      <c r="A3496" s="4">
        <v>2.0210442132000198E+17</v>
      </c>
      <c r="B3496" s="4">
        <v>6248801477</v>
      </c>
      <c r="C3496" s="4" t="s">
        <v>6692</v>
      </c>
      <c r="D3496" s="4">
        <v>42132</v>
      </c>
      <c r="E3496" s="4">
        <v>20210415</v>
      </c>
      <c r="F3496" s="4">
        <v>20210415</v>
      </c>
      <c r="G3496" s="4">
        <v>20240415</v>
      </c>
      <c r="H3496" s="4" t="s">
        <v>6691</v>
      </c>
      <c r="I3496" s="4" t="s">
        <v>91</v>
      </c>
      <c r="J3496" s="4" t="s">
        <v>5086</v>
      </c>
    </row>
    <row r="3497" spans="1:10" hidden="1">
      <c r="A3497" s="4">
        <v>2.0210428123000198E+17</v>
      </c>
      <c r="B3497" s="4">
        <v>8368800348</v>
      </c>
      <c r="C3497" s="4" t="s">
        <v>6690</v>
      </c>
      <c r="D3497" s="4">
        <v>28123</v>
      </c>
      <c r="E3497" s="4">
        <v>20210415</v>
      </c>
      <c r="F3497" s="4">
        <v>20210415</v>
      </c>
      <c r="G3497" s="4">
        <v>20230715</v>
      </c>
      <c r="H3497" s="4" t="s">
        <v>6689</v>
      </c>
      <c r="J3497" s="4" t="s">
        <v>640</v>
      </c>
    </row>
    <row r="3498" spans="1:10" hidden="1">
      <c r="A3498" s="4">
        <v>2.0210446800000198E+17</v>
      </c>
      <c r="B3498" s="4">
        <v>7410501731</v>
      </c>
      <c r="C3498" s="4" t="s">
        <v>6751</v>
      </c>
      <c r="D3498" s="4">
        <v>46800</v>
      </c>
      <c r="E3498" s="4">
        <v>20210416</v>
      </c>
      <c r="F3498" s="4">
        <v>20210416</v>
      </c>
      <c r="G3498" s="4">
        <v>20240416</v>
      </c>
      <c r="H3498" s="4" t="s">
        <v>774</v>
      </c>
      <c r="I3498" s="4" t="s">
        <v>6750</v>
      </c>
      <c r="J3498" s="4" t="s">
        <v>979</v>
      </c>
    </row>
    <row r="3499" spans="1:10" hidden="1">
      <c r="A3499" s="4">
        <v>2.0210425944000198E+17</v>
      </c>
      <c r="B3499" s="4">
        <v>2278122520</v>
      </c>
      <c r="C3499" s="4" t="s">
        <v>6686</v>
      </c>
      <c r="D3499" s="4">
        <v>25944</v>
      </c>
      <c r="E3499" s="4">
        <v>20210415</v>
      </c>
      <c r="F3499" s="4">
        <v>20210415</v>
      </c>
      <c r="G3499" s="4">
        <v>20230623</v>
      </c>
      <c r="H3499" s="4" t="s">
        <v>6685</v>
      </c>
      <c r="J3499" s="4" t="s">
        <v>1334</v>
      </c>
    </row>
    <row r="3500" spans="1:10" hidden="1">
      <c r="A3500" s="4">
        <v>2.0210446432000198E+17</v>
      </c>
      <c r="B3500" s="4">
        <v>5643900315</v>
      </c>
      <c r="C3500" s="4" t="s">
        <v>6684</v>
      </c>
      <c r="D3500" s="4">
        <v>46432</v>
      </c>
      <c r="E3500" s="4">
        <v>20210415</v>
      </c>
      <c r="F3500" s="4">
        <v>20210415</v>
      </c>
      <c r="G3500" s="4">
        <v>20240415</v>
      </c>
      <c r="H3500" s="4" t="s">
        <v>6683</v>
      </c>
      <c r="I3500" s="4" t="s">
        <v>6682</v>
      </c>
      <c r="J3500" s="4" t="s">
        <v>414</v>
      </c>
    </row>
    <row r="3501" spans="1:10" hidden="1">
      <c r="A3501" s="4">
        <v>2.0210424199000198E+17</v>
      </c>
      <c r="B3501" s="4">
        <v>3822000856</v>
      </c>
      <c r="C3501" s="4" t="s">
        <v>6681</v>
      </c>
      <c r="D3501" s="4">
        <v>24199</v>
      </c>
      <c r="E3501" s="4">
        <v>20210415</v>
      </c>
      <c r="F3501" s="4">
        <v>20210415</v>
      </c>
      <c r="G3501" s="4">
        <v>20240415</v>
      </c>
      <c r="H3501" s="4" t="s">
        <v>6680</v>
      </c>
      <c r="J3501" s="4" t="s">
        <v>454</v>
      </c>
    </row>
    <row r="3502" spans="1:10" hidden="1">
      <c r="A3502" s="4">
        <v>2.0210458222000198E+17</v>
      </c>
      <c r="B3502" s="4">
        <v>2944100141</v>
      </c>
      <c r="C3502" s="4" t="s">
        <v>6679</v>
      </c>
      <c r="D3502" s="4">
        <v>58222</v>
      </c>
      <c r="E3502" s="4">
        <v>20210415</v>
      </c>
      <c r="F3502" s="4">
        <v>20210415</v>
      </c>
      <c r="G3502" s="4">
        <v>20230315</v>
      </c>
      <c r="H3502" s="4" t="s">
        <v>6678</v>
      </c>
      <c r="I3502" s="4" t="s">
        <v>6677</v>
      </c>
      <c r="J3502" s="4" t="s">
        <v>94</v>
      </c>
    </row>
    <row r="3503" spans="1:10" hidden="1">
      <c r="A3503" s="4">
        <v>2.0210472122000198E+17</v>
      </c>
      <c r="B3503" s="4">
        <v>5498602074</v>
      </c>
      <c r="C3503" s="4" t="s">
        <v>6688</v>
      </c>
      <c r="D3503" s="4">
        <v>72122</v>
      </c>
      <c r="E3503" s="4">
        <v>20210415</v>
      </c>
      <c r="F3503" s="4">
        <v>20210415</v>
      </c>
      <c r="G3503" s="4">
        <v>20240415</v>
      </c>
      <c r="H3503" s="4" t="s">
        <v>6687</v>
      </c>
      <c r="I3503" s="4" t="s">
        <v>91</v>
      </c>
      <c r="J3503" s="4" t="s">
        <v>2484</v>
      </c>
    </row>
    <row r="3504" spans="1:10" hidden="1">
      <c r="A3504" s="4">
        <v>2.0210447611000198E+17</v>
      </c>
      <c r="B3504" s="4">
        <v>1761900779</v>
      </c>
      <c r="C3504" s="4" t="s">
        <v>6674</v>
      </c>
      <c r="D3504" s="4">
        <v>47611</v>
      </c>
      <c r="E3504" s="4">
        <v>20210415</v>
      </c>
      <c r="F3504" s="4">
        <v>20210415</v>
      </c>
      <c r="G3504" s="4">
        <v>20240415</v>
      </c>
      <c r="H3504" s="4" t="s">
        <v>6673</v>
      </c>
      <c r="J3504" s="4" t="s">
        <v>4252</v>
      </c>
    </row>
    <row r="3505" spans="1:10" hidden="1">
      <c r="A3505" s="4">
        <v>2.0210413229000198E+17</v>
      </c>
      <c r="B3505" s="4">
        <v>3258101789</v>
      </c>
      <c r="C3505" s="4" t="s">
        <v>6672</v>
      </c>
      <c r="D3505" s="4">
        <v>13229</v>
      </c>
      <c r="E3505" s="4">
        <v>20210415</v>
      </c>
      <c r="F3505" s="4">
        <v>20210415</v>
      </c>
      <c r="G3505" s="4">
        <v>20240415</v>
      </c>
      <c r="H3505" s="4" t="s">
        <v>6671</v>
      </c>
      <c r="J3505" s="4" t="s">
        <v>115</v>
      </c>
    </row>
    <row r="3506" spans="1:10" hidden="1">
      <c r="A3506" s="4">
        <v>2.0210425999000198E+17</v>
      </c>
      <c r="B3506" s="4">
        <v>4521400436</v>
      </c>
      <c r="C3506" s="4" t="s">
        <v>6675</v>
      </c>
      <c r="D3506" s="4">
        <v>25999</v>
      </c>
      <c r="E3506" s="4">
        <v>20210415</v>
      </c>
      <c r="F3506" s="4">
        <v>20210415</v>
      </c>
      <c r="G3506" s="4">
        <v>20230902</v>
      </c>
      <c r="H3506" s="4" t="s">
        <v>6676</v>
      </c>
      <c r="I3506" s="4" t="s">
        <v>6675</v>
      </c>
      <c r="J3506" s="4" t="s">
        <v>301</v>
      </c>
    </row>
    <row r="3507" spans="1:10" hidden="1">
      <c r="A3507" s="4">
        <v>2.0210425929000198E+17</v>
      </c>
      <c r="B3507" s="4">
        <v>1858701276</v>
      </c>
      <c r="C3507" s="4" t="s">
        <v>6670</v>
      </c>
      <c r="D3507" s="4">
        <v>25929</v>
      </c>
      <c r="E3507" s="4">
        <v>20210415</v>
      </c>
      <c r="F3507" s="4">
        <v>20210415</v>
      </c>
      <c r="G3507" s="4">
        <v>20240415</v>
      </c>
      <c r="H3507" s="4" t="s">
        <v>603</v>
      </c>
      <c r="I3507" s="4" t="s">
        <v>6669</v>
      </c>
      <c r="J3507" s="4" t="s">
        <v>701</v>
      </c>
    </row>
    <row r="3508" spans="1:10" hidden="1">
      <c r="A3508" s="4">
        <v>2.0210432029000198E+17</v>
      </c>
      <c r="B3508" s="4">
        <v>8872500996</v>
      </c>
      <c r="C3508" s="4" t="s">
        <v>6666</v>
      </c>
      <c r="D3508" s="4">
        <v>32029</v>
      </c>
      <c r="E3508" s="4">
        <v>20210415</v>
      </c>
      <c r="F3508" s="4">
        <v>20210415</v>
      </c>
      <c r="G3508" s="4">
        <v>20240415</v>
      </c>
      <c r="H3508" s="4" t="s">
        <v>6665</v>
      </c>
      <c r="J3508" s="4" t="s">
        <v>637</v>
      </c>
    </row>
    <row r="3509" spans="1:10" hidden="1">
      <c r="A3509" s="4">
        <v>2.0210442500000198E+17</v>
      </c>
      <c r="B3509" s="4">
        <v>2048700995</v>
      </c>
      <c r="C3509" s="4" t="s">
        <v>6664</v>
      </c>
      <c r="D3509" s="4">
        <v>42500</v>
      </c>
      <c r="E3509" s="4">
        <v>20210415</v>
      </c>
      <c r="F3509" s="4">
        <v>20210415</v>
      </c>
      <c r="G3509" s="4">
        <v>20240415</v>
      </c>
      <c r="H3509" s="4" t="s">
        <v>6663</v>
      </c>
      <c r="I3509" s="4" t="s">
        <v>6226</v>
      </c>
      <c r="J3509" s="4" t="s">
        <v>740</v>
      </c>
    </row>
    <row r="3510" spans="1:10" hidden="1">
      <c r="A3510" s="4">
        <v>2.0210410712000198E+17</v>
      </c>
      <c r="B3510" s="4">
        <v>8018101283</v>
      </c>
      <c r="C3510" s="4" t="s">
        <v>6662</v>
      </c>
      <c r="D3510" s="4">
        <v>10712</v>
      </c>
      <c r="E3510" s="4">
        <v>20210415</v>
      </c>
      <c r="F3510" s="4">
        <v>20210415</v>
      </c>
      <c r="G3510" s="4">
        <v>20240415</v>
      </c>
      <c r="H3510" s="4" t="s">
        <v>6661</v>
      </c>
      <c r="J3510" s="4" t="s">
        <v>3047</v>
      </c>
    </row>
    <row r="3511" spans="1:10" hidden="1">
      <c r="A3511" s="4">
        <v>2.0210442202000198E+17</v>
      </c>
      <c r="B3511" s="4">
        <v>1578801720</v>
      </c>
      <c r="C3511" s="4" t="s">
        <v>6660</v>
      </c>
      <c r="D3511" s="4">
        <v>42202</v>
      </c>
      <c r="E3511" s="4">
        <v>20210415</v>
      </c>
      <c r="F3511" s="4">
        <v>20210415</v>
      </c>
      <c r="G3511" s="4">
        <v>20240415</v>
      </c>
      <c r="H3511" s="4" t="s">
        <v>6659</v>
      </c>
      <c r="I3511" s="4" t="s">
        <v>185</v>
      </c>
      <c r="J3511" s="4" t="s">
        <v>447</v>
      </c>
    </row>
    <row r="3512" spans="1:10" hidden="1">
      <c r="A3512" s="4">
        <v>2.0210462021000198E+17</v>
      </c>
      <c r="B3512" s="4">
        <v>2938801953</v>
      </c>
      <c r="C3512" s="4" t="s">
        <v>6658</v>
      </c>
      <c r="D3512" s="4">
        <v>62021</v>
      </c>
      <c r="E3512" s="4">
        <v>20210415</v>
      </c>
      <c r="F3512" s="4">
        <v>20210415</v>
      </c>
      <c r="G3512" s="4">
        <v>20240415</v>
      </c>
      <c r="H3512" s="4" t="s">
        <v>6657</v>
      </c>
      <c r="I3512" s="4" t="s">
        <v>6656</v>
      </c>
      <c r="J3512" s="4" t="s">
        <v>1505</v>
      </c>
    </row>
    <row r="3513" spans="1:10" hidden="1">
      <c r="A3513" s="4">
        <v>2.0210417902000198E+17</v>
      </c>
      <c r="B3513" s="4">
        <v>7338701527</v>
      </c>
      <c r="C3513" s="4" t="s">
        <v>6655</v>
      </c>
      <c r="D3513" s="4">
        <v>17902</v>
      </c>
      <c r="E3513" s="4">
        <v>20210415</v>
      </c>
      <c r="F3513" s="4">
        <v>20210415</v>
      </c>
      <c r="G3513" s="4">
        <v>20240415</v>
      </c>
      <c r="H3513" s="4" t="s">
        <v>6654</v>
      </c>
      <c r="J3513" s="4" t="s">
        <v>6653</v>
      </c>
    </row>
    <row r="3514" spans="1:10" hidden="1">
      <c r="A3514" s="4">
        <v>2.0210459120000198E+17</v>
      </c>
      <c r="B3514" s="4">
        <v>3138600948</v>
      </c>
      <c r="C3514" s="4" t="s">
        <v>6652</v>
      </c>
      <c r="D3514" s="4">
        <v>59120</v>
      </c>
      <c r="E3514" s="4">
        <v>20210415</v>
      </c>
      <c r="F3514" s="4">
        <v>20210415</v>
      </c>
      <c r="G3514" s="4">
        <v>20240415</v>
      </c>
      <c r="H3514" s="4" t="s">
        <v>6651</v>
      </c>
      <c r="I3514" s="4" t="s">
        <v>6650</v>
      </c>
      <c r="J3514" s="4" t="s">
        <v>2961</v>
      </c>
    </row>
    <row r="3515" spans="1:10" hidden="1">
      <c r="A3515" s="4">
        <v>2.0210426529000198E+17</v>
      </c>
      <c r="B3515" s="4">
        <v>5608700217</v>
      </c>
      <c r="C3515" s="4" t="s">
        <v>6649</v>
      </c>
      <c r="D3515" s="4">
        <v>26529</v>
      </c>
      <c r="E3515" s="4">
        <v>20210415</v>
      </c>
      <c r="F3515" s="4">
        <v>20210415</v>
      </c>
      <c r="G3515" s="4">
        <v>20221222</v>
      </c>
      <c r="H3515" s="4" t="s">
        <v>6648</v>
      </c>
      <c r="I3515" s="4">
        <v>1909</v>
      </c>
      <c r="J3515" s="4" t="s">
        <v>1207</v>
      </c>
    </row>
    <row r="3516" spans="1:10" hidden="1">
      <c r="A3516" s="4">
        <v>2.0210429210000198E+17</v>
      </c>
      <c r="B3516" s="4">
        <v>5948801064</v>
      </c>
      <c r="C3516" s="4" t="s">
        <v>6647</v>
      </c>
      <c r="D3516" s="4">
        <v>29210</v>
      </c>
      <c r="E3516" s="4">
        <v>20210415</v>
      </c>
      <c r="F3516" s="4">
        <v>20210415</v>
      </c>
      <c r="G3516" s="4">
        <v>20240415</v>
      </c>
      <c r="H3516" s="4" t="s">
        <v>6646</v>
      </c>
      <c r="I3516" s="4" t="s">
        <v>1963</v>
      </c>
      <c r="J3516" s="4" t="s">
        <v>1274</v>
      </c>
    </row>
    <row r="3517" spans="1:10" hidden="1">
      <c r="A3517" s="4">
        <v>2.0210430399000198E+17</v>
      </c>
      <c r="B3517" s="4">
        <v>6588801669</v>
      </c>
      <c r="C3517" s="4" t="s">
        <v>6645</v>
      </c>
      <c r="D3517" s="4">
        <v>30399</v>
      </c>
      <c r="E3517" s="4">
        <v>20210415</v>
      </c>
      <c r="F3517" s="4">
        <v>20210415</v>
      </c>
      <c r="G3517" s="4">
        <v>20240415</v>
      </c>
      <c r="H3517" s="4" t="s">
        <v>6644</v>
      </c>
      <c r="J3517" s="4" t="s">
        <v>1763</v>
      </c>
    </row>
    <row r="3518" spans="1:10" hidden="1">
      <c r="A3518" s="4">
        <v>2.0210425112000198E+17</v>
      </c>
      <c r="B3518" s="4">
        <v>3738102002</v>
      </c>
      <c r="C3518" s="4" t="s">
        <v>6643</v>
      </c>
      <c r="D3518" s="4">
        <v>25112</v>
      </c>
      <c r="E3518" s="4">
        <v>20210415</v>
      </c>
      <c r="F3518" s="4">
        <v>20210415</v>
      </c>
      <c r="G3518" s="4">
        <v>20240415</v>
      </c>
      <c r="H3518" s="4" t="s">
        <v>6642</v>
      </c>
      <c r="J3518" s="4" t="s">
        <v>320</v>
      </c>
    </row>
    <row r="3519" spans="1:10" hidden="1">
      <c r="A3519" s="4">
        <v>2.0210425111000198E+17</v>
      </c>
      <c r="B3519" s="4">
        <v>1418144458</v>
      </c>
      <c r="C3519" s="4" t="s">
        <v>6641</v>
      </c>
      <c r="D3519" s="4">
        <v>25111</v>
      </c>
      <c r="E3519" s="4">
        <v>20210415</v>
      </c>
      <c r="F3519" s="4">
        <v>20210415</v>
      </c>
      <c r="G3519" s="4">
        <v>20211008</v>
      </c>
      <c r="H3519" s="4" t="s">
        <v>6640</v>
      </c>
      <c r="J3519" s="4" t="s">
        <v>82</v>
      </c>
    </row>
    <row r="3520" spans="1:10" hidden="1">
      <c r="A3520" s="4">
        <v>2.0210422299000198E+17</v>
      </c>
      <c r="B3520" s="4">
        <v>6828701869</v>
      </c>
      <c r="C3520" s="4" t="s">
        <v>6639</v>
      </c>
      <c r="D3520" s="4">
        <v>22299</v>
      </c>
      <c r="E3520" s="4">
        <v>20210415</v>
      </c>
      <c r="F3520" s="4">
        <v>20210415</v>
      </c>
      <c r="G3520" s="4">
        <v>20240415</v>
      </c>
      <c r="H3520" s="4" t="s">
        <v>6638</v>
      </c>
      <c r="J3520" s="4" t="s">
        <v>384</v>
      </c>
    </row>
    <row r="3521" spans="1:10" hidden="1">
      <c r="A3521" s="4">
        <v>2.0210432029000198E+17</v>
      </c>
      <c r="B3521" s="4">
        <v>7478101112</v>
      </c>
      <c r="C3521" s="4" t="s">
        <v>6637</v>
      </c>
      <c r="D3521" s="4">
        <v>32029</v>
      </c>
      <c r="E3521" s="4">
        <v>20210415</v>
      </c>
      <c r="F3521" s="4">
        <v>20210415</v>
      </c>
      <c r="G3521" s="4">
        <v>20240415</v>
      </c>
      <c r="H3521" s="4" t="s">
        <v>6636</v>
      </c>
      <c r="I3521" s="4" t="s">
        <v>6635</v>
      </c>
      <c r="J3521" s="4" t="s">
        <v>637</v>
      </c>
    </row>
    <row r="3522" spans="1:10" hidden="1">
      <c r="A3522" s="4">
        <v>2.0210428903000198E+17</v>
      </c>
      <c r="B3522" s="4">
        <v>4998801212</v>
      </c>
      <c r="C3522" s="4" t="s">
        <v>6634</v>
      </c>
      <c r="D3522" s="4">
        <v>28903</v>
      </c>
      <c r="E3522" s="4">
        <v>20210415</v>
      </c>
      <c r="F3522" s="4">
        <v>20210415</v>
      </c>
      <c r="G3522" s="4">
        <v>20240415</v>
      </c>
      <c r="H3522" s="4" t="s">
        <v>6633</v>
      </c>
      <c r="I3522" s="4" t="s">
        <v>6632</v>
      </c>
      <c r="J3522" s="4" t="s">
        <v>460</v>
      </c>
    </row>
    <row r="3523" spans="1:10" hidden="1">
      <c r="A3523" s="4">
        <v>2.0210410799000198E+17</v>
      </c>
      <c r="B3523" s="4">
        <v>6905400091</v>
      </c>
      <c r="C3523" s="4" t="s">
        <v>6668</v>
      </c>
      <c r="D3523" s="4">
        <v>10799</v>
      </c>
      <c r="E3523" s="4">
        <v>20210415</v>
      </c>
      <c r="F3523" s="4">
        <v>20210415</v>
      </c>
      <c r="G3523" s="4">
        <v>20230701</v>
      </c>
      <c r="H3523" s="4" t="s">
        <v>6667</v>
      </c>
      <c r="J3523" s="4" t="s">
        <v>2973</v>
      </c>
    </row>
    <row r="3524" spans="1:10" hidden="1">
      <c r="A3524" s="4">
        <v>2.0210425119000198E+17</v>
      </c>
      <c r="B3524" s="4">
        <v>4578800859</v>
      </c>
      <c r="C3524" s="4" t="s">
        <v>6628</v>
      </c>
      <c r="D3524" s="4">
        <v>25119</v>
      </c>
      <c r="E3524" s="4">
        <v>20210415</v>
      </c>
      <c r="F3524" s="4">
        <v>20210415</v>
      </c>
      <c r="G3524" s="4">
        <v>20240415</v>
      </c>
      <c r="H3524" s="4" t="s">
        <v>6627</v>
      </c>
      <c r="I3524" s="4" t="s">
        <v>6626</v>
      </c>
      <c r="J3524" s="4" t="s">
        <v>679</v>
      </c>
    </row>
    <row r="3525" spans="1:10" hidden="1">
      <c r="A3525" s="4">
        <v>2.0210447912000198E+17</v>
      </c>
      <c r="B3525" s="4">
        <v>8104800054</v>
      </c>
      <c r="C3525" s="4" t="s">
        <v>6625</v>
      </c>
      <c r="D3525" s="4">
        <v>47912</v>
      </c>
      <c r="E3525" s="4">
        <v>20210415</v>
      </c>
      <c r="F3525" s="4">
        <v>20210415</v>
      </c>
      <c r="G3525" s="4">
        <v>20220724</v>
      </c>
      <c r="H3525" s="4" t="s">
        <v>6624</v>
      </c>
      <c r="J3525" s="4" t="s">
        <v>78</v>
      </c>
    </row>
    <row r="3526" spans="1:10" hidden="1">
      <c r="A3526" s="4">
        <v>2.0210420423000198E+17</v>
      </c>
      <c r="B3526" s="4">
        <v>5162800362</v>
      </c>
      <c r="C3526" s="4" t="s">
        <v>6623</v>
      </c>
      <c r="D3526" s="4">
        <v>20423</v>
      </c>
      <c r="E3526" s="4">
        <v>20210415</v>
      </c>
      <c r="F3526" s="4">
        <v>20210415</v>
      </c>
      <c r="G3526" s="4">
        <v>20240415</v>
      </c>
      <c r="H3526" s="4" t="s">
        <v>6622</v>
      </c>
      <c r="I3526" s="4" t="s">
        <v>6621</v>
      </c>
      <c r="J3526" s="4" t="s">
        <v>368</v>
      </c>
    </row>
    <row r="3527" spans="1:10" hidden="1">
      <c r="A3527" s="4">
        <v>2.0210446109000198E+17</v>
      </c>
      <c r="B3527" s="4">
        <v>1265500205</v>
      </c>
      <c r="C3527" s="4" t="s">
        <v>6620</v>
      </c>
      <c r="D3527" s="4">
        <v>46109</v>
      </c>
      <c r="E3527" s="4">
        <v>20210415</v>
      </c>
      <c r="F3527" s="4">
        <v>20210415</v>
      </c>
      <c r="G3527" s="4">
        <v>20230912</v>
      </c>
      <c r="H3527" s="4" t="s">
        <v>6619</v>
      </c>
      <c r="I3527" s="4" t="s">
        <v>6618</v>
      </c>
      <c r="J3527" s="4" t="s">
        <v>133</v>
      </c>
    </row>
    <row r="3528" spans="1:10" hidden="1">
      <c r="A3528" s="4">
        <v>2.0210447611000198E+17</v>
      </c>
      <c r="B3528" s="4">
        <v>3795800358</v>
      </c>
      <c r="C3528" s="4" t="s">
        <v>6617</v>
      </c>
      <c r="D3528" s="4">
        <v>47611</v>
      </c>
      <c r="E3528" s="4">
        <v>20210415</v>
      </c>
      <c r="F3528" s="4">
        <v>20210415</v>
      </c>
      <c r="G3528" s="4">
        <v>20240415</v>
      </c>
      <c r="H3528" s="4" t="s">
        <v>6616</v>
      </c>
      <c r="J3528" s="4" t="s">
        <v>4252</v>
      </c>
    </row>
    <row r="3529" spans="1:10" hidden="1">
      <c r="A3529" s="4">
        <v>2.0210463999000198E+17</v>
      </c>
      <c r="B3529" s="4">
        <v>6918600945</v>
      </c>
      <c r="C3529" s="4" t="s">
        <v>6615</v>
      </c>
      <c r="D3529" s="4">
        <v>63999</v>
      </c>
      <c r="E3529" s="4">
        <v>20210414</v>
      </c>
      <c r="F3529" s="4">
        <v>20210414</v>
      </c>
      <c r="G3529" s="4">
        <v>20240414</v>
      </c>
      <c r="H3529" s="4" t="s">
        <v>6614</v>
      </c>
      <c r="I3529" s="4" t="s">
        <v>6613</v>
      </c>
      <c r="J3529" s="4" t="s">
        <v>643</v>
      </c>
    </row>
    <row r="3530" spans="1:10" hidden="1">
      <c r="A3530" s="4">
        <v>2.0210425999000198E+17</v>
      </c>
      <c r="B3530" s="4">
        <v>2338106317</v>
      </c>
      <c r="C3530" s="4" t="s">
        <v>6612</v>
      </c>
      <c r="D3530" s="4">
        <v>25999</v>
      </c>
      <c r="E3530" s="4">
        <v>20210414</v>
      </c>
      <c r="F3530" s="4">
        <v>20210414</v>
      </c>
      <c r="G3530" s="4">
        <v>20211110</v>
      </c>
      <c r="H3530" s="4" t="s">
        <v>6611</v>
      </c>
      <c r="I3530" s="4" t="s">
        <v>6610</v>
      </c>
      <c r="J3530" s="4" t="s">
        <v>301</v>
      </c>
    </row>
    <row r="3531" spans="1:10" hidden="1">
      <c r="A3531" s="4">
        <v>2.0210446451000198E+17</v>
      </c>
      <c r="B3531" s="4">
        <v>7378601600</v>
      </c>
      <c r="C3531" s="4" t="s">
        <v>6609</v>
      </c>
      <c r="D3531" s="4">
        <v>46451</v>
      </c>
      <c r="E3531" s="4">
        <v>20210414</v>
      </c>
      <c r="F3531" s="4">
        <v>20210414</v>
      </c>
      <c r="G3531" s="4">
        <v>20240414</v>
      </c>
      <c r="H3531" s="4" t="s">
        <v>6608</v>
      </c>
      <c r="I3531" s="4" t="s">
        <v>1553</v>
      </c>
      <c r="J3531" s="4" t="s">
        <v>6607</v>
      </c>
    </row>
    <row r="3532" spans="1:10" hidden="1">
      <c r="A3532" s="4">
        <v>2.0210428903000198E+17</v>
      </c>
      <c r="B3532" s="4">
        <v>1158701637</v>
      </c>
      <c r="C3532" s="4" t="s">
        <v>6606</v>
      </c>
      <c r="D3532" s="4">
        <v>28903</v>
      </c>
      <c r="E3532" s="4">
        <v>20210414</v>
      </c>
      <c r="F3532" s="4">
        <v>20210414</v>
      </c>
      <c r="G3532" s="4">
        <v>20240414</v>
      </c>
      <c r="H3532" s="4" t="s">
        <v>6605</v>
      </c>
      <c r="I3532" s="4" t="s">
        <v>6604</v>
      </c>
      <c r="J3532" s="4" t="s">
        <v>460</v>
      </c>
    </row>
    <row r="3533" spans="1:10" hidden="1">
      <c r="A3533" s="4">
        <v>2.0210428909000198E+17</v>
      </c>
      <c r="B3533" s="4">
        <v>2978601932</v>
      </c>
      <c r="C3533" s="4" t="s">
        <v>6602</v>
      </c>
      <c r="D3533" s="4">
        <v>28909</v>
      </c>
      <c r="E3533" s="4">
        <v>20210414</v>
      </c>
      <c r="F3533" s="4">
        <v>20210414</v>
      </c>
      <c r="G3533" s="4">
        <v>20240414</v>
      </c>
      <c r="H3533" s="4" t="s">
        <v>6603</v>
      </c>
      <c r="I3533" s="4" t="s">
        <v>6602</v>
      </c>
      <c r="J3533" s="4" t="s">
        <v>253</v>
      </c>
    </row>
    <row r="3534" spans="1:10" hidden="1">
      <c r="A3534" s="4">
        <v>2.0210428429000198E+17</v>
      </c>
      <c r="B3534" s="4">
        <v>5748600368</v>
      </c>
      <c r="C3534" s="4" t="s">
        <v>6601</v>
      </c>
      <c r="D3534" s="4">
        <v>28429</v>
      </c>
      <c r="E3534" s="4">
        <v>20210414</v>
      </c>
      <c r="F3534" s="4">
        <v>20210414</v>
      </c>
      <c r="G3534" s="4">
        <v>20230524</v>
      </c>
      <c r="H3534" s="4" t="s">
        <v>6600</v>
      </c>
      <c r="J3534" s="4" t="s">
        <v>765</v>
      </c>
    </row>
    <row r="3535" spans="1:10" hidden="1">
      <c r="A3535" s="4">
        <v>2.0210410791000198E+17</v>
      </c>
      <c r="B3535" s="4">
        <v>8518601037</v>
      </c>
      <c r="C3535" s="4" t="s">
        <v>6599</v>
      </c>
      <c r="D3535" s="4">
        <v>10791</v>
      </c>
      <c r="E3535" s="4">
        <v>20210414</v>
      </c>
      <c r="F3535" s="4">
        <v>20210414</v>
      </c>
      <c r="G3535" s="4">
        <v>20240414</v>
      </c>
      <c r="H3535" s="4" t="s">
        <v>6598</v>
      </c>
      <c r="J3535" s="4" t="s">
        <v>335</v>
      </c>
    </row>
    <row r="3536" spans="1:10" hidden="1">
      <c r="A3536" s="4">
        <v>2.0210458222000198E+17</v>
      </c>
      <c r="B3536" s="4">
        <v>3888601000</v>
      </c>
      <c r="C3536" s="4" t="s">
        <v>6597</v>
      </c>
      <c r="D3536" s="4">
        <v>58222</v>
      </c>
      <c r="E3536" s="4">
        <v>20210414</v>
      </c>
      <c r="F3536" s="4">
        <v>20210414</v>
      </c>
      <c r="G3536" s="4">
        <v>20240414</v>
      </c>
      <c r="H3536" s="4" t="s">
        <v>6596</v>
      </c>
      <c r="I3536" s="4" t="s">
        <v>3672</v>
      </c>
      <c r="J3536" s="4" t="s">
        <v>94</v>
      </c>
    </row>
    <row r="3537" spans="1:10" hidden="1">
      <c r="A3537" s="4">
        <v>2.0210429299000198E+17</v>
      </c>
      <c r="B3537" s="4">
        <v>6958801498</v>
      </c>
      <c r="C3537" s="4" t="s">
        <v>6631</v>
      </c>
      <c r="D3537" s="4">
        <v>29299</v>
      </c>
      <c r="E3537" s="4">
        <v>20210415</v>
      </c>
      <c r="F3537" s="4">
        <v>20210415</v>
      </c>
      <c r="G3537" s="4">
        <v>20240415</v>
      </c>
      <c r="H3537" s="4" t="s">
        <v>6630</v>
      </c>
      <c r="I3537" s="4" t="s">
        <v>6629</v>
      </c>
      <c r="J3537" s="4" t="s">
        <v>137</v>
      </c>
    </row>
    <row r="3538" spans="1:10" hidden="1">
      <c r="A3538" s="4">
        <v>2.0210463991000198E+17</v>
      </c>
      <c r="B3538" s="4">
        <v>7878800352</v>
      </c>
      <c r="C3538" s="4" t="s">
        <v>6592</v>
      </c>
      <c r="D3538" s="4">
        <v>63991</v>
      </c>
      <c r="E3538" s="4">
        <v>20210414</v>
      </c>
      <c r="F3538" s="4">
        <v>20210414</v>
      </c>
      <c r="G3538" s="4">
        <v>20230513</v>
      </c>
      <c r="H3538" s="4" t="s">
        <v>1074</v>
      </c>
      <c r="I3538" s="4" t="s">
        <v>6591</v>
      </c>
      <c r="J3538" s="4" t="s">
        <v>395</v>
      </c>
    </row>
    <row r="3539" spans="1:10" hidden="1">
      <c r="A3539" s="4">
        <v>2.0210446452000198E+17</v>
      </c>
      <c r="B3539" s="4">
        <v>4140292663</v>
      </c>
      <c r="C3539" s="4" t="s">
        <v>6590</v>
      </c>
      <c r="D3539" s="4">
        <v>46452</v>
      </c>
      <c r="E3539" s="4">
        <v>20210414</v>
      </c>
      <c r="F3539" s="4">
        <v>20210414</v>
      </c>
      <c r="G3539" s="4">
        <v>20240414</v>
      </c>
      <c r="H3539" s="4" t="s">
        <v>6589</v>
      </c>
      <c r="I3539" s="4" t="s">
        <v>6588</v>
      </c>
      <c r="J3539" s="4" t="s">
        <v>516</v>
      </c>
    </row>
    <row r="3540" spans="1:10" hidden="1">
      <c r="A3540" s="4">
        <v>2.0210446592000198E+17</v>
      </c>
      <c r="B3540" s="4">
        <v>3758700851</v>
      </c>
      <c r="C3540" s="4" t="s">
        <v>6587</v>
      </c>
      <c r="D3540" s="4">
        <v>46592</v>
      </c>
      <c r="E3540" s="4">
        <v>20210414</v>
      </c>
      <c r="F3540" s="4">
        <v>20210414</v>
      </c>
      <c r="G3540" s="4">
        <v>20240414</v>
      </c>
      <c r="H3540" s="4" t="s">
        <v>6586</v>
      </c>
      <c r="I3540" s="4" t="s">
        <v>6585</v>
      </c>
      <c r="J3540" s="4" t="s">
        <v>148</v>
      </c>
    </row>
    <row r="3541" spans="1:10" hidden="1">
      <c r="A3541" s="4">
        <v>2.0210442411000198E+17</v>
      </c>
      <c r="B3541" s="4">
        <v>4031691851</v>
      </c>
      <c r="C3541" s="4" t="s">
        <v>6584</v>
      </c>
      <c r="D3541" s="4">
        <v>42411</v>
      </c>
      <c r="E3541" s="4">
        <v>20210414</v>
      </c>
      <c r="F3541" s="4">
        <v>20210414</v>
      </c>
      <c r="G3541" s="4">
        <v>20240414</v>
      </c>
      <c r="H3541" s="4" t="s">
        <v>6583</v>
      </c>
      <c r="I3541" s="4" t="s">
        <v>6582</v>
      </c>
      <c r="J3541" s="4" t="s">
        <v>2211</v>
      </c>
    </row>
    <row r="3542" spans="1:10" hidden="1">
      <c r="A3542" s="4">
        <v>2.0210416102000198E+17</v>
      </c>
      <c r="B3542" s="4">
        <v>3888801396</v>
      </c>
      <c r="C3542" s="4" t="s">
        <v>6581</v>
      </c>
      <c r="D3542" s="4">
        <v>16102</v>
      </c>
      <c r="E3542" s="4">
        <v>20210414</v>
      </c>
      <c r="F3542" s="4">
        <v>20210414</v>
      </c>
      <c r="G3542" s="4">
        <v>20240414</v>
      </c>
      <c r="H3542" s="4" t="s">
        <v>6580</v>
      </c>
      <c r="J3542" s="4" t="s">
        <v>451</v>
      </c>
    </row>
    <row r="3543" spans="1:10" hidden="1">
      <c r="A3543" s="4">
        <v>2.0210459120000198E+17</v>
      </c>
      <c r="B3543" s="4">
        <v>8858101879</v>
      </c>
      <c r="C3543" s="4" t="s">
        <v>6579</v>
      </c>
      <c r="D3543" s="4">
        <v>59120</v>
      </c>
      <c r="E3543" s="4">
        <v>20210414</v>
      </c>
      <c r="F3543" s="4">
        <v>20210414</v>
      </c>
      <c r="G3543" s="4">
        <v>20240414</v>
      </c>
      <c r="H3543" s="4" t="s">
        <v>6578</v>
      </c>
      <c r="I3543" s="4" t="s">
        <v>6577</v>
      </c>
      <c r="J3543" s="4" t="s">
        <v>2961</v>
      </c>
    </row>
    <row r="3544" spans="1:10" hidden="1">
      <c r="A3544" s="4">
        <v>2.0210485699000198E+17</v>
      </c>
      <c r="B3544" s="4">
        <v>2988801962</v>
      </c>
      <c r="C3544" s="4" t="s">
        <v>6576</v>
      </c>
      <c r="D3544" s="4">
        <v>85699</v>
      </c>
      <c r="E3544" s="4">
        <v>20210414</v>
      </c>
      <c r="F3544" s="4">
        <v>20210414</v>
      </c>
      <c r="G3544" s="4">
        <v>20240414</v>
      </c>
      <c r="H3544" s="4" t="s">
        <v>6575</v>
      </c>
      <c r="I3544" s="4" t="s">
        <v>361</v>
      </c>
      <c r="J3544" s="4" t="s">
        <v>2192</v>
      </c>
    </row>
    <row r="3545" spans="1:10" hidden="1">
      <c r="A3545" s="4">
        <v>2.0210470129000198E+17</v>
      </c>
      <c r="B3545" s="4">
        <v>7258101937</v>
      </c>
      <c r="C3545" s="4" t="s">
        <v>6574</v>
      </c>
      <c r="D3545" s="4">
        <v>70129</v>
      </c>
      <c r="E3545" s="4">
        <v>20210414</v>
      </c>
      <c r="F3545" s="4">
        <v>20210414</v>
      </c>
      <c r="G3545" s="4">
        <v>20240414</v>
      </c>
      <c r="H3545" s="4" t="s">
        <v>6573</v>
      </c>
      <c r="I3545" s="4" t="s">
        <v>6572</v>
      </c>
      <c r="J3545" s="4" t="s">
        <v>937</v>
      </c>
    </row>
    <row r="3546" spans="1:10" hidden="1">
      <c r="A3546" s="4">
        <v>2.0210458222000198E+17</v>
      </c>
      <c r="B3546" s="4">
        <v>4298101174</v>
      </c>
      <c r="C3546" s="4" t="s">
        <v>6571</v>
      </c>
      <c r="D3546" s="4">
        <v>58222</v>
      </c>
      <c r="E3546" s="4">
        <v>20210414</v>
      </c>
      <c r="F3546" s="4">
        <v>20210414</v>
      </c>
      <c r="G3546" s="4">
        <v>20240414</v>
      </c>
      <c r="H3546" s="4" t="s">
        <v>6570</v>
      </c>
      <c r="I3546" s="4" t="s">
        <v>496</v>
      </c>
      <c r="J3546" s="4" t="s">
        <v>94</v>
      </c>
    </row>
    <row r="3547" spans="1:10" hidden="1">
      <c r="A3547" s="4">
        <v>2.0210422299000198E+17</v>
      </c>
      <c r="B3547" s="4">
        <v>5788601530</v>
      </c>
      <c r="C3547" s="4" t="s">
        <v>6595</v>
      </c>
      <c r="D3547" s="4">
        <v>22299</v>
      </c>
      <c r="E3547" s="4">
        <v>20210414</v>
      </c>
      <c r="F3547" s="4">
        <v>20210414</v>
      </c>
      <c r="G3547" s="4">
        <v>20240414</v>
      </c>
      <c r="H3547" s="4" t="s">
        <v>6594</v>
      </c>
      <c r="I3547" s="4" t="s">
        <v>6593</v>
      </c>
      <c r="J3547" s="4" t="s">
        <v>384</v>
      </c>
    </row>
    <row r="3548" spans="1:10" hidden="1">
      <c r="A3548" s="4">
        <v>2.0210414193000198E+17</v>
      </c>
      <c r="B3548" s="4">
        <v>2348109530</v>
      </c>
      <c r="C3548" s="4" t="s">
        <v>6566</v>
      </c>
      <c r="D3548" s="4">
        <v>14193</v>
      </c>
      <c r="E3548" s="4">
        <v>20210414</v>
      </c>
      <c r="F3548" s="4">
        <v>20210414</v>
      </c>
      <c r="G3548" s="4">
        <v>20240414</v>
      </c>
      <c r="H3548" s="4" t="s">
        <v>6565</v>
      </c>
      <c r="I3548" s="4" t="s">
        <v>1695</v>
      </c>
      <c r="J3548" s="4" t="s">
        <v>388</v>
      </c>
    </row>
    <row r="3549" spans="1:10" hidden="1">
      <c r="A3549" s="4">
        <v>2.0210470209000198E+17</v>
      </c>
      <c r="B3549" s="4">
        <v>6698700703</v>
      </c>
      <c r="C3549" s="4" t="s">
        <v>6564</v>
      </c>
      <c r="D3549" s="4">
        <v>70209</v>
      </c>
      <c r="E3549" s="4">
        <v>20210414</v>
      </c>
      <c r="F3549" s="4">
        <v>20210414</v>
      </c>
      <c r="G3549" s="4">
        <v>20240206</v>
      </c>
      <c r="H3549" s="4" t="s">
        <v>6563</v>
      </c>
      <c r="I3549" s="4" t="s">
        <v>6562</v>
      </c>
      <c r="J3549" s="4" t="s">
        <v>242</v>
      </c>
    </row>
    <row r="3550" spans="1:10" hidden="1">
      <c r="A3550" s="4">
        <v>2.0210433910000198E+17</v>
      </c>
      <c r="B3550" s="4">
        <v>2708101683</v>
      </c>
      <c r="C3550" s="4" t="s">
        <v>6561</v>
      </c>
      <c r="D3550" s="4">
        <v>33910</v>
      </c>
      <c r="E3550" s="4">
        <v>20210414</v>
      </c>
      <c r="F3550" s="4">
        <v>20210414</v>
      </c>
      <c r="G3550" s="4">
        <v>20240414</v>
      </c>
      <c r="H3550" s="4" t="s">
        <v>6560</v>
      </c>
      <c r="J3550" s="4" t="s">
        <v>310</v>
      </c>
    </row>
    <row r="3551" spans="1:10" hidden="1">
      <c r="A3551" s="4">
        <v>2.0210446699000198E+17</v>
      </c>
      <c r="B3551" s="4">
        <v>4698700684</v>
      </c>
      <c r="C3551" s="4" t="s">
        <v>6559</v>
      </c>
      <c r="D3551" s="4">
        <v>46699</v>
      </c>
      <c r="E3551" s="4">
        <v>20210414</v>
      </c>
      <c r="F3551" s="4">
        <v>20210414</v>
      </c>
      <c r="G3551" s="4">
        <v>20240414</v>
      </c>
      <c r="H3551" s="4" t="s">
        <v>6558</v>
      </c>
      <c r="I3551" s="4" t="s">
        <v>6557</v>
      </c>
      <c r="J3551" s="4" t="s">
        <v>208</v>
      </c>
    </row>
    <row r="3552" spans="1:10" hidden="1">
      <c r="A3552" s="4">
        <v>2.0210428422000198E+17</v>
      </c>
      <c r="B3552" s="4">
        <v>8218701732</v>
      </c>
      <c r="C3552" s="4" t="s">
        <v>6556</v>
      </c>
      <c r="D3552" s="4">
        <v>28422</v>
      </c>
      <c r="E3552" s="4">
        <v>20210414</v>
      </c>
      <c r="F3552" s="4">
        <v>20210414</v>
      </c>
      <c r="G3552" s="4">
        <v>20240414</v>
      </c>
      <c r="H3552" s="4" t="s">
        <v>6555</v>
      </c>
      <c r="I3552" s="4" t="s">
        <v>6554</v>
      </c>
      <c r="J3552" s="4" t="s">
        <v>188</v>
      </c>
    </row>
    <row r="3553" spans="1:10" hidden="1">
      <c r="A3553" s="4">
        <v>2.0210426310000198E+17</v>
      </c>
      <c r="B3553" s="4">
        <v>4308100651</v>
      </c>
      <c r="C3553" s="4" t="s">
        <v>6553</v>
      </c>
      <c r="D3553" s="4">
        <v>26310</v>
      </c>
      <c r="E3553" s="4">
        <v>20210414</v>
      </c>
      <c r="F3553" s="4">
        <v>20210414</v>
      </c>
      <c r="G3553" s="4">
        <v>20240414</v>
      </c>
      <c r="H3553" s="4" t="s">
        <v>1684</v>
      </c>
      <c r="I3553" s="4" t="s">
        <v>6552</v>
      </c>
      <c r="J3553" s="4" t="s">
        <v>372</v>
      </c>
    </row>
    <row r="3554" spans="1:10" hidden="1">
      <c r="A3554" s="4">
        <v>2.0210429199000198E+17</v>
      </c>
      <c r="B3554" s="4">
        <v>8128601653</v>
      </c>
      <c r="C3554" s="4" t="s">
        <v>6569</v>
      </c>
      <c r="D3554" s="4">
        <v>29199</v>
      </c>
      <c r="E3554" s="4">
        <v>20210414</v>
      </c>
      <c r="F3554" s="4">
        <v>20210414</v>
      </c>
      <c r="G3554" s="4">
        <v>20240414</v>
      </c>
      <c r="H3554" s="4" t="s">
        <v>6568</v>
      </c>
      <c r="I3554" s="4" t="s">
        <v>6567</v>
      </c>
      <c r="J3554" s="4" t="s">
        <v>166</v>
      </c>
    </row>
    <row r="3555" spans="1:10" hidden="1">
      <c r="A3555" s="4">
        <v>2.0210429210000198E+17</v>
      </c>
      <c r="B3555" s="4">
        <v>2852301313</v>
      </c>
      <c r="C3555" s="4" t="s">
        <v>6549</v>
      </c>
      <c r="D3555" s="4">
        <v>29210</v>
      </c>
      <c r="E3555" s="4">
        <v>20210413</v>
      </c>
      <c r="F3555" s="4">
        <v>20210413</v>
      </c>
      <c r="G3555" s="4">
        <v>20240413</v>
      </c>
      <c r="H3555" s="4" t="s">
        <v>6548</v>
      </c>
      <c r="J3555" s="4" t="s">
        <v>1274</v>
      </c>
    </row>
    <row r="3556" spans="1:10" hidden="1">
      <c r="A3556" s="4">
        <v>2.0210428903000198E+17</v>
      </c>
      <c r="B3556" s="4">
        <v>1013284323</v>
      </c>
      <c r="C3556" s="4" t="s">
        <v>6547</v>
      </c>
      <c r="D3556" s="4">
        <v>28903</v>
      </c>
      <c r="E3556" s="4">
        <v>20210413</v>
      </c>
      <c r="F3556" s="4">
        <v>20210413</v>
      </c>
      <c r="G3556" s="4">
        <v>20240413</v>
      </c>
      <c r="H3556" s="4" t="s">
        <v>6546</v>
      </c>
      <c r="J3556" s="4" t="s">
        <v>460</v>
      </c>
    </row>
    <row r="3557" spans="1:10" hidden="1">
      <c r="A3557" s="4">
        <v>2.0210410129000198E+17</v>
      </c>
      <c r="B3557" s="4">
        <v>8510801761</v>
      </c>
      <c r="C3557" s="4" t="s">
        <v>6544</v>
      </c>
      <c r="D3557" s="4">
        <v>10129</v>
      </c>
      <c r="E3557" s="4">
        <v>20210413</v>
      </c>
      <c r="F3557" s="4">
        <v>20210413</v>
      </c>
      <c r="G3557" s="4">
        <v>20240413</v>
      </c>
      <c r="H3557" s="4" t="s">
        <v>6545</v>
      </c>
      <c r="I3557" s="4" t="s">
        <v>6544</v>
      </c>
      <c r="J3557" s="4" t="s">
        <v>2842</v>
      </c>
    </row>
    <row r="3558" spans="1:10" hidden="1">
      <c r="A3558" s="4">
        <v>2.0210475992000198E+17</v>
      </c>
      <c r="B3558" s="4">
        <v>7960800257</v>
      </c>
      <c r="C3558" s="4" t="s">
        <v>6543</v>
      </c>
      <c r="D3558" s="4">
        <v>75992</v>
      </c>
      <c r="E3558" s="4">
        <v>20210413</v>
      </c>
      <c r="F3558" s="4">
        <v>20210413</v>
      </c>
      <c r="G3558" s="4">
        <v>20221225</v>
      </c>
      <c r="H3558" s="4" t="s">
        <v>6542</v>
      </c>
      <c r="I3558" s="4" t="s">
        <v>6541</v>
      </c>
      <c r="J3558" s="4" t="s">
        <v>111</v>
      </c>
    </row>
    <row r="3559" spans="1:10" hidden="1">
      <c r="A3559" s="4">
        <v>2.0210456111000198E+17</v>
      </c>
      <c r="B3559" s="4">
        <v>4258601541</v>
      </c>
      <c r="C3559" s="4" t="s">
        <v>6540</v>
      </c>
      <c r="D3559" s="4">
        <v>56111</v>
      </c>
      <c r="E3559" s="4">
        <v>20210413</v>
      </c>
      <c r="F3559" s="4">
        <v>20210413</v>
      </c>
      <c r="G3559" s="4">
        <v>20240413</v>
      </c>
      <c r="H3559" s="4" t="s">
        <v>6539</v>
      </c>
      <c r="I3559" s="4" t="s">
        <v>149</v>
      </c>
      <c r="J3559" s="4" t="s">
        <v>6538</v>
      </c>
    </row>
    <row r="3560" spans="1:10" hidden="1">
      <c r="A3560" s="4">
        <v>2.0210428123000198E+17</v>
      </c>
      <c r="B3560" s="4">
        <v>8658801710</v>
      </c>
      <c r="C3560" s="4" t="s">
        <v>6537</v>
      </c>
      <c r="D3560" s="4">
        <v>28123</v>
      </c>
      <c r="E3560" s="4">
        <v>20210413</v>
      </c>
      <c r="F3560" s="4">
        <v>20210413</v>
      </c>
      <c r="G3560" s="4">
        <v>20240413</v>
      </c>
      <c r="H3560" s="4" t="s">
        <v>6536</v>
      </c>
      <c r="J3560" s="4" t="s">
        <v>640</v>
      </c>
    </row>
    <row r="3561" spans="1:10" hidden="1">
      <c r="A3561" s="4">
        <v>2.0210446800000198E+17</v>
      </c>
      <c r="B3561" s="4">
        <v>7448801863</v>
      </c>
      <c r="C3561" s="4" t="s">
        <v>6535</v>
      </c>
      <c r="D3561" s="4">
        <v>46800</v>
      </c>
      <c r="E3561" s="4">
        <v>20210413</v>
      </c>
      <c r="F3561" s="4">
        <v>20210413</v>
      </c>
      <c r="G3561" s="4">
        <v>20240413</v>
      </c>
      <c r="H3561" s="4" t="s">
        <v>2735</v>
      </c>
      <c r="I3561" s="4" t="s">
        <v>6534</v>
      </c>
      <c r="J3561" s="4" t="s">
        <v>979</v>
      </c>
    </row>
    <row r="3562" spans="1:10" hidden="1">
      <c r="A3562" s="4">
        <v>2.0210473203000198E+17</v>
      </c>
      <c r="B3562" s="4">
        <v>1022555615</v>
      </c>
      <c r="C3562" s="4" t="s">
        <v>6533</v>
      </c>
      <c r="D3562" s="4">
        <v>73203</v>
      </c>
      <c r="E3562" s="4">
        <v>20210413</v>
      </c>
      <c r="F3562" s="4">
        <v>20210413</v>
      </c>
      <c r="G3562" s="4">
        <v>20240413</v>
      </c>
      <c r="H3562" s="4" t="s">
        <v>6532</v>
      </c>
      <c r="I3562" s="4" t="s">
        <v>175</v>
      </c>
      <c r="J3562" s="4" t="s">
        <v>260</v>
      </c>
    </row>
    <row r="3563" spans="1:10" hidden="1">
      <c r="A3563" s="4">
        <v>2.0210420499000198E+17</v>
      </c>
      <c r="B3563" s="4">
        <v>8528100657</v>
      </c>
      <c r="C3563" s="4" t="s">
        <v>6531</v>
      </c>
      <c r="D3563" s="4">
        <v>20499</v>
      </c>
      <c r="E3563" s="4">
        <v>20210413</v>
      </c>
      <c r="F3563" s="4">
        <v>20210413</v>
      </c>
      <c r="G3563" s="4">
        <v>20240208</v>
      </c>
      <c r="H3563" s="4" t="s">
        <v>6530</v>
      </c>
      <c r="I3563" s="4" t="s">
        <v>1757</v>
      </c>
      <c r="J3563" s="4" t="s">
        <v>406</v>
      </c>
    </row>
    <row r="3564" spans="1:10" hidden="1">
      <c r="A3564" s="4">
        <v>2.0210446612000198E+17</v>
      </c>
      <c r="B3564" s="4">
        <v>8758100077</v>
      </c>
      <c r="C3564" s="4" t="s">
        <v>6529</v>
      </c>
      <c r="D3564" s="4">
        <v>46612</v>
      </c>
      <c r="E3564" s="4">
        <v>20210413</v>
      </c>
      <c r="F3564" s="4">
        <v>20210413</v>
      </c>
      <c r="G3564" s="4">
        <v>20220327</v>
      </c>
      <c r="H3564" s="4" t="s">
        <v>6528</v>
      </c>
      <c r="J3564" s="4" t="s">
        <v>6527</v>
      </c>
    </row>
    <row r="3565" spans="1:10" hidden="1">
      <c r="A3565" s="4">
        <v>2.0210446443000198E+17</v>
      </c>
      <c r="B3565" s="4">
        <v>2188173608</v>
      </c>
      <c r="C3565" s="4" t="s">
        <v>6526</v>
      </c>
      <c r="D3565" s="4">
        <v>46443</v>
      </c>
      <c r="E3565" s="4">
        <v>20210413</v>
      </c>
      <c r="F3565" s="4">
        <v>20210413</v>
      </c>
      <c r="G3565" s="4">
        <v>20240413</v>
      </c>
      <c r="H3565" s="4" t="s">
        <v>6525</v>
      </c>
      <c r="I3565" s="4" t="s">
        <v>6524</v>
      </c>
      <c r="J3565" s="4" t="s">
        <v>1379</v>
      </c>
    </row>
    <row r="3566" spans="1:10" hidden="1">
      <c r="A3566" s="4">
        <v>2.0210428903000198E+17</v>
      </c>
      <c r="B3566" s="4">
        <v>8998100506</v>
      </c>
      <c r="C3566" s="4" t="s">
        <v>6523</v>
      </c>
      <c r="D3566" s="4">
        <v>28903</v>
      </c>
      <c r="E3566" s="4">
        <v>20210413</v>
      </c>
      <c r="F3566" s="4">
        <v>20210413</v>
      </c>
      <c r="G3566" s="4">
        <v>20230608</v>
      </c>
      <c r="H3566" s="4" t="s">
        <v>6522</v>
      </c>
      <c r="I3566" s="4" t="s">
        <v>6521</v>
      </c>
      <c r="J3566" s="4" t="s">
        <v>460</v>
      </c>
    </row>
    <row r="3567" spans="1:10" hidden="1">
      <c r="A3567" s="4">
        <v>2.0210476400000198E+17</v>
      </c>
      <c r="B3567" s="4">
        <v>3748101985</v>
      </c>
      <c r="C3567" s="4" t="s">
        <v>6520</v>
      </c>
      <c r="D3567" s="4">
        <v>76400</v>
      </c>
      <c r="E3567" s="4">
        <v>20210413</v>
      </c>
      <c r="F3567" s="4">
        <v>20210413</v>
      </c>
      <c r="G3567" s="4">
        <v>20240413</v>
      </c>
      <c r="H3567" s="4" t="s">
        <v>3480</v>
      </c>
      <c r="I3567" s="4" t="s">
        <v>591</v>
      </c>
      <c r="J3567" s="4" t="s">
        <v>6519</v>
      </c>
    </row>
    <row r="3568" spans="1:10" hidden="1">
      <c r="A3568" s="4">
        <v>2.0210433999000198E+17</v>
      </c>
      <c r="B3568" s="4">
        <v>8458101226</v>
      </c>
      <c r="C3568" s="4" t="s">
        <v>6518</v>
      </c>
      <c r="D3568" s="4">
        <v>33999</v>
      </c>
      <c r="E3568" s="4">
        <v>20210413</v>
      </c>
      <c r="F3568" s="4">
        <v>20210413</v>
      </c>
      <c r="G3568" s="4">
        <v>20240413</v>
      </c>
      <c r="H3568" s="4" t="s">
        <v>6517</v>
      </c>
      <c r="I3568" s="4" t="s">
        <v>6516</v>
      </c>
      <c r="J3568" s="4" t="s">
        <v>780</v>
      </c>
    </row>
    <row r="3569" spans="1:10" hidden="1">
      <c r="A3569" s="4">
        <v>2.0210426211000198E+17</v>
      </c>
      <c r="B3569" s="4">
        <v>4588100101</v>
      </c>
      <c r="C3569" s="4" t="s">
        <v>6515</v>
      </c>
      <c r="D3569" s="4">
        <v>26211</v>
      </c>
      <c r="E3569" s="4">
        <v>20210413</v>
      </c>
      <c r="F3569" s="4">
        <v>20210413</v>
      </c>
      <c r="G3569" s="4">
        <v>20220820</v>
      </c>
      <c r="H3569" s="4" t="s">
        <v>6514</v>
      </c>
      <c r="I3569" s="4" t="s">
        <v>6513</v>
      </c>
      <c r="J3569" s="4" t="s">
        <v>4480</v>
      </c>
    </row>
    <row r="3570" spans="1:10" hidden="1">
      <c r="A3570" s="4">
        <v>2.0210428519000198E+17</v>
      </c>
      <c r="B3570" s="4">
        <v>4928801773</v>
      </c>
      <c r="C3570" s="4" t="s">
        <v>6512</v>
      </c>
      <c r="D3570" s="4">
        <v>28519</v>
      </c>
      <c r="E3570" s="4">
        <v>20210413</v>
      </c>
      <c r="F3570" s="4">
        <v>20210413</v>
      </c>
      <c r="G3570" s="4">
        <v>20240413</v>
      </c>
      <c r="H3570" s="4" t="s">
        <v>206</v>
      </c>
      <c r="I3570" s="4" t="s">
        <v>1548</v>
      </c>
      <c r="J3570" s="4" t="s">
        <v>1412</v>
      </c>
    </row>
    <row r="3571" spans="1:10" hidden="1">
      <c r="A3571" s="4">
        <v>2.0210416229000198E+17</v>
      </c>
      <c r="B3571" s="4">
        <v>3818600989</v>
      </c>
      <c r="C3571" s="4" t="s">
        <v>6511</v>
      </c>
      <c r="D3571" s="4">
        <v>16229</v>
      </c>
      <c r="E3571" s="4">
        <v>20210413</v>
      </c>
      <c r="F3571" s="4">
        <v>20210413</v>
      </c>
      <c r="G3571" s="4">
        <v>20240413</v>
      </c>
      <c r="H3571" s="4" t="s">
        <v>6510</v>
      </c>
      <c r="I3571" s="4" t="s">
        <v>6509</v>
      </c>
      <c r="J3571" s="4" t="s">
        <v>1451</v>
      </c>
    </row>
    <row r="3572" spans="1:10" hidden="1">
      <c r="A3572" s="4">
        <v>2.0210474220000198E+17</v>
      </c>
      <c r="B3572" s="4">
        <v>4098651715</v>
      </c>
      <c r="C3572" s="4" t="s">
        <v>6508</v>
      </c>
      <c r="D3572" s="4">
        <v>74220</v>
      </c>
      <c r="E3572" s="4">
        <v>20210413</v>
      </c>
      <c r="F3572" s="4">
        <v>20210413</v>
      </c>
      <c r="G3572" s="4">
        <v>20211117</v>
      </c>
      <c r="H3572" s="4" t="s">
        <v>6507</v>
      </c>
      <c r="I3572" s="4" t="s">
        <v>6506</v>
      </c>
      <c r="J3572" s="4" t="s">
        <v>2988</v>
      </c>
    </row>
    <row r="3573" spans="1:10" hidden="1">
      <c r="A3573" s="4">
        <v>2.0210425112000198E+17</v>
      </c>
      <c r="B3573" s="4">
        <v>6938801551</v>
      </c>
      <c r="C3573" s="4" t="s">
        <v>6505</v>
      </c>
      <c r="D3573" s="4">
        <v>25112</v>
      </c>
      <c r="E3573" s="4">
        <v>20210413</v>
      </c>
      <c r="F3573" s="4">
        <v>20210413</v>
      </c>
      <c r="G3573" s="4">
        <v>20240413</v>
      </c>
      <c r="H3573" s="4" t="s">
        <v>6504</v>
      </c>
      <c r="I3573" s="4" t="s">
        <v>1403</v>
      </c>
      <c r="J3573" s="4" t="s">
        <v>320</v>
      </c>
    </row>
    <row r="3574" spans="1:10" hidden="1">
      <c r="A3574" s="4">
        <v>2.0210416299000198E+17</v>
      </c>
      <c r="B3574" s="4">
        <v>8948801756</v>
      </c>
      <c r="C3574" s="4" t="s">
        <v>6503</v>
      </c>
      <c r="D3574" s="4">
        <v>16299</v>
      </c>
      <c r="E3574" s="4">
        <v>20210413</v>
      </c>
      <c r="F3574" s="4">
        <v>20210413</v>
      </c>
      <c r="G3574" s="4">
        <v>20240413</v>
      </c>
      <c r="H3574" s="4" t="s">
        <v>6502</v>
      </c>
      <c r="I3574" s="4" t="s">
        <v>6501</v>
      </c>
      <c r="J3574" s="4" t="s">
        <v>1863</v>
      </c>
    </row>
    <row r="3575" spans="1:10" hidden="1">
      <c r="A3575" s="4">
        <v>2.0210410802000198E+17</v>
      </c>
      <c r="B3575" s="4">
        <v>1678101295</v>
      </c>
      <c r="C3575" s="4" t="s">
        <v>6500</v>
      </c>
      <c r="D3575" s="4">
        <v>10802</v>
      </c>
      <c r="E3575" s="4">
        <v>20210413</v>
      </c>
      <c r="F3575" s="4">
        <v>20210413</v>
      </c>
      <c r="G3575" s="4">
        <v>20240413</v>
      </c>
      <c r="H3575" s="4" t="s">
        <v>6499</v>
      </c>
      <c r="I3575" s="4" t="s">
        <v>6498</v>
      </c>
      <c r="J3575" s="4" t="s">
        <v>973</v>
      </c>
    </row>
    <row r="3576" spans="1:10" hidden="1">
      <c r="A3576" s="4">
        <v>2.0210422199000198E+17</v>
      </c>
      <c r="B3576" s="4">
        <v>5358801084</v>
      </c>
      <c r="C3576" s="4" t="s">
        <v>6497</v>
      </c>
      <c r="D3576" s="4">
        <v>22199</v>
      </c>
      <c r="E3576" s="4">
        <v>20210413</v>
      </c>
      <c r="F3576" s="4">
        <v>20210413</v>
      </c>
      <c r="G3576" s="4">
        <v>20240413</v>
      </c>
      <c r="H3576" s="4" t="s">
        <v>6496</v>
      </c>
      <c r="I3576" s="4" t="s">
        <v>6495</v>
      </c>
      <c r="J3576" s="4" t="s">
        <v>1962</v>
      </c>
    </row>
    <row r="3577" spans="1:10" hidden="1">
      <c r="A3577" s="4">
        <v>2.0210420499000198E+17</v>
      </c>
      <c r="B3577" s="4">
        <v>7398601682</v>
      </c>
      <c r="C3577" s="4" t="s">
        <v>6494</v>
      </c>
      <c r="D3577" s="4">
        <v>20499</v>
      </c>
      <c r="E3577" s="4">
        <v>20210413</v>
      </c>
      <c r="F3577" s="4">
        <v>20210413</v>
      </c>
      <c r="G3577" s="4">
        <v>20240413</v>
      </c>
      <c r="H3577" s="4" t="s">
        <v>6493</v>
      </c>
      <c r="I3577" s="4" t="s">
        <v>6492</v>
      </c>
      <c r="J3577" s="4" t="s">
        <v>406</v>
      </c>
    </row>
    <row r="3578" spans="1:10" hidden="1">
      <c r="A3578" s="4">
        <v>2.0210429171000198E+17</v>
      </c>
      <c r="B3578" s="4">
        <v>3458100391</v>
      </c>
      <c r="C3578" s="4" t="s">
        <v>6491</v>
      </c>
      <c r="D3578" s="4">
        <v>29171</v>
      </c>
      <c r="E3578" s="4">
        <v>20210413</v>
      </c>
      <c r="F3578" s="4">
        <v>20210413</v>
      </c>
      <c r="G3578" s="4">
        <v>20230831</v>
      </c>
      <c r="H3578" s="4" t="s">
        <v>6490</v>
      </c>
      <c r="I3578" s="4" t="s">
        <v>6489</v>
      </c>
      <c r="J3578" s="4" t="s">
        <v>2082</v>
      </c>
    </row>
    <row r="3579" spans="1:10" hidden="1">
      <c r="A3579" s="4">
        <v>2.0210426299000198E+17</v>
      </c>
      <c r="B3579" s="4">
        <v>4778600960</v>
      </c>
      <c r="C3579" s="4" t="s">
        <v>6488</v>
      </c>
      <c r="D3579" s="4">
        <v>26299</v>
      </c>
      <c r="E3579" s="4">
        <v>20210413</v>
      </c>
      <c r="F3579" s="4">
        <v>20210413</v>
      </c>
      <c r="G3579" s="4">
        <v>20240413</v>
      </c>
      <c r="H3579" s="4" t="s">
        <v>4599</v>
      </c>
      <c r="I3579" s="4" t="s">
        <v>6487</v>
      </c>
      <c r="J3579" s="4" t="s">
        <v>339</v>
      </c>
    </row>
    <row r="3580" spans="1:10" hidden="1">
      <c r="A3580" s="4">
        <v>2.0210446591000198E+17</v>
      </c>
      <c r="B3580" s="4">
        <v>7671201269</v>
      </c>
      <c r="C3580" s="4" t="s">
        <v>6486</v>
      </c>
      <c r="D3580" s="4">
        <v>46591</v>
      </c>
      <c r="E3580" s="4">
        <v>20210413</v>
      </c>
      <c r="F3580" s="4">
        <v>20210413</v>
      </c>
      <c r="G3580" s="4">
        <v>20240413</v>
      </c>
      <c r="H3580" s="4" t="s">
        <v>6485</v>
      </c>
      <c r="J3580" s="4" t="s">
        <v>985</v>
      </c>
    </row>
    <row r="3581" spans="1:10" hidden="1">
      <c r="A3581" s="4">
        <v>2.0210415121000198E+17</v>
      </c>
      <c r="B3581" s="4">
        <v>5018125463</v>
      </c>
      <c r="C3581" s="4" t="s">
        <v>6484</v>
      </c>
      <c r="D3581" s="4">
        <v>15121</v>
      </c>
      <c r="E3581" s="4">
        <v>20210413</v>
      </c>
      <c r="F3581" s="4">
        <v>20210413</v>
      </c>
      <c r="G3581" s="4">
        <v>20240330</v>
      </c>
      <c r="H3581" s="4" t="s">
        <v>6483</v>
      </c>
      <c r="I3581" s="4" t="s">
        <v>91</v>
      </c>
      <c r="J3581" s="4" t="s">
        <v>6482</v>
      </c>
    </row>
    <row r="3582" spans="1:10" hidden="1">
      <c r="A3582" s="4">
        <v>2.0210428422000198E+17</v>
      </c>
      <c r="B3582" s="4">
        <v>1018703790</v>
      </c>
      <c r="C3582" s="4" t="s">
        <v>6481</v>
      </c>
      <c r="D3582" s="4">
        <v>28422</v>
      </c>
      <c r="E3582" s="4">
        <v>20210413</v>
      </c>
      <c r="F3582" s="4">
        <v>20210413</v>
      </c>
      <c r="G3582" s="4">
        <v>20240413</v>
      </c>
      <c r="H3582" s="4" t="s">
        <v>6480</v>
      </c>
      <c r="J3582" s="4" t="s">
        <v>188</v>
      </c>
    </row>
    <row r="3583" spans="1:10" hidden="1">
      <c r="A3583" s="4">
        <v>2.0210420422000198E+17</v>
      </c>
      <c r="B3583" s="4">
        <v>8513400437</v>
      </c>
      <c r="C3583" s="4" t="s">
        <v>6479</v>
      </c>
      <c r="D3583" s="4">
        <v>20422</v>
      </c>
      <c r="E3583" s="4">
        <v>20210413</v>
      </c>
      <c r="F3583" s="4">
        <v>20210413</v>
      </c>
      <c r="G3583" s="4">
        <v>20240413</v>
      </c>
      <c r="H3583" s="4" t="s">
        <v>6069</v>
      </c>
      <c r="I3583" s="4" t="s">
        <v>6478</v>
      </c>
      <c r="J3583" s="4" t="s">
        <v>392</v>
      </c>
    </row>
    <row r="3584" spans="1:10" hidden="1">
      <c r="A3584" s="4">
        <v>2.0210429174000198E+17</v>
      </c>
      <c r="B3584" s="4">
        <v>7898101192</v>
      </c>
      <c r="C3584" s="4" t="s">
        <v>6477</v>
      </c>
      <c r="D3584" s="4">
        <v>29174</v>
      </c>
      <c r="E3584" s="4">
        <v>20210412</v>
      </c>
      <c r="F3584" s="4">
        <v>20210412</v>
      </c>
      <c r="G3584" s="4">
        <v>20240412</v>
      </c>
      <c r="H3584" s="4" t="s">
        <v>6476</v>
      </c>
      <c r="I3584" s="4" t="s">
        <v>6475</v>
      </c>
      <c r="J3584" s="4" t="s">
        <v>877</v>
      </c>
    </row>
    <row r="3585" spans="1:10" hidden="1">
      <c r="A3585" s="4">
        <v>2.0210422299000198E+17</v>
      </c>
      <c r="B3585" s="4">
        <v>3748801607</v>
      </c>
      <c r="C3585" s="4" t="s">
        <v>6474</v>
      </c>
      <c r="D3585" s="4">
        <v>22299</v>
      </c>
      <c r="E3585" s="4">
        <v>20210412</v>
      </c>
      <c r="F3585" s="4">
        <v>20210412</v>
      </c>
      <c r="G3585" s="4">
        <v>20240412</v>
      </c>
      <c r="H3585" s="4" t="s">
        <v>6473</v>
      </c>
      <c r="I3585" s="4" t="s">
        <v>91</v>
      </c>
      <c r="J3585" s="4" t="s">
        <v>384</v>
      </c>
    </row>
    <row r="3586" spans="1:10" hidden="1">
      <c r="A3586" s="4">
        <v>2.0210423229000198E+17</v>
      </c>
      <c r="B3586" s="4">
        <v>8680201622</v>
      </c>
      <c r="C3586" s="4" t="s">
        <v>6472</v>
      </c>
      <c r="D3586" s="4">
        <v>23229</v>
      </c>
      <c r="E3586" s="4">
        <v>20210412</v>
      </c>
      <c r="F3586" s="4">
        <v>20210412</v>
      </c>
      <c r="G3586" s="4">
        <v>20240412</v>
      </c>
      <c r="H3586" s="4" t="s">
        <v>6471</v>
      </c>
      <c r="I3586" s="4" t="s">
        <v>6470</v>
      </c>
      <c r="J3586" s="4" t="s">
        <v>6469</v>
      </c>
    </row>
    <row r="3587" spans="1:10" hidden="1">
      <c r="A3587" s="4">
        <v>2.0210447851000198E+17</v>
      </c>
      <c r="B3587" s="4">
        <v>4755700493</v>
      </c>
      <c r="C3587" s="4" t="s">
        <v>6468</v>
      </c>
      <c r="D3587" s="4">
        <v>47851</v>
      </c>
      <c r="E3587" s="4">
        <v>20210412</v>
      </c>
      <c r="F3587" s="4">
        <v>20210412</v>
      </c>
      <c r="G3587" s="4">
        <v>20240412</v>
      </c>
      <c r="H3587" s="4" t="s">
        <v>6467</v>
      </c>
      <c r="I3587" s="4" t="s">
        <v>2919</v>
      </c>
      <c r="J3587" s="4" t="s">
        <v>6466</v>
      </c>
    </row>
    <row r="3588" spans="1:10" hidden="1">
      <c r="A3588" s="4">
        <v>2.0210425924000198E+17</v>
      </c>
      <c r="B3588" s="4">
        <v>3595600495</v>
      </c>
      <c r="C3588" s="4" t="s">
        <v>6465</v>
      </c>
      <c r="D3588" s="4">
        <v>25924</v>
      </c>
      <c r="E3588" s="4">
        <v>20210412</v>
      </c>
      <c r="F3588" s="4">
        <v>20210412</v>
      </c>
      <c r="G3588" s="4">
        <v>20240412</v>
      </c>
      <c r="H3588" s="4" t="s">
        <v>6464</v>
      </c>
      <c r="J3588" s="4" t="s">
        <v>757</v>
      </c>
    </row>
    <row r="3589" spans="1:10" hidden="1">
      <c r="A3589" s="4">
        <v>2.0210446443000198E+17</v>
      </c>
      <c r="B3589" s="4">
        <v>5072600888</v>
      </c>
      <c r="C3589" s="4" t="s">
        <v>6463</v>
      </c>
      <c r="D3589" s="4">
        <v>46443</v>
      </c>
      <c r="E3589" s="4">
        <v>20210412</v>
      </c>
      <c r="F3589" s="4">
        <v>20210412</v>
      </c>
      <c r="G3589" s="4">
        <v>20240412</v>
      </c>
      <c r="H3589" s="4" t="s">
        <v>6462</v>
      </c>
      <c r="I3589" s="4" t="s">
        <v>6461</v>
      </c>
      <c r="J3589" s="4" t="s">
        <v>1379</v>
      </c>
    </row>
    <row r="3590" spans="1:10" hidden="1">
      <c r="A3590" s="4">
        <v>2.0210470111000198E+17</v>
      </c>
      <c r="B3590" s="4">
        <v>6266000392</v>
      </c>
      <c r="C3590" s="4" t="s">
        <v>6460</v>
      </c>
      <c r="D3590" s="4">
        <v>70111</v>
      </c>
      <c r="E3590" s="4">
        <v>20210412</v>
      </c>
      <c r="F3590" s="4">
        <v>20210412</v>
      </c>
      <c r="G3590" s="4">
        <v>20240412</v>
      </c>
      <c r="H3590" s="4" t="s">
        <v>6459</v>
      </c>
      <c r="I3590" s="4" t="s">
        <v>657</v>
      </c>
      <c r="J3590" s="4" t="s">
        <v>399</v>
      </c>
    </row>
    <row r="3591" spans="1:10" hidden="1">
      <c r="A3591" s="4">
        <v>2.0210428123000198E+17</v>
      </c>
      <c r="B3591" s="4">
        <v>1388199490</v>
      </c>
      <c r="C3591" s="4" t="s">
        <v>6458</v>
      </c>
      <c r="D3591" s="4">
        <v>28123</v>
      </c>
      <c r="E3591" s="4">
        <v>20210412</v>
      </c>
      <c r="F3591" s="4">
        <v>20210412</v>
      </c>
      <c r="G3591" s="4">
        <v>20211201</v>
      </c>
      <c r="H3591" s="4" t="s">
        <v>6457</v>
      </c>
      <c r="I3591" s="4" t="s">
        <v>6456</v>
      </c>
      <c r="J3591" s="4" t="s">
        <v>640</v>
      </c>
    </row>
    <row r="3592" spans="1:10" hidden="1">
      <c r="A3592" s="4">
        <v>2.0210433910000198E+17</v>
      </c>
      <c r="B3592" s="4">
        <v>1548802297</v>
      </c>
      <c r="C3592" s="4" t="s">
        <v>6455</v>
      </c>
      <c r="D3592" s="4">
        <v>33910</v>
      </c>
      <c r="E3592" s="4">
        <v>20210412</v>
      </c>
      <c r="F3592" s="4">
        <v>20210412</v>
      </c>
      <c r="G3592" s="4">
        <v>20240412</v>
      </c>
      <c r="H3592" s="4" t="s">
        <v>6454</v>
      </c>
      <c r="I3592" s="4" t="s">
        <v>2740</v>
      </c>
      <c r="J3592" s="4" t="s">
        <v>310</v>
      </c>
    </row>
    <row r="3593" spans="1:10" hidden="1">
      <c r="A3593" s="4">
        <v>2.0210428903000198E+17</v>
      </c>
      <c r="B3593" s="4">
        <v>3948701507</v>
      </c>
      <c r="C3593" s="4" t="s">
        <v>6453</v>
      </c>
      <c r="D3593" s="4">
        <v>28903</v>
      </c>
      <c r="E3593" s="4">
        <v>20210412</v>
      </c>
      <c r="F3593" s="4">
        <v>20210412</v>
      </c>
      <c r="G3593" s="4">
        <v>20240412</v>
      </c>
      <c r="H3593" s="4" t="s">
        <v>6452</v>
      </c>
      <c r="I3593" s="4" t="s">
        <v>6451</v>
      </c>
      <c r="J3593" s="4" t="s">
        <v>460</v>
      </c>
    </row>
    <row r="3594" spans="1:10" hidden="1">
      <c r="A3594" s="4">
        <v>2.0210425111000198E+17</v>
      </c>
      <c r="B3594" s="4">
        <v>7198801265</v>
      </c>
      <c r="C3594" s="4" t="s">
        <v>6450</v>
      </c>
      <c r="D3594" s="4">
        <v>25111</v>
      </c>
      <c r="E3594" s="4">
        <v>20210412</v>
      </c>
      <c r="F3594" s="4">
        <v>20210412</v>
      </c>
      <c r="G3594" s="4">
        <v>20240412</v>
      </c>
      <c r="H3594" s="4" t="s">
        <v>6449</v>
      </c>
      <c r="I3594" s="4" t="s">
        <v>149</v>
      </c>
      <c r="J3594" s="4" t="s">
        <v>82</v>
      </c>
    </row>
    <row r="3595" spans="1:10" hidden="1">
      <c r="A3595" s="4">
        <v>2.0210446595000198E+17</v>
      </c>
      <c r="B3595" s="4">
        <v>7728601409</v>
      </c>
      <c r="C3595" s="4" t="s">
        <v>76</v>
      </c>
      <c r="D3595" s="4">
        <v>46595</v>
      </c>
      <c r="E3595" s="4">
        <v>20210412</v>
      </c>
      <c r="F3595" s="4">
        <v>20210412</v>
      </c>
      <c r="G3595" s="4">
        <v>20240412</v>
      </c>
      <c r="H3595" s="4" t="s">
        <v>6448</v>
      </c>
      <c r="I3595" s="4" t="s">
        <v>6447</v>
      </c>
      <c r="J3595" s="4" t="s">
        <v>960</v>
      </c>
    </row>
    <row r="3596" spans="1:10" hidden="1">
      <c r="A3596" s="4">
        <v>2.0210428422000198E+17</v>
      </c>
      <c r="B3596" s="4">
        <v>3058800617</v>
      </c>
      <c r="C3596" s="4" t="s">
        <v>6446</v>
      </c>
      <c r="D3596" s="4">
        <v>28422</v>
      </c>
      <c r="E3596" s="4">
        <v>20210412</v>
      </c>
      <c r="F3596" s="4">
        <v>20210412</v>
      </c>
      <c r="G3596" s="4">
        <v>20240125</v>
      </c>
      <c r="H3596" s="4" t="s">
        <v>6445</v>
      </c>
      <c r="I3596" s="4" t="s">
        <v>6444</v>
      </c>
      <c r="J3596" s="4" t="s">
        <v>188</v>
      </c>
    </row>
    <row r="3597" spans="1:10">
      <c r="A3597" s="4">
        <v>2.0210546453000301E+17</v>
      </c>
      <c r="B3597" s="4">
        <v>7178800237</v>
      </c>
      <c r="C3597" s="4" t="s">
        <v>8625</v>
      </c>
      <c r="D3597" s="4">
        <v>46453</v>
      </c>
      <c r="E3597" s="4">
        <v>20210510</v>
      </c>
      <c r="F3597" s="4">
        <v>20210510</v>
      </c>
      <c r="G3597" s="4">
        <v>20230315</v>
      </c>
      <c r="H3597" s="4" t="s">
        <v>8624</v>
      </c>
      <c r="I3597" s="4" t="s">
        <v>8623</v>
      </c>
      <c r="J3597" s="4" t="s">
        <v>816</v>
      </c>
    </row>
    <row r="3598" spans="1:10" hidden="1">
      <c r="A3598" s="4">
        <v>2.0210427213000198E+17</v>
      </c>
      <c r="B3598" s="4">
        <v>8498601922</v>
      </c>
      <c r="C3598" s="4" t="s">
        <v>6439</v>
      </c>
      <c r="D3598" s="4">
        <v>27213</v>
      </c>
      <c r="E3598" s="4">
        <v>20210412</v>
      </c>
      <c r="F3598" s="4">
        <v>20210412</v>
      </c>
      <c r="G3598" s="4">
        <v>20240412</v>
      </c>
      <c r="H3598" s="4" t="s">
        <v>6438</v>
      </c>
      <c r="I3598" s="4" t="s">
        <v>6437</v>
      </c>
      <c r="J3598" s="4" t="s">
        <v>264</v>
      </c>
    </row>
    <row r="3599" spans="1:10" hidden="1">
      <c r="A3599" s="4">
        <v>2.0210446739000198E+17</v>
      </c>
      <c r="B3599" s="4">
        <v>5918801008</v>
      </c>
      <c r="C3599" s="4" t="s">
        <v>6436</v>
      </c>
      <c r="D3599" s="4">
        <v>46739</v>
      </c>
      <c r="E3599" s="4">
        <v>20210412</v>
      </c>
      <c r="F3599" s="4">
        <v>20210412</v>
      </c>
      <c r="G3599" s="4">
        <v>20240412</v>
      </c>
      <c r="H3599" s="4" t="s">
        <v>849</v>
      </c>
      <c r="I3599" s="4" t="s">
        <v>457</v>
      </c>
      <c r="J3599" s="4" t="s">
        <v>2551</v>
      </c>
    </row>
    <row r="3600" spans="1:10" hidden="1">
      <c r="A3600" s="4">
        <v>2.0210473903000198E+17</v>
      </c>
      <c r="B3600" s="4">
        <v>2928800776</v>
      </c>
      <c r="C3600" s="4" t="s">
        <v>6435</v>
      </c>
      <c r="D3600" s="4">
        <v>73903</v>
      </c>
      <c r="E3600" s="4">
        <v>20210411</v>
      </c>
      <c r="F3600" s="4">
        <v>20210411</v>
      </c>
      <c r="G3600" s="4">
        <v>20240411</v>
      </c>
      <c r="H3600" s="4" t="s">
        <v>6434</v>
      </c>
      <c r="I3600" s="4" t="s">
        <v>6433</v>
      </c>
      <c r="J3600" s="4" t="s">
        <v>3645</v>
      </c>
    </row>
    <row r="3601" spans="1:10" hidden="1">
      <c r="A3601" s="4">
        <v>2.0210426310000198E+17</v>
      </c>
      <c r="B3601" s="4">
        <v>7198701327</v>
      </c>
      <c r="C3601" s="4" t="s">
        <v>6432</v>
      </c>
      <c r="D3601" s="4">
        <v>26310</v>
      </c>
      <c r="E3601" s="4">
        <v>20210411</v>
      </c>
      <c r="F3601" s="4">
        <v>20210411</v>
      </c>
      <c r="G3601" s="4">
        <v>20240411</v>
      </c>
      <c r="H3601" s="4" t="s">
        <v>1886</v>
      </c>
      <c r="I3601" s="4" t="s">
        <v>6431</v>
      </c>
      <c r="J3601" s="4" t="s">
        <v>372</v>
      </c>
    </row>
    <row r="3602" spans="1:10" hidden="1">
      <c r="A3602" s="4">
        <v>2.0210446452000198E+17</v>
      </c>
      <c r="B3602" s="4">
        <v>2268800935</v>
      </c>
      <c r="C3602" s="4" t="s">
        <v>6430</v>
      </c>
      <c r="D3602" s="4">
        <v>46452</v>
      </c>
      <c r="E3602" s="4">
        <v>20210410</v>
      </c>
      <c r="F3602" s="4">
        <v>20210410</v>
      </c>
      <c r="G3602" s="4">
        <v>20240410</v>
      </c>
      <c r="H3602" s="4" t="s">
        <v>6429</v>
      </c>
      <c r="I3602" s="4" t="s">
        <v>6428</v>
      </c>
      <c r="J3602" s="4" t="s">
        <v>516</v>
      </c>
    </row>
    <row r="3603" spans="1:10" hidden="1">
      <c r="A3603" s="4">
        <v>2.0210416229000198E+17</v>
      </c>
      <c r="B3603" s="4">
        <v>1368601807</v>
      </c>
      <c r="C3603" s="4" t="s">
        <v>6427</v>
      </c>
      <c r="D3603" s="4">
        <v>16229</v>
      </c>
      <c r="E3603" s="4">
        <v>20210410</v>
      </c>
      <c r="F3603" s="4">
        <v>20210410</v>
      </c>
      <c r="G3603" s="4">
        <v>20240410</v>
      </c>
      <c r="H3603" s="4" t="s">
        <v>6426</v>
      </c>
      <c r="J3603" s="4" t="s">
        <v>1451</v>
      </c>
    </row>
    <row r="3604" spans="1:10" hidden="1">
      <c r="A3604" s="4">
        <v>2.0210458222000198E+17</v>
      </c>
      <c r="B3604" s="4">
        <v>7868801566</v>
      </c>
      <c r="C3604" s="4" t="s">
        <v>6425</v>
      </c>
      <c r="D3604" s="4">
        <v>58222</v>
      </c>
      <c r="E3604" s="4">
        <v>20210410</v>
      </c>
      <c r="F3604" s="4">
        <v>20210410</v>
      </c>
      <c r="G3604" s="4">
        <v>20240410</v>
      </c>
      <c r="H3604" s="4" t="s">
        <v>1392</v>
      </c>
      <c r="I3604" s="4" t="s">
        <v>6424</v>
      </c>
      <c r="J3604" s="4" t="s">
        <v>94</v>
      </c>
    </row>
    <row r="3605" spans="1:10" hidden="1">
      <c r="A3605" s="4">
        <v>2.0210426129000198E+17</v>
      </c>
      <c r="B3605" s="4">
        <v>6038800938</v>
      </c>
      <c r="C3605" s="4" t="s">
        <v>6423</v>
      </c>
      <c r="D3605" s="4">
        <v>26129</v>
      </c>
      <c r="E3605" s="4">
        <v>20210410</v>
      </c>
      <c r="F3605" s="4">
        <v>20210410</v>
      </c>
      <c r="G3605" s="4">
        <v>20240410</v>
      </c>
      <c r="H3605" s="4" t="s">
        <v>6422</v>
      </c>
      <c r="J3605" s="4" t="s">
        <v>403</v>
      </c>
    </row>
    <row r="3606" spans="1:10" hidden="1">
      <c r="A3606" s="4">
        <v>2.0210427219000198E+17</v>
      </c>
      <c r="B3606" s="4">
        <v>1508600857</v>
      </c>
      <c r="C3606" s="4" t="s">
        <v>6421</v>
      </c>
      <c r="D3606" s="4">
        <v>27219</v>
      </c>
      <c r="E3606" s="4">
        <v>20210410</v>
      </c>
      <c r="F3606" s="4">
        <v>20210410</v>
      </c>
      <c r="G3606" s="4">
        <v>20240410</v>
      </c>
      <c r="H3606" s="4" t="s">
        <v>6420</v>
      </c>
      <c r="I3606" s="4" t="s">
        <v>6419</v>
      </c>
      <c r="J3606" s="4" t="s">
        <v>1454</v>
      </c>
    </row>
    <row r="3607" spans="1:10" hidden="1">
      <c r="A3607" s="4">
        <v>2.0210411111000198E+17</v>
      </c>
      <c r="B3607" s="4">
        <v>1038601748</v>
      </c>
      <c r="C3607" s="4" t="s">
        <v>6418</v>
      </c>
      <c r="D3607" s="4">
        <v>11111</v>
      </c>
      <c r="E3607" s="4">
        <v>20210410</v>
      </c>
      <c r="F3607" s="4">
        <v>20210410</v>
      </c>
      <c r="G3607" s="4">
        <v>20240410</v>
      </c>
      <c r="H3607" s="4" t="s">
        <v>6417</v>
      </c>
      <c r="J3607" s="4" t="s">
        <v>5141</v>
      </c>
    </row>
    <row r="3608" spans="1:10" hidden="1">
      <c r="A3608" s="4">
        <v>2.0210426310000198E+17</v>
      </c>
      <c r="B3608" s="4">
        <v>2051576282</v>
      </c>
      <c r="C3608" s="4" t="s">
        <v>6416</v>
      </c>
      <c r="D3608" s="4">
        <v>26310</v>
      </c>
      <c r="E3608" s="4">
        <v>20210410</v>
      </c>
      <c r="F3608" s="4">
        <v>20210410</v>
      </c>
      <c r="G3608" s="4">
        <v>20240410</v>
      </c>
      <c r="H3608" s="4" t="s">
        <v>474</v>
      </c>
      <c r="I3608" s="4" t="s">
        <v>6415</v>
      </c>
      <c r="J3608" s="4" t="s">
        <v>372</v>
      </c>
    </row>
    <row r="3609" spans="1:10" hidden="1">
      <c r="A3609" s="4">
        <v>2.0210458113000198E+17</v>
      </c>
      <c r="B3609" s="4">
        <v>1109691489</v>
      </c>
      <c r="C3609" s="4" t="s">
        <v>6414</v>
      </c>
      <c r="D3609" s="4">
        <v>58113</v>
      </c>
      <c r="E3609" s="4">
        <v>20210410</v>
      </c>
      <c r="F3609" s="4">
        <v>20210410</v>
      </c>
      <c r="G3609" s="4">
        <v>20230818</v>
      </c>
      <c r="H3609" s="4" t="s">
        <v>6413</v>
      </c>
      <c r="I3609" s="4" t="s">
        <v>6412</v>
      </c>
      <c r="J3609" s="4" t="s">
        <v>512</v>
      </c>
    </row>
    <row r="3610" spans="1:10" hidden="1">
      <c r="A3610" s="4">
        <v>2.0210428410000198E+17</v>
      </c>
      <c r="B3610" s="4">
        <v>5232800394</v>
      </c>
      <c r="C3610" s="4" t="s">
        <v>6411</v>
      </c>
      <c r="D3610" s="4">
        <v>28410</v>
      </c>
      <c r="E3610" s="4">
        <v>20210410</v>
      </c>
      <c r="F3610" s="4">
        <v>20210410</v>
      </c>
      <c r="G3610" s="4">
        <v>20240410</v>
      </c>
      <c r="H3610" s="4" t="s">
        <v>6410</v>
      </c>
      <c r="I3610" s="4" t="s">
        <v>6409</v>
      </c>
      <c r="J3610" s="4" t="s">
        <v>2199</v>
      </c>
    </row>
    <row r="3611" spans="1:10" hidden="1">
      <c r="A3611" s="4">
        <v>2.0210423999000198E+17</v>
      </c>
      <c r="B3611" s="4">
        <v>1558701751</v>
      </c>
      <c r="C3611" s="4" t="s">
        <v>6408</v>
      </c>
      <c r="D3611" s="4">
        <v>23999</v>
      </c>
      <c r="E3611" s="4">
        <v>20210410</v>
      </c>
      <c r="F3611" s="4">
        <v>20210410</v>
      </c>
      <c r="G3611" s="4">
        <v>20240410</v>
      </c>
      <c r="H3611" s="4" t="s">
        <v>6407</v>
      </c>
      <c r="I3611" s="4" t="s">
        <v>6406</v>
      </c>
      <c r="J3611" s="4" t="s">
        <v>1719</v>
      </c>
    </row>
    <row r="3612" spans="1:10" hidden="1">
      <c r="A3612" s="4">
        <v>2.0210458222000198E+17</v>
      </c>
      <c r="B3612" s="4">
        <v>5468101732</v>
      </c>
      <c r="C3612" s="4" t="s">
        <v>6405</v>
      </c>
      <c r="D3612" s="4">
        <v>58222</v>
      </c>
      <c r="E3612" s="4">
        <v>20210410</v>
      </c>
      <c r="F3612" s="4">
        <v>20210410</v>
      </c>
      <c r="G3612" s="4">
        <v>20240410</v>
      </c>
      <c r="H3612" s="4" t="s">
        <v>6404</v>
      </c>
      <c r="I3612" s="4" t="s">
        <v>3119</v>
      </c>
      <c r="J3612" s="4" t="s">
        <v>94</v>
      </c>
    </row>
    <row r="3613" spans="1:10" hidden="1">
      <c r="A3613" s="4">
        <v>2.0210420422000198E+17</v>
      </c>
      <c r="B3613" s="4">
        <v>1978101388</v>
      </c>
      <c r="C3613" s="4" t="s">
        <v>6403</v>
      </c>
      <c r="D3613" s="4">
        <v>20422</v>
      </c>
      <c r="E3613" s="4">
        <v>20210410</v>
      </c>
      <c r="F3613" s="4">
        <v>20210410</v>
      </c>
      <c r="G3613" s="4">
        <v>20240410</v>
      </c>
      <c r="H3613" s="4" t="s">
        <v>6402</v>
      </c>
      <c r="J3613" s="4" t="s">
        <v>392</v>
      </c>
    </row>
    <row r="3614" spans="1:10" hidden="1">
      <c r="A3614" s="4">
        <v>2.0210420423000198E+17</v>
      </c>
      <c r="B3614" s="4">
        <v>2112821856</v>
      </c>
      <c r="C3614" s="4" t="s">
        <v>6401</v>
      </c>
      <c r="D3614" s="4">
        <v>20423</v>
      </c>
      <c r="E3614" s="4">
        <v>20210410</v>
      </c>
      <c r="F3614" s="4">
        <v>20210410</v>
      </c>
      <c r="G3614" s="4">
        <v>20240410</v>
      </c>
      <c r="H3614" s="4" t="s">
        <v>6400</v>
      </c>
      <c r="I3614" s="4" t="s">
        <v>149</v>
      </c>
      <c r="J3614" s="4" t="s">
        <v>368</v>
      </c>
    </row>
    <row r="3615" spans="1:10" hidden="1">
      <c r="A3615" s="4">
        <v>2.0210446322000198E+17</v>
      </c>
      <c r="B3615" s="4">
        <v>6738100466</v>
      </c>
      <c r="C3615" s="4" t="s">
        <v>6399</v>
      </c>
      <c r="D3615" s="4">
        <v>46322</v>
      </c>
      <c r="E3615" s="4">
        <v>20210410</v>
      </c>
      <c r="F3615" s="4">
        <v>20210410</v>
      </c>
      <c r="G3615" s="4">
        <v>20230907</v>
      </c>
      <c r="H3615" s="4" t="s">
        <v>6398</v>
      </c>
      <c r="J3615" s="4" t="s">
        <v>548</v>
      </c>
    </row>
    <row r="3616" spans="1:10" hidden="1">
      <c r="A3616" s="4">
        <v>2.0210431312000198E+17</v>
      </c>
      <c r="B3616" s="4">
        <v>8808800044</v>
      </c>
      <c r="C3616" s="4" t="s">
        <v>6397</v>
      </c>
      <c r="D3616" s="4">
        <v>31312</v>
      </c>
      <c r="E3616" s="4">
        <v>20210410</v>
      </c>
      <c r="F3616" s="4">
        <v>20210410</v>
      </c>
      <c r="G3616" s="4">
        <v>20220407</v>
      </c>
      <c r="H3616" s="4" t="s">
        <v>6396</v>
      </c>
      <c r="I3616" s="4" t="s">
        <v>6395</v>
      </c>
      <c r="J3616" s="4" t="s">
        <v>748</v>
      </c>
    </row>
    <row r="3617" spans="1:10" hidden="1">
      <c r="A3617" s="4">
        <v>2.0210428909000198E+17</v>
      </c>
      <c r="B3617" s="4">
        <v>1288801983</v>
      </c>
      <c r="C3617" s="4" t="s">
        <v>6394</v>
      </c>
      <c r="D3617" s="4">
        <v>28909</v>
      </c>
      <c r="E3617" s="4">
        <v>20210410</v>
      </c>
      <c r="F3617" s="4">
        <v>20210410</v>
      </c>
      <c r="G3617" s="4">
        <v>20240410</v>
      </c>
      <c r="H3617" s="4" t="s">
        <v>6393</v>
      </c>
      <c r="I3617" s="4" t="s">
        <v>6392</v>
      </c>
      <c r="J3617" s="4" t="s">
        <v>253</v>
      </c>
    </row>
    <row r="3618" spans="1:10" hidden="1">
      <c r="A3618" s="4">
        <v>2.0210458222000198E+17</v>
      </c>
      <c r="B3618" s="4">
        <v>5958701906</v>
      </c>
      <c r="C3618" s="4" t="s">
        <v>6551</v>
      </c>
      <c r="D3618" s="4">
        <v>58222</v>
      </c>
      <c r="E3618" s="4">
        <v>20210413</v>
      </c>
      <c r="F3618" s="4">
        <v>20210413</v>
      </c>
      <c r="G3618" s="4">
        <v>20240413</v>
      </c>
      <c r="H3618" s="4" t="s">
        <v>945</v>
      </c>
      <c r="I3618" s="4" t="s">
        <v>6550</v>
      </c>
      <c r="J3618" s="4" t="s">
        <v>94</v>
      </c>
    </row>
    <row r="3619" spans="1:10" hidden="1">
      <c r="A3619" s="4">
        <v>2.0210459111000198E+17</v>
      </c>
      <c r="B3619" s="4">
        <v>8338701851</v>
      </c>
      <c r="C3619" s="4" t="s">
        <v>6389</v>
      </c>
      <c r="D3619" s="4">
        <v>59111</v>
      </c>
      <c r="E3619" s="4">
        <v>20210409</v>
      </c>
      <c r="F3619" s="4">
        <v>20210409</v>
      </c>
      <c r="G3619" s="4">
        <v>20240409</v>
      </c>
      <c r="H3619" s="4" t="s">
        <v>5004</v>
      </c>
      <c r="I3619" s="4" t="s">
        <v>6388</v>
      </c>
      <c r="J3619" s="4" t="s">
        <v>1857</v>
      </c>
    </row>
    <row r="3620" spans="1:10" hidden="1">
      <c r="A3620" s="4">
        <v>2.0210429271000198E+17</v>
      </c>
      <c r="B3620" s="4">
        <v>7098800954</v>
      </c>
      <c r="C3620" s="4" t="s">
        <v>6387</v>
      </c>
      <c r="D3620" s="4">
        <v>29271</v>
      </c>
      <c r="E3620" s="4">
        <v>20210409</v>
      </c>
      <c r="F3620" s="4">
        <v>20210409</v>
      </c>
      <c r="G3620" s="4">
        <v>20240409</v>
      </c>
      <c r="H3620" s="4" t="s">
        <v>6386</v>
      </c>
      <c r="I3620" s="4" t="s">
        <v>6385</v>
      </c>
      <c r="J3620" s="4" t="s">
        <v>285</v>
      </c>
    </row>
    <row r="3621" spans="1:10" hidden="1">
      <c r="A3621" s="4">
        <v>2.0210428123000198E+17</v>
      </c>
      <c r="B3621" s="4">
        <v>7178100728</v>
      </c>
      <c r="C3621" s="4" t="s">
        <v>6384</v>
      </c>
      <c r="D3621" s="4">
        <v>28123</v>
      </c>
      <c r="E3621" s="4">
        <v>20210409</v>
      </c>
      <c r="F3621" s="4">
        <v>20210409</v>
      </c>
      <c r="G3621" s="4">
        <v>20240328</v>
      </c>
      <c r="H3621" s="4" t="s">
        <v>1287</v>
      </c>
      <c r="I3621" s="4" t="s">
        <v>6383</v>
      </c>
      <c r="J3621" s="4" t="s">
        <v>640</v>
      </c>
    </row>
    <row r="3622" spans="1:10" hidden="1">
      <c r="A3622" s="4">
        <v>2.0210410741000198E+17</v>
      </c>
      <c r="B3622" s="4">
        <v>8098601434</v>
      </c>
      <c r="C3622" s="4" t="s">
        <v>6382</v>
      </c>
      <c r="D3622" s="4">
        <v>10741</v>
      </c>
      <c r="E3622" s="4">
        <v>20210409</v>
      </c>
      <c r="F3622" s="4">
        <v>20210409</v>
      </c>
      <c r="G3622" s="4">
        <v>20240409</v>
      </c>
      <c r="H3622" s="4" t="s">
        <v>6381</v>
      </c>
      <c r="J3622" s="4" t="s">
        <v>2556</v>
      </c>
    </row>
    <row r="3623" spans="1:10" hidden="1">
      <c r="A3623" s="4">
        <v>2.0210473203000198E+17</v>
      </c>
      <c r="B3623" s="4">
        <v>3061990800</v>
      </c>
      <c r="C3623" s="4" t="s">
        <v>6380</v>
      </c>
      <c r="D3623" s="4">
        <v>73203</v>
      </c>
      <c r="E3623" s="4">
        <v>20210409</v>
      </c>
      <c r="F3623" s="4">
        <v>20210409</v>
      </c>
      <c r="G3623" s="4">
        <v>20230115</v>
      </c>
      <c r="H3623" s="4" t="s">
        <v>6379</v>
      </c>
      <c r="I3623" s="4" t="s">
        <v>6378</v>
      </c>
      <c r="J3623" s="4" t="s">
        <v>260</v>
      </c>
    </row>
    <row r="3624" spans="1:10" hidden="1">
      <c r="A3624" s="4">
        <v>2.0210426429000198E+17</v>
      </c>
      <c r="B3624" s="4">
        <v>2368700920</v>
      </c>
      <c r="C3624" s="4" t="s">
        <v>6377</v>
      </c>
      <c r="D3624" s="4">
        <v>26429</v>
      </c>
      <c r="E3624" s="4">
        <v>20210409</v>
      </c>
      <c r="F3624" s="4">
        <v>20210409</v>
      </c>
      <c r="G3624" s="4">
        <v>20240409</v>
      </c>
      <c r="H3624" s="4" t="s">
        <v>6376</v>
      </c>
      <c r="I3624" s="4" t="s">
        <v>6375</v>
      </c>
      <c r="J3624" s="4" t="s">
        <v>422</v>
      </c>
    </row>
    <row r="3625" spans="1:10" hidden="1">
      <c r="A3625" s="4">
        <v>2.0210429210000198E+17</v>
      </c>
      <c r="B3625" s="4">
        <v>4195000266</v>
      </c>
      <c r="C3625" s="4" t="s">
        <v>6374</v>
      </c>
      <c r="D3625" s="4">
        <v>29210</v>
      </c>
      <c r="E3625" s="4">
        <v>20210409</v>
      </c>
      <c r="F3625" s="4">
        <v>20210409</v>
      </c>
      <c r="G3625" s="4">
        <v>20240301</v>
      </c>
      <c r="H3625" s="4" t="s">
        <v>6373</v>
      </c>
      <c r="I3625" s="4" t="s">
        <v>6372</v>
      </c>
      <c r="J3625" s="4" t="s">
        <v>1274</v>
      </c>
    </row>
    <row r="3626" spans="1:10" hidden="1">
      <c r="A3626" s="4">
        <v>2.0210447813000198E+17</v>
      </c>
      <c r="B3626" s="4">
        <v>4481600222</v>
      </c>
      <c r="C3626" s="4" t="s">
        <v>6371</v>
      </c>
      <c r="D3626" s="4">
        <v>47813</v>
      </c>
      <c r="E3626" s="4">
        <v>20210409</v>
      </c>
      <c r="F3626" s="4">
        <v>20210409</v>
      </c>
      <c r="G3626" s="4">
        <v>20221215</v>
      </c>
      <c r="H3626" s="4" t="s">
        <v>6370</v>
      </c>
      <c r="I3626" s="4" t="s">
        <v>6369</v>
      </c>
      <c r="J3626" s="4" t="s">
        <v>376</v>
      </c>
    </row>
    <row r="3627" spans="1:10" hidden="1">
      <c r="A3627" s="4">
        <v>2.0210462090000198E+17</v>
      </c>
      <c r="B3627" s="4">
        <v>4208700355</v>
      </c>
      <c r="C3627" s="4" t="s">
        <v>6391</v>
      </c>
      <c r="D3627" s="4">
        <v>62090</v>
      </c>
      <c r="E3627" s="4">
        <v>20210409</v>
      </c>
      <c r="F3627" s="4">
        <v>20210409</v>
      </c>
      <c r="G3627" s="4">
        <v>20230526</v>
      </c>
      <c r="H3627" s="4" t="s">
        <v>5609</v>
      </c>
      <c r="I3627" s="4" t="s">
        <v>6390</v>
      </c>
      <c r="J3627" s="4" t="s">
        <v>2030</v>
      </c>
    </row>
    <row r="3628" spans="1:10">
      <c r="A3628" s="4">
        <v>2.0210418111000198E+17</v>
      </c>
      <c r="B3628" s="4">
        <v>8452700905</v>
      </c>
      <c r="C3628" s="4" t="s">
        <v>7353</v>
      </c>
      <c r="D3628" s="4">
        <v>18111</v>
      </c>
      <c r="E3628" s="4">
        <v>20210423</v>
      </c>
      <c r="F3628" s="4">
        <v>20210423</v>
      </c>
      <c r="G3628" s="4">
        <v>20240423</v>
      </c>
      <c r="H3628" s="4" t="s">
        <v>7352</v>
      </c>
      <c r="I3628" s="4" t="s">
        <v>1331</v>
      </c>
      <c r="J3628" s="4" t="s">
        <v>662</v>
      </c>
    </row>
    <row r="3629" spans="1:10" hidden="1">
      <c r="A3629" s="4">
        <v>2.0210473203000198E+17</v>
      </c>
      <c r="B3629" s="4">
        <v>3060811997</v>
      </c>
      <c r="C3629" s="4" t="s">
        <v>6363</v>
      </c>
      <c r="D3629" s="4">
        <v>73203</v>
      </c>
      <c r="E3629" s="4">
        <v>20210409</v>
      </c>
      <c r="F3629" s="4">
        <v>20210409</v>
      </c>
      <c r="G3629" s="4">
        <v>20240409</v>
      </c>
      <c r="H3629" s="4" t="s">
        <v>6362</v>
      </c>
      <c r="I3629" s="4">
        <v>101</v>
      </c>
      <c r="J3629" s="4" t="s">
        <v>260</v>
      </c>
    </row>
    <row r="3630" spans="1:10" hidden="1">
      <c r="A3630" s="4">
        <v>2.0210446412000198E+17</v>
      </c>
      <c r="B3630" s="4">
        <v>5618801875</v>
      </c>
      <c r="C3630" s="4" t="s">
        <v>6361</v>
      </c>
      <c r="D3630" s="4">
        <v>46412</v>
      </c>
      <c r="E3630" s="4">
        <v>20210409</v>
      </c>
      <c r="F3630" s="4">
        <v>20210409</v>
      </c>
      <c r="G3630" s="4">
        <v>20240409</v>
      </c>
      <c r="H3630" s="4" t="s">
        <v>6360</v>
      </c>
      <c r="I3630" s="4" t="s">
        <v>6359</v>
      </c>
      <c r="J3630" s="4" t="s">
        <v>6358</v>
      </c>
    </row>
    <row r="3631" spans="1:10" hidden="1">
      <c r="A3631" s="4">
        <v>2.0210458221000198E+17</v>
      </c>
      <c r="B3631" s="4">
        <v>6728801312</v>
      </c>
      <c r="C3631" s="4" t="s">
        <v>6357</v>
      </c>
      <c r="D3631" s="4">
        <v>58221</v>
      </c>
      <c r="E3631" s="4">
        <v>20210409</v>
      </c>
      <c r="F3631" s="4">
        <v>20210409</v>
      </c>
      <c r="G3631" s="4">
        <v>20240409</v>
      </c>
      <c r="H3631" s="4" t="s">
        <v>6356</v>
      </c>
      <c r="I3631" s="4" t="s">
        <v>6355</v>
      </c>
      <c r="J3631" s="4" t="s">
        <v>228</v>
      </c>
    </row>
    <row r="3632" spans="1:10" hidden="1">
      <c r="A3632" s="4">
        <v>2.0210427112000198E+17</v>
      </c>
      <c r="B3632" s="4">
        <v>6868101122</v>
      </c>
      <c r="C3632" s="4" t="s">
        <v>6354</v>
      </c>
      <c r="D3632" s="4">
        <v>27112</v>
      </c>
      <c r="E3632" s="4">
        <v>20210409</v>
      </c>
      <c r="F3632" s="4">
        <v>20210409</v>
      </c>
      <c r="G3632" s="4">
        <v>20240409</v>
      </c>
      <c r="H3632" s="4" t="s">
        <v>6353</v>
      </c>
      <c r="I3632" s="4" t="s">
        <v>6352</v>
      </c>
      <c r="J3632" s="4" t="s">
        <v>1254</v>
      </c>
    </row>
    <row r="3633" spans="1:10" hidden="1">
      <c r="A3633" s="4">
        <v>2.0210442321000198E+17</v>
      </c>
      <c r="B3633" s="4">
        <v>1128701225</v>
      </c>
      <c r="C3633" s="4" t="s">
        <v>6351</v>
      </c>
      <c r="D3633" s="4">
        <v>42321</v>
      </c>
      <c r="E3633" s="4">
        <v>20210409</v>
      </c>
      <c r="F3633" s="4">
        <v>20210409</v>
      </c>
      <c r="G3633" s="4">
        <v>20240409</v>
      </c>
      <c r="H3633" s="4" t="s">
        <v>6350</v>
      </c>
      <c r="I3633" s="4" t="s">
        <v>6349</v>
      </c>
      <c r="J3633" s="4" t="s">
        <v>698</v>
      </c>
    </row>
    <row r="3634" spans="1:10" hidden="1">
      <c r="A3634" s="4">
        <v>2.0210428519000198E+17</v>
      </c>
      <c r="B3634" s="4">
        <v>7278801325</v>
      </c>
      <c r="C3634" s="4" t="s">
        <v>6348</v>
      </c>
      <c r="D3634" s="4">
        <v>28519</v>
      </c>
      <c r="E3634" s="4">
        <v>20210409</v>
      </c>
      <c r="F3634" s="4">
        <v>20210409</v>
      </c>
      <c r="G3634" s="4">
        <v>20240409</v>
      </c>
      <c r="H3634" s="4" t="s">
        <v>1578</v>
      </c>
      <c r="I3634" s="4" t="s">
        <v>6347</v>
      </c>
      <c r="J3634" s="4" t="s">
        <v>1412</v>
      </c>
    </row>
    <row r="3635" spans="1:10" hidden="1">
      <c r="A3635" s="4">
        <v>2.0210433301000198E+17</v>
      </c>
      <c r="B3635" s="4">
        <v>8748101302</v>
      </c>
      <c r="C3635" s="4" t="s">
        <v>6346</v>
      </c>
      <c r="D3635" s="4">
        <v>33301</v>
      </c>
      <c r="E3635" s="4">
        <v>20210409</v>
      </c>
      <c r="F3635" s="4">
        <v>20210409</v>
      </c>
      <c r="G3635" s="4">
        <v>20240409</v>
      </c>
      <c r="H3635" s="4" t="s">
        <v>825</v>
      </c>
      <c r="I3635" s="4" t="s">
        <v>6345</v>
      </c>
      <c r="J3635" s="4" t="s">
        <v>902</v>
      </c>
    </row>
    <row r="3636" spans="1:10" hidden="1">
      <c r="A3636" s="4">
        <v>2.0210446599000198E+17</v>
      </c>
      <c r="B3636" s="4">
        <v>6178800577</v>
      </c>
      <c r="C3636" s="4" t="s">
        <v>6344</v>
      </c>
      <c r="D3636" s="4">
        <v>46599</v>
      </c>
      <c r="E3636" s="4">
        <v>20210409</v>
      </c>
      <c r="F3636" s="4">
        <v>20210409</v>
      </c>
      <c r="G3636" s="4">
        <v>20240307</v>
      </c>
      <c r="H3636" s="4" t="s">
        <v>6343</v>
      </c>
      <c r="I3636" s="4" t="s">
        <v>2274</v>
      </c>
      <c r="J3636" s="4" t="s">
        <v>2310</v>
      </c>
    </row>
    <row r="3637" spans="1:10" hidden="1">
      <c r="A3637" s="4">
        <v>2.0210473909000198E+17</v>
      </c>
      <c r="B3637" s="4">
        <v>5998100135</v>
      </c>
      <c r="C3637" s="4" t="s">
        <v>6342</v>
      </c>
      <c r="D3637" s="4">
        <v>73909</v>
      </c>
      <c r="E3637" s="4">
        <v>20210409</v>
      </c>
      <c r="F3637" s="4">
        <v>20210409</v>
      </c>
      <c r="G3637" s="4">
        <v>20220701</v>
      </c>
      <c r="H3637" s="4" t="s">
        <v>6341</v>
      </c>
      <c r="I3637" s="4" t="s">
        <v>496</v>
      </c>
      <c r="J3637" s="4" t="s">
        <v>293</v>
      </c>
    </row>
    <row r="3638" spans="1:10" hidden="1">
      <c r="A3638" s="4">
        <v>2.0210425944000198E+17</v>
      </c>
      <c r="B3638" s="4">
        <v>6978700824</v>
      </c>
      <c r="C3638" s="4" t="s">
        <v>6340</v>
      </c>
      <c r="D3638" s="4">
        <v>25944</v>
      </c>
      <c r="E3638" s="4">
        <v>20210409</v>
      </c>
      <c r="F3638" s="4">
        <v>20210409</v>
      </c>
      <c r="G3638" s="4">
        <v>20240409</v>
      </c>
      <c r="H3638" s="4" t="s">
        <v>6339</v>
      </c>
      <c r="I3638" s="4" t="s">
        <v>3580</v>
      </c>
      <c r="J3638" s="4" t="s">
        <v>1334</v>
      </c>
    </row>
    <row r="3639" spans="1:10" hidden="1">
      <c r="A3639" s="4">
        <v>2.0210426224000198E+17</v>
      </c>
      <c r="B3639" s="4">
        <v>8458100950</v>
      </c>
      <c r="C3639" s="4" t="s">
        <v>6338</v>
      </c>
      <c r="D3639" s="4">
        <v>26224</v>
      </c>
      <c r="E3639" s="4">
        <v>20210409</v>
      </c>
      <c r="F3639" s="4">
        <v>20210409</v>
      </c>
      <c r="G3639" s="4">
        <v>20240409</v>
      </c>
      <c r="H3639" s="4" t="s">
        <v>4109</v>
      </c>
      <c r="I3639" s="4" t="s">
        <v>6337</v>
      </c>
      <c r="J3639" s="4" t="s">
        <v>923</v>
      </c>
    </row>
    <row r="3640" spans="1:10" hidden="1">
      <c r="A3640" s="4">
        <v>2.0210471310000198E+17</v>
      </c>
      <c r="B3640" s="4">
        <v>6363400857</v>
      </c>
      <c r="C3640" s="4" t="s">
        <v>6336</v>
      </c>
      <c r="D3640" s="4">
        <v>71310</v>
      </c>
      <c r="E3640" s="4">
        <v>20210409</v>
      </c>
      <c r="F3640" s="4">
        <v>20210409</v>
      </c>
      <c r="G3640" s="4">
        <v>20240409</v>
      </c>
      <c r="H3640" s="4" t="s">
        <v>6335</v>
      </c>
      <c r="I3640" s="4" t="s">
        <v>185</v>
      </c>
      <c r="J3640" s="4" t="s">
        <v>426</v>
      </c>
    </row>
    <row r="3641" spans="1:10" hidden="1">
      <c r="A3641" s="4">
        <v>2.0210433993000198E+17</v>
      </c>
      <c r="B3641" s="4">
        <v>4918700191</v>
      </c>
      <c r="C3641" s="4" t="s">
        <v>6334</v>
      </c>
      <c r="D3641" s="4">
        <v>33993</v>
      </c>
      <c r="E3641" s="4">
        <v>20210409</v>
      </c>
      <c r="F3641" s="4">
        <v>20210409</v>
      </c>
      <c r="G3641" s="4">
        <v>20221207</v>
      </c>
      <c r="H3641" s="4" t="s">
        <v>6333</v>
      </c>
      <c r="I3641" s="4" t="s">
        <v>6332</v>
      </c>
      <c r="J3641" s="4" t="s">
        <v>1147</v>
      </c>
    </row>
    <row r="3642" spans="1:10">
      <c r="A3642" s="4">
        <v>2.02106581900004E+17</v>
      </c>
      <c r="B3642" s="4">
        <v>2242560854</v>
      </c>
      <c r="C3642" s="4" t="s">
        <v>10099</v>
      </c>
      <c r="D3642" s="4">
        <v>58190</v>
      </c>
      <c r="E3642" s="4">
        <v>20210601</v>
      </c>
      <c r="F3642" s="4">
        <v>20210601</v>
      </c>
      <c r="G3642" s="4">
        <v>20221222</v>
      </c>
      <c r="H3642" s="4" t="s">
        <v>10098</v>
      </c>
      <c r="J3642" s="4" t="s">
        <v>196</v>
      </c>
    </row>
    <row r="3643" spans="1:10" hidden="1">
      <c r="A3643" s="4">
        <v>2.0210429162000198E+17</v>
      </c>
      <c r="B3643" s="4">
        <v>6508601453</v>
      </c>
      <c r="C3643" s="4" t="s">
        <v>6329</v>
      </c>
      <c r="D3643" s="4">
        <v>29162</v>
      </c>
      <c r="E3643" s="4">
        <v>20210408</v>
      </c>
      <c r="F3643" s="4">
        <v>20210408</v>
      </c>
      <c r="G3643" s="4">
        <v>20240408</v>
      </c>
      <c r="H3643" s="4" t="s">
        <v>6328</v>
      </c>
      <c r="J3643" s="4" t="s">
        <v>4569</v>
      </c>
    </row>
    <row r="3644" spans="1:10" hidden="1">
      <c r="A3644" s="4">
        <v>2.0210442311000198E+17</v>
      </c>
      <c r="B3644" s="4">
        <v>4048700407</v>
      </c>
      <c r="C3644" s="4" t="s">
        <v>6327</v>
      </c>
      <c r="D3644" s="4">
        <v>42311</v>
      </c>
      <c r="E3644" s="4">
        <v>20210408</v>
      </c>
      <c r="F3644" s="4">
        <v>20210408</v>
      </c>
      <c r="G3644" s="4">
        <v>20230418</v>
      </c>
      <c r="H3644" s="4" t="s">
        <v>6326</v>
      </c>
      <c r="I3644" s="4" t="s">
        <v>6325</v>
      </c>
      <c r="J3644" s="4" t="s">
        <v>718</v>
      </c>
    </row>
    <row r="3645" spans="1:10" hidden="1">
      <c r="A3645" s="4">
        <v>2.0210429172000198E+17</v>
      </c>
      <c r="B3645" s="4">
        <v>2638701708</v>
      </c>
      <c r="C3645" s="4" t="s">
        <v>6324</v>
      </c>
      <c r="D3645" s="4">
        <v>29172</v>
      </c>
      <c r="E3645" s="4">
        <v>20210408</v>
      </c>
      <c r="F3645" s="4">
        <v>20210408</v>
      </c>
      <c r="G3645" s="4">
        <v>20240408</v>
      </c>
      <c r="H3645" s="4" t="s">
        <v>6323</v>
      </c>
      <c r="I3645" s="4" t="s">
        <v>185</v>
      </c>
      <c r="J3645" s="4" t="s">
        <v>1204</v>
      </c>
    </row>
    <row r="3646" spans="1:10" hidden="1">
      <c r="A3646" s="4">
        <v>2.0210428123000198E+17</v>
      </c>
      <c r="B3646" s="4">
        <v>3898600697</v>
      </c>
      <c r="C3646" s="4" t="s">
        <v>6322</v>
      </c>
      <c r="D3646" s="4">
        <v>28123</v>
      </c>
      <c r="E3646" s="4">
        <v>20210408</v>
      </c>
      <c r="F3646" s="4">
        <v>20210408</v>
      </c>
      <c r="G3646" s="4">
        <v>20240216</v>
      </c>
      <c r="H3646" s="4" t="s">
        <v>6321</v>
      </c>
      <c r="J3646" s="4" t="s">
        <v>640</v>
      </c>
    </row>
    <row r="3647" spans="1:10" hidden="1">
      <c r="A3647" s="4">
        <v>2.0210427199000198E+17</v>
      </c>
      <c r="B3647" s="4">
        <v>1418602017</v>
      </c>
      <c r="C3647" s="4" t="s">
        <v>6320</v>
      </c>
      <c r="D3647" s="4">
        <v>27199</v>
      </c>
      <c r="E3647" s="4">
        <v>20210408</v>
      </c>
      <c r="F3647" s="4">
        <v>20210408</v>
      </c>
      <c r="G3647" s="4">
        <v>20240408</v>
      </c>
      <c r="H3647" s="4" t="s">
        <v>3198</v>
      </c>
      <c r="I3647" s="4" t="s">
        <v>6319</v>
      </c>
      <c r="J3647" s="4" t="s">
        <v>418</v>
      </c>
    </row>
    <row r="3648" spans="1:10" hidden="1">
      <c r="A3648" s="4">
        <v>2.0210427214000198E+17</v>
      </c>
      <c r="B3648" s="4">
        <v>5438600461</v>
      </c>
      <c r="C3648" s="4" t="s">
        <v>6318</v>
      </c>
      <c r="D3648" s="4">
        <v>27214</v>
      </c>
      <c r="E3648" s="4">
        <v>20210408</v>
      </c>
      <c r="F3648" s="4">
        <v>20210408</v>
      </c>
      <c r="G3648" s="4">
        <v>20230902</v>
      </c>
      <c r="H3648" s="4" t="s">
        <v>6317</v>
      </c>
      <c r="J3648" s="4" t="s">
        <v>4937</v>
      </c>
    </row>
    <row r="3649" spans="1:10" hidden="1">
      <c r="A3649" s="4">
        <v>2.0210429162000198E+17</v>
      </c>
      <c r="B3649" s="4">
        <v>2978700866</v>
      </c>
      <c r="C3649" s="4" t="s">
        <v>6316</v>
      </c>
      <c r="D3649" s="4">
        <v>29162</v>
      </c>
      <c r="E3649" s="4">
        <v>20210408</v>
      </c>
      <c r="F3649" s="4">
        <v>20210408</v>
      </c>
      <c r="G3649" s="4">
        <v>20240408</v>
      </c>
      <c r="H3649" s="4" t="s">
        <v>6315</v>
      </c>
      <c r="J3649" s="4" t="s">
        <v>4569</v>
      </c>
    </row>
    <row r="3650" spans="1:10" hidden="1">
      <c r="A3650" s="4">
        <v>2.0210416102000198E+17</v>
      </c>
      <c r="B3650" s="4">
        <v>8023700571</v>
      </c>
      <c r="C3650" s="4" t="s">
        <v>6368</v>
      </c>
      <c r="D3650" s="4">
        <v>16102</v>
      </c>
      <c r="E3650" s="4">
        <v>20210409</v>
      </c>
      <c r="F3650" s="4">
        <v>20210409</v>
      </c>
      <c r="G3650" s="4">
        <v>20240409</v>
      </c>
      <c r="H3650" s="4" t="s">
        <v>6367</v>
      </c>
      <c r="J3650" s="4" t="s">
        <v>451</v>
      </c>
    </row>
    <row r="3651" spans="1:10" hidden="1">
      <c r="A3651" s="4">
        <v>2.0210425112000198E+17</v>
      </c>
      <c r="B3651" s="4">
        <v>3078800267</v>
      </c>
      <c r="C3651" s="4" t="s">
        <v>6312</v>
      </c>
      <c r="D3651" s="4">
        <v>25112</v>
      </c>
      <c r="E3651" s="4">
        <v>20210408</v>
      </c>
      <c r="F3651" s="4">
        <v>20210408</v>
      </c>
      <c r="G3651" s="4">
        <v>20221012</v>
      </c>
      <c r="H3651" s="4" t="s">
        <v>6311</v>
      </c>
      <c r="I3651" s="4" t="s">
        <v>6310</v>
      </c>
      <c r="J3651" s="4" t="s">
        <v>320</v>
      </c>
    </row>
    <row r="3652" spans="1:10" hidden="1">
      <c r="A3652" s="4">
        <v>2.0210470119000198E+17</v>
      </c>
      <c r="B3652" s="4">
        <v>1498700932</v>
      </c>
      <c r="C3652" s="4" t="s">
        <v>6309</v>
      </c>
      <c r="D3652" s="4">
        <v>70119</v>
      </c>
      <c r="E3652" s="4">
        <v>20210408</v>
      </c>
      <c r="F3652" s="4">
        <v>20210408</v>
      </c>
      <c r="G3652" s="4">
        <v>20240408</v>
      </c>
      <c r="H3652" s="4" t="s">
        <v>1515</v>
      </c>
      <c r="I3652" s="4" t="s">
        <v>6308</v>
      </c>
      <c r="J3652" s="4" t="s">
        <v>2978</v>
      </c>
    </row>
    <row r="3653" spans="1:10" hidden="1">
      <c r="A3653" s="4">
        <v>2.0210462010000198E+17</v>
      </c>
      <c r="B3653" s="4">
        <v>7168701750</v>
      </c>
      <c r="C3653" s="4" t="s">
        <v>6307</v>
      </c>
      <c r="D3653" s="4">
        <v>62010</v>
      </c>
      <c r="E3653" s="4">
        <v>20210408</v>
      </c>
      <c r="F3653" s="4">
        <v>20210408</v>
      </c>
      <c r="G3653" s="4">
        <v>20240408</v>
      </c>
      <c r="H3653" s="4" t="s">
        <v>2193</v>
      </c>
      <c r="I3653" s="4" t="s">
        <v>6306</v>
      </c>
      <c r="J3653" s="4" t="s">
        <v>118</v>
      </c>
    </row>
    <row r="3654" spans="1:10" hidden="1">
      <c r="A3654" s="4">
        <v>2.0210458221000198E+17</v>
      </c>
      <c r="B3654" s="4">
        <v>5718100253</v>
      </c>
      <c r="C3654" s="4" t="s">
        <v>6305</v>
      </c>
      <c r="D3654" s="4">
        <v>58221</v>
      </c>
      <c r="E3654" s="4">
        <v>20210408</v>
      </c>
      <c r="F3654" s="4">
        <v>20210408</v>
      </c>
      <c r="G3654" s="4">
        <v>20230228</v>
      </c>
      <c r="H3654" s="4" t="s">
        <v>6304</v>
      </c>
      <c r="I3654" s="4" t="s">
        <v>6303</v>
      </c>
      <c r="J3654" s="4" t="s">
        <v>228</v>
      </c>
    </row>
    <row r="3655" spans="1:10" hidden="1">
      <c r="A3655" s="4">
        <v>2.0210428422000198E+17</v>
      </c>
      <c r="B3655" s="4">
        <v>3978700088</v>
      </c>
      <c r="C3655" s="4" t="s">
        <v>6302</v>
      </c>
      <c r="D3655" s="4">
        <v>28422</v>
      </c>
      <c r="E3655" s="4">
        <v>20210408</v>
      </c>
      <c r="F3655" s="4">
        <v>20210408</v>
      </c>
      <c r="G3655" s="4">
        <v>20220603</v>
      </c>
      <c r="H3655" s="4" t="s">
        <v>6301</v>
      </c>
      <c r="J3655" s="4" t="s">
        <v>188</v>
      </c>
    </row>
    <row r="3656" spans="1:10" hidden="1">
      <c r="A3656" s="4">
        <v>2.0210416229000198E+17</v>
      </c>
      <c r="B3656" s="4">
        <v>5348101189</v>
      </c>
      <c r="C3656" s="4" t="s">
        <v>6300</v>
      </c>
      <c r="D3656" s="4">
        <v>16229</v>
      </c>
      <c r="E3656" s="4">
        <v>20210408</v>
      </c>
      <c r="F3656" s="4">
        <v>20210408</v>
      </c>
      <c r="G3656" s="4">
        <v>20240408</v>
      </c>
      <c r="H3656" s="4" t="s">
        <v>4432</v>
      </c>
      <c r="J3656" s="4" t="s">
        <v>1451</v>
      </c>
    </row>
    <row r="3657" spans="1:10" hidden="1">
      <c r="A3657" s="4">
        <v>2.0210447190000198E+17</v>
      </c>
      <c r="B3657" s="4">
        <v>8808601772</v>
      </c>
      <c r="C3657" s="4" t="s">
        <v>6299</v>
      </c>
      <c r="D3657" s="4">
        <v>47190</v>
      </c>
      <c r="E3657" s="4">
        <v>20210408</v>
      </c>
      <c r="F3657" s="4">
        <v>20210408</v>
      </c>
      <c r="G3657" s="4">
        <v>20240408</v>
      </c>
      <c r="H3657" s="4" t="s">
        <v>6298</v>
      </c>
      <c r="I3657" s="4" t="s">
        <v>91</v>
      </c>
      <c r="J3657" s="4" t="s">
        <v>6297</v>
      </c>
    </row>
    <row r="3658" spans="1:10" hidden="1">
      <c r="A3658" s="4">
        <v>2.0210425112000198E+17</v>
      </c>
      <c r="B3658" s="4">
        <v>4128152243</v>
      </c>
      <c r="C3658" s="4" t="s">
        <v>6296</v>
      </c>
      <c r="D3658" s="4">
        <v>25112</v>
      </c>
      <c r="E3658" s="4">
        <v>20210408</v>
      </c>
      <c r="F3658" s="4">
        <v>20210408</v>
      </c>
      <c r="G3658" s="4">
        <v>20210725</v>
      </c>
      <c r="H3658" s="4" t="s">
        <v>6295</v>
      </c>
      <c r="I3658" s="4">
        <v>303</v>
      </c>
      <c r="J3658" s="4" t="s">
        <v>320</v>
      </c>
    </row>
    <row r="3659" spans="1:10" hidden="1">
      <c r="A3659" s="4">
        <v>2.0210420422000198E+17</v>
      </c>
      <c r="B3659" s="4">
        <v>2288801721</v>
      </c>
      <c r="C3659" s="4" t="s">
        <v>6293</v>
      </c>
      <c r="D3659" s="4">
        <v>20422</v>
      </c>
      <c r="E3659" s="4">
        <v>20210408</v>
      </c>
      <c r="F3659" s="4">
        <v>20210408</v>
      </c>
      <c r="G3659" s="4">
        <v>20240408</v>
      </c>
      <c r="H3659" s="4" t="s">
        <v>6294</v>
      </c>
      <c r="I3659" s="4" t="s">
        <v>6293</v>
      </c>
      <c r="J3659" s="4" t="s">
        <v>392</v>
      </c>
    </row>
    <row r="3660" spans="1:10" hidden="1">
      <c r="A3660" s="4">
        <v>2.0210423321000198E+17</v>
      </c>
      <c r="B3660" s="4">
        <v>7988601624</v>
      </c>
      <c r="C3660" s="4" t="s">
        <v>6292</v>
      </c>
      <c r="D3660" s="4">
        <v>23321</v>
      </c>
      <c r="E3660" s="4">
        <v>20210408</v>
      </c>
      <c r="F3660" s="4">
        <v>20210408</v>
      </c>
      <c r="G3660" s="4">
        <v>20240408</v>
      </c>
      <c r="H3660" s="4" t="s">
        <v>6291</v>
      </c>
      <c r="J3660" s="4" t="s">
        <v>1337</v>
      </c>
    </row>
    <row r="3661" spans="1:10" hidden="1">
      <c r="A3661" s="4">
        <v>2.0210442311000198E+17</v>
      </c>
      <c r="B3661" s="4">
        <v>3378100823</v>
      </c>
      <c r="C3661" s="4" t="s">
        <v>6290</v>
      </c>
      <c r="D3661" s="4">
        <v>42311</v>
      </c>
      <c r="E3661" s="4">
        <v>20210408</v>
      </c>
      <c r="F3661" s="4">
        <v>20210408</v>
      </c>
      <c r="G3661" s="4">
        <v>20240408</v>
      </c>
      <c r="H3661" s="4" t="s">
        <v>6289</v>
      </c>
      <c r="I3661" s="4" t="s">
        <v>5182</v>
      </c>
      <c r="J3661" s="4" t="s">
        <v>718</v>
      </c>
    </row>
    <row r="3662" spans="1:10" hidden="1">
      <c r="A3662" s="4">
        <v>2.0210458222000198E+17</v>
      </c>
      <c r="B3662" s="4">
        <v>8568700160</v>
      </c>
      <c r="C3662" s="4" t="s">
        <v>6288</v>
      </c>
      <c r="D3662" s="4">
        <v>58222</v>
      </c>
      <c r="E3662" s="4">
        <v>20210408</v>
      </c>
      <c r="F3662" s="4">
        <v>20210408</v>
      </c>
      <c r="G3662" s="4">
        <v>20220917</v>
      </c>
      <c r="H3662" s="4" t="s">
        <v>3731</v>
      </c>
      <c r="I3662" s="4" t="s">
        <v>6287</v>
      </c>
      <c r="J3662" s="4" t="s">
        <v>94</v>
      </c>
    </row>
    <row r="3663" spans="1:10" hidden="1">
      <c r="A3663" s="4">
        <v>2.0210422259000198E+17</v>
      </c>
      <c r="B3663" s="4">
        <v>1308702969</v>
      </c>
      <c r="C3663" s="4" t="s">
        <v>6286</v>
      </c>
      <c r="D3663" s="4">
        <v>22259</v>
      </c>
      <c r="E3663" s="4">
        <v>20210408</v>
      </c>
      <c r="F3663" s="4">
        <v>20210408</v>
      </c>
      <c r="G3663" s="4">
        <v>20211007</v>
      </c>
      <c r="H3663" s="4" t="s">
        <v>6285</v>
      </c>
      <c r="I3663" s="4" t="s">
        <v>6284</v>
      </c>
      <c r="J3663" s="4" t="s">
        <v>966</v>
      </c>
    </row>
    <row r="3664" spans="1:10" hidden="1">
      <c r="A3664" s="4">
        <v>2.0210423329000198E+17</v>
      </c>
      <c r="B3664" s="4">
        <v>8948101155</v>
      </c>
      <c r="C3664" s="4" t="s">
        <v>6283</v>
      </c>
      <c r="D3664" s="4">
        <v>23329</v>
      </c>
      <c r="E3664" s="4">
        <v>20210408</v>
      </c>
      <c r="F3664" s="4">
        <v>20210408</v>
      </c>
      <c r="G3664" s="4">
        <v>20240408</v>
      </c>
      <c r="H3664" s="4" t="s">
        <v>6282</v>
      </c>
      <c r="I3664" s="4" t="s">
        <v>1553</v>
      </c>
      <c r="J3664" s="4" t="s">
        <v>6281</v>
      </c>
    </row>
    <row r="3665" spans="1:10" hidden="1">
      <c r="A3665" s="4">
        <v>2.0210423999000198E+17</v>
      </c>
      <c r="B3665" s="4">
        <v>3718601040</v>
      </c>
      <c r="C3665" s="4" t="s">
        <v>6280</v>
      </c>
      <c r="D3665" s="4">
        <v>23999</v>
      </c>
      <c r="E3665" s="4">
        <v>20210408</v>
      </c>
      <c r="F3665" s="4">
        <v>20210408</v>
      </c>
      <c r="G3665" s="4">
        <v>20240408</v>
      </c>
      <c r="H3665" s="4" t="s">
        <v>6279</v>
      </c>
      <c r="J3665" s="4" t="s">
        <v>1719</v>
      </c>
    </row>
    <row r="3666" spans="1:10" hidden="1">
      <c r="A3666" s="4">
        <v>2.0210458221000198E+17</v>
      </c>
      <c r="B3666" s="4">
        <v>8868601519</v>
      </c>
      <c r="C3666" s="4" t="s">
        <v>6278</v>
      </c>
      <c r="D3666" s="4">
        <v>58221</v>
      </c>
      <c r="E3666" s="4">
        <v>20210408</v>
      </c>
      <c r="F3666" s="4">
        <v>20210408</v>
      </c>
      <c r="G3666" s="4">
        <v>20240408</v>
      </c>
      <c r="H3666" s="4" t="s">
        <v>1183</v>
      </c>
      <c r="I3666" s="4" t="s">
        <v>6277</v>
      </c>
      <c r="J3666" s="4" t="s">
        <v>228</v>
      </c>
    </row>
    <row r="3667" spans="1:10" hidden="1">
      <c r="A3667" s="4">
        <v>2.0210428909000198E+17</v>
      </c>
      <c r="B3667" s="4">
        <v>3318800066</v>
      </c>
      <c r="C3667" s="4" t="s">
        <v>6276</v>
      </c>
      <c r="D3667" s="4">
        <v>28909</v>
      </c>
      <c r="E3667" s="4">
        <v>20210408</v>
      </c>
      <c r="F3667" s="4">
        <v>20210408</v>
      </c>
      <c r="G3667" s="4">
        <v>20220420</v>
      </c>
      <c r="H3667" s="4" t="s">
        <v>6275</v>
      </c>
      <c r="I3667" s="4" t="s">
        <v>6274</v>
      </c>
      <c r="J3667" s="4" t="s">
        <v>253</v>
      </c>
    </row>
    <row r="3668" spans="1:10" hidden="1">
      <c r="A3668" s="4">
        <v>2.0210462021000198E+17</v>
      </c>
      <c r="B3668" s="4">
        <v>3101960891</v>
      </c>
      <c r="C3668" s="4" t="s">
        <v>6273</v>
      </c>
      <c r="D3668" s="4">
        <v>62021</v>
      </c>
      <c r="E3668" s="4">
        <v>20210408</v>
      </c>
      <c r="F3668" s="4">
        <v>20210408</v>
      </c>
      <c r="G3668" s="4">
        <v>20231122</v>
      </c>
      <c r="H3668" s="4" t="s">
        <v>6272</v>
      </c>
      <c r="I3668" s="4" t="s">
        <v>3119</v>
      </c>
      <c r="J3668" s="4" t="s">
        <v>1505</v>
      </c>
    </row>
    <row r="3669" spans="1:10" hidden="1">
      <c r="A3669" s="4">
        <v>2.0210433910000198E+17</v>
      </c>
      <c r="B3669" s="4">
        <v>2302001253</v>
      </c>
      <c r="C3669" s="4" t="s">
        <v>6271</v>
      </c>
      <c r="D3669" s="4">
        <v>33910</v>
      </c>
      <c r="E3669" s="4">
        <v>20210408</v>
      </c>
      <c r="F3669" s="4">
        <v>20210408</v>
      </c>
      <c r="G3669" s="4">
        <v>20240408</v>
      </c>
      <c r="H3669" s="4" t="s">
        <v>6270</v>
      </c>
      <c r="I3669" s="4" t="s">
        <v>239</v>
      </c>
      <c r="J3669" s="4" t="s">
        <v>310</v>
      </c>
    </row>
    <row r="3670" spans="1:10" hidden="1">
      <c r="A3670" s="4">
        <v>2.0210470130000198E+17</v>
      </c>
      <c r="B3670" s="4">
        <v>7048701719</v>
      </c>
      <c r="C3670" s="4" t="s">
        <v>6269</v>
      </c>
      <c r="D3670" s="4">
        <v>70130</v>
      </c>
      <c r="E3670" s="4">
        <v>20210408</v>
      </c>
      <c r="F3670" s="4">
        <v>20210408</v>
      </c>
      <c r="G3670" s="4">
        <v>20240408</v>
      </c>
      <c r="H3670" s="4" t="s">
        <v>6268</v>
      </c>
      <c r="J3670" s="4" t="s">
        <v>170</v>
      </c>
    </row>
    <row r="3671" spans="1:10" hidden="1">
      <c r="A3671" s="4">
        <v>2.0210426329000198E+17</v>
      </c>
      <c r="B3671" s="4">
        <v>5698100847</v>
      </c>
      <c r="C3671" s="4" t="s">
        <v>6267</v>
      </c>
      <c r="D3671" s="4">
        <v>26329</v>
      </c>
      <c r="E3671" s="4">
        <v>20210408</v>
      </c>
      <c r="F3671" s="4">
        <v>20210408</v>
      </c>
      <c r="G3671" s="4">
        <v>20240408</v>
      </c>
      <c r="H3671" s="4" t="s">
        <v>6266</v>
      </c>
      <c r="I3671" s="4" t="s">
        <v>6265</v>
      </c>
      <c r="J3671" s="4" t="s">
        <v>565</v>
      </c>
    </row>
    <row r="3672" spans="1:10" hidden="1">
      <c r="A3672" s="4">
        <v>2.0210462010000198E+17</v>
      </c>
      <c r="B3672" s="4">
        <v>7588701735</v>
      </c>
      <c r="C3672" s="4" t="s">
        <v>6264</v>
      </c>
      <c r="D3672" s="4">
        <v>62010</v>
      </c>
      <c r="E3672" s="4">
        <v>20210408</v>
      </c>
      <c r="F3672" s="4">
        <v>20210408</v>
      </c>
      <c r="G3672" s="4">
        <v>20240408</v>
      </c>
      <c r="H3672" s="4" t="s">
        <v>6263</v>
      </c>
      <c r="I3672" s="4" t="s">
        <v>6262</v>
      </c>
      <c r="J3672" s="4" t="s">
        <v>118</v>
      </c>
    </row>
    <row r="3673" spans="1:10" hidden="1">
      <c r="A3673" s="4">
        <v>2.0210430122000198E+17</v>
      </c>
      <c r="B3673" s="4">
        <v>3170566899</v>
      </c>
      <c r="C3673" s="4" t="s">
        <v>6261</v>
      </c>
      <c r="D3673" s="4">
        <v>30122</v>
      </c>
      <c r="E3673" s="4">
        <v>20210408</v>
      </c>
      <c r="F3673" s="4">
        <v>20210408</v>
      </c>
      <c r="G3673" s="4">
        <v>20220217</v>
      </c>
      <c r="H3673" s="4" t="s">
        <v>6260</v>
      </c>
      <c r="J3673" s="4" t="s">
        <v>2503</v>
      </c>
    </row>
    <row r="3674" spans="1:10" hidden="1">
      <c r="A3674" s="4">
        <v>2.0210429191000198E+17</v>
      </c>
      <c r="B3674" s="4">
        <v>3188109314</v>
      </c>
      <c r="C3674" s="4" t="s">
        <v>6259</v>
      </c>
      <c r="D3674" s="4">
        <v>29191</v>
      </c>
      <c r="E3674" s="4">
        <v>20210408</v>
      </c>
      <c r="F3674" s="4">
        <v>20210408</v>
      </c>
      <c r="G3674" s="4">
        <v>20240408</v>
      </c>
      <c r="H3674" s="4" t="s">
        <v>6258</v>
      </c>
      <c r="I3674" s="4" t="s">
        <v>6257</v>
      </c>
      <c r="J3674" s="4" t="s">
        <v>6256</v>
      </c>
    </row>
    <row r="3675" spans="1:10" hidden="1">
      <c r="A3675" s="4">
        <v>2.0210485669000198E+17</v>
      </c>
      <c r="B3675" s="4">
        <v>3748701110</v>
      </c>
      <c r="C3675" s="4" t="s">
        <v>6314</v>
      </c>
      <c r="D3675" s="4">
        <v>85669</v>
      </c>
      <c r="E3675" s="4">
        <v>20210408</v>
      </c>
      <c r="F3675" s="4">
        <v>20210408</v>
      </c>
      <c r="G3675" s="4">
        <v>20240408</v>
      </c>
      <c r="H3675" s="4" t="s">
        <v>6313</v>
      </c>
      <c r="I3675" s="4" t="s">
        <v>91</v>
      </c>
      <c r="J3675" s="4" t="s">
        <v>3833</v>
      </c>
    </row>
    <row r="3676" spans="1:10" hidden="1">
      <c r="A3676" s="4">
        <v>2.0210446521000198E+17</v>
      </c>
      <c r="B3676" s="4">
        <v>5814900570</v>
      </c>
      <c r="C3676" s="4" t="s">
        <v>6252</v>
      </c>
      <c r="D3676" s="4">
        <v>46521</v>
      </c>
      <c r="E3676" s="4">
        <v>20210408</v>
      </c>
      <c r="F3676" s="4">
        <v>20210408</v>
      </c>
      <c r="G3676" s="4">
        <v>20240408</v>
      </c>
      <c r="H3676" s="4" t="s">
        <v>6251</v>
      </c>
      <c r="J3676" s="4" t="s">
        <v>6178</v>
      </c>
    </row>
    <row r="3677" spans="1:10" hidden="1">
      <c r="A3677" s="4">
        <v>2.0210475992000198E+17</v>
      </c>
      <c r="B3677" s="4">
        <v>5461401778</v>
      </c>
      <c r="C3677" s="4" t="s">
        <v>6250</v>
      </c>
      <c r="D3677" s="4">
        <v>75992</v>
      </c>
      <c r="E3677" s="4">
        <v>20210408</v>
      </c>
      <c r="F3677" s="4">
        <v>20210408</v>
      </c>
      <c r="G3677" s="4">
        <v>20240408</v>
      </c>
      <c r="H3677" s="4" t="s">
        <v>6249</v>
      </c>
      <c r="I3677" s="4" t="s">
        <v>6248</v>
      </c>
      <c r="J3677" s="4" t="s">
        <v>111</v>
      </c>
    </row>
    <row r="3678" spans="1:10" hidden="1">
      <c r="A3678" s="4">
        <v>2.0210462090000198E+17</v>
      </c>
      <c r="B3678" s="4">
        <v>4100599398</v>
      </c>
      <c r="C3678" s="4" t="s">
        <v>6247</v>
      </c>
      <c r="D3678" s="4">
        <v>62090</v>
      </c>
      <c r="E3678" s="4">
        <v>20210408</v>
      </c>
      <c r="F3678" s="4">
        <v>20210408</v>
      </c>
      <c r="G3678" s="4">
        <v>20210728</v>
      </c>
      <c r="H3678" s="4" t="s">
        <v>6246</v>
      </c>
      <c r="I3678" s="4" t="s">
        <v>6245</v>
      </c>
      <c r="J3678" s="4" t="s">
        <v>2030</v>
      </c>
    </row>
    <row r="3679" spans="1:10" hidden="1">
      <c r="A3679" s="4">
        <v>2.0210486202000198E+17</v>
      </c>
      <c r="B3679" s="4">
        <v>7399300906</v>
      </c>
      <c r="C3679" s="4" t="s">
        <v>6244</v>
      </c>
      <c r="D3679" s="4">
        <v>86202</v>
      </c>
      <c r="E3679" s="4">
        <v>20210408</v>
      </c>
      <c r="F3679" s="4">
        <v>20210408</v>
      </c>
      <c r="G3679" s="4">
        <v>20240408</v>
      </c>
      <c r="H3679" s="4" t="s">
        <v>6243</v>
      </c>
      <c r="I3679" s="4" t="s">
        <v>591</v>
      </c>
      <c r="J3679" s="4" t="s">
        <v>6242</v>
      </c>
    </row>
    <row r="3680" spans="1:10" hidden="1">
      <c r="A3680" s="4">
        <v>2.0210421101000198E+17</v>
      </c>
      <c r="B3680" s="4">
        <v>4478102211</v>
      </c>
      <c r="C3680" s="4" t="s">
        <v>6241</v>
      </c>
      <c r="D3680" s="4">
        <v>21101</v>
      </c>
      <c r="E3680" s="4">
        <v>20210408</v>
      </c>
      <c r="F3680" s="4">
        <v>20210408</v>
      </c>
      <c r="G3680" s="4">
        <v>20240408</v>
      </c>
      <c r="H3680" s="4" t="s">
        <v>3551</v>
      </c>
      <c r="I3680" s="4" t="s">
        <v>1611</v>
      </c>
      <c r="J3680" s="4" t="s">
        <v>6240</v>
      </c>
    </row>
    <row r="3681" spans="1:10" hidden="1">
      <c r="A3681" s="4">
        <v>2.0210422213000198E+17</v>
      </c>
      <c r="B3681" s="4">
        <v>3123288875</v>
      </c>
      <c r="C3681" s="4" t="s">
        <v>6239</v>
      </c>
      <c r="D3681" s="4">
        <v>22213</v>
      </c>
      <c r="E3681" s="4">
        <v>20210408</v>
      </c>
      <c r="F3681" s="4">
        <v>20210408</v>
      </c>
      <c r="G3681" s="4">
        <v>20211001</v>
      </c>
      <c r="H3681" s="4" t="s">
        <v>6238</v>
      </c>
      <c r="J3681" s="4" t="s">
        <v>6237</v>
      </c>
    </row>
    <row r="3682" spans="1:10" hidden="1">
      <c r="A3682" s="4">
        <v>2.0210410211000198E+17</v>
      </c>
      <c r="B3682" s="4">
        <v>7068101601</v>
      </c>
      <c r="C3682" s="4" t="s">
        <v>6236</v>
      </c>
      <c r="D3682" s="4">
        <v>10211</v>
      </c>
      <c r="E3682" s="4">
        <v>20210408</v>
      </c>
      <c r="F3682" s="4">
        <v>20210408</v>
      </c>
      <c r="G3682" s="4">
        <v>20240408</v>
      </c>
      <c r="H3682" s="4" t="s">
        <v>6235</v>
      </c>
      <c r="I3682" s="4" t="s">
        <v>149</v>
      </c>
      <c r="J3682" s="4" t="s">
        <v>5617</v>
      </c>
    </row>
    <row r="3683" spans="1:10" hidden="1">
      <c r="A3683" s="4">
        <v>2.0210432029000198E+17</v>
      </c>
      <c r="B3683" s="4">
        <v>3692300757</v>
      </c>
      <c r="C3683" s="4" t="s">
        <v>6234</v>
      </c>
      <c r="D3683" s="4">
        <v>32029</v>
      </c>
      <c r="E3683" s="4">
        <v>20210408</v>
      </c>
      <c r="F3683" s="4">
        <v>20210408</v>
      </c>
      <c r="G3683" s="4">
        <v>20240408</v>
      </c>
      <c r="H3683" s="4" t="s">
        <v>6233</v>
      </c>
      <c r="I3683" s="4" t="s">
        <v>6232</v>
      </c>
      <c r="J3683" s="4" t="s">
        <v>637</v>
      </c>
    </row>
    <row r="3684" spans="1:10" hidden="1">
      <c r="A3684" s="4">
        <v>2.0210429299000198E+17</v>
      </c>
      <c r="B3684" s="4">
        <v>1503300661</v>
      </c>
      <c r="C3684" s="4" t="s">
        <v>6231</v>
      </c>
      <c r="D3684" s="4">
        <v>29299</v>
      </c>
      <c r="E3684" s="4">
        <v>20210408</v>
      </c>
      <c r="F3684" s="4">
        <v>20210408</v>
      </c>
      <c r="G3684" s="4">
        <v>20240408</v>
      </c>
      <c r="H3684" s="4" t="s">
        <v>1644</v>
      </c>
      <c r="I3684" s="4" t="s">
        <v>185</v>
      </c>
      <c r="J3684" s="4" t="s">
        <v>137</v>
      </c>
    </row>
    <row r="3685" spans="1:10" hidden="1">
      <c r="A3685" s="4">
        <v>2.0210428901000198E+17</v>
      </c>
      <c r="B3685" s="4">
        <v>4108703369</v>
      </c>
      <c r="C3685" s="4" t="s">
        <v>6230</v>
      </c>
      <c r="D3685" s="4">
        <v>28901</v>
      </c>
      <c r="E3685" s="4">
        <v>20210408</v>
      </c>
      <c r="F3685" s="4">
        <v>20210408</v>
      </c>
      <c r="G3685" s="4">
        <v>20211029</v>
      </c>
      <c r="H3685" s="4" t="s">
        <v>6229</v>
      </c>
      <c r="I3685" s="4" t="s">
        <v>1174</v>
      </c>
      <c r="J3685" s="4" t="s">
        <v>4186</v>
      </c>
    </row>
    <row r="3686" spans="1:10" hidden="1">
      <c r="A3686" s="4">
        <v>2.0210458221000198E+17</v>
      </c>
      <c r="B3686" s="4">
        <v>4568601507</v>
      </c>
      <c r="C3686" s="4" t="s">
        <v>6228</v>
      </c>
      <c r="D3686" s="4">
        <v>58221</v>
      </c>
      <c r="E3686" s="4">
        <v>20210408</v>
      </c>
      <c r="F3686" s="4">
        <v>20210408</v>
      </c>
      <c r="G3686" s="4">
        <v>20240408</v>
      </c>
      <c r="H3686" s="4" t="s">
        <v>6227</v>
      </c>
      <c r="I3686" s="4" t="s">
        <v>6226</v>
      </c>
      <c r="J3686" s="4" t="s">
        <v>228</v>
      </c>
    </row>
    <row r="3687" spans="1:10" hidden="1">
      <c r="A3687" s="4">
        <v>2.0210428123000198E+17</v>
      </c>
      <c r="B3687" s="4">
        <v>8988800079</v>
      </c>
      <c r="C3687" s="4" t="s">
        <v>6225</v>
      </c>
      <c r="D3687" s="4">
        <v>28123</v>
      </c>
      <c r="E3687" s="4">
        <v>20210408</v>
      </c>
      <c r="F3687" s="4">
        <v>20210408</v>
      </c>
      <c r="G3687" s="4">
        <v>20220326</v>
      </c>
      <c r="H3687" s="4" t="s">
        <v>6224</v>
      </c>
      <c r="J3687" s="4" t="s">
        <v>640</v>
      </c>
    </row>
    <row r="3688" spans="1:10" hidden="1">
      <c r="A3688" s="4">
        <v>2.0210410403000198E+17</v>
      </c>
      <c r="B3688" s="4">
        <v>1418143949</v>
      </c>
      <c r="C3688" s="4" t="s">
        <v>6223</v>
      </c>
      <c r="D3688" s="4">
        <v>10403</v>
      </c>
      <c r="E3688" s="4">
        <v>20210408</v>
      </c>
      <c r="F3688" s="4">
        <v>20210408</v>
      </c>
      <c r="G3688" s="4">
        <v>20210911</v>
      </c>
      <c r="H3688" s="4" t="s">
        <v>6222</v>
      </c>
      <c r="J3688" s="4" t="s">
        <v>6221</v>
      </c>
    </row>
    <row r="3689" spans="1:10" hidden="1">
      <c r="A3689" s="4">
        <v>2.0210426429000198E+17</v>
      </c>
      <c r="B3689" s="4">
        <v>3668600296</v>
      </c>
      <c r="C3689" s="4" t="s">
        <v>6220</v>
      </c>
      <c r="D3689" s="4">
        <v>26429</v>
      </c>
      <c r="E3689" s="4">
        <v>20210408</v>
      </c>
      <c r="F3689" s="4">
        <v>20210408</v>
      </c>
      <c r="G3689" s="4">
        <v>20230114</v>
      </c>
      <c r="H3689" s="4" t="s">
        <v>6219</v>
      </c>
      <c r="J3689" s="4" t="s">
        <v>422</v>
      </c>
    </row>
    <row r="3690" spans="1:10" hidden="1">
      <c r="A3690" s="4">
        <v>2.0210458222000198E+17</v>
      </c>
      <c r="B3690" s="4">
        <v>6528801680</v>
      </c>
      <c r="C3690" s="4" t="s">
        <v>6218</v>
      </c>
      <c r="D3690" s="4">
        <v>58222</v>
      </c>
      <c r="E3690" s="4">
        <v>20210408</v>
      </c>
      <c r="F3690" s="4">
        <v>20210408</v>
      </c>
      <c r="G3690" s="4">
        <v>20240408</v>
      </c>
      <c r="H3690" s="4" t="s">
        <v>6217</v>
      </c>
      <c r="I3690" s="4" t="s">
        <v>6216</v>
      </c>
      <c r="J3690" s="4" t="s">
        <v>94</v>
      </c>
    </row>
    <row r="3691" spans="1:10" hidden="1">
      <c r="A3691" s="4">
        <v>2.0210473909000198E+17</v>
      </c>
      <c r="B3691" s="4">
        <v>5308701608</v>
      </c>
      <c r="C3691" s="4" t="s">
        <v>6215</v>
      </c>
      <c r="D3691" s="4">
        <v>73909</v>
      </c>
      <c r="E3691" s="4">
        <v>20210408</v>
      </c>
      <c r="F3691" s="4">
        <v>20210408</v>
      </c>
      <c r="G3691" s="4">
        <v>20240408</v>
      </c>
      <c r="H3691" s="4" t="s">
        <v>6214</v>
      </c>
      <c r="I3691" s="4" t="s">
        <v>6213</v>
      </c>
      <c r="J3691" s="4" t="s">
        <v>293</v>
      </c>
    </row>
    <row r="3692" spans="1:10" hidden="1">
      <c r="A3692" s="4">
        <v>2.0210496999000198E+17</v>
      </c>
      <c r="B3692" s="4">
        <v>8248601049</v>
      </c>
      <c r="C3692" s="4" t="s">
        <v>6212</v>
      </c>
      <c r="D3692" s="4">
        <v>96999</v>
      </c>
      <c r="E3692" s="4">
        <v>20210408</v>
      </c>
      <c r="F3692" s="4">
        <v>20210408</v>
      </c>
      <c r="G3692" s="4">
        <v>20240408</v>
      </c>
      <c r="H3692" s="4" t="s">
        <v>6211</v>
      </c>
      <c r="I3692" s="4" t="s">
        <v>6210</v>
      </c>
      <c r="J3692" s="4" t="s">
        <v>2931</v>
      </c>
    </row>
    <row r="3693" spans="1:10" hidden="1">
      <c r="A3693" s="4">
        <v>2.0210441226000198E+17</v>
      </c>
      <c r="B3693" s="4">
        <v>4988800170</v>
      </c>
      <c r="C3693" s="4" t="s">
        <v>6209</v>
      </c>
      <c r="D3693" s="4">
        <v>41226</v>
      </c>
      <c r="E3693" s="4">
        <v>20210408</v>
      </c>
      <c r="F3693" s="4">
        <v>20210408</v>
      </c>
      <c r="G3693" s="4">
        <v>20220916</v>
      </c>
      <c r="H3693" s="4" t="s">
        <v>6208</v>
      </c>
      <c r="J3693" s="4" t="s">
        <v>1063</v>
      </c>
    </row>
    <row r="3694" spans="1:10" hidden="1">
      <c r="A3694" s="4">
        <v>2.0210428410000198E+17</v>
      </c>
      <c r="B3694" s="4">
        <v>8378601064</v>
      </c>
      <c r="C3694" s="4" t="s">
        <v>6207</v>
      </c>
      <c r="D3694" s="4">
        <v>28410</v>
      </c>
      <c r="E3694" s="4">
        <v>20210408</v>
      </c>
      <c r="F3694" s="4">
        <v>20210408</v>
      </c>
      <c r="G3694" s="4">
        <v>20240408</v>
      </c>
      <c r="H3694" s="4" t="s">
        <v>6206</v>
      </c>
      <c r="I3694" s="4" t="s">
        <v>6205</v>
      </c>
      <c r="J3694" s="4" t="s">
        <v>2199</v>
      </c>
    </row>
    <row r="3695" spans="1:10" hidden="1">
      <c r="A3695" s="4">
        <v>2.0210433910000198E+17</v>
      </c>
      <c r="B3695" s="4">
        <v>5318700320</v>
      </c>
      <c r="C3695" s="4" t="s">
        <v>6204</v>
      </c>
      <c r="D3695" s="4">
        <v>33910</v>
      </c>
      <c r="E3695" s="4">
        <v>20210408</v>
      </c>
      <c r="F3695" s="4">
        <v>20210408</v>
      </c>
      <c r="G3695" s="4">
        <v>20230129</v>
      </c>
      <c r="H3695" s="4" t="s">
        <v>6203</v>
      </c>
      <c r="I3695" s="4" t="s">
        <v>1064</v>
      </c>
      <c r="J3695" s="4" t="s">
        <v>310</v>
      </c>
    </row>
    <row r="3696" spans="1:10" hidden="1">
      <c r="A3696" s="4">
        <v>2.0210429172000198E+17</v>
      </c>
      <c r="B3696" s="4">
        <v>8848601513</v>
      </c>
      <c r="C3696" s="4" t="s">
        <v>6202</v>
      </c>
      <c r="D3696" s="4">
        <v>29172</v>
      </c>
      <c r="E3696" s="4">
        <v>20210408</v>
      </c>
      <c r="F3696" s="4">
        <v>20210408</v>
      </c>
      <c r="G3696" s="4">
        <v>20240408</v>
      </c>
      <c r="H3696" s="4" t="s">
        <v>6201</v>
      </c>
      <c r="I3696" s="4" t="s">
        <v>6200</v>
      </c>
      <c r="J3696" s="4" t="s">
        <v>1204</v>
      </c>
    </row>
    <row r="3697" spans="1:10" hidden="1">
      <c r="A3697" s="4">
        <v>2.0210425111000198E+17</v>
      </c>
      <c r="B3697" s="4">
        <v>7198701536</v>
      </c>
      <c r="C3697" s="4" t="s">
        <v>6199</v>
      </c>
      <c r="D3697" s="4">
        <v>25111</v>
      </c>
      <c r="E3697" s="4">
        <v>20210408</v>
      </c>
      <c r="F3697" s="4">
        <v>20210408</v>
      </c>
      <c r="G3697" s="4">
        <v>20240408</v>
      </c>
      <c r="H3697" s="4" t="s">
        <v>6198</v>
      </c>
      <c r="J3697" s="4" t="s">
        <v>82</v>
      </c>
    </row>
    <row r="3698" spans="1:10" hidden="1">
      <c r="A3698" s="4">
        <v>2.0210425122000198E+17</v>
      </c>
      <c r="B3698" s="4">
        <v>2558700576</v>
      </c>
      <c r="C3698" s="4" t="s">
        <v>6197</v>
      </c>
      <c r="D3698" s="4">
        <v>25122</v>
      </c>
      <c r="E3698" s="4">
        <v>20210408</v>
      </c>
      <c r="F3698" s="4">
        <v>20210408</v>
      </c>
      <c r="G3698" s="4">
        <v>20240215</v>
      </c>
      <c r="H3698" s="4" t="s">
        <v>6196</v>
      </c>
      <c r="J3698" s="4" t="s">
        <v>6195</v>
      </c>
    </row>
    <row r="3699" spans="1:10" hidden="1">
      <c r="A3699" s="4">
        <v>2.0210428422000198E+17</v>
      </c>
      <c r="B3699" s="4">
        <v>1078842876</v>
      </c>
      <c r="C3699" s="4" t="s">
        <v>6194</v>
      </c>
      <c r="D3699" s="4">
        <v>28422</v>
      </c>
      <c r="E3699" s="4">
        <v>20210408</v>
      </c>
      <c r="F3699" s="4">
        <v>20210408</v>
      </c>
      <c r="G3699" s="4">
        <v>20240408</v>
      </c>
      <c r="H3699" s="4" t="s">
        <v>6193</v>
      </c>
      <c r="I3699" s="4" t="s">
        <v>970</v>
      </c>
      <c r="J3699" s="4" t="s">
        <v>188</v>
      </c>
    </row>
    <row r="3700" spans="1:10" hidden="1">
      <c r="A3700" s="4">
        <v>2.0210442311000198E+17</v>
      </c>
      <c r="B3700" s="4">
        <v>3058640798</v>
      </c>
      <c r="C3700" s="4" t="s">
        <v>6192</v>
      </c>
      <c r="D3700" s="4">
        <v>42311</v>
      </c>
      <c r="E3700" s="4">
        <v>20210408</v>
      </c>
      <c r="F3700" s="4">
        <v>20210408</v>
      </c>
      <c r="G3700" s="4">
        <v>20240408</v>
      </c>
      <c r="H3700" s="4" t="s">
        <v>6191</v>
      </c>
      <c r="I3700" s="4" t="s">
        <v>1064</v>
      </c>
      <c r="J3700" s="4" t="s">
        <v>718</v>
      </c>
    </row>
    <row r="3701" spans="1:10" hidden="1">
      <c r="A3701" s="4">
        <v>2.0210423993000198E+17</v>
      </c>
      <c r="B3701" s="4">
        <v>2548601013</v>
      </c>
      <c r="C3701" s="4" t="s">
        <v>6190</v>
      </c>
      <c r="D3701" s="4">
        <v>23993</v>
      </c>
      <c r="E3701" s="4">
        <v>20210408</v>
      </c>
      <c r="F3701" s="4">
        <v>20210408</v>
      </c>
      <c r="G3701" s="4">
        <v>20240408</v>
      </c>
      <c r="H3701" s="4" t="s">
        <v>6189</v>
      </c>
      <c r="J3701" s="4" t="s">
        <v>540</v>
      </c>
    </row>
    <row r="3702" spans="1:10" hidden="1">
      <c r="A3702" s="4">
        <v>2.0210423995000198E+17</v>
      </c>
      <c r="B3702" s="4">
        <v>7748700795</v>
      </c>
      <c r="C3702" s="4" t="s">
        <v>6188</v>
      </c>
      <c r="D3702" s="4">
        <v>23995</v>
      </c>
      <c r="E3702" s="4">
        <v>20210408</v>
      </c>
      <c r="F3702" s="4">
        <v>20210408</v>
      </c>
      <c r="G3702" s="4">
        <v>20240408</v>
      </c>
      <c r="H3702" s="4" t="s">
        <v>3146</v>
      </c>
      <c r="J3702" s="4" t="s">
        <v>6187</v>
      </c>
    </row>
    <row r="3703" spans="1:10" hidden="1">
      <c r="A3703" s="4">
        <v>2.0210425999000198E+17</v>
      </c>
      <c r="B3703" s="4">
        <v>8948601053</v>
      </c>
      <c r="C3703" s="4" t="s">
        <v>6186</v>
      </c>
      <c r="D3703" s="4">
        <v>25999</v>
      </c>
      <c r="E3703" s="4">
        <v>20210408</v>
      </c>
      <c r="F3703" s="4">
        <v>20210408</v>
      </c>
      <c r="G3703" s="4">
        <v>20240408</v>
      </c>
      <c r="H3703" s="4" t="s">
        <v>6185</v>
      </c>
      <c r="I3703" s="4" t="s">
        <v>6184</v>
      </c>
      <c r="J3703" s="4" t="s">
        <v>301</v>
      </c>
    </row>
    <row r="3704" spans="1:10" hidden="1">
      <c r="A3704" s="4">
        <v>2.0210470129000198E+17</v>
      </c>
      <c r="B3704" s="4">
        <v>4778601241</v>
      </c>
      <c r="C3704" s="4" t="s">
        <v>6183</v>
      </c>
      <c r="D3704" s="4">
        <v>70129</v>
      </c>
      <c r="E3704" s="4">
        <v>20210408</v>
      </c>
      <c r="F3704" s="4">
        <v>20210408</v>
      </c>
      <c r="G3704" s="4">
        <v>20240408</v>
      </c>
      <c r="H3704" s="4" t="s">
        <v>6182</v>
      </c>
      <c r="I3704" s="4" t="s">
        <v>149</v>
      </c>
      <c r="J3704" s="4" t="s">
        <v>937</v>
      </c>
    </row>
    <row r="3705" spans="1:10" hidden="1">
      <c r="A3705" s="4">
        <v>2.0210446521000198E+17</v>
      </c>
      <c r="B3705" s="4">
        <v>1538800113</v>
      </c>
      <c r="C3705" s="4" t="s">
        <v>6181</v>
      </c>
      <c r="D3705" s="4">
        <v>46521</v>
      </c>
      <c r="E3705" s="4">
        <v>20210408</v>
      </c>
      <c r="F3705" s="4">
        <v>20210408</v>
      </c>
      <c r="G3705" s="4">
        <v>20220706</v>
      </c>
      <c r="H3705" s="4" t="s">
        <v>6180</v>
      </c>
      <c r="I3705" s="4" t="s">
        <v>6179</v>
      </c>
      <c r="J3705" s="4" t="s">
        <v>6178</v>
      </c>
    </row>
    <row r="3706" spans="1:10" hidden="1">
      <c r="A3706" s="4">
        <v>2.0210446329000198E+17</v>
      </c>
      <c r="B3706" s="4">
        <v>7898601881</v>
      </c>
      <c r="C3706" s="4" t="s">
        <v>6177</v>
      </c>
      <c r="D3706" s="4">
        <v>46329</v>
      </c>
      <c r="E3706" s="4">
        <v>20210408</v>
      </c>
      <c r="F3706" s="4">
        <v>20210408</v>
      </c>
      <c r="G3706" s="4">
        <v>20240408</v>
      </c>
      <c r="H3706" s="4" t="s">
        <v>4873</v>
      </c>
      <c r="J3706" s="4" t="s">
        <v>830</v>
      </c>
    </row>
    <row r="3707" spans="1:10" hidden="1">
      <c r="A3707" s="4">
        <v>2.0210429271000198E+17</v>
      </c>
      <c r="B3707" s="4">
        <v>5828701399</v>
      </c>
      <c r="C3707" s="4" t="s">
        <v>6176</v>
      </c>
      <c r="D3707" s="4">
        <v>29271</v>
      </c>
      <c r="E3707" s="4">
        <v>20210408</v>
      </c>
      <c r="F3707" s="4">
        <v>20210408</v>
      </c>
      <c r="G3707" s="4">
        <v>20240408</v>
      </c>
      <c r="H3707" s="4" t="s">
        <v>6175</v>
      </c>
      <c r="I3707" s="4" t="s">
        <v>4318</v>
      </c>
      <c r="J3707" s="4" t="s">
        <v>285</v>
      </c>
    </row>
    <row r="3708" spans="1:10" hidden="1">
      <c r="A3708" s="4">
        <v>2.0210470121000198E+17</v>
      </c>
      <c r="B3708" s="4">
        <v>7068602094</v>
      </c>
      <c r="C3708" s="4" t="s">
        <v>6174</v>
      </c>
      <c r="D3708" s="4">
        <v>70121</v>
      </c>
      <c r="E3708" s="4">
        <v>20210408</v>
      </c>
      <c r="F3708" s="4">
        <v>20210408</v>
      </c>
      <c r="G3708" s="4">
        <v>20240408</v>
      </c>
      <c r="H3708" s="4" t="s">
        <v>6173</v>
      </c>
      <c r="I3708" s="4" t="s">
        <v>6172</v>
      </c>
      <c r="J3708" s="4" t="s">
        <v>1267</v>
      </c>
    </row>
    <row r="3709" spans="1:10" hidden="1">
      <c r="A3709" s="4">
        <v>2.0210429210000198E+17</v>
      </c>
      <c r="B3709" s="4">
        <v>4032800616</v>
      </c>
      <c r="C3709" s="4" t="s">
        <v>6171</v>
      </c>
      <c r="D3709" s="4">
        <v>29210</v>
      </c>
      <c r="E3709" s="4">
        <v>20210408</v>
      </c>
      <c r="F3709" s="4">
        <v>20210408</v>
      </c>
      <c r="G3709" s="4">
        <v>20240408</v>
      </c>
      <c r="H3709" s="4" t="s">
        <v>6170</v>
      </c>
      <c r="J3709" s="4" t="s">
        <v>1274</v>
      </c>
    </row>
    <row r="3710" spans="1:10" hidden="1">
      <c r="A3710" s="4">
        <v>2.0210429131000198E+17</v>
      </c>
      <c r="B3710" s="4">
        <v>8252000294</v>
      </c>
      <c r="C3710" s="4" t="s">
        <v>6168</v>
      </c>
      <c r="D3710" s="4">
        <v>29131</v>
      </c>
      <c r="E3710" s="4">
        <v>20210408</v>
      </c>
      <c r="F3710" s="4">
        <v>20210408</v>
      </c>
      <c r="G3710" s="4">
        <v>20231206</v>
      </c>
      <c r="H3710" s="4" t="s">
        <v>6169</v>
      </c>
      <c r="I3710" s="4" t="s">
        <v>6168</v>
      </c>
      <c r="J3710" s="4" t="s">
        <v>4077</v>
      </c>
    </row>
    <row r="3711" spans="1:10" hidden="1">
      <c r="A3711" s="4">
        <v>2.0210425992000198E+17</v>
      </c>
      <c r="B3711" s="4">
        <v>4588702042</v>
      </c>
      <c r="C3711" s="4" t="s">
        <v>6167</v>
      </c>
      <c r="D3711" s="4">
        <v>25992</v>
      </c>
      <c r="E3711" s="4">
        <v>20210408</v>
      </c>
      <c r="F3711" s="4">
        <v>20210408</v>
      </c>
      <c r="G3711" s="4">
        <v>20240408</v>
      </c>
      <c r="H3711" s="4" t="s">
        <v>6166</v>
      </c>
      <c r="I3711" s="4" t="s">
        <v>149</v>
      </c>
      <c r="J3711" s="4" t="s">
        <v>6165</v>
      </c>
    </row>
    <row r="3712" spans="1:10" hidden="1">
      <c r="A3712" s="4">
        <v>2.0210475992000198E+17</v>
      </c>
      <c r="B3712" s="4">
        <v>3638801193</v>
      </c>
      <c r="C3712" s="4" t="s">
        <v>6164</v>
      </c>
      <c r="D3712" s="4">
        <v>75992</v>
      </c>
      <c r="E3712" s="4">
        <v>20210408</v>
      </c>
      <c r="F3712" s="4">
        <v>20210408</v>
      </c>
      <c r="G3712" s="4">
        <v>20240408</v>
      </c>
      <c r="H3712" s="4" t="s">
        <v>6163</v>
      </c>
      <c r="I3712" s="4" t="s">
        <v>6162</v>
      </c>
      <c r="J3712" s="4" t="s">
        <v>111</v>
      </c>
    </row>
    <row r="3713" spans="1:10" hidden="1">
      <c r="A3713" s="4">
        <v>2.0210428123000198E+17</v>
      </c>
      <c r="B3713" s="4">
        <v>1984900548</v>
      </c>
      <c r="C3713" s="4" t="s">
        <v>6255</v>
      </c>
      <c r="D3713" s="4">
        <v>28123</v>
      </c>
      <c r="E3713" s="4">
        <v>20210408</v>
      </c>
      <c r="F3713" s="4">
        <v>20210408</v>
      </c>
      <c r="G3713" s="4">
        <v>20240408</v>
      </c>
      <c r="H3713" s="4" t="s">
        <v>6254</v>
      </c>
      <c r="I3713" s="4" t="s">
        <v>6253</v>
      </c>
      <c r="J3713" s="4" t="s">
        <v>640</v>
      </c>
    </row>
    <row r="3714" spans="1:10" hidden="1">
      <c r="A3714" s="4">
        <v>2.0210474211000198E+17</v>
      </c>
      <c r="B3714" s="4">
        <v>2198130349</v>
      </c>
      <c r="C3714" s="4" t="s">
        <v>6159</v>
      </c>
      <c r="D3714" s="4">
        <v>74211</v>
      </c>
      <c r="E3714" s="4">
        <v>20210408</v>
      </c>
      <c r="F3714" s="4">
        <v>20210408</v>
      </c>
      <c r="G3714" s="4">
        <v>20221113</v>
      </c>
      <c r="H3714" s="4" t="s">
        <v>6158</v>
      </c>
      <c r="I3714" s="4" t="s">
        <v>591</v>
      </c>
      <c r="J3714" s="4" t="s">
        <v>5576</v>
      </c>
    </row>
    <row r="3715" spans="1:10" hidden="1">
      <c r="A3715" s="4">
        <v>2.0210428903000198E+17</v>
      </c>
      <c r="B3715" s="4">
        <v>6925800493</v>
      </c>
      <c r="C3715" s="4" t="s">
        <v>6161</v>
      </c>
      <c r="D3715" s="4">
        <v>28903</v>
      </c>
      <c r="E3715" s="4">
        <v>20210408</v>
      </c>
      <c r="F3715" s="4">
        <v>20210408</v>
      </c>
      <c r="G3715" s="4">
        <v>20240408</v>
      </c>
      <c r="H3715" s="4" t="s">
        <v>6160</v>
      </c>
      <c r="J3715" s="4" t="s">
        <v>460</v>
      </c>
    </row>
    <row r="3716" spans="1:10" hidden="1">
      <c r="A3716" s="4">
        <v>2.0210458212000198E+17</v>
      </c>
      <c r="B3716" s="4">
        <v>4618700579</v>
      </c>
      <c r="C3716" s="4" t="s">
        <v>6155</v>
      </c>
      <c r="D3716" s="4">
        <v>58212</v>
      </c>
      <c r="E3716" s="4">
        <v>20210407</v>
      </c>
      <c r="F3716" s="4">
        <v>20210407</v>
      </c>
      <c r="G3716" s="4">
        <v>20240113</v>
      </c>
      <c r="H3716" s="4" t="s">
        <v>5838</v>
      </c>
      <c r="I3716" s="4" t="s">
        <v>831</v>
      </c>
      <c r="J3716" s="4" t="s">
        <v>1076</v>
      </c>
    </row>
    <row r="3717" spans="1:10" hidden="1">
      <c r="A3717" s="4">
        <v>2.0210429169000198E+17</v>
      </c>
      <c r="B3717" s="4">
        <v>3918600991</v>
      </c>
      <c r="C3717" s="4" t="s">
        <v>6157</v>
      </c>
      <c r="D3717" s="4">
        <v>29169</v>
      </c>
      <c r="E3717" s="4">
        <v>20210407</v>
      </c>
      <c r="F3717" s="4">
        <v>20210407</v>
      </c>
      <c r="G3717" s="4">
        <v>20240407</v>
      </c>
      <c r="H3717" s="4" t="s">
        <v>3719</v>
      </c>
      <c r="I3717" s="4" t="s">
        <v>6156</v>
      </c>
      <c r="J3717" s="4" t="s">
        <v>1734</v>
      </c>
    </row>
    <row r="3718" spans="1:10" hidden="1">
      <c r="A3718" s="4">
        <v>2.0210428901000198E+17</v>
      </c>
      <c r="B3718" s="4">
        <v>2258700288</v>
      </c>
      <c r="C3718" s="4" t="s">
        <v>6152</v>
      </c>
      <c r="D3718" s="4">
        <v>28901</v>
      </c>
      <c r="E3718" s="4">
        <v>20210407</v>
      </c>
      <c r="F3718" s="4">
        <v>20210407</v>
      </c>
      <c r="G3718" s="4">
        <v>20230125</v>
      </c>
      <c r="H3718" s="4" t="s">
        <v>4281</v>
      </c>
      <c r="I3718" s="4" t="s">
        <v>6151</v>
      </c>
      <c r="J3718" s="4" t="s">
        <v>4186</v>
      </c>
    </row>
    <row r="3719" spans="1:10" hidden="1">
      <c r="A3719" s="4">
        <v>2.0210428111000198E+17</v>
      </c>
      <c r="B3719" s="4">
        <v>1238646166</v>
      </c>
      <c r="C3719" s="4" t="s">
        <v>6150</v>
      </c>
      <c r="D3719" s="4">
        <v>28111</v>
      </c>
      <c r="E3719" s="4">
        <v>20210407</v>
      </c>
      <c r="F3719" s="4">
        <v>20210407</v>
      </c>
      <c r="G3719" s="4">
        <v>20211030</v>
      </c>
      <c r="H3719" s="4" t="s">
        <v>374</v>
      </c>
      <c r="I3719" s="4" t="s">
        <v>6149</v>
      </c>
      <c r="J3719" s="4" t="s">
        <v>1614</v>
      </c>
    </row>
    <row r="3720" spans="1:10" hidden="1">
      <c r="A3720" s="4">
        <v>2.0210420311000198E+17</v>
      </c>
      <c r="B3720" s="4">
        <v>1638701636</v>
      </c>
      <c r="C3720" s="4" t="s">
        <v>6147</v>
      </c>
      <c r="D3720" s="4">
        <v>20311</v>
      </c>
      <c r="E3720" s="4">
        <v>20210407</v>
      </c>
      <c r="F3720" s="4">
        <v>20210407</v>
      </c>
      <c r="G3720" s="4">
        <v>20240407</v>
      </c>
      <c r="H3720" s="4" t="s">
        <v>6148</v>
      </c>
      <c r="I3720" s="4" t="s">
        <v>6147</v>
      </c>
      <c r="J3720" s="4" t="s">
        <v>6146</v>
      </c>
    </row>
    <row r="3721" spans="1:10" hidden="1">
      <c r="A3721" s="4">
        <v>2.0210432029000198E+17</v>
      </c>
      <c r="B3721" s="4">
        <v>4050599829</v>
      </c>
      <c r="C3721" s="4" t="s">
        <v>6144</v>
      </c>
      <c r="D3721" s="4">
        <v>32029</v>
      </c>
      <c r="E3721" s="4">
        <v>20210407</v>
      </c>
      <c r="F3721" s="4">
        <v>20210407</v>
      </c>
      <c r="G3721" s="4">
        <v>20240407</v>
      </c>
      <c r="H3721" s="4" t="s">
        <v>6145</v>
      </c>
      <c r="I3721" s="4" t="s">
        <v>6144</v>
      </c>
      <c r="J3721" s="4" t="s">
        <v>637</v>
      </c>
    </row>
    <row r="3722" spans="1:10">
      <c r="A3722" s="4">
        <v>2.0210518111000301E+17</v>
      </c>
      <c r="B3722" s="4">
        <v>1624300299</v>
      </c>
      <c r="C3722" s="4" t="s">
        <v>8870</v>
      </c>
      <c r="D3722" s="4">
        <v>18111</v>
      </c>
      <c r="E3722" s="4">
        <v>20210512</v>
      </c>
      <c r="F3722" s="4">
        <v>20210512</v>
      </c>
      <c r="G3722" s="4">
        <v>20240512</v>
      </c>
      <c r="H3722" s="4" t="s">
        <v>8869</v>
      </c>
      <c r="I3722" s="4">
        <v>201</v>
      </c>
      <c r="J3722" s="4" t="s">
        <v>662</v>
      </c>
    </row>
    <row r="3723" spans="1:10" hidden="1">
      <c r="A3723" s="4">
        <v>2.0210462021000198E+17</v>
      </c>
      <c r="B3723" s="4">
        <v>1761901424</v>
      </c>
      <c r="C3723" s="4" t="s">
        <v>6140</v>
      </c>
      <c r="D3723" s="4">
        <v>62021</v>
      </c>
      <c r="E3723" s="4">
        <v>20210407</v>
      </c>
      <c r="F3723" s="4">
        <v>20210407</v>
      </c>
      <c r="G3723" s="4">
        <v>20240407</v>
      </c>
      <c r="H3723" s="4" t="s">
        <v>6139</v>
      </c>
      <c r="I3723" s="4" t="s">
        <v>1156</v>
      </c>
      <c r="J3723" s="4" t="s">
        <v>1505</v>
      </c>
    </row>
    <row r="3724" spans="1:10">
      <c r="A3724" s="4">
        <v>2.0210446453000301E+17</v>
      </c>
      <c r="B3724" s="4">
        <v>1041167463</v>
      </c>
      <c r="C3724" s="4" t="s">
        <v>7879</v>
      </c>
      <c r="D3724" s="4">
        <v>46453</v>
      </c>
      <c r="E3724" s="4">
        <v>20210428</v>
      </c>
      <c r="F3724" s="4">
        <v>20210428</v>
      </c>
      <c r="G3724" s="4">
        <v>20230516</v>
      </c>
      <c r="H3724" s="4" t="s">
        <v>7878</v>
      </c>
      <c r="I3724" s="4" t="s">
        <v>7877</v>
      </c>
      <c r="J3724" s="4" t="s">
        <v>816</v>
      </c>
    </row>
    <row r="3725" spans="1:10" hidden="1">
      <c r="A3725" s="4">
        <v>2.0210428903000198E+17</v>
      </c>
      <c r="B3725" s="4">
        <v>5828801867</v>
      </c>
      <c r="C3725" s="4" t="s">
        <v>6136</v>
      </c>
      <c r="D3725" s="4">
        <v>28903</v>
      </c>
      <c r="E3725" s="4">
        <v>20210407</v>
      </c>
      <c r="F3725" s="4">
        <v>20210407</v>
      </c>
      <c r="G3725" s="4">
        <v>20240407</v>
      </c>
      <c r="H3725" s="4" t="s">
        <v>6135</v>
      </c>
      <c r="I3725" s="4" t="s">
        <v>6134</v>
      </c>
      <c r="J3725" s="4" t="s">
        <v>460</v>
      </c>
    </row>
    <row r="3726" spans="1:10" hidden="1">
      <c r="A3726" s="4">
        <v>2.0210429172000198E+17</v>
      </c>
      <c r="B3726" s="4">
        <v>8978801186</v>
      </c>
      <c r="C3726" s="4" t="s">
        <v>6133</v>
      </c>
      <c r="D3726" s="4">
        <v>29172</v>
      </c>
      <c r="E3726" s="4">
        <v>20210407</v>
      </c>
      <c r="F3726" s="4">
        <v>20210407</v>
      </c>
      <c r="G3726" s="4">
        <v>20240407</v>
      </c>
      <c r="H3726" s="4" t="s">
        <v>6132</v>
      </c>
      <c r="I3726" s="4" t="s">
        <v>6131</v>
      </c>
      <c r="J3726" s="4" t="s">
        <v>1204</v>
      </c>
    </row>
    <row r="3727" spans="1:10" hidden="1">
      <c r="A3727" s="4">
        <v>2.0210441226000198E+17</v>
      </c>
      <c r="B3727" s="4">
        <v>7718600805</v>
      </c>
      <c r="C3727" s="4" t="s">
        <v>6130</v>
      </c>
      <c r="D3727" s="4">
        <v>41226</v>
      </c>
      <c r="E3727" s="4">
        <v>20210407</v>
      </c>
      <c r="F3727" s="4">
        <v>20210407</v>
      </c>
      <c r="G3727" s="4">
        <v>20240407</v>
      </c>
      <c r="H3727" s="4" t="s">
        <v>6129</v>
      </c>
      <c r="I3727" s="4" t="s">
        <v>6128</v>
      </c>
      <c r="J3727" s="4" t="s">
        <v>1063</v>
      </c>
    </row>
    <row r="3728" spans="1:10" hidden="1">
      <c r="A3728" s="4">
        <v>2.0210472121000198E+17</v>
      </c>
      <c r="B3728" s="4">
        <v>4818800279</v>
      </c>
      <c r="C3728" s="4" t="s">
        <v>6127</v>
      </c>
      <c r="D3728" s="4">
        <v>72121</v>
      </c>
      <c r="E3728" s="4">
        <v>20210407</v>
      </c>
      <c r="F3728" s="4">
        <v>20210407</v>
      </c>
      <c r="G3728" s="4">
        <v>20221124</v>
      </c>
      <c r="H3728" s="4" t="s">
        <v>6126</v>
      </c>
      <c r="I3728" s="4" t="s">
        <v>6125</v>
      </c>
      <c r="J3728" s="4" t="s">
        <v>2243</v>
      </c>
    </row>
    <row r="3729" spans="1:10" hidden="1">
      <c r="A3729" s="4">
        <v>2.0210420129000198E+17</v>
      </c>
      <c r="B3729" s="4">
        <v>1588601035</v>
      </c>
      <c r="C3729" s="4" t="s">
        <v>6124</v>
      </c>
      <c r="D3729" s="4">
        <v>20129</v>
      </c>
      <c r="E3729" s="4">
        <v>20210407</v>
      </c>
      <c r="F3729" s="4">
        <v>20210407</v>
      </c>
      <c r="G3729" s="4">
        <v>20240407</v>
      </c>
      <c r="H3729" s="4" t="s">
        <v>6123</v>
      </c>
      <c r="I3729" s="4" t="s">
        <v>6122</v>
      </c>
      <c r="J3729" s="4" t="s">
        <v>1770</v>
      </c>
    </row>
    <row r="3730" spans="1:10" hidden="1">
      <c r="A3730" s="4">
        <v>2.0210433920000198E+17</v>
      </c>
      <c r="B3730" s="4">
        <v>1417300265</v>
      </c>
      <c r="C3730" s="4" t="s">
        <v>6121</v>
      </c>
      <c r="D3730" s="4">
        <v>33920</v>
      </c>
      <c r="E3730" s="4">
        <v>20210407</v>
      </c>
      <c r="F3730" s="4">
        <v>20210407</v>
      </c>
      <c r="G3730" s="4">
        <v>20240407</v>
      </c>
      <c r="H3730" s="4" t="s">
        <v>6120</v>
      </c>
      <c r="J3730" s="4" t="s">
        <v>5055</v>
      </c>
    </row>
    <row r="3731" spans="1:10" hidden="1">
      <c r="A3731" s="4">
        <v>2.0210441226000198E+17</v>
      </c>
      <c r="B3731" s="4">
        <v>2858801909</v>
      </c>
      <c r="C3731" s="4" t="s">
        <v>6119</v>
      </c>
      <c r="D3731" s="4">
        <v>41226</v>
      </c>
      <c r="E3731" s="4">
        <v>20210407</v>
      </c>
      <c r="F3731" s="4">
        <v>20210407</v>
      </c>
      <c r="G3731" s="4">
        <v>20240407</v>
      </c>
      <c r="H3731" s="4" t="s">
        <v>6118</v>
      </c>
      <c r="I3731" s="4" t="s">
        <v>6117</v>
      </c>
      <c r="J3731" s="4" t="s">
        <v>1063</v>
      </c>
    </row>
    <row r="3732" spans="1:10" hidden="1">
      <c r="A3732" s="4">
        <v>2.0210458222000198E+17</v>
      </c>
      <c r="B3732" s="4">
        <v>1448134624</v>
      </c>
      <c r="C3732" s="4" t="s">
        <v>6116</v>
      </c>
      <c r="D3732" s="4">
        <v>58222</v>
      </c>
      <c r="E3732" s="4">
        <v>20210407</v>
      </c>
      <c r="F3732" s="4">
        <v>20210407</v>
      </c>
      <c r="G3732" s="4">
        <v>20220120</v>
      </c>
      <c r="H3732" s="4" t="s">
        <v>6115</v>
      </c>
      <c r="I3732" s="4" t="s">
        <v>591</v>
      </c>
      <c r="J3732" s="4" t="s">
        <v>94</v>
      </c>
    </row>
    <row r="3733" spans="1:10" hidden="1">
      <c r="A3733" s="4">
        <v>2.0210425113000198E+17</v>
      </c>
      <c r="B3733" s="4">
        <v>3798600948</v>
      </c>
      <c r="C3733" s="4" t="s">
        <v>6114</v>
      </c>
      <c r="D3733" s="4">
        <v>25113</v>
      </c>
      <c r="E3733" s="4">
        <v>20210407</v>
      </c>
      <c r="F3733" s="4">
        <v>20210407</v>
      </c>
      <c r="G3733" s="4">
        <v>20240407</v>
      </c>
      <c r="H3733" s="4" t="s">
        <v>6113</v>
      </c>
      <c r="I3733" s="4" t="s">
        <v>2008</v>
      </c>
      <c r="J3733" s="4" t="s">
        <v>250</v>
      </c>
    </row>
    <row r="3734" spans="1:10" hidden="1">
      <c r="A3734" s="4">
        <v>2.0210425112000198E+17</v>
      </c>
      <c r="B3734" s="4">
        <v>3508601927</v>
      </c>
      <c r="C3734" s="4" t="s">
        <v>6112</v>
      </c>
      <c r="D3734" s="4">
        <v>25112</v>
      </c>
      <c r="E3734" s="4">
        <v>20210407</v>
      </c>
      <c r="F3734" s="4">
        <v>20210407</v>
      </c>
      <c r="G3734" s="4">
        <v>20240407</v>
      </c>
      <c r="H3734" s="4" t="s">
        <v>6111</v>
      </c>
      <c r="J3734" s="4" t="s">
        <v>320</v>
      </c>
    </row>
    <row r="3735" spans="1:10" hidden="1">
      <c r="A3735" s="4">
        <v>2.0210430203000198E+17</v>
      </c>
      <c r="B3735" s="4">
        <v>8398801666</v>
      </c>
      <c r="C3735" s="4" t="s">
        <v>6110</v>
      </c>
      <c r="D3735" s="4">
        <v>30203</v>
      </c>
      <c r="E3735" s="4">
        <v>20210407</v>
      </c>
      <c r="F3735" s="4">
        <v>20210407</v>
      </c>
      <c r="G3735" s="4">
        <v>20240407</v>
      </c>
      <c r="H3735" s="4" t="s">
        <v>6109</v>
      </c>
      <c r="I3735" s="4" t="s">
        <v>6108</v>
      </c>
      <c r="J3735" s="4" t="s">
        <v>6107</v>
      </c>
    </row>
    <row r="3736" spans="1:10" hidden="1">
      <c r="A3736" s="4">
        <v>2.0210446109000198E+17</v>
      </c>
      <c r="B3736" s="4">
        <v>3258801449</v>
      </c>
      <c r="C3736" s="4" t="s">
        <v>6106</v>
      </c>
      <c r="D3736" s="4">
        <v>46109</v>
      </c>
      <c r="E3736" s="4">
        <v>20210407</v>
      </c>
      <c r="F3736" s="4">
        <v>20210407</v>
      </c>
      <c r="G3736" s="4">
        <v>20240407</v>
      </c>
      <c r="H3736" s="4" t="s">
        <v>6105</v>
      </c>
      <c r="I3736" s="4" t="s">
        <v>6104</v>
      </c>
      <c r="J3736" s="4" t="s">
        <v>133</v>
      </c>
    </row>
    <row r="3737" spans="1:10" hidden="1">
      <c r="A3737" s="4">
        <v>2.0210459120000198E+17</v>
      </c>
      <c r="B3737" s="4">
        <v>3908700296</v>
      </c>
      <c r="C3737" s="4" t="s">
        <v>6103</v>
      </c>
      <c r="D3737" s="4">
        <v>59120</v>
      </c>
      <c r="E3737" s="4">
        <v>20210407</v>
      </c>
      <c r="F3737" s="4">
        <v>20210407</v>
      </c>
      <c r="G3737" s="4">
        <v>20221215</v>
      </c>
      <c r="H3737" s="4" t="s">
        <v>6102</v>
      </c>
      <c r="I3737" s="4" t="s">
        <v>6101</v>
      </c>
      <c r="J3737" s="4" t="s">
        <v>2961</v>
      </c>
    </row>
    <row r="3738" spans="1:10" hidden="1">
      <c r="A3738" s="4">
        <v>2.0210414192000198E+17</v>
      </c>
      <c r="B3738" s="4">
        <v>7098602375</v>
      </c>
      <c r="C3738" s="4" t="s">
        <v>6100</v>
      </c>
      <c r="D3738" s="4">
        <v>14192</v>
      </c>
      <c r="E3738" s="4">
        <v>20210407</v>
      </c>
      <c r="F3738" s="4">
        <v>20210407</v>
      </c>
      <c r="G3738" s="4">
        <v>20240407</v>
      </c>
      <c r="H3738" s="4" t="s">
        <v>6099</v>
      </c>
      <c r="I3738" s="4" t="s">
        <v>6098</v>
      </c>
      <c r="J3738" s="4" t="s">
        <v>4910</v>
      </c>
    </row>
    <row r="3739" spans="1:10" hidden="1">
      <c r="A3739" s="4">
        <v>2.0210459112000198E+17</v>
      </c>
      <c r="B3739" s="4">
        <v>5608702097</v>
      </c>
      <c r="C3739" s="4" t="s">
        <v>6097</v>
      </c>
      <c r="D3739" s="4">
        <v>59112</v>
      </c>
      <c r="E3739" s="4">
        <v>20210407</v>
      </c>
      <c r="F3739" s="4">
        <v>20210407</v>
      </c>
      <c r="G3739" s="4">
        <v>20240407</v>
      </c>
      <c r="H3739" s="4" t="s">
        <v>6096</v>
      </c>
      <c r="I3739" s="4" t="s">
        <v>591</v>
      </c>
      <c r="J3739" s="4" t="s">
        <v>6095</v>
      </c>
    </row>
    <row r="3740" spans="1:10" hidden="1">
      <c r="A3740" s="4">
        <v>2.0210458221000198E+17</v>
      </c>
      <c r="B3740" s="4">
        <v>6538700858</v>
      </c>
      <c r="C3740" s="4" t="s">
        <v>6094</v>
      </c>
      <c r="D3740" s="4">
        <v>58221</v>
      </c>
      <c r="E3740" s="4">
        <v>20210407</v>
      </c>
      <c r="F3740" s="4">
        <v>20210407</v>
      </c>
      <c r="G3740" s="4">
        <v>20240407</v>
      </c>
      <c r="H3740" s="4" t="s">
        <v>6093</v>
      </c>
      <c r="I3740" s="4" t="s">
        <v>6092</v>
      </c>
      <c r="J3740" s="4" t="s">
        <v>228</v>
      </c>
    </row>
    <row r="3741" spans="1:10" hidden="1">
      <c r="A3741" s="4">
        <v>2.0210428909000198E+17</v>
      </c>
      <c r="B3741" s="4">
        <v>1988800794</v>
      </c>
      <c r="C3741" s="4" t="s">
        <v>6091</v>
      </c>
      <c r="D3741" s="4">
        <v>28909</v>
      </c>
      <c r="E3741" s="4">
        <v>20210407</v>
      </c>
      <c r="F3741" s="4">
        <v>20210407</v>
      </c>
      <c r="G3741" s="4">
        <v>20240407</v>
      </c>
      <c r="H3741" s="4" t="s">
        <v>6090</v>
      </c>
      <c r="J3741" s="4" t="s">
        <v>253</v>
      </c>
    </row>
    <row r="3742" spans="1:10" hidden="1">
      <c r="A3742" s="4">
        <v>2.0210426529000198E+17</v>
      </c>
      <c r="B3742" s="4">
        <v>3878601249</v>
      </c>
      <c r="C3742" s="4" t="s">
        <v>6154</v>
      </c>
      <c r="D3742" s="4">
        <v>26529</v>
      </c>
      <c r="E3742" s="4">
        <v>20210407</v>
      </c>
      <c r="F3742" s="4">
        <v>20210407</v>
      </c>
      <c r="G3742" s="4">
        <v>20240407</v>
      </c>
      <c r="H3742" s="4" t="s">
        <v>603</v>
      </c>
      <c r="I3742" s="4" t="s">
        <v>6153</v>
      </c>
      <c r="J3742" s="4" t="s">
        <v>1207</v>
      </c>
    </row>
    <row r="3743" spans="1:10" hidden="1">
      <c r="A3743" s="4">
        <v>2.0210458222000198E+17</v>
      </c>
      <c r="B3743" s="4">
        <v>5188101756</v>
      </c>
      <c r="C3743" s="4" t="s">
        <v>6087</v>
      </c>
      <c r="D3743" s="4">
        <v>58222</v>
      </c>
      <c r="E3743" s="4">
        <v>20210407</v>
      </c>
      <c r="F3743" s="4">
        <v>20210407</v>
      </c>
      <c r="G3743" s="4">
        <v>20240407</v>
      </c>
      <c r="H3743" s="4" t="s">
        <v>6086</v>
      </c>
      <c r="I3743" s="4" t="s">
        <v>142</v>
      </c>
      <c r="J3743" s="4" t="s">
        <v>94</v>
      </c>
    </row>
    <row r="3744" spans="1:10" hidden="1">
      <c r="A3744" s="4">
        <v>2.0210458221000198E+17</v>
      </c>
      <c r="B3744" s="4">
        <v>7718102040</v>
      </c>
      <c r="C3744" s="4" t="s">
        <v>6085</v>
      </c>
      <c r="D3744" s="4">
        <v>58221</v>
      </c>
      <c r="E3744" s="4">
        <v>20210407</v>
      </c>
      <c r="F3744" s="4">
        <v>20210407</v>
      </c>
      <c r="G3744" s="4">
        <v>20240407</v>
      </c>
      <c r="H3744" s="4" t="s">
        <v>6084</v>
      </c>
      <c r="I3744" s="4" t="s">
        <v>185</v>
      </c>
      <c r="J3744" s="4" t="s">
        <v>228</v>
      </c>
    </row>
    <row r="3745" spans="1:10" hidden="1">
      <c r="A3745" s="4">
        <v>2.0210458222000198E+17</v>
      </c>
      <c r="B3745" s="4">
        <v>4848102073</v>
      </c>
      <c r="C3745" s="4" t="s">
        <v>6083</v>
      </c>
      <c r="D3745" s="4">
        <v>58222</v>
      </c>
      <c r="E3745" s="4">
        <v>20210407</v>
      </c>
      <c r="F3745" s="4">
        <v>20210407</v>
      </c>
      <c r="G3745" s="4">
        <v>20240407</v>
      </c>
      <c r="H3745" s="4" t="s">
        <v>6082</v>
      </c>
      <c r="I3745" s="4" t="s">
        <v>3580</v>
      </c>
      <c r="J3745" s="4" t="s">
        <v>94</v>
      </c>
    </row>
    <row r="3746" spans="1:10" hidden="1">
      <c r="A3746" s="4">
        <v>2.0210428123000198E+17</v>
      </c>
      <c r="B3746" s="4">
        <v>8248601205</v>
      </c>
      <c r="C3746" s="4" t="s">
        <v>6081</v>
      </c>
      <c r="D3746" s="4">
        <v>28123</v>
      </c>
      <c r="E3746" s="4">
        <v>20210407</v>
      </c>
      <c r="F3746" s="4">
        <v>20210407</v>
      </c>
      <c r="G3746" s="4">
        <v>20240407</v>
      </c>
      <c r="H3746" s="4" t="s">
        <v>6080</v>
      </c>
      <c r="J3746" s="4" t="s">
        <v>640</v>
      </c>
    </row>
    <row r="3747" spans="1:10" hidden="1">
      <c r="A3747" s="4">
        <v>2.0210422223000198E+17</v>
      </c>
      <c r="B3747" s="4">
        <v>5828802037</v>
      </c>
      <c r="C3747" s="4" t="s">
        <v>6079</v>
      </c>
      <c r="D3747" s="4">
        <v>22223</v>
      </c>
      <c r="E3747" s="4">
        <v>20210407</v>
      </c>
      <c r="F3747" s="4">
        <v>20210407</v>
      </c>
      <c r="G3747" s="4">
        <v>20240407</v>
      </c>
      <c r="H3747" s="4" t="s">
        <v>6078</v>
      </c>
      <c r="J3747" s="4" t="s">
        <v>1618</v>
      </c>
    </row>
    <row r="3748" spans="1:10" hidden="1">
      <c r="A3748" s="4">
        <v>2.0210401122000198E+17</v>
      </c>
      <c r="B3748" s="4">
        <v>1418601089</v>
      </c>
      <c r="C3748" s="4" t="s">
        <v>6077</v>
      </c>
      <c r="D3748" s="4">
        <v>1122</v>
      </c>
      <c r="E3748" s="4">
        <v>20210407</v>
      </c>
      <c r="F3748" s="4">
        <v>20210407</v>
      </c>
      <c r="G3748" s="4">
        <v>20240407</v>
      </c>
      <c r="H3748" s="4" t="s">
        <v>6076</v>
      </c>
      <c r="I3748" s="4" t="s">
        <v>6075</v>
      </c>
      <c r="J3748" s="4" t="s">
        <v>4733</v>
      </c>
    </row>
    <row r="3749" spans="1:10" hidden="1">
      <c r="A3749" s="4">
        <v>2.0210422299000198E+17</v>
      </c>
      <c r="B3749" s="4">
        <v>6658701525</v>
      </c>
      <c r="C3749" s="4" t="s">
        <v>6074</v>
      </c>
      <c r="D3749" s="4">
        <v>22299</v>
      </c>
      <c r="E3749" s="4">
        <v>20210407</v>
      </c>
      <c r="F3749" s="4">
        <v>20210407</v>
      </c>
      <c r="G3749" s="4">
        <v>20240407</v>
      </c>
      <c r="H3749" s="4" t="s">
        <v>6073</v>
      </c>
      <c r="J3749" s="4" t="s">
        <v>384</v>
      </c>
    </row>
    <row r="3750" spans="1:10" hidden="1">
      <c r="A3750" s="4">
        <v>2.0210458222000198E+17</v>
      </c>
      <c r="B3750" s="4">
        <v>2038800359</v>
      </c>
      <c r="C3750" s="4" t="s">
        <v>6072</v>
      </c>
      <c r="D3750" s="4">
        <v>58222</v>
      </c>
      <c r="E3750" s="4">
        <v>20210407</v>
      </c>
      <c r="F3750" s="4">
        <v>20210407</v>
      </c>
      <c r="G3750" s="4">
        <v>20220904</v>
      </c>
      <c r="H3750" s="4" t="s">
        <v>202</v>
      </c>
      <c r="I3750" s="4" t="s">
        <v>6071</v>
      </c>
      <c r="J3750" s="4" t="s">
        <v>94</v>
      </c>
    </row>
    <row r="3751" spans="1:10" hidden="1">
      <c r="A3751" s="4">
        <v>2.0210426294000198E+17</v>
      </c>
      <c r="B3751" s="4">
        <v>3278801144</v>
      </c>
      <c r="C3751" s="4" t="s">
        <v>6070</v>
      </c>
      <c r="D3751" s="4">
        <v>26294</v>
      </c>
      <c r="E3751" s="4">
        <v>20210407</v>
      </c>
      <c r="F3751" s="4">
        <v>20210407</v>
      </c>
      <c r="G3751" s="4">
        <v>20240407</v>
      </c>
      <c r="H3751" s="4" t="s">
        <v>6069</v>
      </c>
      <c r="I3751" s="4" t="s">
        <v>6068</v>
      </c>
      <c r="J3751" s="4" t="s">
        <v>5589</v>
      </c>
    </row>
    <row r="3752" spans="1:10" hidden="1">
      <c r="A3752" s="4">
        <v>2.0210459111000198E+17</v>
      </c>
      <c r="B3752" s="4">
        <v>1958600243</v>
      </c>
      <c r="C3752" s="4" t="s">
        <v>6067</v>
      </c>
      <c r="D3752" s="4">
        <v>59111</v>
      </c>
      <c r="E3752" s="4">
        <v>20210407</v>
      </c>
      <c r="F3752" s="4">
        <v>20210407</v>
      </c>
      <c r="G3752" s="4">
        <v>20220706</v>
      </c>
      <c r="H3752" s="4" t="s">
        <v>6066</v>
      </c>
      <c r="J3752" s="4" t="s">
        <v>1857</v>
      </c>
    </row>
    <row r="3753" spans="1:10" hidden="1">
      <c r="A3753" s="4">
        <v>2.0210428423000198E+17</v>
      </c>
      <c r="B3753" s="4">
        <v>4241200359</v>
      </c>
      <c r="C3753" s="4" t="s">
        <v>6065</v>
      </c>
      <c r="D3753" s="4">
        <v>28423</v>
      </c>
      <c r="E3753" s="4">
        <v>20210407</v>
      </c>
      <c r="F3753" s="4">
        <v>20210407</v>
      </c>
      <c r="G3753" s="4">
        <v>20230701</v>
      </c>
      <c r="H3753" s="4" t="s">
        <v>6064</v>
      </c>
      <c r="I3753" s="4" t="s">
        <v>6063</v>
      </c>
      <c r="J3753" s="4" t="s">
        <v>485</v>
      </c>
    </row>
    <row r="3754" spans="1:10" hidden="1">
      <c r="A3754" s="4">
        <v>2.0210430399000198E+17</v>
      </c>
      <c r="B3754" s="4">
        <v>5288101641</v>
      </c>
      <c r="C3754" s="4" t="s">
        <v>6062</v>
      </c>
      <c r="D3754" s="4">
        <v>30399</v>
      </c>
      <c r="E3754" s="4">
        <v>20210407</v>
      </c>
      <c r="F3754" s="4">
        <v>20210407</v>
      </c>
      <c r="G3754" s="4">
        <v>20240407</v>
      </c>
      <c r="H3754" s="4" t="s">
        <v>6061</v>
      </c>
      <c r="J3754" s="4" t="s">
        <v>1763</v>
      </c>
    </row>
    <row r="3755" spans="1:10">
      <c r="A3755" s="4">
        <v>2.0210317122000198E+17</v>
      </c>
      <c r="B3755" s="4">
        <v>1898602173</v>
      </c>
      <c r="C3755" s="4" t="s">
        <v>5439</v>
      </c>
      <c r="D3755" s="4">
        <v>17122</v>
      </c>
      <c r="E3755" s="4">
        <v>20210329</v>
      </c>
      <c r="F3755" s="4">
        <v>20210329</v>
      </c>
      <c r="G3755" s="4">
        <v>20240329</v>
      </c>
      <c r="H3755" s="4" t="s">
        <v>809</v>
      </c>
      <c r="I3755" s="4" t="s">
        <v>5438</v>
      </c>
      <c r="J3755" s="4" t="s">
        <v>5437</v>
      </c>
    </row>
    <row r="3756" spans="1:10" hidden="1">
      <c r="A3756" s="4">
        <v>2.0210420499000198E+17</v>
      </c>
      <c r="B3756" s="4">
        <v>5780101741</v>
      </c>
      <c r="C3756" s="4" t="s">
        <v>6057</v>
      </c>
      <c r="D3756" s="4">
        <v>20499</v>
      </c>
      <c r="E3756" s="4">
        <v>20210407</v>
      </c>
      <c r="F3756" s="4">
        <v>20210407</v>
      </c>
      <c r="G3756" s="4">
        <v>20240407</v>
      </c>
      <c r="H3756" s="4" t="s">
        <v>6056</v>
      </c>
      <c r="I3756" s="4" t="s">
        <v>6055</v>
      </c>
      <c r="J3756" s="4" t="s">
        <v>406</v>
      </c>
    </row>
    <row r="3757" spans="1:10" hidden="1">
      <c r="A3757" s="4">
        <v>2.0210442311000198E+17</v>
      </c>
      <c r="B3757" s="4">
        <v>3708100951</v>
      </c>
      <c r="C3757" s="4" t="s">
        <v>6089</v>
      </c>
      <c r="D3757" s="4">
        <v>42311</v>
      </c>
      <c r="E3757" s="4">
        <v>20210407</v>
      </c>
      <c r="F3757" s="4">
        <v>20210407</v>
      </c>
      <c r="G3757" s="4">
        <v>20240407</v>
      </c>
      <c r="H3757" s="4" t="s">
        <v>6088</v>
      </c>
      <c r="J3757" s="4" t="s">
        <v>718</v>
      </c>
    </row>
    <row r="3758" spans="1:10" hidden="1">
      <c r="A3758" s="4">
        <v>2.0210425113000198E+17</v>
      </c>
      <c r="B3758" s="4">
        <v>3341401670</v>
      </c>
      <c r="C3758" s="4" t="s">
        <v>6052</v>
      </c>
      <c r="D3758" s="4">
        <v>25113</v>
      </c>
      <c r="E3758" s="4">
        <v>20210407</v>
      </c>
      <c r="F3758" s="4">
        <v>20210407</v>
      </c>
      <c r="G3758" s="4">
        <v>20240407</v>
      </c>
      <c r="H3758" s="4" t="s">
        <v>6051</v>
      </c>
      <c r="I3758" s="4" t="s">
        <v>1403</v>
      </c>
      <c r="J3758" s="4" t="s">
        <v>250</v>
      </c>
    </row>
    <row r="3759" spans="1:10" hidden="1">
      <c r="A3759" s="4">
        <v>2.0210473203000198E+17</v>
      </c>
      <c r="B3759" s="4">
        <v>8658700465</v>
      </c>
      <c r="C3759" s="4" t="s">
        <v>6050</v>
      </c>
      <c r="D3759" s="4">
        <v>73203</v>
      </c>
      <c r="E3759" s="4">
        <v>20210406</v>
      </c>
      <c r="F3759" s="4">
        <v>20210406</v>
      </c>
      <c r="G3759" s="4">
        <v>20230511</v>
      </c>
      <c r="H3759" s="4" t="s">
        <v>6049</v>
      </c>
      <c r="I3759" s="4" t="s">
        <v>91</v>
      </c>
      <c r="J3759" s="4" t="s">
        <v>260</v>
      </c>
    </row>
    <row r="3760" spans="1:10" hidden="1">
      <c r="A3760" s="4">
        <v>2.0210430399000198E+17</v>
      </c>
      <c r="B3760" s="4">
        <v>7678600451</v>
      </c>
      <c r="C3760" s="4" t="s">
        <v>6048</v>
      </c>
      <c r="D3760" s="4">
        <v>30399</v>
      </c>
      <c r="E3760" s="4">
        <v>20210406</v>
      </c>
      <c r="F3760" s="4">
        <v>20210406</v>
      </c>
      <c r="G3760" s="4">
        <v>20231110</v>
      </c>
      <c r="H3760" s="4" t="s">
        <v>6047</v>
      </c>
      <c r="J3760" s="4" t="s">
        <v>1763</v>
      </c>
    </row>
    <row r="3761" spans="1:10" hidden="1">
      <c r="A3761" s="4">
        <v>2.0210442312000198E+17</v>
      </c>
      <c r="B3761" s="4">
        <v>1668100084</v>
      </c>
      <c r="C3761" s="4" t="s">
        <v>6046</v>
      </c>
      <c r="D3761" s="4">
        <v>42312</v>
      </c>
      <c r="E3761" s="4">
        <v>20210406</v>
      </c>
      <c r="F3761" s="4">
        <v>20210406</v>
      </c>
      <c r="G3761" s="4">
        <v>20220513</v>
      </c>
      <c r="H3761" s="4" t="s">
        <v>6045</v>
      </c>
      <c r="I3761" s="4" t="s">
        <v>5113</v>
      </c>
      <c r="J3761" s="4" t="s">
        <v>6044</v>
      </c>
    </row>
    <row r="3762" spans="1:10">
      <c r="A3762" s="4">
        <v>2.0210218111E+17</v>
      </c>
      <c r="B3762" s="4">
        <v>4381100216</v>
      </c>
      <c r="C3762" s="4" t="s">
        <v>1247</v>
      </c>
      <c r="D3762" s="4">
        <v>18111</v>
      </c>
      <c r="E3762" s="4">
        <v>20210205</v>
      </c>
      <c r="F3762" s="4">
        <v>20210205</v>
      </c>
      <c r="G3762" s="4">
        <v>20230401</v>
      </c>
      <c r="H3762" s="4" t="s">
        <v>1246</v>
      </c>
      <c r="I3762" s="4" t="s">
        <v>1245</v>
      </c>
      <c r="J3762" s="4" t="s">
        <v>662</v>
      </c>
    </row>
    <row r="3763" spans="1:10" hidden="1">
      <c r="A3763" s="4">
        <v>2.0210442134000198E+17</v>
      </c>
      <c r="B3763" s="4">
        <v>1698701139</v>
      </c>
      <c r="C3763" s="4" t="s">
        <v>6041</v>
      </c>
      <c r="D3763" s="4">
        <v>42134</v>
      </c>
      <c r="E3763" s="4">
        <v>20210406</v>
      </c>
      <c r="F3763" s="4">
        <v>20210406</v>
      </c>
      <c r="G3763" s="4">
        <v>20240406</v>
      </c>
      <c r="H3763" s="4" t="s">
        <v>6040</v>
      </c>
      <c r="J3763" s="4" t="s">
        <v>3573</v>
      </c>
    </row>
    <row r="3764" spans="1:10" hidden="1">
      <c r="A3764" s="4">
        <v>2.0210442420000198E+17</v>
      </c>
      <c r="B3764" s="4">
        <v>3188104828</v>
      </c>
      <c r="C3764" s="4" t="s">
        <v>6039</v>
      </c>
      <c r="D3764" s="4">
        <v>42420</v>
      </c>
      <c r="E3764" s="4">
        <v>20210406</v>
      </c>
      <c r="F3764" s="4">
        <v>20210406</v>
      </c>
      <c r="G3764" s="4">
        <v>20211021</v>
      </c>
      <c r="H3764" s="4" t="s">
        <v>6038</v>
      </c>
      <c r="J3764" s="4" t="s">
        <v>1649</v>
      </c>
    </row>
    <row r="3765" spans="1:10" hidden="1">
      <c r="A3765" s="4">
        <v>2.0210433999000198E+17</v>
      </c>
      <c r="B3765" s="4">
        <v>2448101699</v>
      </c>
      <c r="C3765" s="4" t="s">
        <v>6037</v>
      </c>
      <c r="D3765" s="4">
        <v>33999</v>
      </c>
      <c r="E3765" s="4">
        <v>20210406</v>
      </c>
      <c r="F3765" s="4">
        <v>20210406</v>
      </c>
      <c r="G3765" s="4">
        <v>20240406</v>
      </c>
      <c r="H3765" s="4" t="s">
        <v>6036</v>
      </c>
      <c r="J3765" s="4" t="s">
        <v>780</v>
      </c>
    </row>
    <row r="3766" spans="1:10" hidden="1">
      <c r="A3766" s="4">
        <v>2.0210470209000198E+17</v>
      </c>
      <c r="B3766" s="4">
        <v>3318701637</v>
      </c>
      <c r="C3766" s="4" t="s">
        <v>6035</v>
      </c>
      <c r="D3766" s="4">
        <v>70209</v>
      </c>
      <c r="E3766" s="4">
        <v>20210406</v>
      </c>
      <c r="F3766" s="4">
        <v>20210406</v>
      </c>
      <c r="G3766" s="4">
        <v>20240406</v>
      </c>
      <c r="H3766" s="4" t="s">
        <v>6034</v>
      </c>
      <c r="I3766" s="4" t="s">
        <v>91</v>
      </c>
      <c r="J3766" s="4" t="s">
        <v>242</v>
      </c>
    </row>
    <row r="3767" spans="1:10" hidden="1">
      <c r="A3767" s="4">
        <v>2.0210429294000198E+17</v>
      </c>
      <c r="B3767" s="4">
        <v>5818600876</v>
      </c>
      <c r="C3767" s="4" t="s">
        <v>6033</v>
      </c>
      <c r="D3767" s="4">
        <v>29294</v>
      </c>
      <c r="E3767" s="4">
        <v>20210406</v>
      </c>
      <c r="F3767" s="4">
        <v>20210406</v>
      </c>
      <c r="G3767" s="4">
        <v>20240221</v>
      </c>
      <c r="H3767" s="4" t="s">
        <v>6032</v>
      </c>
      <c r="I3767" s="4" t="s">
        <v>6031</v>
      </c>
      <c r="J3767" s="4" t="s">
        <v>1848</v>
      </c>
    </row>
    <row r="3768" spans="1:10" hidden="1">
      <c r="A3768" s="4">
        <v>2.0210422299000198E+17</v>
      </c>
      <c r="B3768" s="4">
        <v>7921200363</v>
      </c>
      <c r="C3768" s="4" t="s">
        <v>6030</v>
      </c>
      <c r="D3768" s="4">
        <v>22299</v>
      </c>
      <c r="E3768" s="4">
        <v>20210406</v>
      </c>
      <c r="F3768" s="4">
        <v>20210406</v>
      </c>
      <c r="G3768" s="4">
        <v>20230422</v>
      </c>
      <c r="H3768" s="4" t="s">
        <v>6029</v>
      </c>
      <c r="J3768" s="4" t="s">
        <v>384</v>
      </c>
    </row>
    <row r="3769" spans="1:10" hidden="1">
      <c r="A3769" s="4">
        <v>2.0210446722000198E+17</v>
      </c>
      <c r="B3769" s="4">
        <v>4498801589</v>
      </c>
      <c r="C3769" s="4" t="s">
        <v>6028</v>
      </c>
      <c r="D3769" s="4">
        <v>46722</v>
      </c>
      <c r="E3769" s="4">
        <v>20210406</v>
      </c>
      <c r="F3769" s="4">
        <v>20210406</v>
      </c>
      <c r="G3769" s="4">
        <v>20240406</v>
      </c>
      <c r="H3769" s="4" t="s">
        <v>6027</v>
      </c>
      <c r="I3769" s="4" t="s">
        <v>6026</v>
      </c>
      <c r="J3769" s="4" t="s">
        <v>6025</v>
      </c>
    </row>
    <row r="3770" spans="1:10" hidden="1">
      <c r="A3770" s="4">
        <v>2.0210462010000198E+17</v>
      </c>
      <c r="B3770" s="4">
        <v>6138701219</v>
      </c>
      <c r="C3770" s="4" t="s">
        <v>6024</v>
      </c>
      <c r="D3770" s="4">
        <v>62010</v>
      </c>
      <c r="E3770" s="4">
        <v>20210406</v>
      </c>
      <c r="F3770" s="4">
        <v>20210406</v>
      </c>
      <c r="G3770" s="4">
        <v>20240406</v>
      </c>
      <c r="H3770" s="4" t="s">
        <v>6023</v>
      </c>
      <c r="I3770" s="4" t="s">
        <v>6022</v>
      </c>
      <c r="J3770" s="4" t="s">
        <v>118</v>
      </c>
    </row>
    <row r="3771" spans="1:10" hidden="1">
      <c r="A3771" s="4">
        <v>2.0210471600000198E+17</v>
      </c>
      <c r="B3771" s="4">
        <v>8355200142</v>
      </c>
      <c r="C3771" s="4" t="s">
        <v>6021</v>
      </c>
      <c r="D3771" s="4">
        <v>71600</v>
      </c>
      <c r="E3771" s="4">
        <v>20210406</v>
      </c>
      <c r="F3771" s="4">
        <v>20210406</v>
      </c>
      <c r="G3771" s="4">
        <v>20231010</v>
      </c>
      <c r="H3771" s="4" t="s">
        <v>6020</v>
      </c>
      <c r="I3771" s="4" t="s">
        <v>6019</v>
      </c>
      <c r="J3771" s="4" t="s">
        <v>1783</v>
      </c>
    </row>
    <row r="3772" spans="1:10" hidden="1">
      <c r="A3772" s="4">
        <v>2.0210426429000198E+17</v>
      </c>
      <c r="B3772" s="4">
        <v>3968701099</v>
      </c>
      <c r="C3772" s="4" t="s">
        <v>6018</v>
      </c>
      <c r="D3772" s="4">
        <v>26429</v>
      </c>
      <c r="E3772" s="4">
        <v>20210406</v>
      </c>
      <c r="F3772" s="4">
        <v>20210406</v>
      </c>
      <c r="G3772" s="4">
        <v>20240406</v>
      </c>
      <c r="H3772" s="4" t="s">
        <v>6017</v>
      </c>
      <c r="I3772" s="4" t="s">
        <v>6016</v>
      </c>
      <c r="J3772" s="4" t="s">
        <v>422</v>
      </c>
    </row>
    <row r="3773" spans="1:10" hidden="1">
      <c r="A3773" s="4">
        <v>2.0210428123000198E+17</v>
      </c>
      <c r="B3773" s="4">
        <v>3772201158</v>
      </c>
      <c r="C3773" s="4" t="s">
        <v>6015</v>
      </c>
      <c r="D3773" s="4">
        <v>28123</v>
      </c>
      <c r="E3773" s="4">
        <v>20210406</v>
      </c>
      <c r="F3773" s="4">
        <v>20210406</v>
      </c>
      <c r="G3773" s="4">
        <v>20240406</v>
      </c>
      <c r="H3773" s="4" t="s">
        <v>6014</v>
      </c>
      <c r="J3773" s="4" t="s">
        <v>640</v>
      </c>
    </row>
    <row r="3774" spans="1:10" hidden="1">
      <c r="A3774" s="4">
        <v>2.0210490191000198E+17</v>
      </c>
      <c r="B3774" s="4">
        <v>3974500579</v>
      </c>
      <c r="C3774" s="4" t="s">
        <v>6013</v>
      </c>
      <c r="D3774" s="4">
        <v>90191</v>
      </c>
      <c r="E3774" s="4">
        <v>20210406</v>
      </c>
      <c r="F3774" s="4">
        <v>20210406</v>
      </c>
      <c r="G3774" s="4">
        <v>20240406</v>
      </c>
      <c r="H3774" s="4" t="s">
        <v>1520</v>
      </c>
      <c r="I3774" s="4" t="s">
        <v>6012</v>
      </c>
      <c r="J3774" s="4" t="s">
        <v>3866</v>
      </c>
    </row>
    <row r="3775" spans="1:10" hidden="1">
      <c r="A3775" s="4">
        <v>2.0210447912000198E+17</v>
      </c>
      <c r="B3775" s="4">
        <v>5874700370</v>
      </c>
      <c r="C3775" s="4" t="s">
        <v>6011</v>
      </c>
      <c r="D3775" s="4">
        <v>47912</v>
      </c>
      <c r="E3775" s="4">
        <v>20210406</v>
      </c>
      <c r="F3775" s="4">
        <v>20210406</v>
      </c>
      <c r="G3775" s="4">
        <v>20240406</v>
      </c>
      <c r="H3775" s="4" t="s">
        <v>6010</v>
      </c>
      <c r="I3775" s="4" t="s">
        <v>6009</v>
      </c>
      <c r="J3775" s="4" t="s">
        <v>78</v>
      </c>
    </row>
    <row r="3776" spans="1:10" hidden="1">
      <c r="A3776" s="4">
        <v>2.0210446432000198E+17</v>
      </c>
      <c r="B3776" s="4">
        <v>3033402085</v>
      </c>
      <c r="C3776" s="4" t="s">
        <v>6008</v>
      </c>
      <c r="D3776" s="4">
        <v>46432</v>
      </c>
      <c r="E3776" s="4">
        <v>20210406</v>
      </c>
      <c r="F3776" s="4">
        <v>20210406</v>
      </c>
      <c r="G3776" s="4">
        <v>20240406</v>
      </c>
      <c r="H3776" s="4" t="s">
        <v>6007</v>
      </c>
      <c r="I3776" s="4" t="s">
        <v>6006</v>
      </c>
      <c r="J3776" s="4" t="s">
        <v>414</v>
      </c>
    </row>
    <row r="3777" spans="1:10" hidden="1">
      <c r="A3777" s="4">
        <v>2.0210471600000198E+17</v>
      </c>
      <c r="B3777" s="4">
        <v>5351200659</v>
      </c>
      <c r="C3777" s="4" t="s">
        <v>6005</v>
      </c>
      <c r="D3777" s="4">
        <v>71600</v>
      </c>
      <c r="E3777" s="4">
        <v>20210406</v>
      </c>
      <c r="F3777" s="4">
        <v>20210406</v>
      </c>
      <c r="G3777" s="4">
        <v>20240406</v>
      </c>
      <c r="H3777" s="4" t="s">
        <v>6004</v>
      </c>
      <c r="I3777" s="4" t="s">
        <v>1156</v>
      </c>
      <c r="J3777" s="4" t="s">
        <v>1783</v>
      </c>
    </row>
    <row r="3778" spans="1:10" hidden="1">
      <c r="A3778" s="4">
        <v>2.0210458222000198E+17</v>
      </c>
      <c r="B3778" s="4">
        <v>1138801486</v>
      </c>
      <c r="C3778" s="4" t="s">
        <v>6003</v>
      </c>
      <c r="D3778" s="4">
        <v>58222</v>
      </c>
      <c r="E3778" s="4">
        <v>20210406</v>
      </c>
      <c r="F3778" s="4">
        <v>20210406</v>
      </c>
      <c r="G3778" s="4">
        <v>20240406</v>
      </c>
      <c r="H3778" s="4" t="s">
        <v>6002</v>
      </c>
      <c r="I3778" s="4" t="s">
        <v>6001</v>
      </c>
      <c r="J3778" s="4" t="s">
        <v>94</v>
      </c>
    </row>
    <row r="3779" spans="1:10" hidden="1">
      <c r="A3779" s="4">
        <v>2.0210462010000198E+17</v>
      </c>
      <c r="B3779" s="4">
        <v>6288700925</v>
      </c>
      <c r="C3779" s="4" t="s">
        <v>6000</v>
      </c>
      <c r="D3779" s="4">
        <v>62010</v>
      </c>
      <c r="E3779" s="4">
        <v>20210406</v>
      </c>
      <c r="F3779" s="4">
        <v>20210406</v>
      </c>
      <c r="G3779" s="4">
        <v>20240406</v>
      </c>
      <c r="H3779" s="4" t="s">
        <v>2108</v>
      </c>
      <c r="I3779" s="4" t="s">
        <v>134</v>
      </c>
      <c r="J3779" s="4" t="s">
        <v>118</v>
      </c>
    </row>
    <row r="3780" spans="1:10" hidden="1">
      <c r="A3780" s="4">
        <v>2.0210413229000198E+17</v>
      </c>
      <c r="B3780" s="4">
        <v>2498101904</v>
      </c>
      <c r="C3780" s="4" t="s">
        <v>5999</v>
      </c>
      <c r="D3780" s="4">
        <v>13229</v>
      </c>
      <c r="E3780" s="4">
        <v>20210406</v>
      </c>
      <c r="F3780" s="4">
        <v>20210406</v>
      </c>
      <c r="G3780" s="4">
        <v>20240406</v>
      </c>
      <c r="H3780" s="4" t="s">
        <v>5998</v>
      </c>
      <c r="J3780" s="4" t="s">
        <v>115</v>
      </c>
    </row>
    <row r="3781" spans="1:10" hidden="1">
      <c r="A3781" s="4">
        <v>2.0210470209000198E+17</v>
      </c>
      <c r="B3781" s="4">
        <v>6448600916</v>
      </c>
      <c r="C3781" s="4" t="s">
        <v>5997</v>
      </c>
      <c r="D3781" s="4">
        <v>70209</v>
      </c>
      <c r="E3781" s="4">
        <v>20210406</v>
      </c>
      <c r="F3781" s="4">
        <v>20210406</v>
      </c>
      <c r="G3781" s="4">
        <v>20240406</v>
      </c>
      <c r="H3781" s="4" t="s">
        <v>5996</v>
      </c>
      <c r="I3781" s="4" t="s">
        <v>5995</v>
      </c>
      <c r="J3781" s="4" t="s">
        <v>242</v>
      </c>
    </row>
    <row r="3782" spans="1:10" hidden="1">
      <c r="A3782" s="4">
        <v>2.0210426299000198E+17</v>
      </c>
      <c r="B3782" s="4">
        <v>3538100373</v>
      </c>
      <c r="C3782" s="4" t="s">
        <v>6054</v>
      </c>
      <c r="D3782" s="4">
        <v>26299</v>
      </c>
      <c r="E3782" s="4">
        <v>20210407</v>
      </c>
      <c r="F3782" s="4">
        <v>20210407</v>
      </c>
      <c r="G3782" s="4">
        <v>20230419</v>
      </c>
      <c r="H3782" s="4" t="s">
        <v>6053</v>
      </c>
      <c r="I3782" s="4" t="s">
        <v>149</v>
      </c>
      <c r="J3782" s="4" t="s">
        <v>339</v>
      </c>
    </row>
    <row r="3783" spans="1:10" hidden="1">
      <c r="A3783" s="4">
        <v>2.0210470112000198E+17</v>
      </c>
      <c r="B3783" s="4">
        <v>4668102003</v>
      </c>
      <c r="C3783" s="4" t="s">
        <v>5992</v>
      </c>
      <c r="D3783" s="4">
        <v>70112</v>
      </c>
      <c r="E3783" s="4">
        <v>20210406</v>
      </c>
      <c r="F3783" s="4">
        <v>20210406</v>
      </c>
      <c r="G3783" s="4">
        <v>20240406</v>
      </c>
      <c r="H3783" s="4" t="s">
        <v>4807</v>
      </c>
      <c r="I3783" s="4" t="s">
        <v>5991</v>
      </c>
      <c r="J3783" s="4" t="s">
        <v>1975</v>
      </c>
    </row>
    <row r="3784" spans="1:10" hidden="1">
      <c r="A3784" s="4">
        <v>2.0210423911000198E+17</v>
      </c>
      <c r="B3784" s="4">
        <v>6088801062</v>
      </c>
      <c r="C3784" s="4" t="s">
        <v>5990</v>
      </c>
      <c r="D3784" s="4">
        <v>23911</v>
      </c>
      <c r="E3784" s="4">
        <v>20210406</v>
      </c>
      <c r="F3784" s="4">
        <v>20210406</v>
      </c>
      <c r="G3784" s="4">
        <v>20240406</v>
      </c>
      <c r="H3784" s="4" t="s">
        <v>5989</v>
      </c>
      <c r="J3784" s="4" t="s">
        <v>5988</v>
      </c>
    </row>
    <row r="3785" spans="1:10" hidden="1">
      <c r="A3785" s="4">
        <v>2.0210432029000198E+17</v>
      </c>
      <c r="B3785" s="4">
        <v>7238100096</v>
      </c>
      <c r="C3785" s="4" t="s">
        <v>5986</v>
      </c>
      <c r="D3785" s="4">
        <v>32029</v>
      </c>
      <c r="E3785" s="4">
        <v>20210405</v>
      </c>
      <c r="F3785" s="4">
        <v>20210405</v>
      </c>
      <c r="G3785" s="4">
        <v>20220721</v>
      </c>
      <c r="H3785" s="4" t="s">
        <v>5987</v>
      </c>
      <c r="I3785" s="4" t="s">
        <v>5986</v>
      </c>
      <c r="J3785" s="4" t="s">
        <v>637</v>
      </c>
    </row>
    <row r="3786" spans="1:10" hidden="1">
      <c r="A3786" s="4">
        <v>2.0210427199000198E+17</v>
      </c>
      <c r="B3786" s="4">
        <v>2618801640</v>
      </c>
      <c r="C3786" s="4" t="s">
        <v>5985</v>
      </c>
      <c r="D3786" s="4">
        <v>27199</v>
      </c>
      <c r="E3786" s="4">
        <v>20210405</v>
      </c>
      <c r="F3786" s="4">
        <v>20210405</v>
      </c>
      <c r="G3786" s="4">
        <v>20240405</v>
      </c>
      <c r="H3786" s="4" t="s">
        <v>5984</v>
      </c>
      <c r="J3786" s="4" t="s">
        <v>418</v>
      </c>
    </row>
    <row r="3787" spans="1:10" hidden="1">
      <c r="A3787" s="4">
        <v>2.0210427199000198E+17</v>
      </c>
      <c r="B3787" s="4">
        <v>6048700690</v>
      </c>
      <c r="C3787" s="4" t="s">
        <v>5983</v>
      </c>
      <c r="D3787" s="4">
        <v>27199</v>
      </c>
      <c r="E3787" s="4">
        <v>20210405</v>
      </c>
      <c r="F3787" s="4">
        <v>20210405</v>
      </c>
      <c r="G3787" s="4">
        <v>20240405</v>
      </c>
      <c r="H3787" s="4" t="s">
        <v>2371</v>
      </c>
      <c r="I3787" s="4" t="s">
        <v>5982</v>
      </c>
      <c r="J3787" s="4" t="s">
        <v>418</v>
      </c>
    </row>
    <row r="3788" spans="1:10" hidden="1">
      <c r="A3788" s="4">
        <v>2.0210420499000198E+17</v>
      </c>
      <c r="B3788" s="4">
        <v>5175300464</v>
      </c>
      <c r="C3788" s="4" t="s">
        <v>5981</v>
      </c>
      <c r="D3788" s="4">
        <v>20499</v>
      </c>
      <c r="E3788" s="4">
        <v>20210405</v>
      </c>
      <c r="F3788" s="4">
        <v>20210405</v>
      </c>
      <c r="G3788" s="4">
        <v>20240405</v>
      </c>
      <c r="H3788" s="4" t="s">
        <v>5980</v>
      </c>
      <c r="I3788" s="4" t="s">
        <v>5979</v>
      </c>
      <c r="J3788" s="4" t="s">
        <v>406</v>
      </c>
    </row>
    <row r="3789" spans="1:10" hidden="1">
      <c r="A3789" s="4">
        <v>2.0210433910000198E+17</v>
      </c>
      <c r="B3789" s="4">
        <v>8486600261</v>
      </c>
      <c r="C3789" s="4" t="s">
        <v>5978</v>
      </c>
      <c r="D3789" s="4">
        <v>33910</v>
      </c>
      <c r="E3789" s="4">
        <v>20210405</v>
      </c>
      <c r="F3789" s="4">
        <v>20210405</v>
      </c>
      <c r="G3789" s="4">
        <v>20240405</v>
      </c>
      <c r="H3789" s="4" t="s">
        <v>5977</v>
      </c>
      <c r="J3789" s="4" t="s">
        <v>310</v>
      </c>
    </row>
    <row r="3790" spans="1:10" hidden="1">
      <c r="A3790" s="4">
        <v>2.0210446510000198E+17</v>
      </c>
      <c r="B3790" s="4">
        <v>7718801939</v>
      </c>
      <c r="C3790" s="4" t="s">
        <v>5976</v>
      </c>
      <c r="D3790" s="4">
        <v>46510</v>
      </c>
      <c r="E3790" s="4">
        <v>20210405</v>
      </c>
      <c r="F3790" s="4">
        <v>20210405</v>
      </c>
      <c r="G3790" s="4">
        <v>20240405</v>
      </c>
      <c r="H3790" s="4" t="s">
        <v>5975</v>
      </c>
      <c r="J3790" s="4" t="s">
        <v>126</v>
      </c>
    </row>
    <row r="3791" spans="1:10" hidden="1">
      <c r="A3791" s="4">
        <v>2.0210428909000198E+17</v>
      </c>
      <c r="B3791" s="4">
        <v>2598101987</v>
      </c>
      <c r="C3791" s="4" t="s">
        <v>5974</v>
      </c>
      <c r="D3791" s="4">
        <v>28909</v>
      </c>
      <c r="E3791" s="4">
        <v>20210405</v>
      </c>
      <c r="F3791" s="4">
        <v>20210405</v>
      </c>
      <c r="G3791" s="4">
        <v>20240405</v>
      </c>
      <c r="H3791" s="4" t="s">
        <v>5973</v>
      </c>
      <c r="J3791" s="4" t="s">
        <v>253</v>
      </c>
    </row>
    <row r="3792" spans="1:10" hidden="1">
      <c r="A3792" s="4">
        <v>2.0210422299000198E+17</v>
      </c>
      <c r="B3792" s="4">
        <v>2351100785</v>
      </c>
      <c r="C3792" s="4" t="s">
        <v>5972</v>
      </c>
      <c r="D3792" s="4">
        <v>22299</v>
      </c>
      <c r="E3792" s="4">
        <v>20210405</v>
      </c>
      <c r="F3792" s="4">
        <v>20210405</v>
      </c>
      <c r="G3792" s="4">
        <v>20240405</v>
      </c>
      <c r="H3792" s="4" t="s">
        <v>950</v>
      </c>
      <c r="I3792" s="4" t="s">
        <v>5971</v>
      </c>
      <c r="J3792" s="4" t="s">
        <v>384</v>
      </c>
    </row>
    <row r="3793" spans="1:10" hidden="1">
      <c r="A3793" s="4">
        <v>2.0210429271000198E+17</v>
      </c>
      <c r="B3793" s="4">
        <v>5678101480</v>
      </c>
      <c r="C3793" s="4" t="s">
        <v>5970</v>
      </c>
      <c r="D3793" s="4">
        <v>29271</v>
      </c>
      <c r="E3793" s="4">
        <v>20210405</v>
      </c>
      <c r="F3793" s="4">
        <v>20210405</v>
      </c>
      <c r="G3793" s="4">
        <v>20240405</v>
      </c>
      <c r="H3793" s="4" t="s">
        <v>5969</v>
      </c>
      <c r="J3793" s="4" t="s">
        <v>285</v>
      </c>
    </row>
    <row r="3794" spans="1:10" hidden="1">
      <c r="A3794" s="4">
        <v>2.0210463991000198E+17</v>
      </c>
      <c r="B3794" s="4">
        <v>6488601386</v>
      </c>
      <c r="C3794" s="4" t="s">
        <v>5968</v>
      </c>
      <c r="D3794" s="4">
        <v>63991</v>
      </c>
      <c r="E3794" s="4">
        <v>20210405</v>
      </c>
      <c r="F3794" s="4">
        <v>20210405</v>
      </c>
      <c r="G3794" s="4">
        <v>20240405</v>
      </c>
      <c r="H3794" s="4" t="s">
        <v>5956</v>
      </c>
      <c r="I3794" s="4" t="s">
        <v>5967</v>
      </c>
      <c r="J3794" s="4" t="s">
        <v>395</v>
      </c>
    </row>
    <row r="3795" spans="1:10" hidden="1">
      <c r="A3795" s="4">
        <v>2.0210426429000198E+17</v>
      </c>
      <c r="B3795" s="4">
        <v>3628100611</v>
      </c>
      <c r="C3795" s="4" t="s">
        <v>5966</v>
      </c>
      <c r="D3795" s="4">
        <v>26429</v>
      </c>
      <c r="E3795" s="4">
        <v>20210405</v>
      </c>
      <c r="F3795" s="4">
        <v>20210405</v>
      </c>
      <c r="G3795" s="4">
        <v>20240330</v>
      </c>
      <c r="H3795" s="4" t="s">
        <v>5965</v>
      </c>
      <c r="J3795" s="4" t="s">
        <v>422</v>
      </c>
    </row>
    <row r="3796" spans="1:10" hidden="1">
      <c r="A3796" s="4">
        <v>2.0210429222000198E+17</v>
      </c>
      <c r="B3796" s="4">
        <v>3188700445</v>
      </c>
      <c r="C3796" s="4" t="s">
        <v>5964</v>
      </c>
      <c r="D3796" s="4">
        <v>29222</v>
      </c>
      <c r="E3796" s="4">
        <v>20210405</v>
      </c>
      <c r="F3796" s="4">
        <v>20210405</v>
      </c>
      <c r="G3796" s="4">
        <v>20230623</v>
      </c>
      <c r="H3796" s="4" t="s">
        <v>4421</v>
      </c>
      <c r="I3796" s="4" t="s">
        <v>5963</v>
      </c>
      <c r="J3796" s="4" t="s">
        <v>4276</v>
      </c>
    </row>
    <row r="3797" spans="1:10" hidden="1">
      <c r="A3797" s="4">
        <v>2.0210420421000198E+17</v>
      </c>
      <c r="B3797" s="4">
        <v>4328801349</v>
      </c>
      <c r="C3797" s="4" t="s">
        <v>5962</v>
      </c>
      <c r="D3797" s="4">
        <v>20421</v>
      </c>
      <c r="E3797" s="4">
        <v>20210405</v>
      </c>
      <c r="F3797" s="4">
        <v>20210405</v>
      </c>
      <c r="G3797" s="4">
        <v>20240405</v>
      </c>
      <c r="H3797" s="4" t="s">
        <v>5961</v>
      </c>
      <c r="I3797" s="4" t="s">
        <v>91</v>
      </c>
      <c r="J3797" s="4" t="s">
        <v>5960</v>
      </c>
    </row>
    <row r="3798" spans="1:10" hidden="1">
      <c r="A3798" s="4">
        <v>2.0210422299000198E+17</v>
      </c>
      <c r="B3798" s="4">
        <v>5558801720</v>
      </c>
      <c r="C3798" s="4" t="s">
        <v>5959</v>
      </c>
      <c r="D3798" s="4">
        <v>22299</v>
      </c>
      <c r="E3798" s="4">
        <v>20210405</v>
      </c>
      <c r="F3798" s="4">
        <v>20210405</v>
      </c>
      <c r="G3798" s="4">
        <v>20240405</v>
      </c>
      <c r="H3798" s="4" t="s">
        <v>5958</v>
      </c>
      <c r="J3798" s="4" t="s">
        <v>384</v>
      </c>
    </row>
    <row r="3799" spans="1:10" hidden="1">
      <c r="A3799" s="4">
        <v>2.0210463991000198E+17</v>
      </c>
      <c r="B3799" s="4">
        <v>7058802019</v>
      </c>
      <c r="C3799" s="4" t="s">
        <v>5957</v>
      </c>
      <c r="D3799" s="4">
        <v>63991</v>
      </c>
      <c r="E3799" s="4">
        <v>20210405</v>
      </c>
      <c r="F3799" s="4">
        <v>20210405</v>
      </c>
      <c r="G3799" s="4">
        <v>20240405</v>
      </c>
      <c r="H3799" s="4" t="s">
        <v>5956</v>
      </c>
      <c r="J3799" s="4" t="s">
        <v>395</v>
      </c>
    </row>
    <row r="3800" spans="1:10" hidden="1">
      <c r="A3800" s="4">
        <v>2.0210413229000198E+17</v>
      </c>
      <c r="B3800" s="4">
        <v>7598101681</v>
      </c>
      <c r="C3800" s="4" t="s">
        <v>5993</v>
      </c>
      <c r="D3800" s="4">
        <v>13229</v>
      </c>
      <c r="E3800" s="4">
        <v>20210406</v>
      </c>
      <c r="F3800" s="4">
        <v>20210406</v>
      </c>
      <c r="G3800" s="4">
        <v>20240406</v>
      </c>
      <c r="H3800" s="4" t="s">
        <v>5994</v>
      </c>
      <c r="I3800" s="4" t="s">
        <v>5993</v>
      </c>
      <c r="J3800" s="4" t="s">
        <v>115</v>
      </c>
    </row>
    <row r="3801" spans="1:10" hidden="1">
      <c r="A3801" s="4">
        <v>2.0210429299000198E+17</v>
      </c>
      <c r="B3801" s="4">
        <v>3818701457</v>
      </c>
      <c r="C3801" s="4" t="s">
        <v>5953</v>
      </c>
      <c r="D3801" s="4">
        <v>29299</v>
      </c>
      <c r="E3801" s="4">
        <v>20210405</v>
      </c>
      <c r="F3801" s="4">
        <v>20210405</v>
      </c>
      <c r="G3801" s="4">
        <v>20240405</v>
      </c>
      <c r="H3801" s="4" t="s">
        <v>1239</v>
      </c>
      <c r="I3801" s="4" t="s">
        <v>5952</v>
      </c>
      <c r="J3801" s="4" t="s">
        <v>137</v>
      </c>
    </row>
    <row r="3802" spans="1:10" hidden="1">
      <c r="A3802" s="4">
        <v>2.0210422211000198E+17</v>
      </c>
      <c r="B3802" s="4">
        <v>8958700170</v>
      </c>
      <c r="C3802" s="4" t="s">
        <v>5955</v>
      </c>
      <c r="D3802" s="4">
        <v>22211</v>
      </c>
      <c r="E3802" s="4">
        <v>20210405</v>
      </c>
      <c r="F3802" s="4">
        <v>20210405</v>
      </c>
      <c r="G3802" s="4">
        <v>20220722</v>
      </c>
      <c r="H3802" s="4" t="s">
        <v>5954</v>
      </c>
      <c r="J3802" s="4" t="s">
        <v>1820</v>
      </c>
    </row>
    <row r="3803" spans="1:10" hidden="1">
      <c r="A3803" s="4">
        <v>2.0210458221000198E+17</v>
      </c>
      <c r="B3803" s="4">
        <v>7638801165</v>
      </c>
      <c r="C3803" s="4" t="s">
        <v>5948</v>
      </c>
      <c r="D3803" s="4">
        <v>58221</v>
      </c>
      <c r="E3803" s="4">
        <v>20210405</v>
      </c>
      <c r="F3803" s="4">
        <v>20210405</v>
      </c>
      <c r="G3803" s="4">
        <v>20240405</v>
      </c>
      <c r="H3803" s="4" t="s">
        <v>3406</v>
      </c>
      <c r="I3803" s="4" t="s">
        <v>5947</v>
      </c>
      <c r="J3803" s="4" t="s">
        <v>228</v>
      </c>
    </row>
    <row r="3804" spans="1:10" hidden="1">
      <c r="A3804" s="4">
        <v>2.0210425999000198E+17</v>
      </c>
      <c r="B3804" s="4">
        <v>1718101450</v>
      </c>
      <c r="C3804" s="4" t="s">
        <v>5946</v>
      </c>
      <c r="D3804" s="4">
        <v>25999</v>
      </c>
      <c r="E3804" s="4">
        <v>20210405</v>
      </c>
      <c r="F3804" s="4">
        <v>20210405</v>
      </c>
      <c r="G3804" s="4">
        <v>20240405</v>
      </c>
      <c r="H3804" s="4" t="s">
        <v>5945</v>
      </c>
      <c r="I3804" s="4" t="s">
        <v>5944</v>
      </c>
      <c r="J3804" s="4" t="s">
        <v>301</v>
      </c>
    </row>
    <row r="3805" spans="1:10" hidden="1">
      <c r="A3805" s="4">
        <v>2.0210474211000198E+17</v>
      </c>
      <c r="B3805" s="4">
        <v>1508601725</v>
      </c>
      <c r="C3805" s="4" t="s">
        <v>5943</v>
      </c>
      <c r="D3805" s="4">
        <v>74211</v>
      </c>
      <c r="E3805" s="4">
        <v>20210405</v>
      </c>
      <c r="F3805" s="4">
        <v>20210405</v>
      </c>
      <c r="G3805" s="4">
        <v>20240405</v>
      </c>
      <c r="H3805" s="4" t="s">
        <v>5942</v>
      </c>
      <c r="J3805" s="4" t="s">
        <v>5576</v>
      </c>
    </row>
    <row r="3806" spans="1:10" hidden="1">
      <c r="A3806" s="4">
        <v>2.0210422222000198E+17</v>
      </c>
      <c r="B3806" s="4">
        <v>5198600551</v>
      </c>
      <c r="C3806" s="4" t="s">
        <v>5941</v>
      </c>
      <c r="D3806" s="4">
        <v>22222</v>
      </c>
      <c r="E3806" s="4">
        <v>20210405</v>
      </c>
      <c r="F3806" s="4">
        <v>20210405</v>
      </c>
      <c r="G3806" s="4">
        <v>20230902</v>
      </c>
      <c r="H3806" s="4" t="s">
        <v>5940</v>
      </c>
      <c r="J3806" s="4" t="s">
        <v>5939</v>
      </c>
    </row>
    <row r="3807" spans="1:10" hidden="1">
      <c r="A3807" s="4">
        <v>2.0210428429000198E+17</v>
      </c>
      <c r="B3807" s="4">
        <v>4358601039</v>
      </c>
      <c r="C3807" s="4" t="s">
        <v>5938</v>
      </c>
      <c r="D3807" s="4">
        <v>28429</v>
      </c>
      <c r="E3807" s="4">
        <v>20210405</v>
      </c>
      <c r="F3807" s="4">
        <v>20210405</v>
      </c>
      <c r="G3807" s="4">
        <v>20240405</v>
      </c>
      <c r="H3807" s="4" t="s">
        <v>4432</v>
      </c>
      <c r="I3807" s="4" t="s">
        <v>1580</v>
      </c>
      <c r="J3807" s="4" t="s">
        <v>765</v>
      </c>
    </row>
    <row r="3808" spans="1:10" hidden="1">
      <c r="A3808" s="4">
        <v>2.0210459111000198E+17</v>
      </c>
      <c r="B3808" s="4">
        <v>6528102109</v>
      </c>
      <c r="C3808" s="4" t="s">
        <v>5937</v>
      </c>
      <c r="D3808" s="4">
        <v>59111</v>
      </c>
      <c r="E3808" s="4">
        <v>20210405</v>
      </c>
      <c r="F3808" s="4">
        <v>20210405</v>
      </c>
      <c r="G3808" s="4">
        <v>20240405</v>
      </c>
      <c r="H3808" s="4" t="s">
        <v>5936</v>
      </c>
      <c r="I3808" s="4" t="s">
        <v>4068</v>
      </c>
      <c r="J3808" s="4" t="s">
        <v>1857</v>
      </c>
    </row>
    <row r="3809" spans="1:10" hidden="1">
      <c r="A3809" s="4">
        <v>2.0210441226000198E+17</v>
      </c>
      <c r="B3809" s="4">
        <v>4058601116</v>
      </c>
      <c r="C3809" s="4" t="s">
        <v>5935</v>
      </c>
      <c r="D3809" s="4">
        <v>41226</v>
      </c>
      <c r="E3809" s="4">
        <v>20210405</v>
      </c>
      <c r="F3809" s="4">
        <v>20210405</v>
      </c>
      <c r="G3809" s="4">
        <v>20240405</v>
      </c>
      <c r="H3809" s="4" t="s">
        <v>5934</v>
      </c>
      <c r="I3809" s="4" t="s">
        <v>5933</v>
      </c>
      <c r="J3809" s="4" t="s">
        <v>1063</v>
      </c>
    </row>
    <row r="3810" spans="1:10" hidden="1">
      <c r="A3810" s="4">
        <v>2.0210442321000198E+17</v>
      </c>
      <c r="B3810" s="4">
        <v>8988601297</v>
      </c>
      <c r="C3810" s="4" t="s">
        <v>5932</v>
      </c>
      <c r="D3810" s="4">
        <v>42321</v>
      </c>
      <c r="E3810" s="4">
        <v>20210405</v>
      </c>
      <c r="F3810" s="4">
        <v>20210405</v>
      </c>
      <c r="G3810" s="4">
        <v>20240405</v>
      </c>
      <c r="H3810" s="4" t="s">
        <v>5931</v>
      </c>
      <c r="I3810" s="4" t="s">
        <v>197</v>
      </c>
      <c r="J3810" s="4" t="s">
        <v>698</v>
      </c>
    </row>
    <row r="3811" spans="1:10" hidden="1">
      <c r="A3811" s="4">
        <v>2.0210416102000198E+17</v>
      </c>
      <c r="B3811" s="4">
        <v>5528101625</v>
      </c>
      <c r="C3811" s="4" t="s">
        <v>5930</v>
      </c>
      <c r="D3811" s="4">
        <v>16102</v>
      </c>
      <c r="E3811" s="4">
        <v>20210405</v>
      </c>
      <c r="F3811" s="4">
        <v>20210405</v>
      </c>
      <c r="G3811" s="4">
        <v>20240405</v>
      </c>
      <c r="H3811" s="4" t="s">
        <v>5929</v>
      </c>
      <c r="I3811" s="4" t="s">
        <v>5928</v>
      </c>
      <c r="J3811" s="4" t="s">
        <v>451</v>
      </c>
    </row>
    <row r="3812" spans="1:10" hidden="1">
      <c r="A3812" s="4">
        <v>2.0210413999000198E+17</v>
      </c>
      <c r="B3812" s="4">
        <v>4223600515</v>
      </c>
      <c r="C3812" s="4" t="s">
        <v>5927</v>
      </c>
      <c r="D3812" s="4">
        <v>13999</v>
      </c>
      <c r="E3812" s="4">
        <v>20210405</v>
      </c>
      <c r="F3812" s="4">
        <v>20210405</v>
      </c>
      <c r="G3812" s="4">
        <v>20240405</v>
      </c>
      <c r="H3812" s="4" t="s">
        <v>5926</v>
      </c>
      <c r="J3812" s="4" t="s">
        <v>130</v>
      </c>
    </row>
    <row r="3813" spans="1:10" hidden="1">
      <c r="A3813" s="4">
        <v>2.0210429299000198E+17</v>
      </c>
      <c r="B3813" s="4">
        <v>7448101831</v>
      </c>
      <c r="C3813" s="4" t="s">
        <v>5925</v>
      </c>
      <c r="D3813" s="4">
        <v>29299</v>
      </c>
      <c r="E3813" s="4">
        <v>20210405</v>
      </c>
      <c r="F3813" s="4">
        <v>20210405</v>
      </c>
      <c r="G3813" s="4">
        <v>20240405</v>
      </c>
      <c r="H3813" s="4" t="s">
        <v>5924</v>
      </c>
      <c r="I3813" s="4" t="s">
        <v>5923</v>
      </c>
      <c r="J3813" s="4" t="s">
        <v>137</v>
      </c>
    </row>
    <row r="3814" spans="1:10" hidden="1">
      <c r="A3814" s="4">
        <v>2.0210446413000198E+17</v>
      </c>
      <c r="B3814" s="4">
        <v>1930200650</v>
      </c>
      <c r="C3814" s="4" t="s">
        <v>5921</v>
      </c>
      <c r="D3814" s="4">
        <v>46413</v>
      </c>
      <c r="E3814" s="4">
        <v>20210405</v>
      </c>
      <c r="F3814" s="4">
        <v>20210405</v>
      </c>
      <c r="G3814" s="4">
        <v>20231201</v>
      </c>
      <c r="H3814" s="4" t="s">
        <v>5922</v>
      </c>
      <c r="I3814" s="4" t="s">
        <v>5921</v>
      </c>
      <c r="J3814" s="4" t="s">
        <v>5920</v>
      </c>
    </row>
    <row r="3815" spans="1:10" hidden="1">
      <c r="A3815" s="4">
        <v>2.0210473909000198E+17</v>
      </c>
      <c r="B3815" s="4">
        <v>6678700949</v>
      </c>
      <c r="C3815" s="4" t="s">
        <v>5919</v>
      </c>
      <c r="D3815" s="4">
        <v>73909</v>
      </c>
      <c r="E3815" s="4">
        <v>20210405</v>
      </c>
      <c r="F3815" s="4">
        <v>20210405</v>
      </c>
      <c r="G3815" s="4">
        <v>20240405</v>
      </c>
      <c r="H3815" s="4" t="s">
        <v>1230</v>
      </c>
      <c r="I3815" s="4" t="s">
        <v>5918</v>
      </c>
      <c r="J3815" s="4" t="s">
        <v>293</v>
      </c>
    </row>
    <row r="3816" spans="1:10" hidden="1">
      <c r="A3816" s="4">
        <v>2.0210422299000198E+17</v>
      </c>
      <c r="B3816" s="4">
        <v>4878101603</v>
      </c>
      <c r="C3816" s="4" t="s">
        <v>5917</v>
      </c>
      <c r="D3816" s="4">
        <v>22299</v>
      </c>
      <c r="E3816" s="4">
        <v>20210404</v>
      </c>
      <c r="F3816" s="4">
        <v>20210404</v>
      </c>
      <c r="G3816" s="4">
        <v>20240404</v>
      </c>
      <c r="H3816" s="4" t="s">
        <v>5916</v>
      </c>
      <c r="I3816" s="4" t="s">
        <v>91</v>
      </c>
      <c r="J3816" s="4" t="s">
        <v>384</v>
      </c>
    </row>
    <row r="3817" spans="1:10" hidden="1">
      <c r="A3817" s="4">
        <v>2.0210442491000198E+17</v>
      </c>
      <c r="B3817" s="4">
        <v>1028145170</v>
      </c>
      <c r="C3817" s="4" t="s">
        <v>5915</v>
      </c>
      <c r="D3817" s="4">
        <v>42491</v>
      </c>
      <c r="E3817" s="4">
        <v>20210403</v>
      </c>
      <c r="F3817" s="4">
        <v>20210403</v>
      </c>
      <c r="G3817" s="4">
        <v>20240403</v>
      </c>
      <c r="H3817" s="4" t="s">
        <v>525</v>
      </c>
      <c r="I3817" s="4" t="s">
        <v>5914</v>
      </c>
      <c r="J3817" s="4" t="s">
        <v>883</v>
      </c>
    </row>
    <row r="3818" spans="1:10" hidden="1">
      <c r="A3818" s="4">
        <v>2.0210427111000198E+17</v>
      </c>
      <c r="B3818" s="4">
        <v>7578100750</v>
      </c>
      <c r="C3818" s="4" t="s">
        <v>5913</v>
      </c>
      <c r="D3818" s="4">
        <v>27111</v>
      </c>
      <c r="E3818" s="4">
        <v>20210403</v>
      </c>
      <c r="F3818" s="4">
        <v>20210403</v>
      </c>
      <c r="G3818" s="4">
        <v>20240403</v>
      </c>
      <c r="H3818" s="4" t="s">
        <v>5912</v>
      </c>
      <c r="I3818" s="4" t="s">
        <v>5911</v>
      </c>
      <c r="J3818" s="4" t="s">
        <v>5910</v>
      </c>
    </row>
    <row r="3819" spans="1:10" hidden="1">
      <c r="A3819" s="4">
        <v>2.0210428410000198E+17</v>
      </c>
      <c r="B3819" s="4">
        <v>3228100836</v>
      </c>
      <c r="C3819" s="4" t="s">
        <v>5951</v>
      </c>
      <c r="D3819" s="4">
        <v>28410</v>
      </c>
      <c r="E3819" s="4">
        <v>20210405</v>
      </c>
      <c r="F3819" s="4">
        <v>20210405</v>
      </c>
      <c r="G3819" s="4">
        <v>20240405</v>
      </c>
      <c r="H3819" s="4" t="s">
        <v>5950</v>
      </c>
      <c r="I3819" s="4" t="s">
        <v>5949</v>
      </c>
      <c r="J3819" s="4" t="s">
        <v>2199</v>
      </c>
    </row>
    <row r="3820" spans="1:10" hidden="1">
      <c r="A3820" s="4">
        <v>2.0210434011000198E+17</v>
      </c>
      <c r="B3820" s="4">
        <v>1083194975</v>
      </c>
      <c r="C3820" s="4" t="s">
        <v>5906</v>
      </c>
      <c r="D3820" s="4">
        <v>34011</v>
      </c>
      <c r="E3820" s="4">
        <v>20210403</v>
      </c>
      <c r="F3820" s="4">
        <v>20210403</v>
      </c>
      <c r="G3820" s="4">
        <v>20240403</v>
      </c>
      <c r="H3820" s="4" t="s">
        <v>5905</v>
      </c>
      <c r="J3820" s="4" t="s">
        <v>5904</v>
      </c>
    </row>
    <row r="3821" spans="1:10" hidden="1">
      <c r="A3821" s="4">
        <v>2.0210428909000198E+17</v>
      </c>
      <c r="B3821" s="4">
        <v>7368700833</v>
      </c>
      <c r="C3821" s="4" t="s">
        <v>5903</v>
      </c>
      <c r="D3821" s="4">
        <v>28909</v>
      </c>
      <c r="E3821" s="4">
        <v>20210403</v>
      </c>
      <c r="F3821" s="4">
        <v>20210403</v>
      </c>
      <c r="G3821" s="4">
        <v>20240403</v>
      </c>
      <c r="H3821" s="4" t="s">
        <v>5902</v>
      </c>
      <c r="I3821" s="4" t="s">
        <v>5901</v>
      </c>
      <c r="J3821" s="4" t="s">
        <v>253</v>
      </c>
    </row>
    <row r="3822" spans="1:10" hidden="1">
      <c r="A3822" s="4">
        <v>2.0210446595000198E+17</v>
      </c>
      <c r="B3822" s="4">
        <v>2472301117</v>
      </c>
      <c r="C3822" s="4" t="s">
        <v>5900</v>
      </c>
      <c r="D3822" s="4">
        <v>46595</v>
      </c>
      <c r="E3822" s="4">
        <v>20210403</v>
      </c>
      <c r="F3822" s="4">
        <v>20210403</v>
      </c>
      <c r="G3822" s="4">
        <v>20240403</v>
      </c>
      <c r="H3822" s="4" t="s">
        <v>458</v>
      </c>
      <c r="I3822" s="4" t="s">
        <v>5899</v>
      </c>
      <c r="J3822" s="4" t="s">
        <v>960</v>
      </c>
    </row>
    <row r="3823" spans="1:10" hidden="1">
      <c r="A3823" s="4">
        <v>2.0210429120000198E+17</v>
      </c>
      <c r="B3823" s="4">
        <v>1438130057</v>
      </c>
      <c r="C3823" s="4" t="s">
        <v>5898</v>
      </c>
      <c r="D3823" s="4">
        <v>29120</v>
      </c>
      <c r="E3823" s="4">
        <v>20210403</v>
      </c>
      <c r="F3823" s="4">
        <v>20210403</v>
      </c>
      <c r="G3823" s="4">
        <v>20211219</v>
      </c>
      <c r="H3823" s="4" t="s">
        <v>5897</v>
      </c>
      <c r="J3823" s="4" t="s">
        <v>1188</v>
      </c>
    </row>
    <row r="3824" spans="1:10" hidden="1">
      <c r="A3824" s="4">
        <v>2.0210425119000198E+17</v>
      </c>
      <c r="B3824" s="4">
        <v>3318101784</v>
      </c>
      <c r="C3824" s="4" t="s">
        <v>5909</v>
      </c>
      <c r="D3824" s="4">
        <v>25119</v>
      </c>
      <c r="E3824" s="4">
        <v>20210403</v>
      </c>
      <c r="F3824" s="4">
        <v>20210403</v>
      </c>
      <c r="G3824" s="4">
        <v>20240403</v>
      </c>
      <c r="H3824" s="4" t="s">
        <v>5908</v>
      </c>
      <c r="I3824" s="4" t="s">
        <v>5907</v>
      </c>
      <c r="J3824" s="4" t="s">
        <v>679</v>
      </c>
    </row>
    <row r="3825" spans="1:10" hidden="1">
      <c r="A3825" s="4">
        <v>2.0210413229000198E+17</v>
      </c>
      <c r="B3825" s="4">
        <v>6328801522</v>
      </c>
      <c r="C3825" s="4" t="s">
        <v>5894</v>
      </c>
      <c r="D3825" s="4">
        <v>13229</v>
      </c>
      <c r="E3825" s="4">
        <v>20210403</v>
      </c>
      <c r="F3825" s="4">
        <v>20210403</v>
      </c>
      <c r="G3825" s="4">
        <v>20240403</v>
      </c>
      <c r="H3825" s="4" t="s">
        <v>5893</v>
      </c>
      <c r="I3825" s="4" t="s">
        <v>5892</v>
      </c>
      <c r="J3825" s="4" t="s">
        <v>115</v>
      </c>
    </row>
    <row r="3826" spans="1:10" hidden="1">
      <c r="A3826" s="4">
        <v>2.0210485709000198E+17</v>
      </c>
      <c r="B3826" s="4">
        <v>4050996077</v>
      </c>
      <c r="C3826" s="4" t="s">
        <v>5891</v>
      </c>
      <c r="D3826" s="4">
        <v>85709</v>
      </c>
      <c r="E3826" s="4">
        <v>20210403</v>
      </c>
      <c r="F3826" s="4">
        <v>20210403</v>
      </c>
      <c r="G3826" s="4">
        <v>20220401</v>
      </c>
      <c r="H3826" s="4" t="s">
        <v>5890</v>
      </c>
      <c r="J3826" s="4" t="s">
        <v>141</v>
      </c>
    </row>
    <row r="3827" spans="1:10" hidden="1">
      <c r="A3827" s="4">
        <v>2.0210447912000198E+17</v>
      </c>
      <c r="B3827" s="4">
        <v>6496400490</v>
      </c>
      <c r="C3827" s="4" t="s">
        <v>5889</v>
      </c>
      <c r="D3827" s="4">
        <v>47912</v>
      </c>
      <c r="E3827" s="4">
        <v>20210403</v>
      </c>
      <c r="F3827" s="4">
        <v>20210403</v>
      </c>
      <c r="G3827" s="4">
        <v>20240403</v>
      </c>
      <c r="H3827" s="4" t="s">
        <v>5888</v>
      </c>
      <c r="I3827" s="4" t="s">
        <v>5887</v>
      </c>
      <c r="J3827" s="4" t="s">
        <v>78</v>
      </c>
    </row>
    <row r="3828" spans="1:10" hidden="1">
      <c r="A3828" s="4">
        <v>2.0210426211000198E+17</v>
      </c>
      <c r="B3828" s="4">
        <v>2564500303</v>
      </c>
      <c r="C3828" s="4" t="s">
        <v>5886</v>
      </c>
      <c r="D3828" s="4">
        <v>26211</v>
      </c>
      <c r="E3828" s="4">
        <v>20210403</v>
      </c>
      <c r="F3828" s="4">
        <v>20210403</v>
      </c>
      <c r="G3828" s="4">
        <v>20240403</v>
      </c>
      <c r="H3828" s="4" t="s">
        <v>5885</v>
      </c>
      <c r="J3828" s="4" t="s">
        <v>4480</v>
      </c>
    </row>
    <row r="3829" spans="1:10" hidden="1">
      <c r="A3829" s="4">
        <v>2.0210463991000198E+17</v>
      </c>
      <c r="B3829" s="4">
        <v>6928101016</v>
      </c>
      <c r="C3829" s="4" t="s">
        <v>5884</v>
      </c>
      <c r="D3829" s="4">
        <v>63991</v>
      </c>
      <c r="E3829" s="4">
        <v>20210403</v>
      </c>
      <c r="F3829" s="4">
        <v>20210403</v>
      </c>
      <c r="G3829" s="4">
        <v>20240403</v>
      </c>
      <c r="H3829" s="4" t="s">
        <v>5883</v>
      </c>
      <c r="I3829" s="4" t="s">
        <v>4507</v>
      </c>
      <c r="J3829" s="4" t="s">
        <v>395</v>
      </c>
    </row>
    <row r="3830" spans="1:10" hidden="1">
      <c r="A3830" s="4">
        <v>2.0210431312000198E+17</v>
      </c>
      <c r="B3830" s="4">
        <v>5851000970</v>
      </c>
      <c r="C3830" s="4" t="s">
        <v>5882</v>
      </c>
      <c r="D3830" s="4">
        <v>31312</v>
      </c>
      <c r="E3830" s="4">
        <v>20210403</v>
      </c>
      <c r="F3830" s="4">
        <v>20210403</v>
      </c>
      <c r="G3830" s="4">
        <v>20240403</v>
      </c>
      <c r="H3830" s="4" t="s">
        <v>5881</v>
      </c>
      <c r="I3830" s="4" t="s">
        <v>5880</v>
      </c>
      <c r="J3830" s="4" t="s">
        <v>748</v>
      </c>
    </row>
    <row r="3831" spans="1:10" hidden="1">
      <c r="A3831" s="4">
        <v>2.0210422299000198E+17</v>
      </c>
      <c r="B3831" s="4">
        <v>1353267588</v>
      </c>
      <c r="C3831" s="4" t="s">
        <v>5879</v>
      </c>
      <c r="D3831" s="4">
        <v>22299</v>
      </c>
      <c r="E3831" s="4">
        <v>20210403</v>
      </c>
      <c r="F3831" s="4">
        <v>20210403</v>
      </c>
      <c r="G3831" s="4">
        <v>20211224</v>
      </c>
      <c r="H3831" s="4" t="s">
        <v>5566</v>
      </c>
      <c r="I3831" s="4" t="s">
        <v>5878</v>
      </c>
      <c r="J3831" s="4" t="s">
        <v>384</v>
      </c>
    </row>
    <row r="3832" spans="1:10" hidden="1">
      <c r="A3832" s="4">
        <v>2.0210463991000198E+17</v>
      </c>
      <c r="B3832" s="4">
        <v>5394900550</v>
      </c>
      <c r="C3832" s="4" t="s">
        <v>5877</v>
      </c>
      <c r="D3832" s="4">
        <v>63991</v>
      </c>
      <c r="E3832" s="4">
        <v>20210403</v>
      </c>
      <c r="F3832" s="4">
        <v>20210403</v>
      </c>
      <c r="G3832" s="4">
        <v>20240403</v>
      </c>
      <c r="H3832" s="4" t="s">
        <v>295</v>
      </c>
      <c r="I3832" s="4" t="s">
        <v>5876</v>
      </c>
      <c r="J3832" s="4" t="s">
        <v>395</v>
      </c>
    </row>
    <row r="3833" spans="1:10" hidden="1">
      <c r="A3833" s="4">
        <v>2.0210410619000198E+17</v>
      </c>
      <c r="B3833" s="4">
        <v>6598800867</v>
      </c>
      <c r="C3833" s="4" t="s">
        <v>5896</v>
      </c>
      <c r="D3833" s="4">
        <v>10619</v>
      </c>
      <c r="E3833" s="4">
        <v>20210403</v>
      </c>
      <c r="F3833" s="4">
        <v>20210403</v>
      </c>
      <c r="G3833" s="4">
        <v>20240403</v>
      </c>
      <c r="H3833" s="4" t="s">
        <v>5895</v>
      </c>
      <c r="J3833" s="4" t="s">
        <v>278</v>
      </c>
    </row>
    <row r="3834" spans="1:10" hidden="1">
      <c r="A3834" s="4">
        <v>2.0210433910000198E+17</v>
      </c>
      <c r="B3834" s="4">
        <v>7878800366</v>
      </c>
      <c r="C3834" s="4" t="s">
        <v>5873</v>
      </c>
      <c r="D3834" s="4">
        <v>33910</v>
      </c>
      <c r="E3834" s="4">
        <v>20210403</v>
      </c>
      <c r="F3834" s="4">
        <v>20210403</v>
      </c>
      <c r="G3834" s="4">
        <v>20230530</v>
      </c>
      <c r="H3834" s="4" t="s">
        <v>5872</v>
      </c>
      <c r="I3834" s="4" t="s">
        <v>134</v>
      </c>
      <c r="J3834" s="4" t="s">
        <v>310</v>
      </c>
    </row>
    <row r="3835" spans="1:10" hidden="1">
      <c r="A3835" s="4">
        <v>2.0210426429000198E+17</v>
      </c>
      <c r="B3835" s="4">
        <v>7768601696</v>
      </c>
      <c r="C3835" s="4" t="s">
        <v>5871</v>
      </c>
      <c r="D3835" s="4">
        <v>26429</v>
      </c>
      <c r="E3835" s="4">
        <v>20210403</v>
      </c>
      <c r="F3835" s="4">
        <v>20210403</v>
      </c>
      <c r="G3835" s="4">
        <v>20240403</v>
      </c>
      <c r="H3835" s="4" t="s">
        <v>5870</v>
      </c>
      <c r="I3835" s="4" t="s">
        <v>149</v>
      </c>
      <c r="J3835" s="4" t="s">
        <v>422</v>
      </c>
    </row>
    <row r="3836" spans="1:10" hidden="1">
      <c r="A3836" s="4">
        <v>2.0210426299000198E+17</v>
      </c>
      <c r="B3836" s="4">
        <v>4158157247</v>
      </c>
      <c r="C3836" s="4" t="s">
        <v>5869</v>
      </c>
      <c r="D3836" s="4">
        <v>26299</v>
      </c>
      <c r="E3836" s="4">
        <v>20210403</v>
      </c>
      <c r="F3836" s="4">
        <v>20210403</v>
      </c>
      <c r="G3836" s="4">
        <v>20240403</v>
      </c>
      <c r="H3836" s="4" t="s">
        <v>5868</v>
      </c>
      <c r="J3836" s="4" t="s">
        <v>339</v>
      </c>
    </row>
    <row r="3837" spans="1:10" hidden="1">
      <c r="A3837" s="4">
        <v>2.0210429199000198E+17</v>
      </c>
      <c r="B3837" s="4">
        <v>5918101595</v>
      </c>
      <c r="C3837" s="4" t="s">
        <v>5867</v>
      </c>
      <c r="D3837" s="4">
        <v>29199</v>
      </c>
      <c r="E3837" s="4">
        <v>20210403</v>
      </c>
      <c r="F3837" s="4">
        <v>20210403</v>
      </c>
      <c r="G3837" s="4">
        <v>20240403</v>
      </c>
      <c r="H3837" s="4" t="s">
        <v>5866</v>
      </c>
      <c r="I3837" s="4" t="s">
        <v>1156</v>
      </c>
      <c r="J3837" s="4" t="s">
        <v>166</v>
      </c>
    </row>
    <row r="3838" spans="1:10" hidden="1">
      <c r="A3838" s="4">
        <v>2.0210433302000198E+17</v>
      </c>
      <c r="B3838" s="4">
        <v>5208100949</v>
      </c>
      <c r="C3838" s="4" t="s">
        <v>5865</v>
      </c>
      <c r="D3838" s="4">
        <v>33302</v>
      </c>
      <c r="E3838" s="4">
        <v>20210403</v>
      </c>
      <c r="F3838" s="4">
        <v>20210403</v>
      </c>
      <c r="G3838" s="4">
        <v>20240403</v>
      </c>
      <c r="H3838" s="4" t="s">
        <v>4867</v>
      </c>
      <c r="J3838" s="4" t="s">
        <v>4679</v>
      </c>
    </row>
    <row r="3839" spans="1:10" hidden="1">
      <c r="A3839" s="4">
        <v>2.0210428909000198E+17</v>
      </c>
      <c r="B3839" s="4">
        <v>7388601700</v>
      </c>
      <c r="C3839" s="4" t="s">
        <v>5864</v>
      </c>
      <c r="D3839" s="4">
        <v>28909</v>
      </c>
      <c r="E3839" s="4">
        <v>20210402</v>
      </c>
      <c r="F3839" s="4">
        <v>20210402</v>
      </c>
      <c r="G3839" s="4">
        <v>20240402</v>
      </c>
      <c r="H3839" s="4" t="s">
        <v>5863</v>
      </c>
      <c r="I3839" s="4" t="s">
        <v>754</v>
      </c>
      <c r="J3839" s="4" t="s">
        <v>253</v>
      </c>
    </row>
    <row r="3840" spans="1:10" hidden="1">
      <c r="A3840" s="4">
        <v>2.0210422249000198E+17</v>
      </c>
      <c r="B3840" s="4">
        <v>2938801138</v>
      </c>
      <c r="C3840" s="4" t="s">
        <v>5862</v>
      </c>
      <c r="D3840" s="4">
        <v>22249</v>
      </c>
      <c r="E3840" s="4">
        <v>20210402</v>
      </c>
      <c r="F3840" s="4">
        <v>20210402</v>
      </c>
      <c r="G3840" s="4">
        <v>20240402</v>
      </c>
      <c r="H3840" s="4" t="s">
        <v>5861</v>
      </c>
      <c r="I3840" s="4" t="s">
        <v>5860</v>
      </c>
      <c r="J3840" s="4" t="s">
        <v>3931</v>
      </c>
    </row>
    <row r="3841" spans="1:10" hidden="1">
      <c r="A3841" s="4">
        <v>2.0210433999000198E+17</v>
      </c>
      <c r="B3841" s="4">
        <v>7678601993</v>
      </c>
      <c r="C3841" s="4" t="s">
        <v>5875</v>
      </c>
      <c r="D3841" s="4">
        <v>33999</v>
      </c>
      <c r="E3841" s="4">
        <v>20210403</v>
      </c>
      <c r="F3841" s="4">
        <v>20210403</v>
      </c>
      <c r="G3841" s="4">
        <v>20240403</v>
      </c>
      <c r="H3841" s="4" t="s">
        <v>5874</v>
      </c>
      <c r="I3841" s="4">
        <v>104</v>
      </c>
      <c r="J3841" s="4" t="s">
        <v>780</v>
      </c>
    </row>
    <row r="3842" spans="1:10" hidden="1">
      <c r="A3842" s="4">
        <v>2.0210414192000198E+17</v>
      </c>
      <c r="B3842" s="4">
        <v>3948600438</v>
      </c>
      <c r="C3842" s="4" t="s">
        <v>5857</v>
      </c>
      <c r="D3842" s="4">
        <v>14192</v>
      </c>
      <c r="E3842" s="4">
        <v>20210402</v>
      </c>
      <c r="F3842" s="4">
        <v>20210402</v>
      </c>
      <c r="G3842" s="4">
        <v>20230317</v>
      </c>
      <c r="H3842" s="4" t="s">
        <v>5856</v>
      </c>
      <c r="I3842" s="4" t="s">
        <v>5855</v>
      </c>
      <c r="J3842" s="4" t="s">
        <v>4910</v>
      </c>
    </row>
    <row r="3843" spans="1:10" hidden="1">
      <c r="A3843" s="4">
        <v>2.0210425113000198E+17</v>
      </c>
      <c r="B3843" s="4">
        <v>5548601344</v>
      </c>
      <c r="C3843" s="4" t="s">
        <v>5854</v>
      </c>
      <c r="D3843" s="4">
        <v>25113</v>
      </c>
      <c r="E3843" s="4">
        <v>20210402</v>
      </c>
      <c r="F3843" s="4">
        <v>20210402</v>
      </c>
      <c r="G3843" s="4">
        <v>20240402</v>
      </c>
      <c r="H3843" s="4" t="s">
        <v>5853</v>
      </c>
      <c r="J3843" s="4" t="s">
        <v>250</v>
      </c>
    </row>
    <row r="3844" spans="1:10" hidden="1">
      <c r="A3844" s="4">
        <v>2.0210442500000198E+17</v>
      </c>
      <c r="B3844" s="4">
        <v>4998800402</v>
      </c>
      <c r="C3844" s="4" t="s">
        <v>5852</v>
      </c>
      <c r="D3844" s="4">
        <v>42500</v>
      </c>
      <c r="E3844" s="4">
        <v>20210402</v>
      </c>
      <c r="F3844" s="4">
        <v>20210402</v>
      </c>
      <c r="G3844" s="4">
        <v>20230622</v>
      </c>
      <c r="H3844" s="4" t="s">
        <v>3538</v>
      </c>
      <c r="I3844" s="4" t="s">
        <v>5851</v>
      </c>
      <c r="J3844" s="4" t="s">
        <v>740</v>
      </c>
    </row>
    <row r="3845" spans="1:10" hidden="1">
      <c r="A3845" s="4">
        <v>2.0210446539000198E+17</v>
      </c>
      <c r="B3845" s="4">
        <v>5288800582</v>
      </c>
      <c r="C3845" s="4" t="s">
        <v>5850</v>
      </c>
      <c r="D3845" s="4">
        <v>46539</v>
      </c>
      <c r="E3845" s="4">
        <v>20210402</v>
      </c>
      <c r="F3845" s="4">
        <v>20210402</v>
      </c>
      <c r="G3845" s="4">
        <v>20240201</v>
      </c>
      <c r="H3845" s="4" t="s">
        <v>1530</v>
      </c>
      <c r="I3845" s="4" t="s">
        <v>5849</v>
      </c>
      <c r="J3845" s="4" t="s">
        <v>3056</v>
      </c>
    </row>
    <row r="3846" spans="1:10" hidden="1">
      <c r="A3846" s="4">
        <v>2.0210428111000198E+17</v>
      </c>
      <c r="B3846" s="4">
        <v>1948800619</v>
      </c>
      <c r="C3846" s="4" t="s">
        <v>5848</v>
      </c>
      <c r="D3846" s="4">
        <v>28111</v>
      </c>
      <c r="E3846" s="4">
        <v>20210402</v>
      </c>
      <c r="F3846" s="4">
        <v>20210402</v>
      </c>
      <c r="G3846" s="4">
        <v>20240210</v>
      </c>
      <c r="H3846" s="4" t="s">
        <v>5847</v>
      </c>
      <c r="J3846" s="4" t="s">
        <v>1614</v>
      </c>
    </row>
    <row r="3847" spans="1:10" hidden="1">
      <c r="A3847" s="4">
        <v>2.0210427219000198E+17</v>
      </c>
      <c r="B3847" s="4">
        <v>3908800240</v>
      </c>
      <c r="C3847" s="4" t="s">
        <v>5846</v>
      </c>
      <c r="D3847" s="4">
        <v>27219</v>
      </c>
      <c r="E3847" s="4">
        <v>20210402</v>
      </c>
      <c r="F3847" s="4">
        <v>20210402</v>
      </c>
      <c r="G3847" s="4">
        <v>20220923</v>
      </c>
      <c r="H3847" s="4" t="s">
        <v>5845</v>
      </c>
      <c r="I3847" s="4" t="s">
        <v>5844</v>
      </c>
      <c r="J3847" s="4" t="s">
        <v>1454</v>
      </c>
    </row>
    <row r="3848" spans="1:10" hidden="1">
      <c r="A3848" s="4">
        <v>2.0210458211000198E+17</v>
      </c>
      <c r="B3848" s="4">
        <v>3338101683</v>
      </c>
      <c r="C3848" s="4" t="s">
        <v>5843</v>
      </c>
      <c r="D3848" s="4">
        <v>58211</v>
      </c>
      <c r="E3848" s="4">
        <v>20210402</v>
      </c>
      <c r="F3848" s="4">
        <v>20210402</v>
      </c>
      <c r="G3848" s="4">
        <v>20240402</v>
      </c>
      <c r="H3848" s="4" t="s">
        <v>5824</v>
      </c>
      <c r="I3848" s="4" t="s">
        <v>5823</v>
      </c>
      <c r="J3848" s="4" t="s">
        <v>887</v>
      </c>
    </row>
    <row r="3849" spans="1:10" hidden="1">
      <c r="A3849" s="4">
        <v>2.0210458221000198E+17</v>
      </c>
      <c r="B3849" s="4">
        <v>3108601443</v>
      </c>
      <c r="C3849" s="4" t="s">
        <v>5842</v>
      </c>
      <c r="D3849" s="4">
        <v>58221</v>
      </c>
      <c r="E3849" s="4">
        <v>20210402</v>
      </c>
      <c r="F3849" s="4">
        <v>20210402</v>
      </c>
      <c r="G3849" s="4">
        <v>20240402</v>
      </c>
      <c r="H3849" s="4" t="s">
        <v>5841</v>
      </c>
      <c r="I3849" s="4" t="s">
        <v>5840</v>
      </c>
      <c r="J3849" s="4" t="s">
        <v>228</v>
      </c>
    </row>
    <row r="3850" spans="1:10" hidden="1">
      <c r="A3850" s="4">
        <v>2.0210463991000198E+17</v>
      </c>
      <c r="B3850" s="4">
        <v>3568701034</v>
      </c>
      <c r="C3850" s="4" t="s">
        <v>5839</v>
      </c>
      <c r="D3850" s="4">
        <v>63991</v>
      </c>
      <c r="E3850" s="4">
        <v>20210402</v>
      </c>
      <c r="F3850" s="4">
        <v>20210402</v>
      </c>
      <c r="G3850" s="4">
        <v>20240402</v>
      </c>
      <c r="H3850" s="4" t="s">
        <v>5838</v>
      </c>
      <c r="I3850" s="4" t="s">
        <v>831</v>
      </c>
      <c r="J3850" s="4" t="s">
        <v>395</v>
      </c>
    </row>
    <row r="3851" spans="1:10" hidden="1">
      <c r="A3851" s="4">
        <v>2.0210420423000198E+17</v>
      </c>
      <c r="B3851" s="4">
        <v>6628100980</v>
      </c>
      <c r="C3851" s="4" t="s">
        <v>5837</v>
      </c>
      <c r="D3851" s="4">
        <v>20423</v>
      </c>
      <c r="E3851" s="4">
        <v>20210402</v>
      </c>
      <c r="F3851" s="4">
        <v>20210402</v>
      </c>
      <c r="G3851" s="4">
        <v>20240402</v>
      </c>
      <c r="H3851" s="4" t="s">
        <v>5836</v>
      </c>
      <c r="J3851" s="4" t="s">
        <v>368</v>
      </c>
    </row>
    <row r="3852" spans="1:10" hidden="1">
      <c r="A3852" s="4">
        <v>2.0210420129000198E+17</v>
      </c>
      <c r="B3852" s="4">
        <v>6218613043</v>
      </c>
      <c r="C3852" s="4" t="s">
        <v>5835</v>
      </c>
      <c r="D3852" s="4">
        <v>20129</v>
      </c>
      <c r="E3852" s="4">
        <v>20210402</v>
      </c>
      <c r="F3852" s="4">
        <v>20210402</v>
      </c>
      <c r="G3852" s="4">
        <v>20211027</v>
      </c>
      <c r="H3852" s="4" t="s">
        <v>5834</v>
      </c>
      <c r="I3852" s="4" t="s">
        <v>91</v>
      </c>
      <c r="J3852" s="4" t="s">
        <v>1770</v>
      </c>
    </row>
    <row r="3853" spans="1:10" hidden="1">
      <c r="A3853" s="4">
        <v>2.0210414192000198E+17</v>
      </c>
      <c r="B3853" s="4">
        <v>2798700344</v>
      </c>
      <c r="C3853" s="4" t="s">
        <v>5833</v>
      </c>
      <c r="D3853" s="4">
        <v>14192</v>
      </c>
      <c r="E3853" s="4">
        <v>20210402</v>
      </c>
      <c r="F3853" s="4">
        <v>20210402</v>
      </c>
      <c r="G3853" s="4">
        <v>20230211</v>
      </c>
      <c r="H3853" s="4" t="s">
        <v>1880</v>
      </c>
      <c r="I3853" s="4" t="s">
        <v>5832</v>
      </c>
      <c r="J3853" s="4" t="s">
        <v>4910</v>
      </c>
    </row>
    <row r="3854" spans="1:10" hidden="1">
      <c r="A3854" s="4">
        <v>2.0210424132000198E+17</v>
      </c>
      <c r="B3854" s="4">
        <v>4728700185</v>
      </c>
      <c r="C3854" s="4" t="s">
        <v>5831</v>
      </c>
      <c r="D3854" s="4">
        <v>24132</v>
      </c>
      <c r="E3854" s="4">
        <v>20210402</v>
      </c>
      <c r="F3854" s="4">
        <v>20210402</v>
      </c>
      <c r="G3854" s="4">
        <v>20221021</v>
      </c>
      <c r="H3854" s="4" t="s">
        <v>5830</v>
      </c>
      <c r="J3854" s="4" t="s">
        <v>5701</v>
      </c>
    </row>
    <row r="3855" spans="1:10" hidden="1">
      <c r="A3855" s="4">
        <v>2.0210410619000198E+17</v>
      </c>
      <c r="B3855" s="4">
        <v>4968800887</v>
      </c>
      <c r="C3855" s="4" t="s">
        <v>5829</v>
      </c>
      <c r="D3855" s="4">
        <v>10619</v>
      </c>
      <c r="E3855" s="4">
        <v>20210402</v>
      </c>
      <c r="F3855" s="4">
        <v>20210402</v>
      </c>
      <c r="G3855" s="4">
        <v>20240402</v>
      </c>
      <c r="H3855" s="4" t="s">
        <v>5828</v>
      </c>
      <c r="J3855" s="4" t="s">
        <v>278</v>
      </c>
    </row>
    <row r="3856" spans="1:10" hidden="1">
      <c r="A3856" s="4">
        <v>2.0210473203000198E+17</v>
      </c>
      <c r="B3856" s="4">
        <v>5135000364</v>
      </c>
      <c r="C3856" s="4" t="s">
        <v>5827</v>
      </c>
      <c r="D3856" s="4">
        <v>73203</v>
      </c>
      <c r="E3856" s="4">
        <v>20210402</v>
      </c>
      <c r="F3856" s="4">
        <v>20210402</v>
      </c>
      <c r="G3856" s="4">
        <v>20240402</v>
      </c>
      <c r="H3856" s="4" t="s">
        <v>5826</v>
      </c>
      <c r="I3856" s="4" t="s">
        <v>239</v>
      </c>
      <c r="J3856" s="4" t="s">
        <v>260</v>
      </c>
    </row>
    <row r="3857" spans="1:10" hidden="1">
      <c r="A3857" s="4">
        <v>2.0210458212000198E+17</v>
      </c>
      <c r="B3857" s="4">
        <v>7888601874</v>
      </c>
      <c r="C3857" s="4" t="s">
        <v>5825</v>
      </c>
      <c r="D3857" s="4">
        <v>58212</v>
      </c>
      <c r="E3857" s="4">
        <v>20210402</v>
      </c>
      <c r="F3857" s="4">
        <v>20210402</v>
      </c>
      <c r="G3857" s="4">
        <v>20240402</v>
      </c>
      <c r="H3857" s="4" t="s">
        <v>5824</v>
      </c>
      <c r="I3857" s="4" t="s">
        <v>5823</v>
      </c>
      <c r="J3857" s="4" t="s">
        <v>1076</v>
      </c>
    </row>
    <row r="3858" spans="1:10" hidden="1">
      <c r="A3858" s="4">
        <v>2.0210413229000198E+17</v>
      </c>
      <c r="B3858" s="4">
        <v>3268601870</v>
      </c>
      <c r="C3858" s="4" t="s">
        <v>5859</v>
      </c>
      <c r="D3858" s="4">
        <v>13229</v>
      </c>
      <c r="E3858" s="4">
        <v>20210402</v>
      </c>
      <c r="F3858" s="4">
        <v>20210402</v>
      </c>
      <c r="G3858" s="4">
        <v>20240402</v>
      </c>
      <c r="H3858" s="4" t="s">
        <v>5858</v>
      </c>
      <c r="J3858" s="4" t="s">
        <v>115</v>
      </c>
    </row>
    <row r="3859" spans="1:10" hidden="1">
      <c r="A3859" s="4">
        <v>2.0210428422000198E+17</v>
      </c>
      <c r="B3859" s="4">
        <v>5818801321</v>
      </c>
      <c r="C3859" s="4" t="s">
        <v>5819</v>
      </c>
      <c r="D3859" s="4">
        <v>28422</v>
      </c>
      <c r="E3859" s="4">
        <v>20210402</v>
      </c>
      <c r="F3859" s="4">
        <v>20210402</v>
      </c>
      <c r="G3859" s="4">
        <v>20240402</v>
      </c>
      <c r="H3859" s="4" t="s">
        <v>5818</v>
      </c>
      <c r="I3859" s="4" t="s">
        <v>5817</v>
      </c>
      <c r="J3859" s="4" t="s">
        <v>188</v>
      </c>
    </row>
    <row r="3860" spans="1:10" hidden="1">
      <c r="A3860" s="4">
        <v>2.0210441229000198E+17</v>
      </c>
      <c r="B3860" s="4">
        <v>2751300657</v>
      </c>
      <c r="C3860" s="4" t="s">
        <v>5816</v>
      </c>
      <c r="D3860" s="4">
        <v>41229</v>
      </c>
      <c r="E3860" s="4">
        <v>20210402</v>
      </c>
      <c r="F3860" s="4">
        <v>20210402</v>
      </c>
      <c r="G3860" s="4">
        <v>20240402</v>
      </c>
      <c r="H3860" s="4" t="s">
        <v>5815</v>
      </c>
      <c r="J3860" s="4" t="s">
        <v>5083</v>
      </c>
    </row>
    <row r="3861" spans="1:10" hidden="1">
      <c r="A3861" s="4">
        <v>2.0210471399000198E+17</v>
      </c>
      <c r="B3861" s="4">
        <v>5336000353</v>
      </c>
      <c r="C3861" s="4" t="s">
        <v>220</v>
      </c>
      <c r="D3861" s="4">
        <v>71399</v>
      </c>
      <c r="E3861" s="4">
        <v>20210402</v>
      </c>
      <c r="F3861" s="4">
        <v>20210402</v>
      </c>
      <c r="G3861" s="4">
        <v>20240402</v>
      </c>
      <c r="H3861" s="4" t="s">
        <v>5814</v>
      </c>
      <c r="I3861" s="4" t="s">
        <v>185</v>
      </c>
      <c r="J3861" s="4" t="s">
        <v>217</v>
      </c>
    </row>
    <row r="3862" spans="1:10" hidden="1">
      <c r="A3862" s="4">
        <v>2.0210433309000198E+17</v>
      </c>
      <c r="B3862" s="4">
        <v>3128672551</v>
      </c>
      <c r="C3862" s="4" t="s">
        <v>5813</v>
      </c>
      <c r="D3862" s="4">
        <v>33309</v>
      </c>
      <c r="E3862" s="4">
        <v>20210402</v>
      </c>
      <c r="F3862" s="4">
        <v>20210402</v>
      </c>
      <c r="G3862" s="4">
        <v>20211031</v>
      </c>
      <c r="H3862" s="4" t="s">
        <v>5812</v>
      </c>
      <c r="J3862" s="4" t="s">
        <v>238</v>
      </c>
    </row>
    <row r="3863" spans="1:10" hidden="1">
      <c r="A3863" s="4">
        <v>2.0210413229000198E+17</v>
      </c>
      <c r="B3863" s="4">
        <v>4928101605</v>
      </c>
      <c r="C3863" s="4" t="s">
        <v>5811</v>
      </c>
      <c r="D3863" s="4">
        <v>13229</v>
      </c>
      <c r="E3863" s="4">
        <v>20210402</v>
      </c>
      <c r="F3863" s="4">
        <v>20210402</v>
      </c>
      <c r="G3863" s="4">
        <v>20240402</v>
      </c>
      <c r="H3863" s="4" t="s">
        <v>5810</v>
      </c>
      <c r="I3863" s="4" t="s">
        <v>5809</v>
      </c>
      <c r="J3863" s="4" t="s">
        <v>115</v>
      </c>
    </row>
    <row r="3864" spans="1:10" hidden="1">
      <c r="A3864" s="4">
        <v>2.0210471600000198E+17</v>
      </c>
      <c r="B3864" s="4">
        <v>2908101955</v>
      </c>
      <c r="C3864" s="4" t="s">
        <v>5808</v>
      </c>
      <c r="D3864" s="4">
        <v>71600</v>
      </c>
      <c r="E3864" s="4">
        <v>20210402</v>
      </c>
      <c r="F3864" s="4">
        <v>20210402</v>
      </c>
      <c r="G3864" s="4">
        <v>20240402</v>
      </c>
      <c r="H3864" s="4" t="s">
        <v>5807</v>
      </c>
      <c r="I3864" s="4" t="s">
        <v>5806</v>
      </c>
      <c r="J3864" s="4" t="s">
        <v>1783</v>
      </c>
    </row>
    <row r="3865" spans="1:10" hidden="1">
      <c r="A3865" s="4">
        <v>2.0210447519000198E+17</v>
      </c>
      <c r="B3865" s="4">
        <v>7400800609</v>
      </c>
      <c r="C3865" s="4" t="s">
        <v>5805</v>
      </c>
      <c r="D3865" s="4">
        <v>47519</v>
      </c>
      <c r="E3865" s="4">
        <v>20210402</v>
      </c>
      <c r="F3865" s="4">
        <v>20210402</v>
      </c>
      <c r="G3865" s="4">
        <v>20240402</v>
      </c>
      <c r="H3865" s="4" t="s">
        <v>5804</v>
      </c>
      <c r="I3865" s="4">
        <v>102</v>
      </c>
      <c r="J3865" s="4" t="s">
        <v>4031</v>
      </c>
    </row>
    <row r="3866" spans="1:10" hidden="1">
      <c r="A3866" s="4">
        <v>2.0210447859000198E+17</v>
      </c>
      <c r="B3866" s="4">
        <v>4770901691</v>
      </c>
      <c r="C3866" s="4" t="s">
        <v>5822</v>
      </c>
      <c r="D3866" s="4">
        <v>47859</v>
      </c>
      <c r="E3866" s="4">
        <v>20210402</v>
      </c>
      <c r="F3866" s="4">
        <v>20210402</v>
      </c>
      <c r="G3866" s="4">
        <v>20240402</v>
      </c>
      <c r="H3866" s="4" t="s">
        <v>5821</v>
      </c>
      <c r="I3866" s="4" t="s">
        <v>3672</v>
      </c>
      <c r="J3866" s="4" t="s">
        <v>5820</v>
      </c>
    </row>
    <row r="3867" spans="1:10" hidden="1">
      <c r="A3867" s="4">
        <v>2.0210424199000198E+17</v>
      </c>
      <c r="B3867" s="4">
        <v>4688100302</v>
      </c>
      <c r="C3867" s="4" t="s">
        <v>5800</v>
      </c>
      <c r="D3867" s="4">
        <v>24199</v>
      </c>
      <c r="E3867" s="4">
        <v>20210402</v>
      </c>
      <c r="F3867" s="4">
        <v>20210402</v>
      </c>
      <c r="G3867" s="4">
        <v>20221126</v>
      </c>
      <c r="H3867" s="4" t="s">
        <v>5799</v>
      </c>
      <c r="I3867" s="4" t="s">
        <v>5798</v>
      </c>
      <c r="J3867" s="4" t="s">
        <v>454</v>
      </c>
    </row>
    <row r="3868" spans="1:10" hidden="1">
      <c r="A3868" s="4">
        <v>2.0210441121000198E+17</v>
      </c>
      <c r="B3868" s="4">
        <v>6828102153</v>
      </c>
      <c r="C3868" s="4" t="s">
        <v>5797</v>
      </c>
      <c r="D3868" s="4">
        <v>41121</v>
      </c>
      <c r="E3868" s="4">
        <v>20210402</v>
      </c>
      <c r="F3868" s="4">
        <v>20210402</v>
      </c>
      <c r="G3868" s="4">
        <v>20240402</v>
      </c>
      <c r="H3868" s="4" t="s">
        <v>5796</v>
      </c>
      <c r="J3868" s="4" t="s">
        <v>2302</v>
      </c>
    </row>
    <row r="3869" spans="1:10" hidden="1">
      <c r="A3869" s="4">
        <v>2.0210425929000198E+17</v>
      </c>
      <c r="B3869" s="4">
        <v>2338801723</v>
      </c>
      <c r="C3869" s="4" t="s">
        <v>5795</v>
      </c>
      <c r="D3869" s="4">
        <v>25929</v>
      </c>
      <c r="E3869" s="4">
        <v>20210402</v>
      </c>
      <c r="F3869" s="4">
        <v>20210402</v>
      </c>
      <c r="G3869" s="4">
        <v>20240402</v>
      </c>
      <c r="H3869" s="4" t="s">
        <v>5794</v>
      </c>
      <c r="J3869" s="4" t="s">
        <v>701</v>
      </c>
    </row>
    <row r="3870" spans="1:10" hidden="1">
      <c r="A3870" s="4">
        <v>2.0210428114000198E+17</v>
      </c>
      <c r="B3870" s="4">
        <v>7748101583</v>
      </c>
      <c r="C3870" s="4" t="s">
        <v>5793</v>
      </c>
      <c r="D3870" s="4">
        <v>28114</v>
      </c>
      <c r="E3870" s="4">
        <v>20210402</v>
      </c>
      <c r="F3870" s="4">
        <v>20210402</v>
      </c>
      <c r="G3870" s="4">
        <v>20240402</v>
      </c>
      <c r="H3870" s="4" t="s">
        <v>5792</v>
      </c>
      <c r="I3870" s="4" t="s">
        <v>5791</v>
      </c>
      <c r="J3870" s="4" t="s">
        <v>2367</v>
      </c>
    </row>
    <row r="3871" spans="1:10" hidden="1">
      <c r="A3871" s="4">
        <v>2.0210442412000198E+17</v>
      </c>
      <c r="B3871" s="4">
        <v>6228800642</v>
      </c>
      <c r="C3871" s="4" t="s">
        <v>5790</v>
      </c>
      <c r="D3871" s="4">
        <v>42412</v>
      </c>
      <c r="E3871" s="4">
        <v>20210402</v>
      </c>
      <c r="F3871" s="4">
        <v>20210402</v>
      </c>
      <c r="G3871" s="4">
        <v>20240308</v>
      </c>
      <c r="H3871" s="4" t="s">
        <v>5789</v>
      </c>
      <c r="I3871" s="4" t="s">
        <v>247</v>
      </c>
      <c r="J3871" s="4" t="s">
        <v>281</v>
      </c>
    </row>
    <row r="3872" spans="1:10" hidden="1">
      <c r="A3872" s="4">
        <v>2.0210442311000198E+17</v>
      </c>
      <c r="B3872" s="4">
        <v>3898600173</v>
      </c>
      <c r="C3872" s="4" t="s">
        <v>5788</v>
      </c>
      <c r="D3872" s="4">
        <v>42311</v>
      </c>
      <c r="E3872" s="4">
        <v>20210402</v>
      </c>
      <c r="F3872" s="4">
        <v>20210402</v>
      </c>
      <c r="G3872" s="4">
        <v>20220720</v>
      </c>
      <c r="H3872" s="4" t="s">
        <v>5787</v>
      </c>
      <c r="J3872" s="4" t="s">
        <v>718</v>
      </c>
    </row>
    <row r="3873" spans="1:10" hidden="1">
      <c r="A3873" s="4">
        <v>2.0210428123000198E+17</v>
      </c>
      <c r="B3873" s="4">
        <v>8888800499</v>
      </c>
      <c r="C3873" s="4" t="s">
        <v>5786</v>
      </c>
      <c r="D3873" s="4">
        <v>28123</v>
      </c>
      <c r="E3873" s="4">
        <v>20210402</v>
      </c>
      <c r="F3873" s="4">
        <v>20210402</v>
      </c>
      <c r="G3873" s="4">
        <v>20230708</v>
      </c>
      <c r="H3873" s="4" t="s">
        <v>5785</v>
      </c>
      <c r="I3873" s="4" t="s">
        <v>5784</v>
      </c>
      <c r="J3873" s="4" t="s">
        <v>640</v>
      </c>
    </row>
    <row r="3874" spans="1:10" hidden="1">
      <c r="A3874" s="4">
        <v>2.0210413229000198E+17</v>
      </c>
      <c r="B3874" s="4">
        <v>6048801435</v>
      </c>
      <c r="C3874" s="4" t="s">
        <v>5783</v>
      </c>
      <c r="D3874" s="4">
        <v>13229</v>
      </c>
      <c r="E3874" s="4">
        <v>20210402</v>
      </c>
      <c r="F3874" s="4">
        <v>20210402</v>
      </c>
      <c r="G3874" s="4">
        <v>20240402</v>
      </c>
      <c r="H3874" s="4" t="s">
        <v>5782</v>
      </c>
      <c r="I3874" s="4" t="s">
        <v>5781</v>
      </c>
      <c r="J3874" s="4" t="s">
        <v>115</v>
      </c>
    </row>
    <row r="3875" spans="1:10" hidden="1">
      <c r="A3875" s="4">
        <v>2.0210426310000198E+17</v>
      </c>
      <c r="B3875" s="4">
        <v>5438801649</v>
      </c>
      <c r="C3875" s="4" t="s">
        <v>5780</v>
      </c>
      <c r="D3875" s="4">
        <v>26310</v>
      </c>
      <c r="E3875" s="4">
        <v>20210402</v>
      </c>
      <c r="F3875" s="4">
        <v>20210402</v>
      </c>
      <c r="G3875" s="4">
        <v>20240402</v>
      </c>
      <c r="H3875" s="4" t="s">
        <v>5779</v>
      </c>
      <c r="I3875" s="4" t="s">
        <v>5778</v>
      </c>
      <c r="J3875" s="4" t="s">
        <v>372</v>
      </c>
    </row>
    <row r="3876" spans="1:10" hidden="1">
      <c r="A3876" s="4">
        <v>2.0210425111000198E+17</v>
      </c>
      <c r="B3876" s="4">
        <v>7158600300</v>
      </c>
      <c r="C3876" s="4" t="s">
        <v>5777</v>
      </c>
      <c r="D3876" s="4">
        <v>25111</v>
      </c>
      <c r="E3876" s="4">
        <v>20210402</v>
      </c>
      <c r="F3876" s="4">
        <v>20210402</v>
      </c>
      <c r="G3876" s="4">
        <v>20230415</v>
      </c>
      <c r="H3876" s="4" t="s">
        <v>5071</v>
      </c>
      <c r="I3876" s="4" t="s">
        <v>5776</v>
      </c>
      <c r="J3876" s="4" t="s">
        <v>82</v>
      </c>
    </row>
    <row r="3877" spans="1:10" hidden="1">
      <c r="A3877" s="4">
        <v>2.0210410619000198E+17</v>
      </c>
      <c r="B3877" s="4">
        <v>6928801747</v>
      </c>
      <c r="C3877" s="4" t="s">
        <v>5775</v>
      </c>
      <c r="D3877" s="4">
        <v>10619</v>
      </c>
      <c r="E3877" s="4">
        <v>20210402</v>
      </c>
      <c r="F3877" s="4">
        <v>20210402</v>
      </c>
      <c r="G3877" s="4">
        <v>20240402</v>
      </c>
      <c r="H3877" s="4" t="s">
        <v>5774</v>
      </c>
      <c r="J3877" s="4" t="s">
        <v>278</v>
      </c>
    </row>
    <row r="3878" spans="1:10" hidden="1">
      <c r="A3878" s="4">
        <v>2.0210458221000198E+17</v>
      </c>
      <c r="B3878" s="4">
        <v>5958600370</v>
      </c>
      <c r="C3878" s="4" t="s">
        <v>5773</v>
      </c>
      <c r="D3878" s="4">
        <v>58221</v>
      </c>
      <c r="E3878" s="4">
        <v>20210402</v>
      </c>
      <c r="F3878" s="4">
        <v>20210402</v>
      </c>
      <c r="G3878" s="4">
        <v>20230212</v>
      </c>
      <c r="H3878" s="4" t="s">
        <v>3716</v>
      </c>
      <c r="I3878" s="4" t="s">
        <v>5772</v>
      </c>
      <c r="J3878" s="4" t="s">
        <v>228</v>
      </c>
    </row>
    <row r="3879" spans="1:10" hidden="1">
      <c r="A3879" s="4">
        <v>2.0210428422000198E+17</v>
      </c>
      <c r="B3879" s="4">
        <v>5108700814</v>
      </c>
      <c r="C3879" s="4" t="s">
        <v>5771</v>
      </c>
      <c r="D3879" s="4">
        <v>28422</v>
      </c>
      <c r="E3879" s="4">
        <v>20210402</v>
      </c>
      <c r="F3879" s="4">
        <v>20210402</v>
      </c>
      <c r="G3879" s="4">
        <v>20240402</v>
      </c>
      <c r="H3879" s="4" t="s">
        <v>1486</v>
      </c>
      <c r="I3879" s="4" t="s">
        <v>5770</v>
      </c>
      <c r="J3879" s="4" t="s">
        <v>188</v>
      </c>
    </row>
    <row r="3880" spans="1:10" hidden="1">
      <c r="A3880" s="4">
        <v>2.0210442134000198E+17</v>
      </c>
      <c r="B3880" s="4">
        <v>4578100791</v>
      </c>
      <c r="C3880" s="4" t="s">
        <v>5769</v>
      </c>
      <c r="D3880" s="4">
        <v>42134</v>
      </c>
      <c r="E3880" s="4">
        <v>20210402</v>
      </c>
      <c r="F3880" s="4">
        <v>20210402</v>
      </c>
      <c r="G3880" s="4">
        <v>20240228</v>
      </c>
      <c r="H3880" s="4" t="s">
        <v>5768</v>
      </c>
      <c r="J3880" s="4" t="s">
        <v>3573</v>
      </c>
    </row>
    <row r="3881" spans="1:10" hidden="1">
      <c r="A3881" s="4">
        <v>2.0210420321000198E+17</v>
      </c>
      <c r="B3881" s="4">
        <v>7768800522</v>
      </c>
      <c r="C3881" s="4" t="s">
        <v>5767</v>
      </c>
      <c r="D3881" s="4">
        <v>20321</v>
      </c>
      <c r="E3881" s="4">
        <v>20210402</v>
      </c>
      <c r="F3881" s="4">
        <v>20210402</v>
      </c>
      <c r="G3881" s="4">
        <v>20231013</v>
      </c>
      <c r="H3881" s="4" t="s">
        <v>5766</v>
      </c>
      <c r="I3881" s="4" t="s">
        <v>5765</v>
      </c>
      <c r="J3881" s="4" t="s">
        <v>192</v>
      </c>
    </row>
    <row r="3882" spans="1:10" hidden="1">
      <c r="A3882" s="4">
        <v>2.0210425922000198E+17</v>
      </c>
      <c r="B3882" s="4">
        <v>7978801173</v>
      </c>
      <c r="C3882" s="4" t="s">
        <v>5764</v>
      </c>
      <c r="D3882" s="4">
        <v>25922</v>
      </c>
      <c r="E3882" s="4">
        <v>20210402</v>
      </c>
      <c r="F3882" s="4">
        <v>20210402</v>
      </c>
      <c r="G3882" s="4">
        <v>20240402</v>
      </c>
      <c r="H3882" s="4" t="s">
        <v>5763</v>
      </c>
      <c r="J3882" s="4" t="s">
        <v>5762</v>
      </c>
    </row>
    <row r="3883" spans="1:10" hidden="1">
      <c r="A3883" s="4">
        <v>2.0210428901000198E+17</v>
      </c>
      <c r="B3883" s="4">
        <v>2158793209</v>
      </c>
      <c r="C3883" s="4" t="s">
        <v>5761</v>
      </c>
      <c r="D3883" s="4">
        <v>28901</v>
      </c>
      <c r="E3883" s="4">
        <v>20210402</v>
      </c>
      <c r="F3883" s="4">
        <v>20210402</v>
      </c>
      <c r="G3883" s="4">
        <v>20210710</v>
      </c>
      <c r="H3883" s="4" t="s">
        <v>258</v>
      </c>
      <c r="I3883" s="4" t="s">
        <v>5760</v>
      </c>
      <c r="J3883" s="4" t="s">
        <v>4186</v>
      </c>
    </row>
    <row r="3884" spans="1:10" hidden="1">
      <c r="A3884" s="4">
        <v>2.0210428909000198E+17</v>
      </c>
      <c r="B3884" s="4">
        <v>5598700162</v>
      </c>
      <c r="C3884" s="4" t="s">
        <v>5759</v>
      </c>
      <c r="D3884" s="4">
        <v>28909</v>
      </c>
      <c r="E3884" s="4">
        <v>20210402</v>
      </c>
      <c r="F3884" s="4">
        <v>20210402</v>
      </c>
      <c r="G3884" s="4">
        <v>20230219</v>
      </c>
      <c r="H3884" s="4" t="s">
        <v>5758</v>
      </c>
      <c r="I3884" s="4" t="s">
        <v>591</v>
      </c>
      <c r="J3884" s="4" t="s">
        <v>253</v>
      </c>
    </row>
    <row r="3885" spans="1:10" hidden="1">
      <c r="A3885" s="4">
        <v>2.0210425941000198E+17</v>
      </c>
      <c r="B3885" s="4">
        <v>3270900096</v>
      </c>
      <c r="C3885" s="4" t="s">
        <v>5757</v>
      </c>
      <c r="D3885" s="4">
        <v>25941</v>
      </c>
      <c r="E3885" s="4">
        <v>20210402</v>
      </c>
      <c r="F3885" s="4">
        <v>20210402</v>
      </c>
      <c r="G3885" s="4">
        <v>20220902</v>
      </c>
      <c r="H3885" s="4" t="s">
        <v>1041</v>
      </c>
      <c r="I3885" s="4" t="s">
        <v>5756</v>
      </c>
      <c r="J3885" s="4" t="s">
        <v>5755</v>
      </c>
    </row>
    <row r="3886" spans="1:10" hidden="1">
      <c r="A3886" s="4">
        <v>2.0210458222000198E+17</v>
      </c>
      <c r="B3886" s="4">
        <v>4483600104</v>
      </c>
      <c r="C3886" s="4" t="s">
        <v>5754</v>
      </c>
      <c r="D3886" s="4">
        <v>58222</v>
      </c>
      <c r="E3886" s="4">
        <v>20210402</v>
      </c>
      <c r="F3886" s="4">
        <v>20210402</v>
      </c>
      <c r="G3886" s="4">
        <v>20221201</v>
      </c>
      <c r="H3886" s="4" t="s">
        <v>2848</v>
      </c>
      <c r="I3886" s="4" t="s">
        <v>5753</v>
      </c>
      <c r="J3886" s="4" t="s">
        <v>94</v>
      </c>
    </row>
    <row r="3887" spans="1:10" hidden="1">
      <c r="A3887" s="4">
        <v>2.0210447912000198E+17</v>
      </c>
      <c r="B3887" s="4">
        <v>3928101931</v>
      </c>
      <c r="C3887" s="4" t="s">
        <v>5752</v>
      </c>
      <c r="D3887" s="4">
        <v>47912</v>
      </c>
      <c r="E3887" s="4">
        <v>20210402</v>
      </c>
      <c r="F3887" s="4">
        <v>20210402</v>
      </c>
      <c r="G3887" s="4">
        <v>20240402</v>
      </c>
      <c r="H3887" s="4" t="s">
        <v>5751</v>
      </c>
      <c r="I3887" s="4" t="s">
        <v>5750</v>
      </c>
      <c r="J3887" s="4" t="s">
        <v>78</v>
      </c>
    </row>
    <row r="3888" spans="1:10" hidden="1">
      <c r="A3888" s="4">
        <v>2.0210446611000198E+17</v>
      </c>
      <c r="B3888" s="4">
        <v>7638100721</v>
      </c>
      <c r="C3888" s="4" t="s">
        <v>5803</v>
      </c>
      <c r="D3888" s="4">
        <v>46611</v>
      </c>
      <c r="E3888" s="4">
        <v>20210402</v>
      </c>
      <c r="F3888" s="4">
        <v>20210402</v>
      </c>
      <c r="G3888" s="4">
        <v>20240209</v>
      </c>
      <c r="H3888" s="4" t="s">
        <v>5802</v>
      </c>
      <c r="J3888" s="4" t="s">
        <v>5801</v>
      </c>
    </row>
    <row r="3889" spans="1:10" hidden="1">
      <c r="A3889" s="4">
        <v>2.0210425929000198E+17</v>
      </c>
      <c r="B3889" s="4">
        <v>3658800905</v>
      </c>
      <c r="C3889" s="4" t="s">
        <v>5747</v>
      </c>
      <c r="D3889" s="4">
        <v>25929</v>
      </c>
      <c r="E3889" s="4">
        <v>20210401</v>
      </c>
      <c r="F3889" s="4">
        <v>20210401</v>
      </c>
      <c r="G3889" s="4">
        <v>20240401</v>
      </c>
      <c r="H3889" s="4" t="s">
        <v>5746</v>
      </c>
      <c r="I3889" s="4" t="s">
        <v>947</v>
      </c>
      <c r="J3889" s="4" t="s">
        <v>701</v>
      </c>
    </row>
    <row r="3890" spans="1:10" hidden="1">
      <c r="A3890" s="4">
        <v>2.0210442311000198E+17</v>
      </c>
      <c r="B3890" s="4">
        <v>2348602041</v>
      </c>
      <c r="C3890" s="4" t="s">
        <v>5749</v>
      </c>
      <c r="D3890" s="4">
        <v>42311</v>
      </c>
      <c r="E3890" s="4">
        <v>20210402</v>
      </c>
      <c r="F3890" s="4">
        <v>20210402</v>
      </c>
      <c r="G3890" s="4">
        <v>20240402</v>
      </c>
      <c r="H3890" s="4" t="s">
        <v>5748</v>
      </c>
      <c r="J3890" s="4" t="s">
        <v>718</v>
      </c>
    </row>
    <row r="3891" spans="1:10" s="5" customFormat="1" hidden="1">
      <c r="A3891" s="4">
        <v>2.0210441122000198E+17</v>
      </c>
      <c r="B3891" s="4">
        <v>3288700684</v>
      </c>
      <c r="C3891" s="4" t="s">
        <v>5745</v>
      </c>
      <c r="D3891" s="4">
        <v>41122</v>
      </c>
      <c r="E3891" s="4">
        <v>20210401</v>
      </c>
      <c r="F3891" s="4">
        <v>20210401</v>
      </c>
      <c r="G3891" s="4">
        <v>20240401</v>
      </c>
      <c r="H3891" s="4" t="s">
        <v>5744</v>
      </c>
      <c r="I3891" s="4"/>
      <c r="J3891" s="4" t="s">
        <v>1368</v>
      </c>
    </row>
    <row r="3892" spans="1:10" hidden="1">
      <c r="A3892" s="4">
        <v>2.0210442412000198E+17</v>
      </c>
      <c r="B3892" s="4">
        <v>2398701888</v>
      </c>
      <c r="C3892" s="4" t="s">
        <v>5741</v>
      </c>
      <c r="D3892" s="4">
        <v>42412</v>
      </c>
      <c r="E3892" s="4">
        <v>20210401</v>
      </c>
      <c r="F3892" s="4">
        <v>20210401</v>
      </c>
      <c r="G3892" s="4">
        <v>20240401</v>
      </c>
      <c r="H3892" s="4" t="s">
        <v>5740</v>
      </c>
      <c r="I3892" s="4" t="s">
        <v>146</v>
      </c>
      <c r="J3892" s="4" t="s">
        <v>281</v>
      </c>
    </row>
    <row r="3893" spans="1:10" hidden="1">
      <c r="A3893" s="4">
        <v>2.0210422299000198E+17</v>
      </c>
      <c r="B3893" s="4">
        <v>3078151151</v>
      </c>
      <c r="C3893" s="4" t="s">
        <v>5739</v>
      </c>
      <c r="D3893" s="4">
        <v>22299</v>
      </c>
      <c r="E3893" s="4">
        <v>20210401</v>
      </c>
      <c r="F3893" s="4">
        <v>20210401</v>
      </c>
      <c r="G3893" s="4">
        <v>20240401</v>
      </c>
      <c r="H3893" s="4" t="s">
        <v>828</v>
      </c>
      <c r="I3893" s="4" t="s">
        <v>5738</v>
      </c>
      <c r="J3893" s="4" t="s">
        <v>384</v>
      </c>
    </row>
    <row r="3894" spans="1:10" hidden="1">
      <c r="A3894" s="4">
        <v>2.0210428429000198E+17</v>
      </c>
      <c r="B3894" s="4">
        <v>6508700785</v>
      </c>
      <c r="C3894" s="4" t="s">
        <v>5737</v>
      </c>
      <c r="D3894" s="4">
        <v>28429</v>
      </c>
      <c r="E3894" s="4">
        <v>20210401</v>
      </c>
      <c r="F3894" s="4">
        <v>20210401</v>
      </c>
      <c r="G3894" s="4">
        <v>20240401</v>
      </c>
      <c r="H3894" s="4" t="s">
        <v>464</v>
      </c>
      <c r="I3894" s="4" t="s">
        <v>5736</v>
      </c>
      <c r="J3894" s="4" t="s">
        <v>765</v>
      </c>
    </row>
    <row r="3895" spans="1:10" hidden="1">
      <c r="A3895" s="4">
        <v>2.0210420129000198E+17</v>
      </c>
      <c r="B3895" s="4">
        <v>5458601433</v>
      </c>
      <c r="C3895" s="4" t="s">
        <v>5735</v>
      </c>
      <c r="D3895" s="4">
        <v>20129</v>
      </c>
      <c r="E3895" s="4">
        <v>20210401</v>
      </c>
      <c r="F3895" s="4">
        <v>20210401</v>
      </c>
      <c r="G3895" s="4">
        <v>20240401</v>
      </c>
      <c r="H3895" s="4" t="s">
        <v>5734</v>
      </c>
      <c r="J3895" s="4" t="s">
        <v>1770</v>
      </c>
    </row>
    <row r="3896" spans="1:10" hidden="1">
      <c r="A3896" s="4">
        <v>2.0210424133000198E+17</v>
      </c>
      <c r="B3896" s="4">
        <v>7508600467</v>
      </c>
      <c r="C3896" s="4" t="s">
        <v>5733</v>
      </c>
      <c r="D3896" s="4">
        <v>24133</v>
      </c>
      <c r="E3896" s="4">
        <v>20210401</v>
      </c>
      <c r="F3896" s="4">
        <v>20210401</v>
      </c>
      <c r="G3896" s="4">
        <v>20230726</v>
      </c>
      <c r="H3896" s="4" t="s">
        <v>5732</v>
      </c>
      <c r="I3896" s="4" t="s">
        <v>5731</v>
      </c>
      <c r="J3896" s="4" t="s">
        <v>5730</v>
      </c>
    </row>
    <row r="3897" spans="1:10" hidden="1">
      <c r="A3897" s="4">
        <v>2.0210428422000198E+17</v>
      </c>
      <c r="B3897" s="4">
        <v>6338801506</v>
      </c>
      <c r="C3897" s="4" t="s">
        <v>5729</v>
      </c>
      <c r="D3897" s="4">
        <v>28422</v>
      </c>
      <c r="E3897" s="4">
        <v>20210401</v>
      </c>
      <c r="F3897" s="4">
        <v>20210401</v>
      </c>
      <c r="G3897" s="4">
        <v>20240401</v>
      </c>
      <c r="H3897" s="4" t="s">
        <v>5728</v>
      </c>
      <c r="I3897" s="4" t="s">
        <v>5727</v>
      </c>
      <c r="J3897" s="4" t="s">
        <v>188</v>
      </c>
    </row>
    <row r="3898" spans="1:10" hidden="1">
      <c r="A3898" s="4">
        <v>2.0210428422000198E+17</v>
      </c>
      <c r="B3898" s="4">
        <v>3098702089</v>
      </c>
      <c r="C3898" s="4" t="s">
        <v>5726</v>
      </c>
      <c r="D3898" s="4">
        <v>28422</v>
      </c>
      <c r="E3898" s="4">
        <v>20210401</v>
      </c>
      <c r="F3898" s="4">
        <v>20210401</v>
      </c>
      <c r="G3898" s="4">
        <v>20240401</v>
      </c>
      <c r="H3898" s="4" t="s">
        <v>5725</v>
      </c>
      <c r="J3898" s="4" t="s">
        <v>188</v>
      </c>
    </row>
    <row r="3899" spans="1:10" hidden="1">
      <c r="A3899" s="4">
        <v>2.0210442412000198E+17</v>
      </c>
      <c r="B3899" s="4">
        <v>2288601163</v>
      </c>
      <c r="C3899" s="4" t="s">
        <v>5724</v>
      </c>
      <c r="D3899" s="4">
        <v>42412</v>
      </c>
      <c r="E3899" s="4">
        <v>20210401</v>
      </c>
      <c r="F3899" s="4">
        <v>20210401</v>
      </c>
      <c r="G3899" s="4">
        <v>20240401</v>
      </c>
      <c r="H3899" s="4" t="s">
        <v>5723</v>
      </c>
      <c r="I3899" s="4" t="s">
        <v>91</v>
      </c>
      <c r="J3899" s="4" t="s">
        <v>281</v>
      </c>
    </row>
    <row r="3900" spans="1:10" hidden="1">
      <c r="A3900" s="4">
        <v>2.0210413999000198E+17</v>
      </c>
      <c r="B3900" s="4">
        <v>5978101900</v>
      </c>
      <c r="C3900" s="4" t="s">
        <v>5722</v>
      </c>
      <c r="D3900" s="4">
        <v>13999</v>
      </c>
      <c r="E3900" s="4">
        <v>20210401</v>
      </c>
      <c r="F3900" s="4">
        <v>20210401</v>
      </c>
      <c r="G3900" s="4">
        <v>20240401</v>
      </c>
      <c r="H3900" s="4" t="s">
        <v>5721</v>
      </c>
      <c r="J3900" s="4" t="s">
        <v>130</v>
      </c>
    </row>
    <row r="3901" spans="1:10" hidden="1">
      <c r="A3901" s="4">
        <v>2.0210428422000198E+17</v>
      </c>
      <c r="B3901" s="4">
        <v>3998101306</v>
      </c>
      <c r="C3901" s="4" t="s">
        <v>5720</v>
      </c>
      <c r="D3901" s="4">
        <v>28422</v>
      </c>
      <c r="E3901" s="4">
        <v>20210401</v>
      </c>
      <c r="F3901" s="4">
        <v>20210401</v>
      </c>
      <c r="G3901" s="4">
        <v>20240401</v>
      </c>
      <c r="H3901" s="4" t="s">
        <v>5719</v>
      </c>
      <c r="I3901" s="4" t="s">
        <v>5718</v>
      </c>
      <c r="J3901" s="4" t="s">
        <v>188</v>
      </c>
    </row>
    <row r="3902" spans="1:10" hidden="1">
      <c r="A3902" s="4">
        <v>2.0210446800000198E+17</v>
      </c>
      <c r="B3902" s="4">
        <v>5568800684</v>
      </c>
      <c r="C3902" s="4" t="s">
        <v>5717</v>
      </c>
      <c r="D3902" s="4">
        <v>46800</v>
      </c>
      <c r="E3902" s="4">
        <v>20210401</v>
      </c>
      <c r="F3902" s="4">
        <v>20210401</v>
      </c>
      <c r="G3902" s="4">
        <v>20240401</v>
      </c>
      <c r="H3902" s="4" t="s">
        <v>5716</v>
      </c>
      <c r="J3902" s="4" t="s">
        <v>979</v>
      </c>
    </row>
    <row r="3903" spans="1:10" hidden="1">
      <c r="A3903" s="4">
        <v>2.0210446452000198E+17</v>
      </c>
      <c r="B3903" s="4">
        <v>3555600019</v>
      </c>
      <c r="C3903" s="4" t="s">
        <v>5715</v>
      </c>
      <c r="D3903" s="4">
        <v>46452</v>
      </c>
      <c r="E3903" s="4">
        <v>20210401</v>
      </c>
      <c r="F3903" s="4">
        <v>20210401</v>
      </c>
      <c r="G3903" s="4">
        <v>20220318</v>
      </c>
      <c r="H3903" s="4" t="s">
        <v>5714</v>
      </c>
      <c r="J3903" s="4" t="s">
        <v>516</v>
      </c>
    </row>
    <row r="3904" spans="1:10" hidden="1">
      <c r="A3904" s="4">
        <v>2.0210433309000198E+17</v>
      </c>
      <c r="B3904" s="4">
        <v>2380401878</v>
      </c>
      <c r="C3904" s="4" t="s">
        <v>5713</v>
      </c>
      <c r="D3904" s="4">
        <v>33309</v>
      </c>
      <c r="E3904" s="4">
        <v>20210401</v>
      </c>
      <c r="F3904" s="4">
        <v>20210401</v>
      </c>
      <c r="G3904" s="4">
        <v>20240401</v>
      </c>
      <c r="H3904" s="4" t="s">
        <v>5712</v>
      </c>
      <c r="J3904" s="4" t="s">
        <v>238</v>
      </c>
    </row>
    <row r="3905" spans="1:10" hidden="1">
      <c r="A3905" s="4">
        <v>2.0210425112000198E+17</v>
      </c>
      <c r="B3905" s="4">
        <v>6098624370</v>
      </c>
      <c r="C3905" s="4" t="s">
        <v>5710</v>
      </c>
      <c r="D3905" s="4">
        <v>25112</v>
      </c>
      <c r="E3905" s="4">
        <v>20210401</v>
      </c>
      <c r="F3905" s="4">
        <v>20210401</v>
      </c>
      <c r="G3905" s="4">
        <v>20220120</v>
      </c>
      <c r="H3905" s="4" t="s">
        <v>5711</v>
      </c>
      <c r="I3905" s="4" t="s">
        <v>5710</v>
      </c>
      <c r="J3905" s="4" t="s">
        <v>320</v>
      </c>
    </row>
    <row r="3906" spans="1:10" hidden="1">
      <c r="A3906" s="4">
        <v>2.0210429280000198E+17</v>
      </c>
      <c r="B3906" s="4">
        <v>5458700523</v>
      </c>
      <c r="C3906" s="4" t="s">
        <v>5709</v>
      </c>
      <c r="D3906" s="4">
        <v>29280</v>
      </c>
      <c r="E3906" s="4">
        <v>20210401</v>
      </c>
      <c r="F3906" s="4">
        <v>20210401</v>
      </c>
      <c r="G3906" s="4">
        <v>20231005</v>
      </c>
      <c r="H3906" s="4" t="s">
        <v>4281</v>
      </c>
      <c r="I3906" s="4" t="s">
        <v>5708</v>
      </c>
      <c r="J3906" s="4" t="s">
        <v>533</v>
      </c>
    </row>
    <row r="3907" spans="1:10" hidden="1">
      <c r="A3907" s="4">
        <v>2.0210446452000198E+17</v>
      </c>
      <c r="B3907" s="4">
        <v>2811600876</v>
      </c>
      <c r="C3907" s="4" t="s">
        <v>5707</v>
      </c>
      <c r="D3907" s="4">
        <v>46452</v>
      </c>
      <c r="E3907" s="4">
        <v>20210401</v>
      </c>
      <c r="F3907" s="4">
        <v>20210401</v>
      </c>
      <c r="G3907" s="4">
        <v>20240401</v>
      </c>
      <c r="H3907" s="4" t="s">
        <v>5706</v>
      </c>
      <c r="J3907" s="4" t="s">
        <v>516</v>
      </c>
    </row>
    <row r="3908" spans="1:10" hidden="1">
      <c r="A3908" s="4">
        <v>2.0210423324000198E+17</v>
      </c>
      <c r="B3908" s="4">
        <v>1963300634</v>
      </c>
      <c r="C3908" s="4" t="s">
        <v>5705</v>
      </c>
      <c r="D3908" s="4">
        <v>23324</v>
      </c>
      <c r="E3908" s="4">
        <v>20210401</v>
      </c>
      <c r="F3908" s="4">
        <v>20210401</v>
      </c>
      <c r="G3908" s="4">
        <v>20240401</v>
      </c>
      <c r="H3908" s="4" t="s">
        <v>5704</v>
      </c>
      <c r="J3908" s="4" t="s">
        <v>3323</v>
      </c>
    </row>
    <row r="3909" spans="1:10" hidden="1">
      <c r="A3909" s="4">
        <v>2.0210424132000198E+17</v>
      </c>
      <c r="B3909" s="4">
        <v>3018633316</v>
      </c>
      <c r="C3909" s="4" t="s">
        <v>5703</v>
      </c>
      <c r="D3909" s="4">
        <v>24132</v>
      </c>
      <c r="E3909" s="4">
        <v>20210401</v>
      </c>
      <c r="F3909" s="4">
        <v>20210401</v>
      </c>
      <c r="G3909" s="4">
        <v>20220202</v>
      </c>
      <c r="H3909" s="4" t="s">
        <v>5702</v>
      </c>
      <c r="I3909" s="4" t="s">
        <v>149</v>
      </c>
      <c r="J3909" s="4" t="s">
        <v>5701</v>
      </c>
    </row>
    <row r="3910" spans="1:10" hidden="1">
      <c r="A3910" s="4">
        <v>2.0210458222000198E+17</v>
      </c>
      <c r="B3910" s="4">
        <v>2570501857</v>
      </c>
      <c r="C3910" s="4" t="s">
        <v>5700</v>
      </c>
      <c r="D3910" s="4">
        <v>58222</v>
      </c>
      <c r="E3910" s="4">
        <v>20210401</v>
      </c>
      <c r="F3910" s="4">
        <v>20210401</v>
      </c>
      <c r="G3910" s="4">
        <v>20240401</v>
      </c>
      <c r="H3910" s="4" t="s">
        <v>4616</v>
      </c>
      <c r="I3910" s="4" t="s">
        <v>5699</v>
      </c>
      <c r="J3910" s="4" t="s">
        <v>94</v>
      </c>
    </row>
    <row r="3911" spans="1:10" hidden="1">
      <c r="A3911" s="4">
        <v>2.0210429131000198E+17</v>
      </c>
      <c r="B3911" s="4">
        <v>5013296844</v>
      </c>
      <c r="C3911" s="4" t="s">
        <v>5698</v>
      </c>
      <c r="D3911" s="4">
        <v>29131</v>
      </c>
      <c r="E3911" s="4">
        <v>20210401</v>
      </c>
      <c r="F3911" s="4">
        <v>20210401</v>
      </c>
      <c r="G3911" s="4">
        <v>20240401</v>
      </c>
      <c r="H3911" s="4" t="s">
        <v>420</v>
      </c>
      <c r="I3911" s="4" t="s">
        <v>5697</v>
      </c>
      <c r="J3911" s="4" t="s">
        <v>4077</v>
      </c>
    </row>
    <row r="3912" spans="1:10" hidden="1">
      <c r="A3912" s="4">
        <v>2.0210471310000198E+17</v>
      </c>
      <c r="B3912" s="4">
        <v>8762001030</v>
      </c>
      <c r="C3912" s="4" t="s">
        <v>5696</v>
      </c>
      <c r="D3912" s="4">
        <v>71310</v>
      </c>
      <c r="E3912" s="4">
        <v>20210401</v>
      </c>
      <c r="F3912" s="4">
        <v>20210401</v>
      </c>
      <c r="G3912" s="4">
        <v>20240401</v>
      </c>
      <c r="H3912" s="4" t="s">
        <v>5695</v>
      </c>
      <c r="I3912" s="4" t="s">
        <v>5694</v>
      </c>
      <c r="J3912" s="4" t="s">
        <v>426</v>
      </c>
    </row>
    <row r="3913" spans="1:10" hidden="1">
      <c r="A3913" s="4">
        <v>2.0210425912000198E+17</v>
      </c>
      <c r="B3913" s="4">
        <v>8968702055</v>
      </c>
      <c r="C3913" s="4" t="s">
        <v>5693</v>
      </c>
      <c r="D3913" s="4">
        <v>25912</v>
      </c>
      <c r="E3913" s="4">
        <v>20210401</v>
      </c>
      <c r="F3913" s="4">
        <v>20210401</v>
      </c>
      <c r="G3913" s="4">
        <v>20240401</v>
      </c>
      <c r="H3913" s="4" t="s">
        <v>5692</v>
      </c>
      <c r="I3913" s="4" t="s">
        <v>5691</v>
      </c>
      <c r="J3913" s="4" t="s">
        <v>5690</v>
      </c>
    </row>
    <row r="3914" spans="1:10" hidden="1">
      <c r="A3914" s="4">
        <v>2.0210426519000198E+17</v>
      </c>
      <c r="B3914" s="4">
        <v>2678800085</v>
      </c>
      <c r="C3914" s="4" t="s">
        <v>5689</v>
      </c>
      <c r="D3914" s="4">
        <v>26519</v>
      </c>
      <c r="E3914" s="4">
        <v>20210401</v>
      </c>
      <c r="F3914" s="4">
        <v>20210401</v>
      </c>
      <c r="G3914" s="4">
        <v>20220429</v>
      </c>
      <c r="H3914" s="4" t="s">
        <v>5688</v>
      </c>
      <c r="I3914" s="4" t="s">
        <v>5687</v>
      </c>
      <c r="J3914" s="4" t="s">
        <v>668</v>
      </c>
    </row>
    <row r="3915" spans="1:10" hidden="1">
      <c r="A3915" s="4">
        <v>2.0210442311000198E+17</v>
      </c>
      <c r="B3915" s="4">
        <v>3998601505</v>
      </c>
      <c r="C3915" s="4" t="s">
        <v>5686</v>
      </c>
      <c r="D3915" s="4">
        <v>42311</v>
      </c>
      <c r="E3915" s="4">
        <v>20210401</v>
      </c>
      <c r="F3915" s="4">
        <v>20210401</v>
      </c>
      <c r="G3915" s="4">
        <v>20240401</v>
      </c>
      <c r="H3915" s="4" t="s">
        <v>5685</v>
      </c>
      <c r="J3915" s="4" t="s">
        <v>718</v>
      </c>
    </row>
    <row r="3916" spans="1:10" hidden="1">
      <c r="A3916" s="4">
        <v>2.0210416229000198E+17</v>
      </c>
      <c r="B3916" s="4">
        <v>4018800803</v>
      </c>
      <c r="C3916" s="4" t="s">
        <v>5684</v>
      </c>
      <c r="D3916" s="4">
        <v>16229</v>
      </c>
      <c r="E3916" s="4">
        <v>20210401</v>
      </c>
      <c r="F3916" s="4">
        <v>20210401</v>
      </c>
      <c r="G3916" s="4">
        <v>20240401</v>
      </c>
      <c r="H3916" s="4" t="s">
        <v>5683</v>
      </c>
      <c r="J3916" s="4" t="s">
        <v>1451</v>
      </c>
    </row>
    <row r="3917" spans="1:10" hidden="1">
      <c r="A3917" s="4">
        <v>2.0210426299000198E+17</v>
      </c>
      <c r="B3917" s="4">
        <v>7238701404</v>
      </c>
      <c r="C3917" s="4" t="s">
        <v>5682</v>
      </c>
      <c r="D3917" s="4">
        <v>26299</v>
      </c>
      <c r="E3917" s="4">
        <v>20210401</v>
      </c>
      <c r="F3917" s="4">
        <v>20210401</v>
      </c>
      <c r="G3917" s="4">
        <v>20240401</v>
      </c>
      <c r="H3917" s="4" t="s">
        <v>3605</v>
      </c>
      <c r="I3917" s="4" t="s">
        <v>5681</v>
      </c>
      <c r="J3917" s="4" t="s">
        <v>339</v>
      </c>
    </row>
    <row r="3918" spans="1:10" hidden="1">
      <c r="A3918" s="4">
        <v>2.0210432029000198E+17</v>
      </c>
      <c r="B3918" s="4">
        <v>3288100381</v>
      </c>
      <c r="C3918" s="4" t="s">
        <v>5680</v>
      </c>
      <c r="D3918" s="4">
        <v>32029</v>
      </c>
      <c r="E3918" s="4">
        <v>20210401</v>
      </c>
      <c r="F3918" s="4">
        <v>20210401</v>
      </c>
      <c r="G3918" s="4">
        <v>20230503</v>
      </c>
      <c r="H3918" s="4" t="s">
        <v>5679</v>
      </c>
      <c r="I3918" s="4" t="s">
        <v>5678</v>
      </c>
      <c r="J3918" s="4" t="s">
        <v>637</v>
      </c>
    </row>
    <row r="3919" spans="1:10" hidden="1">
      <c r="A3919" s="4">
        <v>2.0210420411000198E+17</v>
      </c>
      <c r="B3919" s="4">
        <v>8738800954</v>
      </c>
      <c r="C3919" s="4" t="s">
        <v>5677</v>
      </c>
      <c r="D3919" s="4">
        <v>20411</v>
      </c>
      <c r="E3919" s="4">
        <v>20210401</v>
      </c>
      <c r="F3919" s="4">
        <v>20210401</v>
      </c>
      <c r="G3919" s="4">
        <v>20240401</v>
      </c>
      <c r="H3919" s="4" t="s">
        <v>542</v>
      </c>
      <c r="I3919" s="4" t="s">
        <v>5676</v>
      </c>
      <c r="J3919" s="4" t="s">
        <v>694</v>
      </c>
    </row>
    <row r="3920" spans="1:10" hidden="1">
      <c r="A3920" s="4">
        <v>2.0210442311000198E+17</v>
      </c>
      <c r="B3920" s="4">
        <v>7358801364</v>
      </c>
      <c r="C3920" s="4" t="s">
        <v>5675</v>
      </c>
      <c r="D3920" s="4">
        <v>42311</v>
      </c>
      <c r="E3920" s="4">
        <v>20210401</v>
      </c>
      <c r="F3920" s="4">
        <v>20210401</v>
      </c>
      <c r="G3920" s="4">
        <v>20240401</v>
      </c>
      <c r="H3920" s="4" t="s">
        <v>5674</v>
      </c>
      <c r="I3920" s="4" t="s">
        <v>175</v>
      </c>
      <c r="J3920" s="4" t="s">
        <v>718</v>
      </c>
    </row>
    <row r="3921" spans="1:10" hidden="1">
      <c r="A3921" s="4">
        <v>2.0210425923000198E+17</v>
      </c>
      <c r="B3921" s="4">
        <v>4748101039</v>
      </c>
      <c r="C3921" s="4" t="s">
        <v>3179</v>
      </c>
      <c r="D3921" s="4">
        <v>25923</v>
      </c>
      <c r="E3921" s="4">
        <v>20210401</v>
      </c>
      <c r="F3921" s="4">
        <v>20210401</v>
      </c>
      <c r="G3921" s="4">
        <v>20240401</v>
      </c>
      <c r="H3921" s="4" t="s">
        <v>5673</v>
      </c>
      <c r="J3921" s="4" t="s">
        <v>204</v>
      </c>
    </row>
    <row r="3922" spans="1:10" hidden="1">
      <c r="A3922" s="4">
        <v>2.0210433910000198E+17</v>
      </c>
      <c r="B3922" s="4">
        <v>6868600958</v>
      </c>
      <c r="C3922" s="4" t="s">
        <v>5672</v>
      </c>
      <c r="D3922" s="4">
        <v>33910</v>
      </c>
      <c r="E3922" s="4">
        <v>20210401</v>
      </c>
      <c r="F3922" s="4">
        <v>20210401</v>
      </c>
      <c r="G3922" s="4">
        <v>20240401</v>
      </c>
      <c r="H3922" s="4" t="s">
        <v>1752</v>
      </c>
      <c r="I3922" s="4" t="s">
        <v>5671</v>
      </c>
      <c r="J3922" s="4" t="s">
        <v>310</v>
      </c>
    </row>
    <row r="3923" spans="1:10" hidden="1">
      <c r="A3923" s="4">
        <v>2.0210446522000198E+17</v>
      </c>
      <c r="B3923" s="4">
        <v>6758801228</v>
      </c>
      <c r="C3923" s="4" t="s">
        <v>5670</v>
      </c>
      <c r="D3923" s="4">
        <v>46522</v>
      </c>
      <c r="E3923" s="4">
        <v>20210401</v>
      </c>
      <c r="F3923" s="4">
        <v>20210401</v>
      </c>
      <c r="G3923" s="4">
        <v>20240401</v>
      </c>
      <c r="H3923" s="4" t="s">
        <v>5669</v>
      </c>
      <c r="J3923" s="4" t="s">
        <v>3922</v>
      </c>
    </row>
    <row r="3924" spans="1:10" hidden="1">
      <c r="A3924" s="4">
        <v>2.0210413999000198E+17</v>
      </c>
      <c r="B3924" s="4">
        <v>2618127660</v>
      </c>
      <c r="C3924" s="4" t="s">
        <v>5668</v>
      </c>
      <c r="D3924" s="4">
        <v>13999</v>
      </c>
      <c r="E3924" s="4">
        <v>20210401</v>
      </c>
      <c r="F3924" s="4">
        <v>20210401</v>
      </c>
      <c r="G3924" s="4">
        <v>20240401</v>
      </c>
      <c r="H3924" s="4" t="s">
        <v>5667</v>
      </c>
      <c r="I3924" s="4" t="s">
        <v>5666</v>
      </c>
      <c r="J3924" s="4" t="s">
        <v>130</v>
      </c>
    </row>
    <row r="3925" spans="1:10" hidden="1">
      <c r="A3925" s="4">
        <v>2.0210426329000198E+17</v>
      </c>
      <c r="B3925" s="4">
        <v>2038702253</v>
      </c>
      <c r="C3925" s="4" t="s">
        <v>5665</v>
      </c>
      <c r="D3925" s="4">
        <v>26329</v>
      </c>
      <c r="E3925" s="4">
        <v>20210401</v>
      </c>
      <c r="F3925" s="4">
        <v>20210401</v>
      </c>
      <c r="G3925" s="4">
        <v>20240401</v>
      </c>
      <c r="H3925" s="4" t="s">
        <v>4616</v>
      </c>
      <c r="I3925" s="4" t="s">
        <v>5664</v>
      </c>
      <c r="J3925" s="4" t="s">
        <v>565</v>
      </c>
    </row>
    <row r="3926" spans="1:10" hidden="1">
      <c r="A3926" s="4">
        <v>2.0210422221000198E+17</v>
      </c>
      <c r="B3926" s="4">
        <v>4028615493</v>
      </c>
      <c r="C3926" s="4" t="s">
        <v>5663</v>
      </c>
      <c r="D3926" s="4">
        <v>22221</v>
      </c>
      <c r="E3926" s="4">
        <v>20210401</v>
      </c>
      <c r="F3926" s="4">
        <v>20210401</v>
      </c>
      <c r="G3926" s="4">
        <v>20240401</v>
      </c>
      <c r="H3926" s="4" t="s">
        <v>5662</v>
      </c>
      <c r="J3926" s="4" t="s">
        <v>5661</v>
      </c>
    </row>
    <row r="3927" spans="1:10" hidden="1">
      <c r="A3927" s="4">
        <v>2.0210463991000198E+17</v>
      </c>
      <c r="B3927" s="4">
        <v>5848101340</v>
      </c>
      <c r="C3927" s="4" t="s">
        <v>5660</v>
      </c>
      <c r="D3927" s="4">
        <v>63991</v>
      </c>
      <c r="E3927" s="4">
        <v>20210401</v>
      </c>
      <c r="F3927" s="4">
        <v>20210401</v>
      </c>
      <c r="G3927" s="4">
        <v>20240401</v>
      </c>
      <c r="H3927" s="4" t="s">
        <v>5659</v>
      </c>
      <c r="I3927" s="4" t="s">
        <v>1599</v>
      </c>
      <c r="J3927" s="4" t="s">
        <v>395</v>
      </c>
    </row>
    <row r="3928" spans="1:10" hidden="1">
      <c r="A3928" s="4">
        <v>2.0210441121000198E+17</v>
      </c>
      <c r="B3928" s="4">
        <v>5488100665</v>
      </c>
      <c r="C3928" s="4" t="s">
        <v>5658</v>
      </c>
      <c r="D3928" s="4">
        <v>41121</v>
      </c>
      <c r="E3928" s="4">
        <v>20210401</v>
      </c>
      <c r="F3928" s="4">
        <v>20210401</v>
      </c>
      <c r="G3928" s="4">
        <v>20230808</v>
      </c>
      <c r="H3928" s="4" t="s">
        <v>5657</v>
      </c>
      <c r="I3928" s="4" t="s">
        <v>5656</v>
      </c>
      <c r="J3928" s="4" t="s">
        <v>2302</v>
      </c>
    </row>
    <row r="3929" spans="1:10" hidden="1">
      <c r="A3929" s="4">
        <v>2.0210475992000198E+17</v>
      </c>
      <c r="B3929" s="4">
        <v>3568801818</v>
      </c>
      <c r="C3929" s="4" t="s">
        <v>5655</v>
      </c>
      <c r="D3929" s="4">
        <v>75992</v>
      </c>
      <c r="E3929" s="4">
        <v>20210401</v>
      </c>
      <c r="F3929" s="4">
        <v>20210401</v>
      </c>
      <c r="G3929" s="4">
        <v>20240401</v>
      </c>
      <c r="H3929" s="4" t="s">
        <v>5654</v>
      </c>
      <c r="I3929" s="4" t="s">
        <v>5653</v>
      </c>
      <c r="J3929" s="4" t="s">
        <v>111</v>
      </c>
    </row>
    <row r="3930" spans="1:10" hidden="1">
      <c r="A3930" s="4">
        <v>2.0210446739000198E+17</v>
      </c>
      <c r="B3930" s="4">
        <v>5018701425</v>
      </c>
      <c r="C3930" s="4" t="s">
        <v>5652</v>
      </c>
      <c r="D3930" s="4">
        <v>46739</v>
      </c>
      <c r="E3930" s="4">
        <v>20210401</v>
      </c>
      <c r="F3930" s="4">
        <v>20210401</v>
      </c>
      <c r="G3930" s="4">
        <v>20240401</v>
      </c>
      <c r="H3930" s="4" t="s">
        <v>5651</v>
      </c>
      <c r="I3930" s="4" t="s">
        <v>5650</v>
      </c>
      <c r="J3930" s="4" t="s">
        <v>2551</v>
      </c>
    </row>
    <row r="3931" spans="1:10" hidden="1">
      <c r="A3931" s="4">
        <v>2.0210426421000198E+17</v>
      </c>
      <c r="B3931" s="4">
        <v>7788700161</v>
      </c>
      <c r="C3931" s="4" t="s">
        <v>5649</v>
      </c>
      <c r="D3931" s="4">
        <v>26421</v>
      </c>
      <c r="E3931" s="4">
        <v>20210401</v>
      </c>
      <c r="F3931" s="4">
        <v>20210401</v>
      </c>
      <c r="G3931" s="4">
        <v>20221005</v>
      </c>
      <c r="H3931" s="4" t="s">
        <v>4584</v>
      </c>
      <c r="I3931" s="4" t="s">
        <v>5648</v>
      </c>
      <c r="J3931" s="4" t="s">
        <v>1767</v>
      </c>
    </row>
    <row r="3932" spans="1:10" hidden="1">
      <c r="A3932" s="4">
        <v>2.0210416221000198E+17</v>
      </c>
      <c r="B3932" s="4">
        <v>7838601689</v>
      </c>
      <c r="C3932" s="4" t="s">
        <v>5647</v>
      </c>
      <c r="D3932" s="4">
        <v>16221</v>
      </c>
      <c r="E3932" s="4">
        <v>20210401</v>
      </c>
      <c r="F3932" s="4">
        <v>20210401</v>
      </c>
      <c r="G3932" s="4">
        <v>20240401</v>
      </c>
      <c r="H3932" s="4" t="s">
        <v>5646</v>
      </c>
      <c r="J3932" s="4" t="s">
        <v>5645</v>
      </c>
    </row>
    <row r="3933" spans="1:10" hidden="1">
      <c r="A3933" s="4">
        <v>2.0210421300000198E+17</v>
      </c>
      <c r="B3933" s="4">
        <v>4018701620</v>
      </c>
      <c r="C3933" s="4" t="s">
        <v>5644</v>
      </c>
      <c r="D3933" s="4">
        <v>21300</v>
      </c>
      <c r="E3933" s="4">
        <v>20210401</v>
      </c>
      <c r="F3933" s="4">
        <v>20210401</v>
      </c>
      <c r="G3933" s="4">
        <v>20240401</v>
      </c>
      <c r="H3933" s="4" t="s">
        <v>5643</v>
      </c>
      <c r="I3933" s="4" t="s">
        <v>2340</v>
      </c>
      <c r="J3933" s="4" t="s">
        <v>530</v>
      </c>
    </row>
    <row r="3934" spans="1:10" hidden="1">
      <c r="A3934" s="4">
        <v>2.0210417901000198E+17</v>
      </c>
      <c r="B3934" s="4">
        <v>7828102133</v>
      </c>
      <c r="C3934" s="4" t="s">
        <v>5642</v>
      </c>
      <c r="D3934" s="4">
        <v>17901</v>
      </c>
      <c r="E3934" s="4">
        <v>20210401</v>
      </c>
      <c r="F3934" s="4">
        <v>20210401</v>
      </c>
      <c r="G3934" s="4">
        <v>20240401</v>
      </c>
      <c r="H3934" s="4" t="s">
        <v>4995</v>
      </c>
      <c r="I3934" s="4" t="s">
        <v>1502</v>
      </c>
      <c r="J3934" s="4" t="s">
        <v>5641</v>
      </c>
    </row>
    <row r="3935" spans="1:10" hidden="1">
      <c r="A3935" s="4">
        <v>2.0210362090000198E+17</v>
      </c>
      <c r="B3935" s="4">
        <v>1318671161</v>
      </c>
      <c r="C3935" s="4" t="s">
        <v>5640</v>
      </c>
      <c r="D3935" s="4">
        <v>62090</v>
      </c>
      <c r="E3935" s="4">
        <v>20210331</v>
      </c>
      <c r="F3935" s="4">
        <v>20210331</v>
      </c>
      <c r="G3935" s="4">
        <v>20231129</v>
      </c>
      <c r="H3935" s="4" t="s">
        <v>5639</v>
      </c>
      <c r="I3935" s="4" t="s">
        <v>496</v>
      </c>
      <c r="J3935" s="4" t="s">
        <v>2030</v>
      </c>
    </row>
    <row r="3936" spans="1:10" hidden="1">
      <c r="A3936" s="4">
        <v>2.0210346592000198E+17</v>
      </c>
      <c r="B3936" s="4">
        <v>8858100720</v>
      </c>
      <c r="C3936" s="4" t="s">
        <v>5638</v>
      </c>
      <c r="D3936" s="4">
        <v>46592</v>
      </c>
      <c r="E3936" s="4">
        <v>20210331</v>
      </c>
      <c r="F3936" s="4">
        <v>20210331</v>
      </c>
      <c r="G3936" s="4">
        <v>20231123</v>
      </c>
      <c r="H3936" s="4" t="s">
        <v>5637</v>
      </c>
      <c r="I3936" s="4" t="s">
        <v>134</v>
      </c>
      <c r="J3936" s="4" t="s">
        <v>148</v>
      </c>
    </row>
    <row r="3937" spans="1:10" hidden="1">
      <c r="A3937" s="4">
        <v>2.0210325112000198E+17</v>
      </c>
      <c r="B3937" s="4">
        <v>7538700901</v>
      </c>
      <c r="C3937" s="4" t="s">
        <v>5636</v>
      </c>
      <c r="D3937" s="4">
        <v>25112</v>
      </c>
      <c r="E3937" s="4">
        <v>20210331</v>
      </c>
      <c r="F3937" s="4">
        <v>20210331</v>
      </c>
      <c r="G3937" s="4">
        <v>20240331</v>
      </c>
      <c r="H3937" s="4" t="s">
        <v>5635</v>
      </c>
      <c r="J3937" s="4" t="s">
        <v>320</v>
      </c>
    </row>
    <row r="3938" spans="1:10" hidden="1">
      <c r="A3938" s="4">
        <v>2.0210316300000198E+17</v>
      </c>
      <c r="B3938" s="4">
        <v>8688801529</v>
      </c>
      <c r="C3938" s="4" t="s">
        <v>5633</v>
      </c>
      <c r="D3938" s="4">
        <v>16300</v>
      </c>
      <c r="E3938" s="4">
        <v>20210331</v>
      </c>
      <c r="F3938" s="4">
        <v>20210331</v>
      </c>
      <c r="G3938" s="4">
        <v>20240331</v>
      </c>
      <c r="H3938" s="4" t="s">
        <v>5634</v>
      </c>
      <c r="I3938" s="4" t="s">
        <v>5633</v>
      </c>
      <c r="J3938" s="4" t="s">
        <v>4865</v>
      </c>
    </row>
    <row r="3939" spans="1:10" hidden="1">
      <c r="A3939" s="4">
        <v>2.0210328123000198E+17</v>
      </c>
      <c r="B3939" s="4">
        <v>6158700370</v>
      </c>
      <c r="C3939" s="4" t="s">
        <v>5632</v>
      </c>
      <c r="D3939" s="4">
        <v>28123</v>
      </c>
      <c r="E3939" s="4">
        <v>20210331</v>
      </c>
      <c r="F3939" s="4">
        <v>20210331</v>
      </c>
      <c r="G3939" s="4">
        <v>20230106</v>
      </c>
      <c r="H3939" s="4" t="s">
        <v>5631</v>
      </c>
      <c r="J3939" s="4" t="s">
        <v>640</v>
      </c>
    </row>
    <row r="3940" spans="1:10" hidden="1">
      <c r="A3940" s="4">
        <v>2.0210316102000198E+17</v>
      </c>
      <c r="B3940" s="4">
        <v>7128801100</v>
      </c>
      <c r="C3940" s="4" t="s">
        <v>5630</v>
      </c>
      <c r="D3940" s="4">
        <v>16102</v>
      </c>
      <c r="E3940" s="4">
        <v>20210331</v>
      </c>
      <c r="F3940" s="4">
        <v>20210331</v>
      </c>
      <c r="G3940" s="4">
        <v>20240331</v>
      </c>
      <c r="H3940" s="4" t="s">
        <v>5629</v>
      </c>
      <c r="J3940" s="4" t="s">
        <v>451</v>
      </c>
    </row>
    <row r="3941" spans="1:10" hidden="1">
      <c r="A3941" s="4">
        <v>2.0210314192000198E+17</v>
      </c>
      <c r="B3941" s="4">
        <v>4551600614</v>
      </c>
      <c r="C3941" s="4" t="s">
        <v>5628</v>
      </c>
      <c r="D3941" s="4">
        <v>14192</v>
      </c>
      <c r="E3941" s="4">
        <v>20210331</v>
      </c>
      <c r="F3941" s="4">
        <v>20210331</v>
      </c>
      <c r="G3941" s="4">
        <v>20240331</v>
      </c>
      <c r="H3941" s="4" t="s">
        <v>5627</v>
      </c>
      <c r="I3941" s="4" t="s">
        <v>5626</v>
      </c>
      <c r="J3941" s="4" t="s">
        <v>4910</v>
      </c>
    </row>
    <row r="3942" spans="1:10" hidden="1">
      <c r="A3942" s="4">
        <v>2.0210326295000198E+17</v>
      </c>
      <c r="B3942" s="4">
        <v>1930801520</v>
      </c>
      <c r="C3942" s="4" t="s">
        <v>5625</v>
      </c>
      <c r="D3942" s="4">
        <v>26295</v>
      </c>
      <c r="E3942" s="4">
        <v>20210331</v>
      </c>
      <c r="F3942" s="4">
        <v>20210331</v>
      </c>
      <c r="G3942" s="4">
        <v>20240331</v>
      </c>
      <c r="H3942" s="4" t="s">
        <v>531</v>
      </c>
      <c r="I3942" s="4" t="s">
        <v>5624</v>
      </c>
      <c r="J3942" s="4" t="s">
        <v>174</v>
      </c>
    </row>
    <row r="3943" spans="1:10" hidden="1">
      <c r="A3943" s="4">
        <v>2.0210358212000198E+17</v>
      </c>
      <c r="B3943" s="4">
        <v>1928200246</v>
      </c>
      <c r="C3943" s="4" t="s">
        <v>5623</v>
      </c>
      <c r="D3943" s="4">
        <v>58212</v>
      </c>
      <c r="E3943" s="4">
        <v>20210331</v>
      </c>
      <c r="F3943" s="4">
        <v>20210331</v>
      </c>
      <c r="G3943" s="4">
        <v>20240331</v>
      </c>
      <c r="H3943" s="4" t="s">
        <v>5622</v>
      </c>
      <c r="I3943" s="4" t="s">
        <v>5621</v>
      </c>
      <c r="J3943" s="4" t="s">
        <v>1076</v>
      </c>
    </row>
    <row r="3944" spans="1:10" hidden="1">
      <c r="A3944" s="4">
        <v>2.0210310211000198E+17</v>
      </c>
      <c r="B3944" s="4">
        <v>5478600105</v>
      </c>
      <c r="C3944" s="4" t="s">
        <v>5620</v>
      </c>
      <c r="D3944" s="4">
        <v>10211</v>
      </c>
      <c r="E3944" s="4">
        <v>20210331</v>
      </c>
      <c r="F3944" s="4">
        <v>20210331</v>
      </c>
      <c r="G3944" s="4">
        <v>20220605</v>
      </c>
      <c r="H3944" s="4" t="s">
        <v>5619</v>
      </c>
      <c r="I3944" s="4" t="s">
        <v>5618</v>
      </c>
      <c r="J3944" s="4" t="s">
        <v>5617</v>
      </c>
    </row>
    <row r="3945" spans="1:10" hidden="1">
      <c r="A3945" s="4">
        <v>2.0210342311000198E+17</v>
      </c>
      <c r="B3945" s="4">
        <v>6808800027</v>
      </c>
      <c r="C3945" s="4" t="s">
        <v>5615</v>
      </c>
      <c r="D3945" s="4">
        <v>42311</v>
      </c>
      <c r="E3945" s="4">
        <v>20210331</v>
      </c>
      <c r="F3945" s="4">
        <v>20210331</v>
      </c>
      <c r="G3945" s="4">
        <v>20220305</v>
      </c>
      <c r="H3945" s="4" t="s">
        <v>5616</v>
      </c>
      <c r="I3945" s="4" t="s">
        <v>5615</v>
      </c>
      <c r="J3945" s="4" t="s">
        <v>718</v>
      </c>
    </row>
    <row r="3946" spans="1:10" hidden="1">
      <c r="A3946" s="4">
        <v>2.0210314192000198E+17</v>
      </c>
      <c r="B3946" s="4">
        <v>8738601833</v>
      </c>
      <c r="C3946" s="4" t="s">
        <v>5614</v>
      </c>
      <c r="D3946" s="4">
        <v>14192</v>
      </c>
      <c r="E3946" s="4">
        <v>20210331</v>
      </c>
      <c r="F3946" s="4">
        <v>20210331</v>
      </c>
      <c r="G3946" s="4">
        <v>20240331</v>
      </c>
      <c r="H3946" s="4" t="s">
        <v>5613</v>
      </c>
      <c r="J3946" s="4" t="s">
        <v>4910</v>
      </c>
    </row>
    <row r="3947" spans="1:10" hidden="1">
      <c r="A3947" s="4">
        <v>2.0210329180000198E+17</v>
      </c>
      <c r="B3947" s="4">
        <v>2941701107</v>
      </c>
      <c r="C3947" s="4" t="s">
        <v>5612</v>
      </c>
      <c r="D3947" s="4">
        <v>29180</v>
      </c>
      <c r="E3947" s="4">
        <v>20210331</v>
      </c>
      <c r="F3947" s="4">
        <v>20210331</v>
      </c>
      <c r="G3947" s="4">
        <v>20240331</v>
      </c>
      <c r="H3947" s="4" t="s">
        <v>5611</v>
      </c>
      <c r="J3947" s="4" t="s">
        <v>609</v>
      </c>
    </row>
    <row r="3948" spans="1:10" hidden="1">
      <c r="A3948" s="4">
        <v>2.0210329280000198E+17</v>
      </c>
      <c r="B3948" s="4">
        <v>1518601640</v>
      </c>
      <c r="C3948" s="4" t="s">
        <v>5610</v>
      </c>
      <c r="D3948" s="4">
        <v>29280</v>
      </c>
      <c r="E3948" s="4">
        <v>20210331</v>
      </c>
      <c r="F3948" s="4">
        <v>20210331</v>
      </c>
      <c r="G3948" s="4">
        <v>20240331</v>
      </c>
      <c r="H3948" s="4" t="s">
        <v>5609</v>
      </c>
      <c r="I3948" s="4" t="s">
        <v>5608</v>
      </c>
      <c r="J3948" s="4" t="s">
        <v>533</v>
      </c>
    </row>
    <row r="3949" spans="1:10" hidden="1">
      <c r="A3949" s="4">
        <v>2.0210346599000198E+17</v>
      </c>
      <c r="B3949" s="4">
        <v>6535300488</v>
      </c>
      <c r="C3949" s="4" t="s">
        <v>5607</v>
      </c>
      <c r="D3949" s="4">
        <v>46599</v>
      </c>
      <c r="E3949" s="4">
        <v>20210331</v>
      </c>
      <c r="F3949" s="4">
        <v>20210331</v>
      </c>
      <c r="G3949" s="4">
        <v>20240331</v>
      </c>
      <c r="H3949" s="4" t="s">
        <v>5606</v>
      </c>
      <c r="J3949" s="4" t="s">
        <v>2310</v>
      </c>
    </row>
    <row r="3950" spans="1:10" hidden="1">
      <c r="A3950" s="4">
        <v>2.0210326429000198E+17</v>
      </c>
      <c r="B3950" s="4">
        <v>4214400007</v>
      </c>
      <c r="C3950" s="4" t="s">
        <v>5605</v>
      </c>
      <c r="D3950" s="4">
        <v>26429</v>
      </c>
      <c r="E3950" s="4">
        <v>20210331</v>
      </c>
      <c r="F3950" s="4">
        <v>20210331</v>
      </c>
      <c r="G3950" s="4">
        <v>20220209</v>
      </c>
      <c r="H3950" s="4" t="s">
        <v>5604</v>
      </c>
      <c r="I3950" s="4" t="s">
        <v>5603</v>
      </c>
      <c r="J3950" s="4" t="s">
        <v>422</v>
      </c>
    </row>
    <row r="3951" spans="1:10" hidden="1">
      <c r="A3951" s="4">
        <v>2.0210313229000198E+17</v>
      </c>
      <c r="B3951" s="4">
        <v>8488801961</v>
      </c>
      <c r="C3951" s="4" t="s">
        <v>5602</v>
      </c>
      <c r="D3951" s="4">
        <v>13229</v>
      </c>
      <c r="E3951" s="4">
        <v>20210331</v>
      </c>
      <c r="F3951" s="4">
        <v>20210331</v>
      </c>
      <c r="G3951" s="4">
        <v>20240331</v>
      </c>
      <c r="H3951" s="4" t="s">
        <v>5601</v>
      </c>
      <c r="I3951" s="4" t="s">
        <v>5600</v>
      </c>
      <c r="J3951" s="4" t="s">
        <v>115</v>
      </c>
    </row>
    <row r="3952" spans="1:10" hidden="1">
      <c r="A3952" s="4">
        <v>2.0210346595000198E+17</v>
      </c>
      <c r="B3952" s="4">
        <v>4498100922</v>
      </c>
      <c r="C3952" s="4" t="s">
        <v>5599</v>
      </c>
      <c r="D3952" s="4">
        <v>46595</v>
      </c>
      <c r="E3952" s="4">
        <v>20210331</v>
      </c>
      <c r="F3952" s="4">
        <v>20210331</v>
      </c>
      <c r="G3952" s="4">
        <v>20240331</v>
      </c>
      <c r="H3952" s="4" t="s">
        <v>5598</v>
      </c>
      <c r="I3952" s="4" t="s">
        <v>149</v>
      </c>
      <c r="J3952" s="4" t="s">
        <v>960</v>
      </c>
    </row>
    <row r="3953" spans="1:10" hidden="1">
      <c r="A3953" s="4">
        <v>2.0210310742000198E+17</v>
      </c>
      <c r="B3953" s="4">
        <v>3038701743</v>
      </c>
      <c r="C3953" s="4" t="s">
        <v>5597</v>
      </c>
      <c r="D3953" s="4">
        <v>10742</v>
      </c>
      <c r="E3953" s="4">
        <v>20210331</v>
      </c>
      <c r="F3953" s="4">
        <v>20210331</v>
      </c>
      <c r="G3953" s="4">
        <v>20240331</v>
      </c>
      <c r="H3953" s="4" t="s">
        <v>5596</v>
      </c>
      <c r="I3953" s="4" t="s">
        <v>1455</v>
      </c>
      <c r="J3953" s="4" t="s">
        <v>2876</v>
      </c>
    </row>
    <row r="3954" spans="1:10" hidden="1">
      <c r="A3954" s="4">
        <v>2.0210326410000198E+17</v>
      </c>
      <c r="B3954" s="4">
        <v>4668800630</v>
      </c>
      <c r="C3954" s="4" t="s">
        <v>5595</v>
      </c>
      <c r="D3954" s="4">
        <v>26410</v>
      </c>
      <c r="E3954" s="4">
        <v>20210331</v>
      </c>
      <c r="F3954" s="4">
        <v>20210331</v>
      </c>
      <c r="G3954" s="4">
        <v>20240331</v>
      </c>
      <c r="H3954" s="4" t="s">
        <v>2326</v>
      </c>
      <c r="I3954" s="4" t="s">
        <v>5594</v>
      </c>
      <c r="J3954" s="4" t="s">
        <v>1102</v>
      </c>
    </row>
    <row r="3955" spans="1:10" hidden="1">
      <c r="A3955" s="4">
        <v>2.0210370121000198E+17</v>
      </c>
      <c r="B3955" s="4">
        <v>1698700144</v>
      </c>
      <c r="C3955" s="4" t="s">
        <v>5593</v>
      </c>
      <c r="D3955" s="4">
        <v>70121</v>
      </c>
      <c r="E3955" s="4">
        <v>20210331</v>
      </c>
      <c r="F3955" s="4">
        <v>20210331</v>
      </c>
      <c r="G3955" s="4">
        <v>20220908</v>
      </c>
      <c r="H3955" s="4" t="s">
        <v>366</v>
      </c>
      <c r="I3955" s="4" t="s">
        <v>5592</v>
      </c>
      <c r="J3955" s="4" t="s">
        <v>1267</v>
      </c>
    </row>
    <row r="3956" spans="1:10" hidden="1">
      <c r="A3956" s="4">
        <v>2.0210326294000198E+17</v>
      </c>
      <c r="B3956" s="4">
        <v>2508801577</v>
      </c>
      <c r="C3956" s="4" t="s">
        <v>5591</v>
      </c>
      <c r="D3956" s="4">
        <v>26294</v>
      </c>
      <c r="E3956" s="4">
        <v>20210331</v>
      </c>
      <c r="F3956" s="4">
        <v>20210331</v>
      </c>
      <c r="G3956" s="4">
        <v>20240331</v>
      </c>
      <c r="H3956" s="4" t="s">
        <v>5590</v>
      </c>
      <c r="I3956" s="4" t="s">
        <v>1680</v>
      </c>
      <c r="J3956" s="4" t="s">
        <v>5589</v>
      </c>
    </row>
    <row r="3957" spans="1:10" hidden="1">
      <c r="A3957" s="4">
        <v>2.0210320423000198E+17</v>
      </c>
      <c r="B3957" s="4">
        <v>3098800093</v>
      </c>
      <c r="C3957" s="4" t="s">
        <v>5588</v>
      </c>
      <c r="D3957" s="4">
        <v>20423</v>
      </c>
      <c r="E3957" s="4">
        <v>20210331</v>
      </c>
      <c r="F3957" s="4">
        <v>20210331</v>
      </c>
      <c r="G3957" s="4">
        <v>20220504</v>
      </c>
      <c r="H3957" s="4" t="s">
        <v>5587</v>
      </c>
      <c r="J3957" s="4" t="s">
        <v>368</v>
      </c>
    </row>
    <row r="3958" spans="1:10" hidden="1">
      <c r="A3958" s="4">
        <v>2.0210330399000198E+17</v>
      </c>
      <c r="B3958" s="4">
        <v>5858801788</v>
      </c>
      <c r="C3958" s="4" t="s">
        <v>5586</v>
      </c>
      <c r="D3958" s="4">
        <v>30399</v>
      </c>
      <c r="E3958" s="4">
        <v>20210331</v>
      </c>
      <c r="F3958" s="4">
        <v>20210331</v>
      </c>
      <c r="G3958" s="4">
        <v>20240331</v>
      </c>
      <c r="H3958" s="4" t="s">
        <v>5585</v>
      </c>
      <c r="J3958" s="4" t="s">
        <v>1763</v>
      </c>
    </row>
    <row r="3959" spans="1:10" hidden="1">
      <c r="A3959" s="4">
        <v>2.0210358222000198E+17</v>
      </c>
      <c r="B3959" s="4">
        <v>3818800886</v>
      </c>
      <c r="C3959" s="4" t="s">
        <v>5584</v>
      </c>
      <c r="D3959" s="4">
        <v>58222</v>
      </c>
      <c r="E3959" s="4">
        <v>20210331</v>
      </c>
      <c r="F3959" s="4">
        <v>20210331</v>
      </c>
      <c r="G3959" s="4">
        <v>20240331</v>
      </c>
      <c r="H3959" s="4" t="s">
        <v>1074</v>
      </c>
      <c r="I3959" s="4" t="s">
        <v>5583</v>
      </c>
      <c r="J3959" s="4" t="s">
        <v>94</v>
      </c>
    </row>
    <row r="3960" spans="1:10" hidden="1">
      <c r="A3960" s="4">
        <v>2.0210325112000198E+17</v>
      </c>
      <c r="B3960" s="4">
        <v>4758100561</v>
      </c>
      <c r="C3960" s="4" t="s">
        <v>5582</v>
      </c>
      <c r="D3960" s="4">
        <v>25112</v>
      </c>
      <c r="E3960" s="4">
        <v>20210331</v>
      </c>
      <c r="F3960" s="4">
        <v>20210331</v>
      </c>
      <c r="G3960" s="4">
        <v>20231109</v>
      </c>
      <c r="H3960" s="4" t="s">
        <v>5581</v>
      </c>
      <c r="I3960" s="4" t="s">
        <v>947</v>
      </c>
      <c r="J3960" s="4" t="s">
        <v>320</v>
      </c>
    </row>
    <row r="3961" spans="1:10" hidden="1">
      <c r="A3961" s="4">
        <v>2.0210325999000198E+17</v>
      </c>
      <c r="B3961" s="4">
        <v>4308100554</v>
      </c>
      <c r="C3961" s="4" t="s">
        <v>5580</v>
      </c>
      <c r="D3961" s="4">
        <v>25999</v>
      </c>
      <c r="E3961" s="4">
        <v>20210331</v>
      </c>
      <c r="F3961" s="4">
        <v>20210331</v>
      </c>
      <c r="G3961" s="4">
        <v>20240331</v>
      </c>
      <c r="H3961" s="4" t="s">
        <v>5579</v>
      </c>
      <c r="J3961" s="4" t="s">
        <v>301</v>
      </c>
    </row>
    <row r="3962" spans="1:10" hidden="1">
      <c r="A3962" s="4">
        <v>2.0210374211000198E+17</v>
      </c>
      <c r="B3962" s="4">
        <v>3238200267</v>
      </c>
      <c r="C3962" s="4" t="s">
        <v>5578</v>
      </c>
      <c r="D3962" s="4">
        <v>74211</v>
      </c>
      <c r="E3962" s="4">
        <v>20210331</v>
      </c>
      <c r="F3962" s="4">
        <v>20210331</v>
      </c>
      <c r="G3962" s="4">
        <v>20240331</v>
      </c>
      <c r="H3962" s="4" t="s">
        <v>5577</v>
      </c>
      <c r="J3962" s="4" t="s">
        <v>5576</v>
      </c>
    </row>
    <row r="3963" spans="1:10" hidden="1">
      <c r="A3963" s="4">
        <v>2.0210324329000198E+17</v>
      </c>
      <c r="B3963" s="4">
        <v>4078131886</v>
      </c>
      <c r="C3963" s="4" t="s">
        <v>5575</v>
      </c>
      <c r="D3963" s="4">
        <v>24329</v>
      </c>
      <c r="E3963" s="4">
        <v>20210330</v>
      </c>
      <c r="F3963" s="4">
        <v>20210330</v>
      </c>
      <c r="G3963" s="4">
        <v>20240330</v>
      </c>
      <c r="H3963" s="4" t="s">
        <v>5574</v>
      </c>
      <c r="I3963" s="4" t="s">
        <v>5573</v>
      </c>
      <c r="J3963" s="4" t="s">
        <v>5572</v>
      </c>
    </row>
    <row r="3964" spans="1:10" hidden="1">
      <c r="A3964" s="4">
        <v>2.0210316300000198E+17</v>
      </c>
      <c r="B3964" s="4">
        <v>1328634456</v>
      </c>
      <c r="C3964" s="4" t="s">
        <v>5571</v>
      </c>
      <c r="D3964" s="4">
        <v>16300</v>
      </c>
      <c r="E3964" s="4">
        <v>20210330</v>
      </c>
      <c r="F3964" s="4">
        <v>20210330</v>
      </c>
      <c r="G3964" s="4">
        <v>20220202</v>
      </c>
      <c r="H3964" s="4" t="s">
        <v>5570</v>
      </c>
      <c r="J3964" s="4" t="s">
        <v>4865</v>
      </c>
    </row>
    <row r="3965" spans="1:10" hidden="1">
      <c r="A3965" s="4">
        <v>2.0210328429000198E+17</v>
      </c>
      <c r="B3965" s="4">
        <v>8618801299</v>
      </c>
      <c r="C3965" s="4" t="s">
        <v>5569</v>
      </c>
      <c r="D3965" s="4">
        <v>28429</v>
      </c>
      <c r="E3965" s="4">
        <v>20210330</v>
      </c>
      <c r="F3965" s="4">
        <v>20210330</v>
      </c>
      <c r="G3965" s="4">
        <v>20240330</v>
      </c>
      <c r="H3965" s="4" t="s">
        <v>5568</v>
      </c>
      <c r="I3965" s="4" t="s">
        <v>91</v>
      </c>
      <c r="J3965" s="4" t="s">
        <v>765</v>
      </c>
    </row>
    <row r="3966" spans="1:10" hidden="1">
      <c r="A3966" s="4">
        <v>2.0210346800000198E+17</v>
      </c>
      <c r="B3966" s="4">
        <v>2028801879</v>
      </c>
      <c r="C3966" s="4" t="s">
        <v>5567</v>
      </c>
      <c r="D3966" s="4">
        <v>46800</v>
      </c>
      <c r="E3966" s="4">
        <v>20210330</v>
      </c>
      <c r="F3966" s="4">
        <v>20210330</v>
      </c>
      <c r="G3966" s="4">
        <v>20240330</v>
      </c>
      <c r="H3966" s="4" t="s">
        <v>5566</v>
      </c>
      <c r="I3966" s="4" t="s">
        <v>5565</v>
      </c>
      <c r="J3966" s="4" t="s">
        <v>979</v>
      </c>
    </row>
    <row r="3967" spans="1:10" hidden="1">
      <c r="A3967" s="4">
        <v>2.0210346329000198E+17</v>
      </c>
      <c r="B3967" s="4">
        <v>7288701597</v>
      </c>
      <c r="C3967" s="4" t="s">
        <v>5564</v>
      </c>
      <c r="D3967" s="4">
        <v>46329</v>
      </c>
      <c r="E3967" s="4">
        <v>20210330</v>
      </c>
      <c r="F3967" s="4">
        <v>20210330</v>
      </c>
      <c r="G3967" s="4">
        <v>20240330</v>
      </c>
      <c r="H3967" s="4" t="s">
        <v>4170</v>
      </c>
      <c r="I3967" s="4" t="s">
        <v>5563</v>
      </c>
      <c r="J3967" s="4" t="s">
        <v>830</v>
      </c>
    </row>
    <row r="3968" spans="1:10" hidden="1">
      <c r="A3968" s="4">
        <v>2.0210375992000198E+17</v>
      </c>
      <c r="B3968" s="4">
        <v>8788801211</v>
      </c>
      <c r="C3968" s="4" t="s">
        <v>5562</v>
      </c>
      <c r="D3968" s="4">
        <v>75992</v>
      </c>
      <c r="E3968" s="4">
        <v>20210330</v>
      </c>
      <c r="F3968" s="4">
        <v>20210330</v>
      </c>
      <c r="G3968" s="4">
        <v>20240330</v>
      </c>
      <c r="H3968" s="4" t="s">
        <v>5561</v>
      </c>
      <c r="I3968" s="4" t="s">
        <v>3534</v>
      </c>
      <c r="J3968" s="4" t="s">
        <v>111</v>
      </c>
    </row>
    <row r="3969" spans="1:10" hidden="1">
      <c r="A3969" s="4">
        <v>2.0210316229000198E+17</v>
      </c>
      <c r="B3969" s="4">
        <v>6668601730</v>
      </c>
      <c r="C3969" s="4" t="s">
        <v>5560</v>
      </c>
      <c r="D3969" s="4">
        <v>16229</v>
      </c>
      <c r="E3969" s="4">
        <v>20210330</v>
      </c>
      <c r="F3969" s="4">
        <v>20210330</v>
      </c>
      <c r="G3969" s="4">
        <v>20240330</v>
      </c>
      <c r="H3969" s="4" t="s">
        <v>5559</v>
      </c>
      <c r="J3969" s="4" t="s">
        <v>1451</v>
      </c>
    </row>
    <row r="3970" spans="1:10" hidden="1">
      <c r="A3970" s="4">
        <v>2.0210313910000198E+17</v>
      </c>
      <c r="B3970" s="4">
        <v>8968102000</v>
      </c>
      <c r="C3970" s="4" t="s">
        <v>5558</v>
      </c>
      <c r="D3970" s="4">
        <v>13910</v>
      </c>
      <c r="E3970" s="4">
        <v>20210330</v>
      </c>
      <c r="F3970" s="4">
        <v>20210330</v>
      </c>
      <c r="G3970" s="4">
        <v>20240330</v>
      </c>
      <c r="H3970" s="4" t="s">
        <v>5557</v>
      </c>
      <c r="I3970" s="4" t="s">
        <v>3363</v>
      </c>
      <c r="J3970" s="4" t="s">
        <v>5539</v>
      </c>
    </row>
    <row r="3971" spans="1:10" hidden="1">
      <c r="A3971" s="4">
        <v>2.0210329193000198E+17</v>
      </c>
      <c r="B3971" s="4">
        <v>5440201366</v>
      </c>
      <c r="C3971" s="4" t="s">
        <v>5556</v>
      </c>
      <c r="D3971" s="4">
        <v>29193</v>
      </c>
      <c r="E3971" s="4">
        <v>20210330</v>
      </c>
      <c r="F3971" s="4">
        <v>20210330</v>
      </c>
      <c r="G3971" s="4">
        <v>20240330</v>
      </c>
      <c r="H3971" s="4" t="s">
        <v>4180</v>
      </c>
      <c r="I3971" s="4" t="s">
        <v>5555</v>
      </c>
      <c r="J3971" s="4" t="s">
        <v>721</v>
      </c>
    </row>
    <row r="3972" spans="1:10" hidden="1">
      <c r="A3972" s="4">
        <v>2.0210373203000198E+17</v>
      </c>
      <c r="B3972" s="4">
        <v>5546000307</v>
      </c>
      <c r="C3972" s="4" t="s">
        <v>5554</v>
      </c>
      <c r="D3972" s="4">
        <v>73203</v>
      </c>
      <c r="E3972" s="4">
        <v>20210330</v>
      </c>
      <c r="F3972" s="4">
        <v>20210330</v>
      </c>
      <c r="G3972" s="4">
        <v>20240330</v>
      </c>
      <c r="H3972" s="4" t="s">
        <v>5553</v>
      </c>
      <c r="I3972" s="4" t="s">
        <v>149</v>
      </c>
      <c r="J3972" s="4" t="s">
        <v>260</v>
      </c>
    </row>
    <row r="3973" spans="1:10" hidden="1">
      <c r="A3973" s="4">
        <v>2.0210326429000198E+17</v>
      </c>
      <c r="B3973" s="4">
        <v>2958700856</v>
      </c>
      <c r="C3973" s="4" t="s">
        <v>5552</v>
      </c>
      <c r="D3973" s="4">
        <v>26429</v>
      </c>
      <c r="E3973" s="4">
        <v>20210330</v>
      </c>
      <c r="F3973" s="4">
        <v>20210330</v>
      </c>
      <c r="G3973" s="4">
        <v>20240330</v>
      </c>
      <c r="H3973" s="4" t="s">
        <v>3137</v>
      </c>
      <c r="I3973" s="4" t="s">
        <v>5551</v>
      </c>
      <c r="J3973" s="4" t="s">
        <v>422</v>
      </c>
    </row>
    <row r="3974" spans="1:10" hidden="1">
      <c r="A3974" s="4">
        <v>2.0210325924000198E+17</v>
      </c>
      <c r="B3974" s="4">
        <v>1402600439</v>
      </c>
      <c r="C3974" s="4" t="s">
        <v>5550</v>
      </c>
      <c r="D3974" s="4">
        <v>25924</v>
      </c>
      <c r="E3974" s="4">
        <v>20210330</v>
      </c>
      <c r="F3974" s="4">
        <v>20210330</v>
      </c>
      <c r="G3974" s="4">
        <v>20240330</v>
      </c>
      <c r="H3974" s="4" t="s">
        <v>5549</v>
      </c>
      <c r="J3974" s="4" t="s">
        <v>757</v>
      </c>
    </row>
    <row r="3975" spans="1:10" hidden="1">
      <c r="A3975" s="4">
        <v>2.0210328903000198E+17</v>
      </c>
      <c r="B3975" s="4">
        <v>7101500528</v>
      </c>
      <c r="C3975" s="4" t="s">
        <v>5548</v>
      </c>
      <c r="D3975" s="4">
        <v>28903</v>
      </c>
      <c r="E3975" s="4">
        <v>20210330</v>
      </c>
      <c r="F3975" s="4">
        <v>20210330</v>
      </c>
      <c r="G3975" s="4">
        <v>20240126</v>
      </c>
      <c r="H3975" s="4" t="s">
        <v>5547</v>
      </c>
      <c r="I3975" s="4" t="s">
        <v>938</v>
      </c>
      <c r="J3975" s="4" t="s">
        <v>460</v>
      </c>
    </row>
    <row r="3976" spans="1:10" hidden="1">
      <c r="A3976" s="4">
        <v>2.0210359111000198E+17</v>
      </c>
      <c r="B3976" s="4">
        <v>4112421346</v>
      </c>
      <c r="C3976" s="4" t="s">
        <v>5546</v>
      </c>
      <c r="D3976" s="4">
        <v>59111</v>
      </c>
      <c r="E3976" s="4">
        <v>20210330</v>
      </c>
      <c r="F3976" s="4">
        <v>20210330</v>
      </c>
      <c r="G3976" s="4">
        <v>20240330</v>
      </c>
      <c r="H3976" s="4" t="s">
        <v>5545</v>
      </c>
      <c r="I3976" s="4" t="s">
        <v>5544</v>
      </c>
      <c r="J3976" s="4" t="s">
        <v>1857</v>
      </c>
    </row>
    <row r="3977" spans="1:10" hidden="1">
      <c r="A3977" s="4">
        <v>2.0210342492000198E+17</v>
      </c>
      <c r="B3977" s="4">
        <v>4578801111</v>
      </c>
      <c r="C3977" s="4" t="s">
        <v>5543</v>
      </c>
      <c r="D3977" s="4">
        <v>42492</v>
      </c>
      <c r="E3977" s="4">
        <v>20210330</v>
      </c>
      <c r="F3977" s="4">
        <v>20210330</v>
      </c>
      <c r="G3977" s="4">
        <v>20240330</v>
      </c>
      <c r="H3977" s="4" t="s">
        <v>5542</v>
      </c>
      <c r="J3977" s="4" t="s">
        <v>3977</v>
      </c>
    </row>
    <row r="3978" spans="1:10" hidden="1">
      <c r="A3978" s="4">
        <v>2.0210313910000198E+17</v>
      </c>
      <c r="B3978" s="4">
        <v>7418601399</v>
      </c>
      <c r="C3978" s="4" t="s">
        <v>5541</v>
      </c>
      <c r="D3978" s="4">
        <v>13910</v>
      </c>
      <c r="E3978" s="4">
        <v>20210330</v>
      </c>
      <c r="F3978" s="4">
        <v>20210330</v>
      </c>
      <c r="G3978" s="4">
        <v>20240330</v>
      </c>
      <c r="H3978" s="4" t="s">
        <v>5540</v>
      </c>
      <c r="J3978" s="4" t="s">
        <v>5539</v>
      </c>
    </row>
    <row r="3979" spans="1:10" hidden="1">
      <c r="A3979" s="4">
        <v>2.0210313229000198E+17</v>
      </c>
      <c r="B3979" s="4">
        <v>7898601668</v>
      </c>
      <c r="C3979" s="4" t="s">
        <v>5538</v>
      </c>
      <c r="D3979" s="4">
        <v>13229</v>
      </c>
      <c r="E3979" s="4">
        <v>20210330</v>
      </c>
      <c r="F3979" s="4">
        <v>20210330</v>
      </c>
      <c r="G3979" s="4">
        <v>20240330</v>
      </c>
      <c r="H3979" s="4" t="s">
        <v>5537</v>
      </c>
      <c r="I3979" s="4" t="s">
        <v>5536</v>
      </c>
      <c r="J3979" s="4" t="s">
        <v>115</v>
      </c>
    </row>
    <row r="3980" spans="1:10" hidden="1">
      <c r="A3980" s="4">
        <v>2.0210325111000198E+17</v>
      </c>
      <c r="B3980" s="4">
        <v>1738801095</v>
      </c>
      <c r="C3980" s="4" t="s">
        <v>5535</v>
      </c>
      <c r="D3980" s="4">
        <v>25111</v>
      </c>
      <c r="E3980" s="4">
        <v>20210330</v>
      </c>
      <c r="F3980" s="4">
        <v>20210330</v>
      </c>
      <c r="G3980" s="4">
        <v>20240330</v>
      </c>
      <c r="H3980" s="4" t="s">
        <v>5534</v>
      </c>
      <c r="I3980" s="4" t="s">
        <v>5533</v>
      </c>
      <c r="J3980" s="4" t="s">
        <v>82</v>
      </c>
    </row>
    <row r="3981" spans="1:10" hidden="1">
      <c r="A3981" s="4">
        <v>2.0210325932000198E+17</v>
      </c>
      <c r="B3981" s="4">
        <v>7558101068</v>
      </c>
      <c r="C3981" s="4" t="s">
        <v>5532</v>
      </c>
      <c r="D3981" s="4">
        <v>25932</v>
      </c>
      <c r="E3981" s="4">
        <v>20210330</v>
      </c>
      <c r="F3981" s="4">
        <v>20210330</v>
      </c>
      <c r="G3981" s="4">
        <v>20240330</v>
      </c>
      <c r="H3981" s="4" t="s">
        <v>5531</v>
      </c>
      <c r="I3981" s="4" t="s">
        <v>1742</v>
      </c>
      <c r="J3981" s="4" t="s">
        <v>246</v>
      </c>
    </row>
    <row r="3982" spans="1:10" hidden="1">
      <c r="A3982" s="4">
        <v>2.0210333932000198E+17</v>
      </c>
      <c r="B3982" s="4">
        <v>1428178999</v>
      </c>
      <c r="C3982" s="4" t="s">
        <v>5530</v>
      </c>
      <c r="D3982" s="4">
        <v>33932</v>
      </c>
      <c r="E3982" s="4">
        <v>20210330</v>
      </c>
      <c r="F3982" s="4">
        <v>20210330</v>
      </c>
      <c r="G3982" s="4">
        <v>20211103</v>
      </c>
      <c r="H3982" s="4" t="s">
        <v>5529</v>
      </c>
      <c r="I3982" s="4" t="s">
        <v>5528</v>
      </c>
      <c r="J3982" s="4" t="s">
        <v>178</v>
      </c>
    </row>
    <row r="3983" spans="1:10" hidden="1">
      <c r="A3983" s="4">
        <v>2.0210325113000198E+17</v>
      </c>
      <c r="B3983" s="4">
        <v>7658100805</v>
      </c>
      <c r="C3983" s="4" t="s">
        <v>5527</v>
      </c>
      <c r="D3983" s="4">
        <v>25113</v>
      </c>
      <c r="E3983" s="4">
        <v>20210330</v>
      </c>
      <c r="F3983" s="4">
        <v>20210330</v>
      </c>
      <c r="G3983" s="4">
        <v>20240330</v>
      </c>
      <c r="H3983" s="4" t="s">
        <v>5526</v>
      </c>
      <c r="J3983" s="4" t="s">
        <v>250</v>
      </c>
    </row>
    <row r="3984" spans="1:10" hidden="1">
      <c r="A3984" s="4">
        <v>2.0210342411000198E+17</v>
      </c>
      <c r="B3984" s="4">
        <v>8898800134</v>
      </c>
      <c r="C3984" s="4" t="s">
        <v>5525</v>
      </c>
      <c r="D3984" s="4">
        <v>42411</v>
      </c>
      <c r="E3984" s="4">
        <v>20210330</v>
      </c>
      <c r="F3984" s="4">
        <v>20210330</v>
      </c>
      <c r="G3984" s="4">
        <v>20220611</v>
      </c>
      <c r="H3984" s="4" t="s">
        <v>1249</v>
      </c>
      <c r="I3984" s="4" t="s">
        <v>221</v>
      </c>
      <c r="J3984" s="4" t="s">
        <v>2211</v>
      </c>
    </row>
    <row r="3985" spans="1:10" hidden="1">
      <c r="A3985" s="4">
        <v>2.0210342491000198E+17</v>
      </c>
      <c r="B3985" s="4">
        <v>2728601632</v>
      </c>
      <c r="C3985" s="4" t="s">
        <v>5524</v>
      </c>
      <c r="D3985" s="4">
        <v>42491</v>
      </c>
      <c r="E3985" s="4">
        <v>20210330</v>
      </c>
      <c r="F3985" s="4">
        <v>20210330</v>
      </c>
      <c r="G3985" s="4">
        <v>20240330</v>
      </c>
      <c r="H3985" s="4" t="s">
        <v>5523</v>
      </c>
      <c r="J3985" s="4" t="s">
        <v>883</v>
      </c>
    </row>
    <row r="3986" spans="1:10" hidden="1">
      <c r="A3986" s="4">
        <v>2.0210342411000198E+17</v>
      </c>
      <c r="B3986" s="4">
        <v>3548801530</v>
      </c>
      <c r="C3986" s="4" t="s">
        <v>5522</v>
      </c>
      <c r="D3986" s="4">
        <v>42411</v>
      </c>
      <c r="E3986" s="4">
        <v>20210330</v>
      </c>
      <c r="F3986" s="4">
        <v>20210330</v>
      </c>
      <c r="G3986" s="4">
        <v>20240330</v>
      </c>
      <c r="H3986" s="4" t="s">
        <v>5521</v>
      </c>
      <c r="I3986" s="4" t="s">
        <v>1403</v>
      </c>
      <c r="J3986" s="4" t="s">
        <v>2211</v>
      </c>
    </row>
    <row r="3987" spans="1:10" hidden="1">
      <c r="A3987" s="4">
        <v>2.0210358222000198E+17</v>
      </c>
      <c r="B3987" s="4">
        <v>8778700963</v>
      </c>
      <c r="C3987" s="4" t="s">
        <v>5520</v>
      </c>
      <c r="D3987" s="4">
        <v>58222</v>
      </c>
      <c r="E3987" s="4">
        <v>20210330</v>
      </c>
      <c r="F3987" s="4">
        <v>20210330</v>
      </c>
      <c r="G3987" s="4">
        <v>20240330</v>
      </c>
      <c r="H3987" s="4" t="s">
        <v>5519</v>
      </c>
      <c r="I3987" s="4" t="s">
        <v>5518</v>
      </c>
      <c r="J3987" s="4" t="s">
        <v>94</v>
      </c>
    </row>
    <row r="3988" spans="1:10" hidden="1">
      <c r="A3988" s="4">
        <v>2.0210320499000198E+17</v>
      </c>
      <c r="B3988" s="4">
        <v>6178628488</v>
      </c>
      <c r="C3988" s="4" t="s">
        <v>5517</v>
      </c>
      <c r="D3988" s="4">
        <v>20499</v>
      </c>
      <c r="E3988" s="4">
        <v>20210330</v>
      </c>
      <c r="F3988" s="4">
        <v>20210330</v>
      </c>
      <c r="G3988" s="4">
        <v>20240330</v>
      </c>
      <c r="H3988" s="4" t="s">
        <v>194</v>
      </c>
      <c r="I3988" s="4" t="s">
        <v>5516</v>
      </c>
      <c r="J3988" s="4" t="s">
        <v>406</v>
      </c>
    </row>
    <row r="3989" spans="1:10" hidden="1">
      <c r="A3989" s="4">
        <v>2.0210342492000198E+17</v>
      </c>
      <c r="B3989" s="4">
        <v>2648701297</v>
      </c>
      <c r="C3989" s="4" t="s">
        <v>5515</v>
      </c>
      <c r="D3989" s="4">
        <v>42492</v>
      </c>
      <c r="E3989" s="4">
        <v>20210330</v>
      </c>
      <c r="F3989" s="4">
        <v>20210330</v>
      </c>
      <c r="G3989" s="4">
        <v>20240330</v>
      </c>
      <c r="H3989" s="4" t="s">
        <v>5514</v>
      </c>
      <c r="J3989" s="4" t="s">
        <v>3977</v>
      </c>
    </row>
    <row r="3990" spans="1:10" hidden="1">
      <c r="A3990" s="4">
        <v>2.0210333999000198E+17</v>
      </c>
      <c r="B3990" s="4">
        <v>7708601174</v>
      </c>
      <c r="C3990" s="4" t="s">
        <v>5513</v>
      </c>
      <c r="D3990" s="4">
        <v>33999</v>
      </c>
      <c r="E3990" s="4">
        <v>20210330</v>
      </c>
      <c r="F3990" s="4">
        <v>20210330</v>
      </c>
      <c r="G3990" s="4">
        <v>20240330</v>
      </c>
      <c r="H3990" s="4" t="s">
        <v>5512</v>
      </c>
      <c r="J3990" s="4" t="s">
        <v>780</v>
      </c>
    </row>
    <row r="3991" spans="1:10" hidden="1">
      <c r="A3991" s="4">
        <v>2.0210358222000198E+17</v>
      </c>
      <c r="B3991" s="4">
        <v>5838101823</v>
      </c>
      <c r="C3991" s="4" t="s">
        <v>5511</v>
      </c>
      <c r="D3991" s="4">
        <v>58222</v>
      </c>
      <c r="E3991" s="4">
        <v>20210330</v>
      </c>
      <c r="F3991" s="4">
        <v>20210330</v>
      </c>
      <c r="G3991" s="4">
        <v>20240330</v>
      </c>
      <c r="H3991" s="4" t="s">
        <v>5510</v>
      </c>
      <c r="I3991" s="4" t="s">
        <v>91</v>
      </c>
      <c r="J3991" s="4" t="s">
        <v>94</v>
      </c>
    </row>
    <row r="3992" spans="1:10" hidden="1">
      <c r="A3992" s="4">
        <v>2.0210358222000198E+17</v>
      </c>
      <c r="B3992" s="4">
        <v>8488101415</v>
      </c>
      <c r="C3992" s="4" t="s">
        <v>5509</v>
      </c>
      <c r="D3992" s="4">
        <v>58222</v>
      </c>
      <c r="E3992" s="4">
        <v>20210330</v>
      </c>
      <c r="F3992" s="4">
        <v>20210330</v>
      </c>
      <c r="G3992" s="4">
        <v>20240330</v>
      </c>
      <c r="H3992" s="4" t="s">
        <v>2318</v>
      </c>
      <c r="I3992" s="4" t="s">
        <v>5508</v>
      </c>
      <c r="J3992" s="4" t="s">
        <v>94</v>
      </c>
    </row>
    <row r="3993" spans="1:10" hidden="1">
      <c r="A3993" s="4">
        <v>2.0210328429000198E+17</v>
      </c>
      <c r="B3993" s="4">
        <v>7868600622</v>
      </c>
      <c r="C3993" s="4" t="s">
        <v>5507</v>
      </c>
      <c r="D3993" s="4">
        <v>28429</v>
      </c>
      <c r="E3993" s="4">
        <v>20210330</v>
      </c>
      <c r="F3993" s="4">
        <v>20210330</v>
      </c>
      <c r="G3993" s="4">
        <v>20231103</v>
      </c>
      <c r="H3993" s="4" t="s">
        <v>5506</v>
      </c>
      <c r="J3993" s="4" t="s">
        <v>765</v>
      </c>
    </row>
    <row r="3994" spans="1:10" hidden="1">
      <c r="A3994" s="4">
        <v>2.0210342139000198E+17</v>
      </c>
      <c r="B3994" s="4">
        <v>6088611514</v>
      </c>
      <c r="C3994" s="4" t="s">
        <v>5505</v>
      </c>
      <c r="D3994" s="4">
        <v>42139</v>
      </c>
      <c r="E3994" s="4">
        <v>20210330</v>
      </c>
      <c r="F3994" s="4">
        <v>20210330</v>
      </c>
      <c r="G3994" s="4">
        <v>20240330</v>
      </c>
      <c r="H3994" s="4" t="s">
        <v>5504</v>
      </c>
      <c r="I3994" s="4" t="s">
        <v>5503</v>
      </c>
      <c r="J3994" s="4" t="s">
        <v>5502</v>
      </c>
    </row>
    <row r="3995" spans="1:10" hidden="1">
      <c r="A3995" s="4">
        <v>2.0210363999000198E+17</v>
      </c>
      <c r="B3995" s="4">
        <v>7998801223</v>
      </c>
      <c r="C3995" s="4" t="s">
        <v>5501</v>
      </c>
      <c r="D3995" s="4">
        <v>63999</v>
      </c>
      <c r="E3995" s="4">
        <v>20210330</v>
      </c>
      <c r="F3995" s="4">
        <v>20210330</v>
      </c>
      <c r="G3995" s="4">
        <v>20240330</v>
      </c>
      <c r="H3995" s="4" t="s">
        <v>5500</v>
      </c>
      <c r="J3995" s="4" t="s">
        <v>643</v>
      </c>
    </row>
    <row r="3996" spans="1:10" hidden="1">
      <c r="A3996" s="4">
        <v>2.0210347813000198E+17</v>
      </c>
      <c r="B3996" s="4">
        <v>2272016954</v>
      </c>
      <c r="C3996" s="4" t="s">
        <v>5499</v>
      </c>
      <c r="D3996" s="4">
        <v>47813</v>
      </c>
      <c r="E3996" s="4">
        <v>20210330</v>
      </c>
      <c r="F3996" s="4">
        <v>20210330</v>
      </c>
      <c r="G3996" s="4">
        <v>20240330</v>
      </c>
      <c r="H3996" s="4" t="s">
        <v>5498</v>
      </c>
      <c r="I3996" s="4" t="s">
        <v>5497</v>
      </c>
      <c r="J3996" s="4" t="s">
        <v>376</v>
      </c>
    </row>
    <row r="3997" spans="1:10" hidden="1">
      <c r="A3997" s="4">
        <v>2.0210373203000198E+17</v>
      </c>
      <c r="B3997" s="4">
        <v>6354200204</v>
      </c>
      <c r="C3997" s="4" t="s">
        <v>5496</v>
      </c>
      <c r="D3997" s="4">
        <v>73203</v>
      </c>
      <c r="E3997" s="4">
        <v>20210330</v>
      </c>
      <c r="F3997" s="4">
        <v>20210330</v>
      </c>
      <c r="G3997" s="4">
        <v>20240117</v>
      </c>
      <c r="H3997" s="4" t="s">
        <v>5495</v>
      </c>
      <c r="I3997" s="4" t="s">
        <v>5494</v>
      </c>
      <c r="J3997" s="4" t="s">
        <v>260</v>
      </c>
    </row>
    <row r="3998" spans="1:10" hidden="1">
      <c r="A3998" s="4">
        <v>2.0210326321000198E+17</v>
      </c>
      <c r="B3998" s="4">
        <v>6348700181</v>
      </c>
      <c r="C3998" s="4" t="s">
        <v>5493</v>
      </c>
      <c r="D3998" s="4">
        <v>26321</v>
      </c>
      <c r="E3998" s="4">
        <v>20210330</v>
      </c>
      <c r="F3998" s="4">
        <v>20210330</v>
      </c>
      <c r="G3998" s="4">
        <v>20220413</v>
      </c>
      <c r="H3998" s="4" t="s">
        <v>1886</v>
      </c>
      <c r="I3998" s="4" t="s">
        <v>5492</v>
      </c>
      <c r="J3998" s="4" t="s">
        <v>5491</v>
      </c>
    </row>
    <row r="3999" spans="1:10" hidden="1">
      <c r="A3999" s="4">
        <v>2.0210333910000198E+17</v>
      </c>
      <c r="B3999" s="4">
        <v>5663500711</v>
      </c>
      <c r="C3999" s="4" t="s">
        <v>5490</v>
      </c>
      <c r="D3999" s="4">
        <v>33910</v>
      </c>
      <c r="E3999" s="4">
        <v>20210330</v>
      </c>
      <c r="F3999" s="4">
        <v>20210330</v>
      </c>
      <c r="G3999" s="4">
        <v>20240330</v>
      </c>
      <c r="H3999" s="4" t="s">
        <v>5489</v>
      </c>
      <c r="I3999" s="4" t="s">
        <v>1537</v>
      </c>
      <c r="J3999" s="4" t="s">
        <v>310</v>
      </c>
    </row>
    <row r="4000" spans="1:10" hidden="1">
      <c r="A4000" s="4">
        <v>2.0210372129000198E+17</v>
      </c>
      <c r="B4000" s="4">
        <v>6578100300</v>
      </c>
      <c r="C4000" s="4" t="s">
        <v>5488</v>
      </c>
      <c r="D4000" s="4">
        <v>72129</v>
      </c>
      <c r="E4000" s="4">
        <v>20210329</v>
      </c>
      <c r="F4000" s="4">
        <v>20210329</v>
      </c>
      <c r="G4000" s="4">
        <v>20230127</v>
      </c>
      <c r="H4000" s="4" t="s">
        <v>3905</v>
      </c>
      <c r="I4000" s="4" t="s">
        <v>5487</v>
      </c>
      <c r="J4000" s="4" t="s">
        <v>1679</v>
      </c>
    </row>
    <row r="4001" spans="1:10" hidden="1">
      <c r="A4001" s="4">
        <v>2.0210327302000198E+17</v>
      </c>
      <c r="B4001" s="4">
        <v>6458801606</v>
      </c>
      <c r="C4001" s="4" t="s">
        <v>5485</v>
      </c>
      <c r="D4001" s="4">
        <v>27302</v>
      </c>
      <c r="E4001" s="4">
        <v>20210329</v>
      </c>
      <c r="F4001" s="4">
        <v>20210329</v>
      </c>
      <c r="G4001" s="4">
        <v>20240329</v>
      </c>
      <c r="H4001" s="4" t="s">
        <v>5486</v>
      </c>
      <c r="I4001" s="4" t="s">
        <v>5485</v>
      </c>
      <c r="J4001" s="4" t="s">
        <v>2148</v>
      </c>
    </row>
    <row r="4002" spans="1:10" hidden="1">
      <c r="A4002" s="4">
        <v>2.0210320423000198E+17</v>
      </c>
      <c r="B4002" s="4">
        <v>7478700435</v>
      </c>
      <c r="C4002" s="4" t="s">
        <v>5484</v>
      </c>
      <c r="D4002" s="4">
        <v>20423</v>
      </c>
      <c r="E4002" s="4">
        <v>20210329</v>
      </c>
      <c r="F4002" s="4">
        <v>20210329</v>
      </c>
      <c r="G4002" s="4">
        <v>20230603</v>
      </c>
      <c r="H4002" s="4" t="s">
        <v>5483</v>
      </c>
      <c r="I4002" s="4" t="s">
        <v>5482</v>
      </c>
      <c r="J4002" s="4" t="s">
        <v>368</v>
      </c>
    </row>
    <row r="4003" spans="1:10" hidden="1">
      <c r="A4003" s="4">
        <v>2.0210363991000198E+17</v>
      </c>
      <c r="B4003" s="4">
        <v>3210301800</v>
      </c>
      <c r="C4003" s="4" t="s">
        <v>5481</v>
      </c>
      <c r="D4003" s="4">
        <v>63991</v>
      </c>
      <c r="E4003" s="4">
        <v>20210329</v>
      </c>
      <c r="F4003" s="4">
        <v>20210329</v>
      </c>
      <c r="G4003" s="4">
        <v>20240329</v>
      </c>
      <c r="H4003" s="4" t="s">
        <v>5480</v>
      </c>
      <c r="I4003" s="4" t="s">
        <v>5479</v>
      </c>
      <c r="J4003" s="4" t="s">
        <v>395</v>
      </c>
    </row>
    <row r="4004" spans="1:10" hidden="1">
      <c r="A4004" s="4">
        <v>2.0210316101000198E+17</v>
      </c>
      <c r="B4004" s="4">
        <v>5790300545</v>
      </c>
      <c r="C4004" s="4" t="s">
        <v>5478</v>
      </c>
      <c r="D4004" s="4">
        <v>16101</v>
      </c>
      <c r="E4004" s="4">
        <v>20210329</v>
      </c>
      <c r="F4004" s="4">
        <v>20210329</v>
      </c>
      <c r="G4004" s="4">
        <v>20230920</v>
      </c>
      <c r="H4004" s="4" t="s">
        <v>5477</v>
      </c>
      <c r="I4004" s="4" t="s">
        <v>149</v>
      </c>
      <c r="J4004" s="4" t="s">
        <v>468</v>
      </c>
    </row>
    <row r="4005" spans="1:10" hidden="1">
      <c r="A4005" s="4">
        <v>2.0210328903000198E+17</v>
      </c>
      <c r="B4005" s="4">
        <v>4208800686</v>
      </c>
      <c r="C4005" s="4" t="s">
        <v>5476</v>
      </c>
      <c r="D4005" s="4">
        <v>28903</v>
      </c>
      <c r="E4005" s="4">
        <v>20210329</v>
      </c>
      <c r="F4005" s="4">
        <v>20210329</v>
      </c>
      <c r="G4005" s="4">
        <v>20240329</v>
      </c>
      <c r="H4005" s="4" t="s">
        <v>5475</v>
      </c>
      <c r="J4005" s="4" t="s">
        <v>460</v>
      </c>
    </row>
    <row r="4006" spans="1:10" hidden="1">
      <c r="A4006" s="4">
        <v>2.0210329180000198E+17</v>
      </c>
      <c r="B4006" s="4">
        <v>8660901324</v>
      </c>
      <c r="C4006" s="4" t="s">
        <v>5474</v>
      </c>
      <c r="D4006" s="4">
        <v>29180</v>
      </c>
      <c r="E4006" s="4">
        <v>20210329</v>
      </c>
      <c r="F4006" s="4">
        <v>20210329</v>
      </c>
      <c r="G4006" s="4">
        <v>20240329</v>
      </c>
      <c r="H4006" s="4" t="s">
        <v>5473</v>
      </c>
      <c r="I4006" s="4" t="s">
        <v>5472</v>
      </c>
      <c r="J4006" s="4" t="s">
        <v>609</v>
      </c>
    </row>
    <row r="4007" spans="1:10" hidden="1">
      <c r="A4007" s="4">
        <v>2.0210320202000198E+17</v>
      </c>
      <c r="B4007" s="4">
        <v>1712301028</v>
      </c>
      <c r="C4007" s="4" t="s">
        <v>5471</v>
      </c>
      <c r="D4007" s="4">
        <v>20202</v>
      </c>
      <c r="E4007" s="4">
        <v>20210329</v>
      </c>
      <c r="F4007" s="4">
        <v>20210329</v>
      </c>
      <c r="G4007" s="4">
        <v>20240329</v>
      </c>
      <c r="H4007" s="4" t="s">
        <v>1880</v>
      </c>
      <c r="I4007" s="4" t="s">
        <v>5470</v>
      </c>
      <c r="J4007" s="4" t="s">
        <v>224</v>
      </c>
    </row>
    <row r="4008" spans="1:10" hidden="1">
      <c r="A4008" s="4">
        <v>2.0210323324000198E+17</v>
      </c>
      <c r="B4008" s="4">
        <v>4388100636</v>
      </c>
      <c r="C4008" s="4" t="s">
        <v>5469</v>
      </c>
      <c r="D4008" s="4">
        <v>23324</v>
      </c>
      <c r="E4008" s="4">
        <v>20210329</v>
      </c>
      <c r="F4008" s="4">
        <v>20210329</v>
      </c>
      <c r="G4008" s="4">
        <v>20230810</v>
      </c>
      <c r="H4008" s="4" t="s">
        <v>5468</v>
      </c>
      <c r="J4008" s="4" t="s">
        <v>3323</v>
      </c>
    </row>
    <row r="4009" spans="1:10" hidden="1">
      <c r="A4009" s="4">
        <v>2.0210325113000198E+17</v>
      </c>
      <c r="B4009" s="4">
        <v>4808601403</v>
      </c>
      <c r="C4009" s="4" t="s">
        <v>5467</v>
      </c>
      <c r="D4009" s="4">
        <v>25113</v>
      </c>
      <c r="E4009" s="4">
        <v>20210329</v>
      </c>
      <c r="F4009" s="4">
        <v>20210329</v>
      </c>
      <c r="G4009" s="4">
        <v>20240329</v>
      </c>
      <c r="H4009" s="4" t="s">
        <v>5466</v>
      </c>
      <c r="I4009" s="4" t="s">
        <v>146</v>
      </c>
      <c r="J4009" s="4" t="s">
        <v>250</v>
      </c>
    </row>
    <row r="4010" spans="1:10" hidden="1">
      <c r="A4010" s="4">
        <v>2.0210324321000198E+17</v>
      </c>
      <c r="B4010" s="4">
        <v>1478101194</v>
      </c>
      <c r="C4010" s="4" t="s">
        <v>5465</v>
      </c>
      <c r="D4010" s="4">
        <v>24321</v>
      </c>
      <c r="E4010" s="4">
        <v>20210329</v>
      </c>
      <c r="F4010" s="4">
        <v>20210329</v>
      </c>
      <c r="G4010" s="4">
        <v>20240329</v>
      </c>
      <c r="H4010" s="4" t="s">
        <v>5464</v>
      </c>
      <c r="J4010" s="4" t="s">
        <v>5463</v>
      </c>
    </row>
    <row r="4011" spans="1:10" hidden="1">
      <c r="A4011" s="4">
        <v>2.0210328422000198E+17</v>
      </c>
      <c r="B4011" s="4">
        <v>4778700540</v>
      </c>
      <c r="C4011" s="4" t="s">
        <v>5462</v>
      </c>
      <c r="D4011" s="4">
        <v>28422</v>
      </c>
      <c r="E4011" s="4">
        <v>20210329</v>
      </c>
      <c r="F4011" s="4">
        <v>20210329</v>
      </c>
      <c r="G4011" s="4">
        <v>20230714</v>
      </c>
      <c r="H4011" s="4" t="s">
        <v>5461</v>
      </c>
      <c r="J4011" s="4" t="s">
        <v>188</v>
      </c>
    </row>
    <row r="4012" spans="1:10" hidden="1">
      <c r="A4012" s="4">
        <v>2.0210370130000198E+17</v>
      </c>
      <c r="B4012" s="4">
        <v>5478801883</v>
      </c>
      <c r="C4012" s="4" t="s">
        <v>5460</v>
      </c>
      <c r="D4012" s="4">
        <v>70130</v>
      </c>
      <c r="E4012" s="4">
        <v>20210329</v>
      </c>
      <c r="F4012" s="4">
        <v>20210329</v>
      </c>
      <c r="G4012" s="4">
        <v>20240329</v>
      </c>
      <c r="H4012" s="4" t="s">
        <v>5459</v>
      </c>
      <c r="I4012" s="4" t="s">
        <v>5458</v>
      </c>
      <c r="J4012" s="4" t="s">
        <v>170</v>
      </c>
    </row>
    <row r="4013" spans="1:10" hidden="1">
      <c r="A4013" s="4">
        <v>2.0210327199000198E+17</v>
      </c>
      <c r="B4013" s="4">
        <v>3258101794</v>
      </c>
      <c r="C4013" s="4" t="s">
        <v>5457</v>
      </c>
      <c r="D4013" s="4">
        <v>27199</v>
      </c>
      <c r="E4013" s="4">
        <v>20210329</v>
      </c>
      <c r="F4013" s="4">
        <v>20210329</v>
      </c>
      <c r="G4013" s="4">
        <v>20240329</v>
      </c>
      <c r="H4013" s="4" t="s">
        <v>5456</v>
      </c>
      <c r="I4013" s="4" t="s">
        <v>5455</v>
      </c>
      <c r="J4013" s="4" t="s">
        <v>418</v>
      </c>
    </row>
    <row r="4014" spans="1:10" hidden="1">
      <c r="A4014" s="4">
        <v>2.0210328519000198E+17</v>
      </c>
      <c r="B4014" s="4">
        <v>1578600130</v>
      </c>
      <c r="C4014" s="4" t="s">
        <v>5454</v>
      </c>
      <c r="D4014" s="4">
        <v>28519</v>
      </c>
      <c r="E4014" s="4">
        <v>20210329</v>
      </c>
      <c r="F4014" s="4">
        <v>20210329</v>
      </c>
      <c r="G4014" s="4">
        <v>20220709</v>
      </c>
      <c r="H4014" s="4" t="s">
        <v>5453</v>
      </c>
      <c r="I4014" s="4" t="s">
        <v>5452</v>
      </c>
      <c r="J4014" s="4" t="s">
        <v>1412</v>
      </c>
    </row>
    <row r="4015" spans="1:10" hidden="1">
      <c r="A4015" s="4">
        <v>2.0210313219000198E+17</v>
      </c>
      <c r="B4015" s="4">
        <v>2668600720</v>
      </c>
      <c r="C4015" s="4" t="s">
        <v>5451</v>
      </c>
      <c r="D4015" s="4">
        <v>13219</v>
      </c>
      <c r="E4015" s="4">
        <v>20210329</v>
      </c>
      <c r="F4015" s="4">
        <v>20210329</v>
      </c>
      <c r="G4015" s="4">
        <v>20240329</v>
      </c>
      <c r="H4015" s="4" t="s">
        <v>5450</v>
      </c>
      <c r="I4015" s="4" t="s">
        <v>149</v>
      </c>
      <c r="J4015" s="4" t="s">
        <v>2829</v>
      </c>
    </row>
    <row r="4016" spans="1:10" hidden="1">
      <c r="A4016" s="4">
        <v>2.0210328901000198E+17</v>
      </c>
      <c r="B4016" s="4">
        <v>7758800816</v>
      </c>
      <c r="C4016" s="4" t="s">
        <v>5449</v>
      </c>
      <c r="D4016" s="4">
        <v>28901</v>
      </c>
      <c r="E4016" s="4">
        <v>20210329</v>
      </c>
      <c r="F4016" s="4">
        <v>20210329</v>
      </c>
      <c r="G4016" s="4">
        <v>20240329</v>
      </c>
      <c r="H4016" s="4" t="s">
        <v>5448</v>
      </c>
      <c r="I4016" s="4" t="s">
        <v>657</v>
      </c>
      <c r="J4016" s="4" t="s">
        <v>4186</v>
      </c>
    </row>
    <row r="4017" spans="1:10" hidden="1">
      <c r="A4017" s="4">
        <v>2.0210332029000198E+17</v>
      </c>
      <c r="B4017" s="4">
        <v>4228800998</v>
      </c>
      <c r="C4017" s="4" t="s">
        <v>5447</v>
      </c>
      <c r="D4017" s="4">
        <v>32029</v>
      </c>
      <c r="E4017" s="4">
        <v>20210329</v>
      </c>
      <c r="F4017" s="4">
        <v>20210329</v>
      </c>
      <c r="G4017" s="4">
        <v>20240329</v>
      </c>
      <c r="H4017" s="4" t="s">
        <v>5446</v>
      </c>
      <c r="J4017" s="4" t="s">
        <v>637</v>
      </c>
    </row>
    <row r="4018" spans="1:10" hidden="1">
      <c r="A4018" s="4">
        <v>2.0210358221000198E+17</v>
      </c>
      <c r="B4018" s="4">
        <v>1938801876</v>
      </c>
      <c r="C4018" s="4" t="s">
        <v>5445</v>
      </c>
      <c r="D4018" s="4">
        <v>58221</v>
      </c>
      <c r="E4018" s="4">
        <v>20210329</v>
      </c>
      <c r="F4018" s="4">
        <v>20210329</v>
      </c>
      <c r="G4018" s="4">
        <v>20240329</v>
      </c>
      <c r="H4018" s="4" t="s">
        <v>5444</v>
      </c>
      <c r="I4018" s="4" t="s">
        <v>175</v>
      </c>
      <c r="J4018" s="4" t="s">
        <v>228</v>
      </c>
    </row>
    <row r="4019" spans="1:10" hidden="1">
      <c r="A4019" s="4">
        <v>2.0210313229000198E+17</v>
      </c>
      <c r="B4019" s="4">
        <v>5548700997</v>
      </c>
      <c r="C4019" s="4" t="s">
        <v>5443</v>
      </c>
      <c r="D4019" s="4">
        <v>13229</v>
      </c>
      <c r="E4019" s="4">
        <v>20210329</v>
      </c>
      <c r="F4019" s="4">
        <v>20210329</v>
      </c>
      <c r="G4019" s="4">
        <v>20240329</v>
      </c>
      <c r="H4019" s="4" t="s">
        <v>5442</v>
      </c>
      <c r="J4019" s="4" t="s">
        <v>115</v>
      </c>
    </row>
    <row r="4020" spans="1:10" hidden="1">
      <c r="A4020" s="4">
        <v>2.0210341121000198E+17</v>
      </c>
      <c r="B4020" s="4">
        <v>7608701174</v>
      </c>
      <c r="C4020" s="4" t="s">
        <v>5441</v>
      </c>
      <c r="D4020" s="4">
        <v>41121</v>
      </c>
      <c r="E4020" s="4">
        <v>20210329</v>
      </c>
      <c r="F4020" s="4">
        <v>20210329</v>
      </c>
      <c r="G4020" s="4">
        <v>20240329</v>
      </c>
      <c r="H4020" s="4" t="s">
        <v>5440</v>
      </c>
      <c r="I4020" s="4" t="s">
        <v>142</v>
      </c>
      <c r="J4020" s="4" t="s">
        <v>2302</v>
      </c>
    </row>
    <row r="4021" spans="1:10">
      <c r="A4021" s="4">
        <v>2.0210318119000099E+17</v>
      </c>
      <c r="B4021" s="4">
        <v>6808701238</v>
      </c>
      <c r="C4021" s="4" t="s">
        <v>4538</v>
      </c>
      <c r="D4021" s="4">
        <v>18119</v>
      </c>
      <c r="E4021" s="4">
        <v>20210317</v>
      </c>
      <c r="F4021" s="4">
        <v>20210317</v>
      </c>
      <c r="G4021" s="4">
        <v>20240317</v>
      </c>
      <c r="H4021" s="4" t="s">
        <v>4537</v>
      </c>
      <c r="I4021" s="4" t="s">
        <v>4536</v>
      </c>
      <c r="J4021" s="4" t="s">
        <v>707</v>
      </c>
    </row>
    <row r="4022" spans="1:10" hidden="1">
      <c r="A4022" s="4">
        <v>2.0210320321000198E+17</v>
      </c>
      <c r="B4022" s="4">
        <v>7342300515</v>
      </c>
      <c r="C4022" s="4" t="s">
        <v>5436</v>
      </c>
      <c r="D4022" s="4">
        <v>20321</v>
      </c>
      <c r="E4022" s="4">
        <v>20210329</v>
      </c>
      <c r="F4022" s="4">
        <v>20210329</v>
      </c>
      <c r="G4022" s="4">
        <v>20240329</v>
      </c>
      <c r="H4022" s="4" t="s">
        <v>3605</v>
      </c>
      <c r="I4022" s="4" t="s">
        <v>5435</v>
      </c>
      <c r="J4022" s="4" t="s">
        <v>192</v>
      </c>
    </row>
    <row r="4023" spans="1:10" hidden="1">
      <c r="A4023" s="4">
        <v>2.0210324199000198E+17</v>
      </c>
      <c r="B4023" s="4">
        <v>2908800275</v>
      </c>
      <c r="C4023" s="4" t="s">
        <v>5433</v>
      </c>
      <c r="D4023" s="4">
        <v>24199</v>
      </c>
      <c r="E4023" s="4">
        <v>20210329</v>
      </c>
      <c r="F4023" s="4">
        <v>20210329</v>
      </c>
      <c r="G4023" s="4">
        <v>20230420</v>
      </c>
      <c r="H4023" s="4" t="s">
        <v>5434</v>
      </c>
      <c r="I4023" s="4" t="s">
        <v>5433</v>
      </c>
      <c r="J4023" s="4" t="s">
        <v>454</v>
      </c>
    </row>
    <row r="4024" spans="1:10" hidden="1">
      <c r="A4024" s="4">
        <v>2.0210320422000198E+17</v>
      </c>
      <c r="B4024" s="4">
        <v>7361801267</v>
      </c>
      <c r="C4024" s="4" t="s">
        <v>5432</v>
      </c>
      <c r="D4024" s="4">
        <v>20422</v>
      </c>
      <c r="E4024" s="4">
        <v>20210327</v>
      </c>
      <c r="F4024" s="4">
        <v>20210327</v>
      </c>
      <c r="G4024" s="4">
        <v>20240327</v>
      </c>
      <c r="H4024" s="4" t="s">
        <v>3248</v>
      </c>
      <c r="I4024" s="4" t="s">
        <v>5431</v>
      </c>
      <c r="J4024" s="4" t="s">
        <v>392</v>
      </c>
    </row>
    <row r="4025" spans="1:10" hidden="1">
      <c r="A4025" s="4">
        <v>2.0210373301000198E+17</v>
      </c>
      <c r="B4025" s="4">
        <v>6892901176</v>
      </c>
      <c r="C4025" s="4" t="s">
        <v>5430</v>
      </c>
      <c r="D4025" s="4">
        <v>73301</v>
      </c>
      <c r="E4025" s="4">
        <v>20210327</v>
      </c>
      <c r="F4025" s="4">
        <v>20210327</v>
      </c>
      <c r="G4025" s="4">
        <v>20240327</v>
      </c>
      <c r="H4025" s="4" t="s">
        <v>5429</v>
      </c>
      <c r="J4025" s="4" t="s">
        <v>2203</v>
      </c>
    </row>
    <row r="4026" spans="1:10" hidden="1">
      <c r="A4026" s="4">
        <v>2.0210342311000198E+17</v>
      </c>
      <c r="B4026" s="4">
        <v>1012755620</v>
      </c>
      <c r="C4026" s="4" t="s">
        <v>5428</v>
      </c>
      <c r="D4026" s="4">
        <v>42311</v>
      </c>
      <c r="E4026" s="4">
        <v>20210327</v>
      </c>
      <c r="F4026" s="4">
        <v>20210327</v>
      </c>
      <c r="G4026" s="4">
        <v>20240327</v>
      </c>
      <c r="H4026" s="4" t="s">
        <v>5427</v>
      </c>
      <c r="J4026" s="4" t="s">
        <v>718</v>
      </c>
    </row>
    <row r="4027" spans="1:10" hidden="1">
      <c r="A4027" s="4">
        <v>2.0210325112000198E+17</v>
      </c>
      <c r="B4027" s="4">
        <v>1498701867</v>
      </c>
      <c r="C4027" s="4" t="s">
        <v>5426</v>
      </c>
      <c r="D4027" s="4">
        <v>25112</v>
      </c>
      <c r="E4027" s="4">
        <v>20210327</v>
      </c>
      <c r="F4027" s="4">
        <v>20210327</v>
      </c>
      <c r="G4027" s="4">
        <v>20240327</v>
      </c>
      <c r="H4027" s="4" t="s">
        <v>5425</v>
      </c>
      <c r="J4027" s="4" t="s">
        <v>320</v>
      </c>
    </row>
    <row r="4028" spans="1:10" hidden="1">
      <c r="A4028" s="4">
        <v>2.0210325929000198E+17</v>
      </c>
      <c r="B4028" s="4">
        <v>8218801326</v>
      </c>
      <c r="C4028" s="4" t="s">
        <v>5424</v>
      </c>
      <c r="D4028" s="4">
        <v>25929</v>
      </c>
      <c r="E4028" s="4">
        <v>20210326</v>
      </c>
      <c r="F4028" s="4">
        <v>20210326</v>
      </c>
      <c r="G4028" s="4">
        <v>20240326</v>
      </c>
      <c r="H4028" s="4" t="s">
        <v>5423</v>
      </c>
      <c r="I4028" s="4" t="s">
        <v>947</v>
      </c>
      <c r="J4028" s="4" t="s">
        <v>701</v>
      </c>
    </row>
    <row r="4029" spans="1:10" hidden="1">
      <c r="A4029" s="4">
        <v>2.0210316300000198E+17</v>
      </c>
      <c r="B4029" s="4">
        <v>1088701662</v>
      </c>
      <c r="C4029" s="4" t="s">
        <v>5422</v>
      </c>
      <c r="D4029" s="4">
        <v>16300</v>
      </c>
      <c r="E4029" s="4">
        <v>20210326</v>
      </c>
      <c r="F4029" s="4">
        <v>20210326</v>
      </c>
      <c r="G4029" s="4">
        <v>20240326</v>
      </c>
      <c r="H4029" s="4" t="s">
        <v>5421</v>
      </c>
      <c r="J4029" s="4" t="s">
        <v>4865</v>
      </c>
    </row>
    <row r="4030" spans="1:10" hidden="1">
      <c r="A4030" s="4">
        <v>2.0210325924000198E+17</v>
      </c>
      <c r="B4030" s="4">
        <v>7538801362</v>
      </c>
      <c r="C4030" s="4" t="s">
        <v>5420</v>
      </c>
      <c r="D4030" s="4">
        <v>25924</v>
      </c>
      <c r="E4030" s="4">
        <v>20210326</v>
      </c>
      <c r="F4030" s="4">
        <v>20210326</v>
      </c>
      <c r="G4030" s="4">
        <v>20240326</v>
      </c>
      <c r="H4030" s="4" t="s">
        <v>5419</v>
      </c>
      <c r="J4030" s="4" t="s">
        <v>757</v>
      </c>
    </row>
    <row r="4031" spans="1:10" hidden="1">
      <c r="A4031" s="4">
        <v>2.0210328902000198E+17</v>
      </c>
      <c r="B4031" s="4">
        <v>3388801523</v>
      </c>
      <c r="C4031" s="4" t="s">
        <v>5418</v>
      </c>
      <c r="D4031" s="4">
        <v>28902</v>
      </c>
      <c r="E4031" s="4">
        <v>20210326</v>
      </c>
      <c r="F4031" s="4">
        <v>20210326</v>
      </c>
      <c r="G4031" s="4">
        <v>20240326</v>
      </c>
      <c r="H4031" s="4" t="s">
        <v>5417</v>
      </c>
      <c r="I4031" s="4" t="s">
        <v>5416</v>
      </c>
      <c r="J4031" s="4" t="s">
        <v>1037</v>
      </c>
    </row>
    <row r="4032" spans="1:10" hidden="1">
      <c r="A4032" s="4">
        <v>2.0210347429000198E+17</v>
      </c>
      <c r="B4032" s="4">
        <v>6018138308</v>
      </c>
      <c r="C4032" s="4" t="s">
        <v>5415</v>
      </c>
      <c r="D4032" s="4">
        <v>47429</v>
      </c>
      <c r="E4032" s="4">
        <v>20210326</v>
      </c>
      <c r="F4032" s="4">
        <v>20210326</v>
      </c>
      <c r="G4032" s="4">
        <v>20240326</v>
      </c>
      <c r="H4032" s="4" t="s">
        <v>5414</v>
      </c>
      <c r="I4032" s="4" t="s">
        <v>5413</v>
      </c>
      <c r="J4032" s="4" t="s">
        <v>5412</v>
      </c>
    </row>
    <row r="4033" spans="1:10" hidden="1">
      <c r="A4033" s="4">
        <v>2.0210326429000198E+17</v>
      </c>
      <c r="B4033" s="4">
        <v>7398801672</v>
      </c>
      <c r="C4033" s="4" t="s">
        <v>5411</v>
      </c>
      <c r="D4033" s="4">
        <v>26429</v>
      </c>
      <c r="E4033" s="4">
        <v>20210326</v>
      </c>
      <c r="F4033" s="4">
        <v>20210326</v>
      </c>
      <c r="G4033" s="4">
        <v>20240326</v>
      </c>
      <c r="H4033" s="4" t="s">
        <v>2269</v>
      </c>
      <c r="I4033" s="4" t="s">
        <v>5410</v>
      </c>
      <c r="J4033" s="4" t="s">
        <v>422</v>
      </c>
    </row>
    <row r="4034" spans="1:10" hidden="1">
      <c r="A4034" s="4">
        <v>2.0210373203000198E+17</v>
      </c>
      <c r="B4034" s="4">
        <v>4515600369</v>
      </c>
      <c r="C4034" s="4" t="s">
        <v>5409</v>
      </c>
      <c r="D4034" s="4">
        <v>73203</v>
      </c>
      <c r="E4034" s="4">
        <v>20210326</v>
      </c>
      <c r="F4034" s="4">
        <v>20210326</v>
      </c>
      <c r="G4034" s="4">
        <v>20240326</v>
      </c>
      <c r="H4034" s="4" t="s">
        <v>4412</v>
      </c>
      <c r="J4034" s="4" t="s">
        <v>260</v>
      </c>
    </row>
    <row r="4035" spans="1:10" hidden="1">
      <c r="A4035" s="4">
        <v>2.0210328903000198E+17</v>
      </c>
      <c r="B4035" s="4">
        <v>2081278139</v>
      </c>
      <c r="C4035" s="4" t="s">
        <v>5408</v>
      </c>
      <c r="D4035" s="4">
        <v>28903</v>
      </c>
      <c r="E4035" s="4">
        <v>20210326</v>
      </c>
      <c r="F4035" s="4">
        <v>20210326</v>
      </c>
      <c r="G4035" s="4">
        <v>20240326</v>
      </c>
      <c r="H4035" s="4" t="s">
        <v>5407</v>
      </c>
      <c r="J4035" s="4" t="s">
        <v>460</v>
      </c>
    </row>
    <row r="4036" spans="1:10" hidden="1">
      <c r="A4036" s="4">
        <v>2.0210333910000198E+17</v>
      </c>
      <c r="B4036" s="4">
        <v>2192000204</v>
      </c>
      <c r="C4036" s="4" t="s">
        <v>5406</v>
      </c>
      <c r="D4036" s="4">
        <v>33910</v>
      </c>
      <c r="E4036" s="4">
        <v>20210326</v>
      </c>
      <c r="F4036" s="4">
        <v>20210326</v>
      </c>
      <c r="G4036" s="4">
        <v>20220827</v>
      </c>
      <c r="H4036" s="4" t="s">
        <v>5405</v>
      </c>
      <c r="I4036" s="4" t="s">
        <v>175</v>
      </c>
      <c r="J4036" s="4" t="s">
        <v>310</v>
      </c>
    </row>
    <row r="4037" spans="1:10" hidden="1">
      <c r="A4037" s="4">
        <v>2.0210346312000198E+17</v>
      </c>
      <c r="B4037" s="4">
        <v>5578701151</v>
      </c>
      <c r="C4037" s="4" t="s">
        <v>5404</v>
      </c>
      <c r="D4037" s="4">
        <v>46312</v>
      </c>
      <c r="E4037" s="4">
        <v>20210326</v>
      </c>
      <c r="F4037" s="4">
        <v>20210326</v>
      </c>
      <c r="G4037" s="4">
        <v>20240326</v>
      </c>
      <c r="H4037" s="4" t="s">
        <v>5403</v>
      </c>
      <c r="I4037" s="4" t="s">
        <v>5402</v>
      </c>
      <c r="J4037" s="4" t="s">
        <v>5401</v>
      </c>
    </row>
    <row r="4038" spans="1:10" hidden="1">
      <c r="A4038" s="4">
        <v>2.0210326299000198E+17</v>
      </c>
      <c r="B4038" s="4">
        <v>5503700253</v>
      </c>
      <c r="C4038" s="4" t="s">
        <v>5400</v>
      </c>
      <c r="D4038" s="4">
        <v>26299</v>
      </c>
      <c r="E4038" s="4">
        <v>20210326</v>
      </c>
      <c r="F4038" s="4">
        <v>20210326</v>
      </c>
      <c r="G4038" s="4">
        <v>20240116</v>
      </c>
      <c r="H4038" s="4" t="s">
        <v>5399</v>
      </c>
      <c r="I4038" s="4" t="s">
        <v>5398</v>
      </c>
      <c r="J4038" s="4" t="s">
        <v>339</v>
      </c>
    </row>
    <row r="4039" spans="1:10" hidden="1">
      <c r="A4039" s="4">
        <v>2.0210346739000198E+17</v>
      </c>
      <c r="B4039" s="4">
        <v>5590200980</v>
      </c>
      <c r="C4039" s="4" t="s">
        <v>5397</v>
      </c>
      <c r="D4039" s="4">
        <v>46739</v>
      </c>
      <c r="E4039" s="4">
        <v>20210326</v>
      </c>
      <c r="F4039" s="4">
        <v>20210326</v>
      </c>
      <c r="G4039" s="4">
        <v>20240326</v>
      </c>
      <c r="H4039" s="4" t="s">
        <v>5396</v>
      </c>
      <c r="J4039" s="4" t="s">
        <v>2551</v>
      </c>
    </row>
    <row r="4040" spans="1:10" hidden="1">
      <c r="A4040" s="4">
        <v>2.0210325112000198E+17</v>
      </c>
      <c r="B4040" s="4">
        <v>2138700723</v>
      </c>
      <c r="C4040" s="4" t="s">
        <v>5395</v>
      </c>
      <c r="D4040" s="4">
        <v>25112</v>
      </c>
      <c r="E4040" s="4">
        <v>20210326</v>
      </c>
      <c r="F4040" s="4">
        <v>20210326</v>
      </c>
      <c r="G4040" s="4">
        <v>20240228</v>
      </c>
      <c r="H4040" s="4" t="s">
        <v>5394</v>
      </c>
      <c r="J4040" s="4" t="s">
        <v>320</v>
      </c>
    </row>
    <row r="4041" spans="1:10" hidden="1">
      <c r="A4041" s="4">
        <v>2.0210358113000198E+17</v>
      </c>
      <c r="B4041" s="4">
        <v>3629301267</v>
      </c>
      <c r="C4041" s="4" t="s">
        <v>5393</v>
      </c>
      <c r="D4041" s="4">
        <v>58113</v>
      </c>
      <c r="E4041" s="4">
        <v>20210326</v>
      </c>
      <c r="F4041" s="4">
        <v>20210326</v>
      </c>
      <c r="G4041" s="4">
        <v>20240326</v>
      </c>
      <c r="H4041" s="4" t="s">
        <v>5275</v>
      </c>
      <c r="I4041" s="4" t="s">
        <v>185</v>
      </c>
      <c r="J4041" s="4" t="s">
        <v>512</v>
      </c>
    </row>
    <row r="4042" spans="1:10" hidden="1">
      <c r="A4042" s="4">
        <v>2.0210333910000198E+17</v>
      </c>
      <c r="B4042" s="4">
        <v>2631200486</v>
      </c>
      <c r="C4042" s="4" t="s">
        <v>5392</v>
      </c>
      <c r="D4042" s="4">
        <v>33910</v>
      </c>
      <c r="E4042" s="4">
        <v>20210326</v>
      </c>
      <c r="F4042" s="4">
        <v>20210326</v>
      </c>
      <c r="G4042" s="4">
        <v>20240213</v>
      </c>
      <c r="H4042" s="4" t="s">
        <v>5391</v>
      </c>
      <c r="I4042" s="4" t="s">
        <v>149</v>
      </c>
      <c r="J4042" s="4" t="s">
        <v>310</v>
      </c>
    </row>
    <row r="4043" spans="1:10" hidden="1">
      <c r="A4043" s="4">
        <v>2.0210329133000198E+17</v>
      </c>
      <c r="B4043" s="4">
        <v>6978801534</v>
      </c>
      <c r="C4043" s="4" t="s">
        <v>5389</v>
      </c>
      <c r="D4043" s="4">
        <v>29133</v>
      </c>
      <c r="E4043" s="4">
        <v>20210326</v>
      </c>
      <c r="F4043" s="4">
        <v>20210326</v>
      </c>
      <c r="G4043" s="4">
        <v>20240326</v>
      </c>
      <c r="H4043" s="4" t="s">
        <v>5390</v>
      </c>
      <c r="I4043" s="4" t="s">
        <v>5389</v>
      </c>
      <c r="J4043" s="4" t="s">
        <v>990</v>
      </c>
    </row>
    <row r="4044" spans="1:10" hidden="1">
      <c r="A4044" s="4">
        <v>2.0210328903000198E+17</v>
      </c>
      <c r="B4044" s="4">
        <v>8128801128</v>
      </c>
      <c r="C4044" s="4" t="s">
        <v>5388</v>
      </c>
      <c r="D4044" s="4">
        <v>28903</v>
      </c>
      <c r="E4044" s="4">
        <v>20210326</v>
      </c>
      <c r="F4044" s="4">
        <v>20210326</v>
      </c>
      <c r="G4044" s="4">
        <v>20240326</v>
      </c>
      <c r="H4044" s="4" t="s">
        <v>5387</v>
      </c>
      <c r="I4044" s="4" t="s">
        <v>2448</v>
      </c>
      <c r="J4044" s="4" t="s">
        <v>460</v>
      </c>
    </row>
    <row r="4045" spans="1:10" hidden="1">
      <c r="A4045" s="4">
        <v>2.0210326429000198E+17</v>
      </c>
      <c r="B4045" s="4">
        <v>1408601766</v>
      </c>
      <c r="C4045" s="4" t="s">
        <v>5386</v>
      </c>
      <c r="D4045" s="4">
        <v>26429</v>
      </c>
      <c r="E4045" s="4">
        <v>20210326</v>
      </c>
      <c r="F4045" s="4">
        <v>20210326</v>
      </c>
      <c r="G4045" s="4">
        <v>20240326</v>
      </c>
      <c r="H4045" s="4" t="s">
        <v>3003</v>
      </c>
      <c r="I4045" s="4" t="s">
        <v>5385</v>
      </c>
      <c r="J4045" s="4" t="s">
        <v>422</v>
      </c>
    </row>
    <row r="4046" spans="1:10" hidden="1">
      <c r="A4046" s="4">
        <v>2.0210333309000198E+17</v>
      </c>
      <c r="B4046" s="4">
        <v>4508701791</v>
      </c>
      <c r="C4046" s="4" t="s">
        <v>5384</v>
      </c>
      <c r="D4046" s="4">
        <v>33309</v>
      </c>
      <c r="E4046" s="4">
        <v>20210326</v>
      </c>
      <c r="F4046" s="4">
        <v>20210326</v>
      </c>
      <c r="G4046" s="4">
        <v>20240326</v>
      </c>
      <c r="H4046" s="4" t="s">
        <v>5383</v>
      </c>
      <c r="I4046" s="4" t="s">
        <v>5382</v>
      </c>
      <c r="J4046" s="4" t="s">
        <v>238</v>
      </c>
    </row>
    <row r="4047" spans="1:10" hidden="1">
      <c r="A4047" s="4">
        <v>2.0210332029000198E+17</v>
      </c>
      <c r="B4047" s="4">
        <v>4971501191</v>
      </c>
      <c r="C4047" s="4" t="s">
        <v>5381</v>
      </c>
      <c r="D4047" s="4">
        <v>32029</v>
      </c>
      <c r="E4047" s="4">
        <v>20210326</v>
      </c>
      <c r="F4047" s="4">
        <v>20210326</v>
      </c>
      <c r="G4047" s="4">
        <v>20240326</v>
      </c>
      <c r="H4047" s="4" t="s">
        <v>5380</v>
      </c>
      <c r="J4047" s="4" t="s">
        <v>637</v>
      </c>
    </row>
    <row r="4048" spans="1:10" hidden="1">
      <c r="A4048" s="4">
        <v>2.0210316101000198E+17</v>
      </c>
      <c r="B4048" s="4">
        <v>7168801999</v>
      </c>
      <c r="C4048" s="4" t="s">
        <v>5379</v>
      </c>
      <c r="D4048" s="4">
        <v>16101</v>
      </c>
      <c r="E4048" s="4">
        <v>20210326</v>
      </c>
      <c r="F4048" s="4">
        <v>20210326</v>
      </c>
      <c r="G4048" s="4">
        <v>20240326</v>
      </c>
      <c r="H4048" s="4" t="s">
        <v>5378</v>
      </c>
      <c r="J4048" s="4" t="s">
        <v>468</v>
      </c>
    </row>
    <row r="4049" spans="1:10" hidden="1">
      <c r="A4049" s="4">
        <v>2.0210359113000198E+17</v>
      </c>
      <c r="B4049" s="4">
        <v>5783001080</v>
      </c>
      <c r="C4049" s="4" t="s">
        <v>5377</v>
      </c>
      <c r="D4049" s="4">
        <v>59113</v>
      </c>
      <c r="E4049" s="4">
        <v>20210326</v>
      </c>
      <c r="F4049" s="4">
        <v>20210326</v>
      </c>
      <c r="G4049" s="4">
        <v>20240326</v>
      </c>
      <c r="H4049" s="4" t="s">
        <v>5376</v>
      </c>
      <c r="I4049" s="4" t="s">
        <v>5375</v>
      </c>
      <c r="J4049" s="4" t="s">
        <v>3651</v>
      </c>
    </row>
    <row r="4050" spans="1:10" hidden="1">
      <c r="A4050" s="4">
        <v>2.0210316101000198E+17</v>
      </c>
      <c r="B4050" s="4">
        <v>4128701687</v>
      </c>
      <c r="C4050" s="4" t="s">
        <v>5374</v>
      </c>
      <c r="D4050" s="4">
        <v>16101</v>
      </c>
      <c r="E4050" s="4">
        <v>20210326</v>
      </c>
      <c r="F4050" s="4">
        <v>20210326</v>
      </c>
      <c r="G4050" s="4">
        <v>20240326</v>
      </c>
      <c r="H4050" s="4" t="s">
        <v>5373</v>
      </c>
      <c r="J4050" s="4" t="s">
        <v>468</v>
      </c>
    </row>
    <row r="4051" spans="1:10" hidden="1">
      <c r="A4051" s="4">
        <v>2.0210316229000198E+17</v>
      </c>
      <c r="B4051" s="4">
        <v>1408190527</v>
      </c>
      <c r="C4051" s="4" t="s">
        <v>5372</v>
      </c>
      <c r="D4051" s="4">
        <v>16229</v>
      </c>
      <c r="E4051" s="4">
        <v>20210326</v>
      </c>
      <c r="F4051" s="4">
        <v>20210326</v>
      </c>
      <c r="G4051" s="4">
        <v>20210912</v>
      </c>
      <c r="H4051" s="4" t="s">
        <v>5371</v>
      </c>
      <c r="J4051" s="4" t="s">
        <v>1451</v>
      </c>
    </row>
    <row r="4052" spans="1:10" hidden="1">
      <c r="A4052" s="4">
        <v>2.0210373909000198E+17</v>
      </c>
      <c r="B4052" s="4">
        <v>1088700926</v>
      </c>
      <c r="C4052" s="4" t="s">
        <v>5370</v>
      </c>
      <c r="D4052" s="4">
        <v>73909</v>
      </c>
      <c r="E4052" s="4">
        <v>20210326</v>
      </c>
      <c r="F4052" s="4">
        <v>20210326</v>
      </c>
      <c r="G4052" s="4">
        <v>20240326</v>
      </c>
      <c r="H4052" s="4" t="s">
        <v>2433</v>
      </c>
      <c r="I4052" s="4" t="s">
        <v>5369</v>
      </c>
      <c r="J4052" s="4" t="s">
        <v>293</v>
      </c>
    </row>
    <row r="4053" spans="1:10" hidden="1">
      <c r="A4053" s="4">
        <v>2.0210313222000198E+17</v>
      </c>
      <c r="B4053" s="4">
        <v>3638600657</v>
      </c>
      <c r="C4053" s="4" t="s">
        <v>5368</v>
      </c>
      <c r="D4053" s="4">
        <v>13222</v>
      </c>
      <c r="E4053" s="4">
        <v>20210326</v>
      </c>
      <c r="F4053" s="4">
        <v>20210326</v>
      </c>
      <c r="G4053" s="4">
        <v>20240326</v>
      </c>
      <c r="H4053" s="4" t="s">
        <v>5367</v>
      </c>
      <c r="I4053" s="4" t="s">
        <v>5366</v>
      </c>
      <c r="J4053" s="4" t="s">
        <v>5365</v>
      </c>
    </row>
    <row r="4054" spans="1:10" hidden="1">
      <c r="A4054" s="4">
        <v>2.0210329222000198E+17</v>
      </c>
      <c r="B4054" s="4">
        <v>5248800203</v>
      </c>
      <c r="C4054" s="4" t="s">
        <v>5364</v>
      </c>
      <c r="D4054" s="4">
        <v>29222</v>
      </c>
      <c r="E4054" s="4">
        <v>20210326</v>
      </c>
      <c r="F4054" s="4">
        <v>20210326</v>
      </c>
      <c r="G4054" s="4">
        <v>20221113</v>
      </c>
      <c r="H4054" s="4" t="s">
        <v>5363</v>
      </c>
      <c r="I4054" s="4" t="s">
        <v>5362</v>
      </c>
      <c r="J4054" s="4" t="s">
        <v>4276</v>
      </c>
    </row>
    <row r="4055" spans="1:10" hidden="1">
      <c r="A4055" s="4">
        <v>2.0210328519000198E+17</v>
      </c>
      <c r="B4055" s="4">
        <v>4768601248</v>
      </c>
      <c r="C4055" s="4" t="s">
        <v>5361</v>
      </c>
      <c r="D4055" s="4">
        <v>28519</v>
      </c>
      <c r="E4055" s="4">
        <v>20210326</v>
      </c>
      <c r="F4055" s="4">
        <v>20210326</v>
      </c>
      <c r="G4055" s="4">
        <v>20240326</v>
      </c>
      <c r="H4055" s="4" t="s">
        <v>2220</v>
      </c>
      <c r="I4055" s="4" t="s">
        <v>5360</v>
      </c>
      <c r="J4055" s="4" t="s">
        <v>1412</v>
      </c>
    </row>
    <row r="4056" spans="1:10" hidden="1">
      <c r="A4056" s="4">
        <v>2.0210375992000198E+17</v>
      </c>
      <c r="B4056" s="4">
        <v>8528801067</v>
      </c>
      <c r="C4056" s="4" t="s">
        <v>5359</v>
      </c>
      <c r="D4056" s="4">
        <v>75992</v>
      </c>
      <c r="E4056" s="4">
        <v>20210326</v>
      </c>
      <c r="F4056" s="4">
        <v>20210326</v>
      </c>
      <c r="G4056" s="4">
        <v>20240326</v>
      </c>
      <c r="H4056" s="4" t="s">
        <v>5358</v>
      </c>
      <c r="J4056" s="4" t="s">
        <v>111</v>
      </c>
    </row>
    <row r="4057" spans="1:10" hidden="1">
      <c r="A4057" s="4">
        <v>2.0210326429000198E+17</v>
      </c>
      <c r="B4057" s="4">
        <v>7998101433</v>
      </c>
      <c r="C4057" s="4" t="s">
        <v>5357</v>
      </c>
      <c r="D4057" s="4">
        <v>26429</v>
      </c>
      <c r="E4057" s="4">
        <v>20210326</v>
      </c>
      <c r="F4057" s="4">
        <v>20210326</v>
      </c>
      <c r="G4057" s="4">
        <v>20240326</v>
      </c>
      <c r="H4057" s="4" t="s">
        <v>1481</v>
      </c>
      <c r="I4057" s="4" t="s">
        <v>5356</v>
      </c>
      <c r="J4057" s="4" t="s">
        <v>422</v>
      </c>
    </row>
    <row r="4058" spans="1:10" hidden="1">
      <c r="A4058" s="4">
        <v>2.0210329210000198E+17</v>
      </c>
      <c r="B4058" s="4">
        <v>4098700552</v>
      </c>
      <c r="C4058" s="4" t="s">
        <v>5355</v>
      </c>
      <c r="D4058" s="4">
        <v>29210</v>
      </c>
      <c r="E4058" s="4">
        <v>20210326</v>
      </c>
      <c r="F4058" s="4">
        <v>20210326</v>
      </c>
      <c r="G4058" s="4">
        <v>20230906</v>
      </c>
      <c r="H4058" s="4" t="s">
        <v>4322</v>
      </c>
      <c r="J4058" s="4" t="s">
        <v>1274</v>
      </c>
    </row>
    <row r="4059" spans="1:10" hidden="1">
      <c r="A4059" s="4">
        <v>2.0210320499000198E+17</v>
      </c>
      <c r="B4059" s="4">
        <v>3158600963</v>
      </c>
      <c r="C4059" s="4" t="s">
        <v>5354</v>
      </c>
      <c r="D4059" s="4">
        <v>20499</v>
      </c>
      <c r="E4059" s="4">
        <v>20210326</v>
      </c>
      <c r="F4059" s="4">
        <v>20210326</v>
      </c>
      <c r="G4059" s="4">
        <v>20240326</v>
      </c>
      <c r="H4059" s="4" t="s">
        <v>5353</v>
      </c>
      <c r="J4059" s="4" t="s">
        <v>406</v>
      </c>
    </row>
    <row r="4060" spans="1:10" hidden="1">
      <c r="A4060" s="4">
        <v>2.0210347912000198E+17</v>
      </c>
      <c r="B4060" s="4">
        <v>5618600983</v>
      </c>
      <c r="C4060" s="4" t="s">
        <v>5352</v>
      </c>
      <c r="D4060" s="4">
        <v>47912</v>
      </c>
      <c r="E4060" s="4">
        <v>20210326</v>
      </c>
      <c r="F4060" s="4">
        <v>20210326</v>
      </c>
      <c r="G4060" s="4">
        <v>20240326</v>
      </c>
      <c r="H4060" s="4" t="s">
        <v>5351</v>
      </c>
      <c r="I4060" s="4" t="s">
        <v>5350</v>
      </c>
      <c r="J4060" s="4" t="s">
        <v>78</v>
      </c>
    </row>
    <row r="4061" spans="1:10" hidden="1">
      <c r="A4061" s="4">
        <v>2.0210328903000198E+17</v>
      </c>
      <c r="B4061" s="4">
        <v>3288701529</v>
      </c>
      <c r="C4061" s="4" t="s">
        <v>5349</v>
      </c>
      <c r="D4061" s="4">
        <v>28903</v>
      </c>
      <c r="E4061" s="4">
        <v>20210326</v>
      </c>
      <c r="F4061" s="4">
        <v>20210326</v>
      </c>
      <c r="G4061" s="4">
        <v>20240326</v>
      </c>
      <c r="H4061" s="4" t="s">
        <v>5348</v>
      </c>
      <c r="I4061" s="4" t="s">
        <v>149</v>
      </c>
      <c r="J4061" s="4" t="s">
        <v>460</v>
      </c>
    </row>
    <row r="4062" spans="1:10" hidden="1">
      <c r="A4062" s="4">
        <v>2.0210342412000198E+17</v>
      </c>
      <c r="B4062" s="4">
        <v>4688800408</v>
      </c>
      <c r="C4062" s="4" t="s">
        <v>5347</v>
      </c>
      <c r="D4062" s="4">
        <v>42412</v>
      </c>
      <c r="E4062" s="4">
        <v>20210326</v>
      </c>
      <c r="F4062" s="4">
        <v>20210326</v>
      </c>
      <c r="G4062" s="4">
        <v>20230721</v>
      </c>
      <c r="H4062" s="4" t="s">
        <v>5346</v>
      </c>
      <c r="J4062" s="4" t="s">
        <v>281</v>
      </c>
    </row>
    <row r="4063" spans="1:10" hidden="1">
      <c r="A4063" s="4">
        <v>2.0210375992000198E+17</v>
      </c>
      <c r="B4063" s="4">
        <v>5628101485</v>
      </c>
      <c r="C4063" s="4" t="s">
        <v>5345</v>
      </c>
      <c r="D4063" s="4">
        <v>75992</v>
      </c>
      <c r="E4063" s="4">
        <v>20210326</v>
      </c>
      <c r="F4063" s="4">
        <v>20210326</v>
      </c>
      <c r="G4063" s="4">
        <v>20240326</v>
      </c>
      <c r="H4063" s="4" t="s">
        <v>5344</v>
      </c>
      <c r="I4063" s="4" t="s">
        <v>5343</v>
      </c>
      <c r="J4063" s="4" t="s">
        <v>111</v>
      </c>
    </row>
    <row r="4064" spans="1:10" hidden="1">
      <c r="A4064" s="4">
        <v>2.0210326519000198E+17</v>
      </c>
      <c r="B4064" s="4">
        <v>2748600944</v>
      </c>
      <c r="C4064" s="4" t="s">
        <v>5342</v>
      </c>
      <c r="D4064" s="4">
        <v>26519</v>
      </c>
      <c r="E4064" s="4">
        <v>20210326</v>
      </c>
      <c r="F4064" s="4">
        <v>20210326</v>
      </c>
      <c r="G4064" s="4">
        <v>20240326</v>
      </c>
      <c r="H4064" s="4" t="s">
        <v>4421</v>
      </c>
      <c r="I4064" s="4" t="s">
        <v>5341</v>
      </c>
      <c r="J4064" s="4" t="s">
        <v>668</v>
      </c>
    </row>
    <row r="4065" spans="1:10" hidden="1">
      <c r="A4065" s="4">
        <v>2.0210347311000198E+17</v>
      </c>
      <c r="B4065" s="4">
        <v>4578800301</v>
      </c>
      <c r="C4065" s="4" t="s">
        <v>5340</v>
      </c>
      <c r="D4065" s="4">
        <v>47311</v>
      </c>
      <c r="E4065" s="4">
        <v>20210326</v>
      </c>
      <c r="F4065" s="4">
        <v>20210326</v>
      </c>
      <c r="G4065" s="4">
        <v>20230225</v>
      </c>
      <c r="H4065" s="4" t="s">
        <v>5339</v>
      </c>
      <c r="J4065" s="4" t="s">
        <v>588</v>
      </c>
    </row>
    <row r="4066" spans="1:10" hidden="1">
      <c r="A4066" s="4">
        <v>2.0210333999000198E+17</v>
      </c>
      <c r="B4066" s="4">
        <v>6738800470</v>
      </c>
      <c r="C4066" s="4" t="s">
        <v>5338</v>
      </c>
      <c r="D4066" s="4">
        <v>33999</v>
      </c>
      <c r="E4066" s="4">
        <v>20210326</v>
      </c>
      <c r="F4066" s="4">
        <v>20210326</v>
      </c>
      <c r="G4066" s="4">
        <v>20231010</v>
      </c>
      <c r="H4066" s="4" t="s">
        <v>202</v>
      </c>
      <c r="J4066" s="4" t="s">
        <v>780</v>
      </c>
    </row>
    <row r="4067" spans="1:10" hidden="1">
      <c r="A4067" s="4">
        <v>2.0210322229000198E+17</v>
      </c>
      <c r="B4067" s="4">
        <v>2678600290</v>
      </c>
      <c r="C4067" s="4" t="s">
        <v>5337</v>
      </c>
      <c r="D4067" s="4">
        <v>22229</v>
      </c>
      <c r="E4067" s="4">
        <v>20210326</v>
      </c>
      <c r="F4067" s="4">
        <v>20210326</v>
      </c>
      <c r="G4067" s="4">
        <v>20230428</v>
      </c>
      <c r="H4067" s="4" t="s">
        <v>5336</v>
      </c>
      <c r="J4067" s="4" t="s">
        <v>554</v>
      </c>
    </row>
    <row r="4068" spans="1:10" hidden="1">
      <c r="A4068" s="4">
        <v>2.0210362021000198E+17</v>
      </c>
      <c r="B4068" s="4">
        <v>2988701984</v>
      </c>
      <c r="C4068" s="4" t="s">
        <v>5335</v>
      </c>
      <c r="D4068" s="4">
        <v>62021</v>
      </c>
      <c r="E4068" s="4">
        <v>20210326</v>
      </c>
      <c r="F4068" s="4">
        <v>20210326</v>
      </c>
      <c r="G4068" s="4">
        <v>20240326</v>
      </c>
      <c r="H4068" s="4" t="s">
        <v>5334</v>
      </c>
      <c r="J4068" s="4" t="s">
        <v>1505</v>
      </c>
    </row>
    <row r="4069" spans="1:10" hidden="1">
      <c r="A4069" s="4">
        <v>2.0210342202000198E+17</v>
      </c>
      <c r="B4069" s="4">
        <v>3068137651</v>
      </c>
      <c r="C4069" s="4" t="s">
        <v>5333</v>
      </c>
      <c r="D4069" s="4">
        <v>42202</v>
      </c>
      <c r="E4069" s="4">
        <v>20210326</v>
      </c>
      <c r="F4069" s="4">
        <v>20210326</v>
      </c>
      <c r="G4069" s="4">
        <v>20240326</v>
      </c>
      <c r="H4069" s="4" t="s">
        <v>5332</v>
      </c>
      <c r="J4069" s="4" t="s">
        <v>447</v>
      </c>
    </row>
    <row r="4070" spans="1:10" hidden="1">
      <c r="A4070" s="4">
        <v>2.0210346595000198E+17</v>
      </c>
      <c r="B4070" s="4">
        <v>7260800582</v>
      </c>
      <c r="C4070" s="4" t="s">
        <v>5331</v>
      </c>
      <c r="D4070" s="4">
        <v>46595</v>
      </c>
      <c r="E4070" s="4">
        <v>20210326</v>
      </c>
      <c r="F4070" s="4">
        <v>20210326</v>
      </c>
      <c r="G4070" s="4">
        <v>20240326</v>
      </c>
      <c r="H4070" s="4" t="s">
        <v>5330</v>
      </c>
      <c r="I4070" s="4" t="s">
        <v>5329</v>
      </c>
      <c r="J4070" s="4" t="s">
        <v>960</v>
      </c>
    </row>
    <row r="4071" spans="1:10" hidden="1">
      <c r="A4071" s="4">
        <v>2.0210325914000198E+17</v>
      </c>
      <c r="B4071" s="4">
        <v>3851601497</v>
      </c>
      <c r="C4071" s="4" t="s">
        <v>5328</v>
      </c>
      <c r="D4071" s="4">
        <v>25914</v>
      </c>
      <c r="E4071" s="4">
        <v>20210326</v>
      </c>
      <c r="F4071" s="4">
        <v>20210326</v>
      </c>
      <c r="G4071" s="4">
        <v>20240326</v>
      </c>
      <c r="H4071" s="4" t="s">
        <v>5327</v>
      </c>
      <c r="I4071" s="4" t="s">
        <v>2340</v>
      </c>
      <c r="J4071" s="4" t="s">
        <v>1012</v>
      </c>
    </row>
    <row r="4072" spans="1:10" hidden="1">
      <c r="A4072" s="4">
        <v>2.0210320202000198E+17</v>
      </c>
      <c r="B4072" s="4">
        <v>4048700654</v>
      </c>
      <c r="C4072" s="4" t="s">
        <v>5326</v>
      </c>
      <c r="D4072" s="4">
        <v>20202</v>
      </c>
      <c r="E4072" s="4">
        <v>20210326</v>
      </c>
      <c r="F4072" s="4">
        <v>20210326</v>
      </c>
      <c r="G4072" s="4">
        <v>20240112</v>
      </c>
      <c r="H4072" s="4" t="s">
        <v>5325</v>
      </c>
      <c r="I4072" s="4" t="s">
        <v>5324</v>
      </c>
      <c r="J4072" s="4" t="s">
        <v>224</v>
      </c>
    </row>
    <row r="4073" spans="1:10" hidden="1">
      <c r="A4073" s="4">
        <v>2.0210329174000198E+17</v>
      </c>
      <c r="B4073" s="4">
        <v>3564600629</v>
      </c>
      <c r="C4073" s="4" t="s">
        <v>5323</v>
      </c>
      <c r="D4073" s="4">
        <v>29174</v>
      </c>
      <c r="E4073" s="4">
        <v>20210326</v>
      </c>
      <c r="F4073" s="4">
        <v>20210326</v>
      </c>
      <c r="G4073" s="4">
        <v>20240326</v>
      </c>
      <c r="H4073" s="4" t="s">
        <v>1948</v>
      </c>
      <c r="I4073" s="4" t="s">
        <v>5322</v>
      </c>
      <c r="J4073" s="4" t="s">
        <v>877</v>
      </c>
    </row>
    <row r="4074" spans="1:10" hidden="1">
      <c r="A4074" s="4">
        <v>2.0210363999000198E+17</v>
      </c>
      <c r="B4074" s="4">
        <v>3860901639</v>
      </c>
      <c r="C4074" s="4" t="s">
        <v>5321</v>
      </c>
      <c r="D4074" s="4">
        <v>63999</v>
      </c>
      <c r="E4074" s="4">
        <v>20210326</v>
      </c>
      <c r="F4074" s="4">
        <v>20210326</v>
      </c>
      <c r="G4074" s="4">
        <v>20240326</v>
      </c>
      <c r="H4074" s="4" t="s">
        <v>5320</v>
      </c>
      <c r="I4074" s="4" t="s">
        <v>5319</v>
      </c>
      <c r="J4074" s="4" t="s">
        <v>643</v>
      </c>
    </row>
    <row r="4075" spans="1:10" hidden="1">
      <c r="A4075" s="4">
        <v>2.0210313219000198E+17</v>
      </c>
      <c r="B4075" s="4">
        <v>6078701932</v>
      </c>
      <c r="C4075" s="4" t="s">
        <v>5318</v>
      </c>
      <c r="D4075" s="4">
        <v>13219</v>
      </c>
      <c r="E4075" s="4">
        <v>20210326</v>
      </c>
      <c r="F4075" s="4">
        <v>20210326</v>
      </c>
      <c r="G4075" s="4">
        <v>20240326</v>
      </c>
      <c r="H4075" s="4" t="s">
        <v>5317</v>
      </c>
      <c r="J4075" s="4" t="s">
        <v>2829</v>
      </c>
    </row>
    <row r="4076" spans="1:10" hidden="1">
      <c r="A4076" s="4">
        <v>2.0210346510000198E+17</v>
      </c>
      <c r="B4076" s="4">
        <v>5117600131</v>
      </c>
      <c r="C4076" s="4" t="s">
        <v>5316</v>
      </c>
      <c r="D4076" s="4">
        <v>46510</v>
      </c>
      <c r="E4076" s="4">
        <v>20210326</v>
      </c>
      <c r="F4076" s="4">
        <v>20210326</v>
      </c>
      <c r="G4076" s="4">
        <v>20240326</v>
      </c>
      <c r="H4076" s="4" t="s">
        <v>458</v>
      </c>
      <c r="I4076" s="4" t="s">
        <v>5315</v>
      </c>
      <c r="J4076" s="4" t="s">
        <v>126</v>
      </c>
    </row>
    <row r="4077" spans="1:10" hidden="1">
      <c r="A4077" s="4">
        <v>2.0210342420000198E+17</v>
      </c>
      <c r="B4077" s="4">
        <v>5648601133</v>
      </c>
      <c r="C4077" s="4" t="s">
        <v>5314</v>
      </c>
      <c r="D4077" s="4">
        <v>42420</v>
      </c>
      <c r="E4077" s="4">
        <v>20210325</v>
      </c>
      <c r="F4077" s="4">
        <v>20210325</v>
      </c>
      <c r="G4077" s="4">
        <v>20240325</v>
      </c>
      <c r="H4077" s="4" t="s">
        <v>5313</v>
      </c>
      <c r="I4077" s="4" t="s">
        <v>149</v>
      </c>
      <c r="J4077" s="4" t="s">
        <v>1649</v>
      </c>
    </row>
    <row r="4078" spans="1:10" hidden="1">
      <c r="A4078" s="4">
        <v>2.0210362021000198E+17</v>
      </c>
      <c r="B4078" s="4">
        <v>5578600795</v>
      </c>
      <c r="C4078" s="4" t="s">
        <v>5312</v>
      </c>
      <c r="D4078" s="4">
        <v>62021</v>
      </c>
      <c r="E4078" s="4">
        <v>20210325</v>
      </c>
      <c r="F4078" s="4">
        <v>20210325</v>
      </c>
      <c r="G4078" s="4">
        <v>20240325</v>
      </c>
      <c r="H4078" s="4" t="s">
        <v>5311</v>
      </c>
      <c r="I4078" s="4" t="s">
        <v>5310</v>
      </c>
      <c r="J4078" s="4" t="s">
        <v>1505</v>
      </c>
    </row>
    <row r="4079" spans="1:10" hidden="1">
      <c r="A4079" s="4">
        <v>2.0210327214000198E+17</v>
      </c>
      <c r="B4079" s="4">
        <v>8098101671</v>
      </c>
      <c r="C4079" s="4" t="s">
        <v>5309</v>
      </c>
      <c r="D4079" s="4">
        <v>27214</v>
      </c>
      <c r="E4079" s="4">
        <v>20210325</v>
      </c>
      <c r="F4079" s="4">
        <v>20210325</v>
      </c>
      <c r="G4079" s="4">
        <v>20240325</v>
      </c>
      <c r="H4079" s="4" t="s">
        <v>4939</v>
      </c>
      <c r="I4079" s="4" t="s">
        <v>5308</v>
      </c>
      <c r="J4079" s="4" t="s">
        <v>4937</v>
      </c>
    </row>
    <row r="4080" spans="1:10" hidden="1">
      <c r="A4080" s="4">
        <v>2.0210346510000198E+17</v>
      </c>
      <c r="B4080" s="4">
        <v>7178600306</v>
      </c>
      <c r="C4080" s="4" t="s">
        <v>5307</v>
      </c>
      <c r="D4080" s="4">
        <v>46510</v>
      </c>
      <c r="E4080" s="4">
        <v>20210325</v>
      </c>
      <c r="F4080" s="4">
        <v>20210325</v>
      </c>
      <c r="G4080" s="4">
        <v>20230420</v>
      </c>
      <c r="H4080" s="4" t="s">
        <v>5306</v>
      </c>
      <c r="I4080" s="4" t="s">
        <v>5305</v>
      </c>
      <c r="J4080" s="4" t="s">
        <v>126</v>
      </c>
    </row>
    <row r="4081" spans="1:10" hidden="1">
      <c r="A4081" s="4">
        <v>2.0210326299000198E+17</v>
      </c>
      <c r="B4081" s="4">
        <v>5398800597</v>
      </c>
      <c r="C4081" s="4" t="s">
        <v>5303</v>
      </c>
      <c r="D4081" s="4">
        <v>26299</v>
      </c>
      <c r="E4081" s="4">
        <v>20210325</v>
      </c>
      <c r="F4081" s="4">
        <v>20210325</v>
      </c>
      <c r="G4081" s="4">
        <v>20231212</v>
      </c>
      <c r="H4081" s="4" t="s">
        <v>5304</v>
      </c>
      <c r="I4081" s="4" t="s">
        <v>5303</v>
      </c>
      <c r="J4081" s="4" t="s">
        <v>339</v>
      </c>
    </row>
    <row r="4082" spans="1:10" hidden="1">
      <c r="A4082" s="4">
        <v>2.0210327213000198E+17</v>
      </c>
      <c r="B4082" s="4">
        <v>1028701437</v>
      </c>
      <c r="C4082" s="4" t="s">
        <v>5302</v>
      </c>
      <c r="D4082" s="4">
        <v>27213</v>
      </c>
      <c r="E4082" s="4">
        <v>20210325</v>
      </c>
      <c r="F4082" s="4">
        <v>20210325</v>
      </c>
      <c r="G4082" s="4">
        <v>20240325</v>
      </c>
      <c r="H4082" s="4" t="s">
        <v>5301</v>
      </c>
      <c r="I4082" s="4" t="s">
        <v>5300</v>
      </c>
      <c r="J4082" s="4" t="s">
        <v>264</v>
      </c>
    </row>
    <row r="4083" spans="1:10" hidden="1">
      <c r="A4083" s="4">
        <v>2.0210329172000099E+17</v>
      </c>
      <c r="B4083" s="4">
        <v>5888601522</v>
      </c>
      <c r="C4083" s="4" t="s">
        <v>5298</v>
      </c>
      <c r="D4083" s="4">
        <v>29172</v>
      </c>
      <c r="E4083" s="4">
        <v>20210325</v>
      </c>
      <c r="F4083" s="4">
        <v>20210325</v>
      </c>
      <c r="G4083" s="4">
        <v>20240325</v>
      </c>
      <c r="H4083" s="4" t="s">
        <v>5299</v>
      </c>
      <c r="I4083" s="4" t="s">
        <v>5298</v>
      </c>
      <c r="J4083" s="4" t="s">
        <v>1204</v>
      </c>
    </row>
    <row r="4084" spans="1:10" hidden="1">
      <c r="A4084" s="4">
        <v>2.0210326429000198E+17</v>
      </c>
      <c r="B4084" s="4">
        <v>1978600685</v>
      </c>
      <c r="C4084" s="4" t="s">
        <v>5297</v>
      </c>
      <c r="D4084" s="4">
        <v>26429</v>
      </c>
      <c r="E4084" s="4">
        <v>20210325</v>
      </c>
      <c r="F4084" s="4">
        <v>20210325</v>
      </c>
      <c r="G4084" s="4">
        <v>20240325</v>
      </c>
      <c r="H4084" s="4" t="s">
        <v>1677</v>
      </c>
      <c r="I4084" s="4" t="s">
        <v>5296</v>
      </c>
      <c r="J4084" s="4" t="s">
        <v>422</v>
      </c>
    </row>
    <row r="4085" spans="1:10" hidden="1">
      <c r="A4085" s="4">
        <v>2.0210358222000198E+17</v>
      </c>
      <c r="B4085" s="4">
        <v>2028701208</v>
      </c>
      <c r="C4085" s="4" t="s">
        <v>5295</v>
      </c>
      <c r="D4085" s="4">
        <v>58222</v>
      </c>
      <c r="E4085" s="4">
        <v>20210325</v>
      </c>
      <c r="F4085" s="4">
        <v>20210325</v>
      </c>
      <c r="G4085" s="4">
        <v>20240325</v>
      </c>
      <c r="H4085" s="4" t="s">
        <v>3303</v>
      </c>
      <c r="I4085" s="4" t="s">
        <v>5294</v>
      </c>
      <c r="J4085" s="4" t="s">
        <v>94</v>
      </c>
    </row>
    <row r="4086" spans="1:10" hidden="1">
      <c r="A4086" s="4">
        <v>2.0210325113000198E+17</v>
      </c>
      <c r="B4086" s="4">
        <v>4308101058</v>
      </c>
      <c r="C4086" s="4" t="s">
        <v>5293</v>
      </c>
      <c r="D4086" s="4">
        <v>25113</v>
      </c>
      <c r="E4086" s="4">
        <v>20210325</v>
      </c>
      <c r="F4086" s="4">
        <v>20210325</v>
      </c>
      <c r="G4086" s="4">
        <v>20240325</v>
      </c>
      <c r="H4086" s="4" t="s">
        <v>5292</v>
      </c>
      <c r="J4086" s="4" t="s">
        <v>250</v>
      </c>
    </row>
    <row r="4087" spans="1:10" hidden="1">
      <c r="A4087" s="4">
        <v>2.0210363120000099E+17</v>
      </c>
      <c r="B4087" s="4">
        <v>6918800634</v>
      </c>
      <c r="C4087" s="4" t="s">
        <v>5291</v>
      </c>
      <c r="D4087" s="4">
        <v>63120</v>
      </c>
      <c r="E4087" s="4">
        <v>20210325</v>
      </c>
      <c r="F4087" s="4">
        <v>20210325</v>
      </c>
      <c r="G4087" s="4">
        <v>20240325</v>
      </c>
      <c r="H4087" s="4" t="s">
        <v>5290</v>
      </c>
      <c r="I4087" s="4" t="s">
        <v>5289</v>
      </c>
      <c r="J4087" s="4" t="s">
        <v>632</v>
      </c>
    </row>
    <row r="4088" spans="1:10" hidden="1">
      <c r="A4088" s="4">
        <v>2.0210328123000198E+17</v>
      </c>
      <c r="B4088" s="4">
        <v>4188701614</v>
      </c>
      <c r="C4088" s="4" t="s">
        <v>5288</v>
      </c>
      <c r="D4088" s="4">
        <v>28123</v>
      </c>
      <c r="E4088" s="4">
        <v>20210325</v>
      </c>
      <c r="F4088" s="4">
        <v>20210325</v>
      </c>
      <c r="G4088" s="4">
        <v>20240325</v>
      </c>
      <c r="H4088" s="4" t="s">
        <v>5287</v>
      </c>
      <c r="J4088" s="4" t="s">
        <v>640</v>
      </c>
    </row>
    <row r="4089" spans="1:10" hidden="1">
      <c r="A4089" s="4">
        <v>2.0210359113000198E+17</v>
      </c>
      <c r="B4089" s="4">
        <v>1952400906</v>
      </c>
      <c r="C4089" s="4" t="s">
        <v>5286</v>
      </c>
      <c r="D4089" s="4">
        <v>59113</v>
      </c>
      <c r="E4089" s="4">
        <v>20210325</v>
      </c>
      <c r="F4089" s="4">
        <v>20210325</v>
      </c>
      <c r="G4089" s="4">
        <v>20240325</v>
      </c>
      <c r="H4089" s="4" t="s">
        <v>5285</v>
      </c>
      <c r="J4089" s="4" t="s">
        <v>3651</v>
      </c>
    </row>
    <row r="4090" spans="1:10" hidden="1">
      <c r="A4090" s="4">
        <v>2.0210310791000099E+17</v>
      </c>
      <c r="B4090" s="4">
        <v>2856900364</v>
      </c>
      <c r="C4090" s="4" t="s">
        <v>5283</v>
      </c>
      <c r="D4090" s="4">
        <v>10791</v>
      </c>
      <c r="E4090" s="4">
        <v>20210325</v>
      </c>
      <c r="F4090" s="4">
        <v>20210325</v>
      </c>
      <c r="G4090" s="4">
        <v>20240325</v>
      </c>
      <c r="H4090" s="4" t="s">
        <v>5284</v>
      </c>
      <c r="I4090" s="4" t="s">
        <v>5283</v>
      </c>
      <c r="J4090" s="4" t="s">
        <v>335</v>
      </c>
    </row>
    <row r="4091" spans="1:10" hidden="1">
      <c r="A4091" s="4">
        <v>2.0210323111000198E+17</v>
      </c>
      <c r="B4091" s="4">
        <v>3702201443</v>
      </c>
      <c r="C4091" s="4" t="s">
        <v>3252</v>
      </c>
      <c r="D4091" s="4">
        <v>23111</v>
      </c>
      <c r="E4091" s="4">
        <v>20210325</v>
      </c>
      <c r="F4091" s="4">
        <v>20210325</v>
      </c>
      <c r="G4091" s="4">
        <v>20240325</v>
      </c>
      <c r="H4091" s="4" t="s">
        <v>1619</v>
      </c>
      <c r="J4091" s="4" t="s">
        <v>5282</v>
      </c>
    </row>
    <row r="4092" spans="1:10" hidden="1">
      <c r="A4092" s="4">
        <v>2.0210346699000198E+17</v>
      </c>
      <c r="B4092" s="4">
        <v>4801001276</v>
      </c>
      <c r="C4092" s="4" t="s">
        <v>5281</v>
      </c>
      <c r="D4092" s="4">
        <v>46699</v>
      </c>
      <c r="E4092" s="4">
        <v>20210325</v>
      </c>
      <c r="F4092" s="4">
        <v>20210325</v>
      </c>
      <c r="G4092" s="4">
        <v>20240325</v>
      </c>
      <c r="H4092" s="4" t="s">
        <v>5280</v>
      </c>
      <c r="J4092" s="4" t="s">
        <v>208</v>
      </c>
    </row>
    <row r="4093" spans="1:10" hidden="1">
      <c r="A4093" s="4">
        <v>2.0210358222000198E+17</v>
      </c>
      <c r="B4093" s="4">
        <v>2668102382</v>
      </c>
      <c r="C4093" s="4" t="s">
        <v>5279</v>
      </c>
      <c r="D4093" s="4">
        <v>58222</v>
      </c>
      <c r="E4093" s="4">
        <v>20210325</v>
      </c>
      <c r="F4093" s="4">
        <v>20210325</v>
      </c>
      <c r="G4093" s="4">
        <v>20240325</v>
      </c>
      <c r="H4093" s="4" t="s">
        <v>5278</v>
      </c>
      <c r="I4093" s="4" t="s">
        <v>5277</v>
      </c>
      <c r="J4093" s="4" t="s">
        <v>94</v>
      </c>
    </row>
    <row r="4094" spans="1:10" hidden="1">
      <c r="A4094" s="4">
        <v>2.0210358222000099E+17</v>
      </c>
      <c r="B4094" s="4">
        <v>7623200958</v>
      </c>
      <c r="C4094" s="4" t="s">
        <v>5276</v>
      </c>
      <c r="D4094" s="4">
        <v>58222</v>
      </c>
      <c r="E4094" s="4">
        <v>20210325</v>
      </c>
      <c r="F4094" s="4">
        <v>20210325</v>
      </c>
      <c r="G4094" s="4">
        <v>20240325</v>
      </c>
      <c r="H4094" s="4" t="s">
        <v>5275</v>
      </c>
      <c r="J4094" s="4" t="s">
        <v>94</v>
      </c>
    </row>
    <row r="4095" spans="1:10" hidden="1">
      <c r="A4095" s="4">
        <v>2.0210328429000198E+17</v>
      </c>
      <c r="B4095" s="4">
        <v>1805100308</v>
      </c>
      <c r="C4095" s="4" t="s">
        <v>5274</v>
      </c>
      <c r="D4095" s="4">
        <v>28429</v>
      </c>
      <c r="E4095" s="4">
        <v>20210325</v>
      </c>
      <c r="F4095" s="4">
        <v>20210325</v>
      </c>
      <c r="G4095" s="4">
        <v>20240325</v>
      </c>
      <c r="H4095" s="4" t="s">
        <v>5273</v>
      </c>
      <c r="I4095" s="4" t="s">
        <v>1455</v>
      </c>
      <c r="J4095" s="4" t="s">
        <v>765</v>
      </c>
    </row>
    <row r="4096" spans="1:10" hidden="1">
      <c r="A4096" s="4">
        <v>2.0210328422000198E+17</v>
      </c>
      <c r="B4096" s="4">
        <v>2568700749</v>
      </c>
      <c r="C4096" s="4" t="s">
        <v>5272</v>
      </c>
      <c r="D4096" s="4">
        <v>28422</v>
      </c>
      <c r="E4096" s="4">
        <v>20210325</v>
      </c>
      <c r="F4096" s="4">
        <v>20210325</v>
      </c>
      <c r="G4096" s="4">
        <v>20240325</v>
      </c>
      <c r="H4096" s="4" t="s">
        <v>5271</v>
      </c>
      <c r="I4096" s="4" t="s">
        <v>5270</v>
      </c>
      <c r="J4096" s="4" t="s">
        <v>188</v>
      </c>
    </row>
    <row r="4097" spans="1:10" hidden="1">
      <c r="A4097" s="4">
        <v>2.0210330391000198E+17</v>
      </c>
      <c r="B4097" s="4">
        <v>7218100810</v>
      </c>
      <c r="C4097" s="4" t="s">
        <v>5269</v>
      </c>
      <c r="D4097" s="4">
        <v>30391</v>
      </c>
      <c r="E4097" s="4">
        <v>20210325</v>
      </c>
      <c r="F4097" s="4">
        <v>20210325</v>
      </c>
      <c r="G4097" s="4">
        <v>20240325</v>
      </c>
      <c r="H4097" s="4" t="s">
        <v>5268</v>
      </c>
      <c r="J4097" s="4" t="s">
        <v>5267</v>
      </c>
    </row>
    <row r="4098" spans="1:10" hidden="1">
      <c r="A4098" s="4">
        <v>2.0210329174000099E+17</v>
      </c>
      <c r="B4098" s="4">
        <v>8238801851</v>
      </c>
      <c r="C4098" s="4" t="s">
        <v>5266</v>
      </c>
      <c r="D4098" s="4">
        <v>29174</v>
      </c>
      <c r="E4098" s="4">
        <v>20210325</v>
      </c>
      <c r="F4098" s="4">
        <v>20210325</v>
      </c>
      <c r="G4098" s="4">
        <v>20240325</v>
      </c>
      <c r="H4098" s="4" t="s">
        <v>5265</v>
      </c>
      <c r="I4098" s="4" t="s">
        <v>149</v>
      </c>
      <c r="J4098" s="4" t="s">
        <v>877</v>
      </c>
    </row>
    <row r="4099" spans="1:10">
      <c r="A4099" s="4">
        <v>2.0210318112000099E+17</v>
      </c>
      <c r="B4099" s="4">
        <v>1198211146</v>
      </c>
      <c r="C4099" s="4" t="s">
        <v>4251</v>
      </c>
      <c r="D4099" s="4">
        <v>18112</v>
      </c>
      <c r="E4099" s="4">
        <v>20210315</v>
      </c>
      <c r="F4099" s="4">
        <v>20210315</v>
      </c>
      <c r="G4099" s="4">
        <v>20210718</v>
      </c>
      <c r="H4099" s="4" t="s">
        <v>4250</v>
      </c>
      <c r="J4099" s="4" t="s">
        <v>4249</v>
      </c>
    </row>
    <row r="4100" spans="1:10" hidden="1">
      <c r="A4100" s="4">
        <v>2.0210328429000198E+17</v>
      </c>
      <c r="B4100" s="4">
        <v>6618801985</v>
      </c>
      <c r="C4100" s="4" t="s">
        <v>5261</v>
      </c>
      <c r="D4100" s="4">
        <v>28429</v>
      </c>
      <c r="E4100" s="4">
        <v>20210325</v>
      </c>
      <c r="F4100" s="4">
        <v>20210325</v>
      </c>
      <c r="G4100" s="4">
        <v>20240325</v>
      </c>
      <c r="H4100" s="4" t="s">
        <v>4657</v>
      </c>
      <c r="I4100" s="4" t="s">
        <v>5261</v>
      </c>
      <c r="J4100" s="4" t="s">
        <v>765</v>
      </c>
    </row>
    <row r="4101" spans="1:10" hidden="1">
      <c r="A4101" s="4">
        <v>2.0210323324000198E+17</v>
      </c>
      <c r="B4101" s="4">
        <v>8308601501</v>
      </c>
      <c r="C4101" s="4" t="s">
        <v>5260</v>
      </c>
      <c r="D4101" s="4">
        <v>23324</v>
      </c>
      <c r="E4101" s="4">
        <v>20210325</v>
      </c>
      <c r="F4101" s="4">
        <v>20210325</v>
      </c>
      <c r="G4101" s="4">
        <v>20240325</v>
      </c>
      <c r="H4101" s="4" t="s">
        <v>5259</v>
      </c>
      <c r="J4101" s="4" t="s">
        <v>3323</v>
      </c>
    </row>
    <row r="4102" spans="1:10" hidden="1">
      <c r="A4102" s="4">
        <v>2.0210329174000198E+17</v>
      </c>
      <c r="B4102" s="4">
        <v>3148801473</v>
      </c>
      <c r="C4102" s="4" t="s">
        <v>5258</v>
      </c>
      <c r="D4102" s="4">
        <v>29174</v>
      </c>
      <c r="E4102" s="4">
        <v>20210325</v>
      </c>
      <c r="F4102" s="4">
        <v>20210325</v>
      </c>
      <c r="G4102" s="4">
        <v>20240325</v>
      </c>
      <c r="H4102" s="4" t="s">
        <v>2114</v>
      </c>
      <c r="I4102" s="4" t="s">
        <v>5257</v>
      </c>
      <c r="J4102" s="4" t="s">
        <v>877</v>
      </c>
    </row>
    <row r="4103" spans="1:10" hidden="1">
      <c r="A4103" s="4">
        <v>2.0210385709000198E+17</v>
      </c>
      <c r="B4103" s="4">
        <v>8698101450</v>
      </c>
      <c r="C4103" s="4" t="s">
        <v>5256</v>
      </c>
      <c r="D4103" s="4">
        <v>85709</v>
      </c>
      <c r="E4103" s="4">
        <v>20210325</v>
      </c>
      <c r="F4103" s="4">
        <v>20210325</v>
      </c>
      <c r="G4103" s="4">
        <v>20240325</v>
      </c>
      <c r="H4103" s="4" t="s">
        <v>5255</v>
      </c>
      <c r="I4103" s="4" t="s">
        <v>91</v>
      </c>
      <c r="J4103" s="4" t="s">
        <v>141</v>
      </c>
    </row>
    <row r="4104" spans="1:10" hidden="1">
      <c r="A4104" s="4">
        <v>2.0210346443000198E+17</v>
      </c>
      <c r="B4104" s="4">
        <v>4608100365</v>
      </c>
      <c r="C4104" s="4" t="s">
        <v>5254</v>
      </c>
      <c r="D4104" s="4">
        <v>46443</v>
      </c>
      <c r="E4104" s="4">
        <v>20210325</v>
      </c>
      <c r="F4104" s="4">
        <v>20210325</v>
      </c>
      <c r="G4104" s="4">
        <v>20230324</v>
      </c>
      <c r="H4104" s="4" t="s">
        <v>1478</v>
      </c>
      <c r="I4104" s="4" t="s">
        <v>5253</v>
      </c>
      <c r="J4104" s="4" t="s">
        <v>1379</v>
      </c>
    </row>
    <row r="4105" spans="1:10" hidden="1">
      <c r="A4105" s="4">
        <v>2.0210370113000099E+17</v>
      </c>
      <c r="B4105" s="4">
        <v>4698601819</v>
      </c>
      <c r="C4105" s="4" t="s">
        <v>5252</v>
      </c>
      <c r="D4105" s="4">
        <v>70113</v>
      </c>
      <c r="E4105" s="4">
        <v>20210325</v>
      </c>
      <c r="F4105" s="4">
        <v>20210325</v>
      </c>
      <c r="G4105" s="4">
        <v>20240325</v>
      </c>
      <c r="H4105" s="4" t="s">
        <v>5251</v>
      </c>
      <c r="I4105" s="4" t="s">
        <v>1813</v>
      </c>
      <c r="J4105" s="4" t="s">
        <v>1173</v>
      </c>
    </row>
    <row r="4106" spans="1:10" hidden="1">
      <c r="A4106" s="4">
        <v>2.0210358222000099E+17</v>
      </c>
      <c r="B4106" s="4">
        <v>6078801093</v>
      </c>
      <c r="C4106" s="4" t="s">
        <v>5250</v>
      </c>
      <c r="D4106" s="4">
        <v>58222</v>
      </c>
      <c r="E4106" s="4">
        <v>20210325</v>
      </c>
      <c r="F4106" s="4">
        <v>20210325</v>
      </c>
      <c r="G4106" s="4">
        <v>20240325</v>
      </c>
      <c r="H4106" s="4" t="s">
        <v>5249</v>
      </c>
      <c r="I4106" s="4" t="s">
        <v>5248</v>
      </c>
      <c r="J4106" s="4" t="s">
        <v>94</v>
      </c>
    </row>
    <row r="4107" spans="1:10">
      <c r="A4107" s="4">
        <v>2.02106181190004E+17</v>
      </c>
      <c r="B4107" s="4">
        <v>7838700601</v>
      </c>
      <c r="C4107" s="4" t="s">
        <v>10271</v>
      </c>
      <c r="D4107" s="4">
        <v>18119</v>
      </c>
      <c r="E4107" s="4">
        <v>20210603</v>
      </c>
      <c r="F4107" s="4">
        <v>20210603</v>
      </c>
      <c r="G4107" s="4">
        <v>20230831</v>
      </c>
      <c r="H4107" s="4" t="s">
        <v>10270</v>
      </c>
      <c r="J4107" s="4" t="s">
        <v>707</v>
      </c>
    </row>
    <row r="4108" spans="1:10" hidden="1">
      <c r="A4108" s="4">
        <v>2.0210325931000198E+17</v>
      </c>
      <c r="B4108" s="4">
        <v>7268600315</v>
      </c>
      <c r="C4108" s="4" t="s">
        <v>5245</v>
      </c>
      <c r="D4108" s="4">
        <v>25931</v>
      </c>
      <c r="E4108" s="4">
        <v>20210325</v>
      </c>
      <c r="F4108" s="4">
        <v>20210325</v>
      </c>
      <c r="G4108" s="4">
        <v>20230114</v>
      </c>
      <c r="H4108" s="4" t="s">
        <v>5244</v>
      </c>
      <c r="I4108" s="4" t="s">
        <v>5243</v>
      </c>
      <c r="J4108" s="4" t="s">
        <v>5242</v>
      </c>
    </row>
    <row r="4109" spans="1:10" hidden="1">
      <c r="A4109" s="4">
        <v>2.0210328422000198E+17</v>
      </c>
      <c r="B4109" s="4">
        <v>4298800475</v>
      </c>
      <c r="C4109" s="4" t="s">
        <v>5241</v>
      </c>
      <c r="D4109" s="4">
        <v>28422</v>
      </c>
      <c r="E4109" s="4">
        <v>20210325</v>
      </c>
      <c r="F4109" s="4">
        <v>20210325</v>
      </c>
      <c r="G4109" s="4">
        <v>20231129</v>
      </c>
      <c r="H4109" s="4" t="s">
        <v>5240</v>
      </c>
      <c r="I4109" s="4" t="s">
        <v>5239</v>
      </c>
      <c r="J4109" s="4" t="s">
        <v>188</v>
      </c>
    </row>
    <row r="4110" spans="1:10" hidden="1">
      <c r="A4110" s="4">
        <v>2.0210342492000198E+17</v>
      </c>
      <c r="B4110" s="4">
        <v>5218600928</v>
      </c>
      <c r="C4110" s="4" t="s">
        <v>5238</v>
      </c>
      <c r="D4110" s="4">
        <v>42492</v>
      </c>
      <c r="E4110" s="4">
        <v>20210325</v>
      </c>
      <c r="F4110" s="4">
        <v>20210325</v>
      </c>
      <c r="G4110" s="4">
        <v>20240325</v>
      </c>
      <c r="H4110" s="4" t="s">
        <v>5237</v>
      </c>
      <c r="I4110" s="4" t="s">
        <v>5236</v>
      </c>
      <c r="J4110" s="4" t="s">
        <v>3977</v>
      </c>
    </row>
    <row r="4111" spans="1:10" hidden="1">
      <c r="A4111" s="4">
        <v>2.0210358222000198E+17</v>
      </c>
      <c r="B4111" s="4">
        <v>7758701569</v>
      </c>
      <c r="C4111" s="4" t="s">
        <v>5235</v>
      </c>
      <c r="D4111" s="4">
        <v>58222</v>
      </c>
      <c r="E4111" s="4">
        <v>20210325</v>
      </c>
      <c r="F4111" s="4">
        <v>20210325</v>
      </c>
      <c r="G4111" s="4">
        <v>20240325</v>
      </c>
      <c r="H4111" s="4" t="s">
        <v>5234</v>
      </c>
      <c r="I4111" s="4" t="s">
        <v>5233</v>
      </c>
      <c r="J4111" s="4" t="s">
        <v>94</v>
      </c>
    </row>
    <row r="4112" spans="1:10" hidden="1">
      <c r="A4112" s="4">
        <v>2.0210341221000198E+17</v>
      </c>
      <c r="B4112" s="4">
        <v>1148725107</v>
      </c>
      <c r="C4112" s="4" t="s">
        <v>5232</v>
      </c>
      <c r="D4112" s="4">
        <v>41221</v>
      </c>
      <c r="E4112" s="4">
        <v>20210325</v>
      </c>
      <c r="F4112" s="4">
        <v>20210325</v>
      </c>
      <c r="G4112" s="4">
        <v>20240215</v>
      </c>
      <c r="H4112" s="4" t="s">
        <v>5231</v>
      </c>
      <c r="I4112" s="4" t="s">
        <v>5230</v>
      </c>
      <c r="J4112" s="4" t="s">
        <v>1605</v>
      </c>
    </row>
    <row r="4113" spans="1:10" hidden="1">
      <c r="A4113" s="4">
        <v>2.0210313224000099E+17</v>
      </c>
      <c r="B4113" s="4">
        <v>7268101696</v>
      </c>
      <c r="C4113" s="4" t="s">
        <v>5229</v>
      </c>
      <c r="D4113" s="4">
        <v>13224</v>
      </c>
      <c r="E4113" s="4">
        <v>20210325</v>
      </c>
      <c r="F4113" s="4">
        <v>20210325</v>
      </c>
      <c r="G4113" s="4">
        <v>20240325</v>
      </c>
      <c r="H4113" s="4" t="s">
        <v>5228</v>
      </c>
      <c r="J4113" s="4" t="s">
        <v>672</v>
      </c>
    </row>
    <row r="4114" spans="1:10" hidden="1">
      <c r="A4114" s="4">
        <v>2.0210326291000099E+17</v>
      </c>
      <c r="B4114" s="4">
        <v>5818101832</v>
      </c>
      <c r="C4114" s="4" t="s">
        <v>5227</v>
      </c>
      <c r="D4114" s="4">
        <v>26291</v>
      </c>
      <c r="E4114" s="4">
        <v>20210325</v>
      </c>
      <c r="F4114" s="4">
        <v>20210325</v>
      </c>
      <c r="G4114" s="4">
        <v>20240325</v>
      </c>
      <c r="H4114" s="4" t="s">
        <v>5226</v>
      </c>
      <c r="J4114" s="4" t="s">
        <v>5225</v>
      </c>
    </row>
    <row r="4115" spans="1:10" hidden="1">
      <c r="A4115" s="4">
        <v>2.0210320202000099E+17</v>
      </c>
      <c r="B4115" s="4">
        <v>6458101553</v>
      </c>
      <c r="C4115" s="4" t="s">
        <v>5224</v>
      </c>
      <c r="D4115" s="4">
        <v>20202</v>
      </c>
      <c r="E4115" s="4">
        <v>20210325</v>
      </c>
      <c r="F4115" s="4">
        <v>20210325</v>
      </c>
      <c r="G4115" s="4">
        <v>20240325</v>
      </c>
      <c r="H4115" s="4" t="s">
        <v>5223</v>
      </c>
      <c r="J4115" s="4" t="s">
        <v>224</v>
      </c>
    </row>
    <row r="4116" spans="1:10" hidden="1">
      <c r="A4116" s="4">
        <v>2.0210325999000099E+17</v>
      </c>
      <c r="B4116" s="4">
        <v>7508701838</v>
      </c>
      <c r="C4116" s="4" t="s">
        <v>5222</v>
      </c>
      <c r="D4116" s="4">
        <v>25999</v>
      </c>
      <c r="E4116" s="4">
        <v>20210325</v>
      </c>
      <c r="F4116" s="4">
        <v>20210325</v>
      </c>
      <c r="G4116" s="4">
        <v>20240325</v>
      </c>
      <c r="H4116" s="4" t="s">
        <v>5221</v>
      </c>
      <c r="I4116" s="4" t="s">
        <v>1742</v>
      </c>
      <c r="J4116" s="4" t="s">
        <v>301</v>
      </c>
    </row>
    <row r="4117" spans="1:10" hidden="1">
      <c r="A4117" s="4">
        <v>2.0210310742000198E+17</v>
      </c>
      <c r="B4117" s="4">
        <v>5158701308</v>
      </c>
      <c r="C4117" s="4" t="s">
        <v>5220</v>
      </c>
      <c r="D4117" s="4">
        <v>10742</v>
      </c>
      <c r="E4117" s="4">
        <v>20210325</v>
      </c>
      <c r="F4117" s="4">
        <v>20210325</v>
      </c>
      <c r="G4117" s="4">
        <v>20240325</v>
      </c>
      <c r="H4117" s="4" t="s">
        <v>5219</v>
      </c>
      <c r="I4117" s="4" t="s">
        <v>5218</v>
      </c>
      <c r="J4117" s="4" t="s">
        <v>2876</v>
      </c>
    </row>
    <row r="4118" spans="1:10" hidden="1">
      <c r="A4118" s="4">
        <v>2.0210346593000198E+17</v>
      </c>
      <c r="B4118" s="4">
        <v>7751000200</v>
      </c>
      <c r="C4118" s="4" t="s">
        <v>5217</v>
      </c>
      <c r="D4118" s="4">
        <v>46593</v>
      </c>
      <c r="E4118" s="4">
        <v>20210325</v>
      </c>
      <c r="F4118" s="4">
        <v>20210325</v>
      </c>
      <c r="G4118" s="4">
        <v>20221001</v>
      </c>
      <c r="H4118" s="4" t="s">
        <v>5216</v>
      </c>
      <c r="I4118" s="4" t="s">
        <v>657</v>
      </c>
      <c r="J4118" s="4" t="s">
        <v>1469</v>
      </c>
    </row>
    <row r="4119" spans="1:10" hidden="1">
      <c r="A4119" s="4">
        <v>2.0210331312000198E+17</v>
      </c>
      <c r="B4119" s="4">
        <v>5690401490</v>
      </c>
      <c r="C4119" s="4" t="s">
        <v>5215</v>
      </c>
      <c r="D4119" s="4">
        <v>31312</v>
      </c>
      <c r="E4119" s="4">
        <v>20210325</v>
      </c>
      <c r="F4119" s="4">
        <v>20210325</v>
      </c>
      <c r="G4119" s="4">
        <v>20240325</v>
      </c>
      <c r="H4119" s="4" t="s">
        <v>1546</v>
      </c>
      <c r="I4119" s="4" t="s">
        <v>5214</v>
      </c>
      <c r="J4119" s="4" t="s">
        <v>748</v>
      </c>
    </row>
    <row r="4120" spans="1:10" hidden="1">
      <c r="A4120" s="4">
        <v>2.0210322299000099E+17</v>
      </c>
      <c r="B4120" s="4">
        <v>6240102024</v>
      </c>
      <c r="C4120" s="4" t="s">
        <v>5213</v>
      </c>
      <c r="D4120" s="4">
        <v>22299</v>
      </c>
      <c r="E4120" s="4">
        <v>20210325</v>
      </c>
      <c r="F4120" s="4">
        <v>20210325</v>
      </c>
      <c r="G4120" s="4">
        <v>20240325</v>
      </c>
      <c r="H4120" s="4" t="s">
        <v>5212</v>
      </c>
      <c r="I4120" s="4" t="s">
        <v>5211</v>
      </c>
      <c r="J4120" s="4" t="s">
        <v>384</v>
      </c>
    </row>
    <row r="4121" spans="1:10" hidden="1">
      <c r="A4121" s="4">
        <v>2.0210315219000198E+17</v>
      </c>
      <c r="B4121" s="4">
        <v>8692500358</v>
      </c>
      <c r="C4121" s="4" t="s">
        <v>5210</v>
      </c>
      <c r="D4121" s="4">
        <v>15219</v>
      </c>
      <c r="E4121" s="4">
        <v>20210325</v>
      </c>
      <c r="F4121" s="4">
        <v>20210325</v>
      </c>
      <c r="G4121" s="4">
        <v>20230510</v>
      </c>
      <c r="H4121" s="4" t="s">
        <v>5209</v>
      </c>
      <c r="I4121" s="4" t="s">
        <v>91</v>
      </c>
      <c r="J4121" s="4" t="s">
        <v>675</v>
      </c>
    </row>
    <row r="4122" spans="1:10" hidden="1">
      <c r="A4122" s="4">
        <v>2.0210358221000099E+17</v>
      </c>
      <c r="B4122" s="4">
        <v>8578701691</v>
      </c>
      <c r="C4122" s="4" t="s">
        <v>5208</v>
      </c>
      <c r="D4122" s="4">
        <v>58221</v>
      </c>
      <c r="E4122" s="4">
        <v>20210325</v>
      </c>
      <c r="F4122" s="4">
        <v>20210325</v>
      </c>
      <c r="G4122" s="4">
        <v>20240325</v>
      </c>
      <c r="H4122" s="4" t="s">
        <v>5207</v>
      </c>
      <c r="J4122" s="4" t="s">
        <v>228</v>
      </c>
    </row>
    <row r="4123" spans="1:10" hidden="1">
      <c r="A4123" s="4">
        <v>2.0210325119000099E+17</v>
      </c>
      <c r="B4123" s="4">
        <v>3348601041</v>
      </c>
      <c r="C4123" s="4" t="s">
        <v>5206</v>
      </c>
      <c r="D4123" s="4">
        <v>25119</v>
      </c>
      <c r="E4123" s="4">
        <v>20210325</v>
      </c>
      <c r="F4123" s="4">
        <v>20210325</v>
      </c>
      <c r="G4123" s="4">
        <v>20240325</v>
      </c>
      <c r="H4123" s="4" t="s">
        <v>5205</v>
      </c>
      <c r="J4123" s="4" t="s">
        <v>679</v>
      </c>
    </row>
    <row r="4124" spans="1:10" hidden="1">
      <c r="A4124" s="4">
        <v>2.0210326299000099E+17</v>
      </c>
      <c r="B4124" s="4">
        <v>1102954691</v>
      </c>
      <c r="C4124" s="4" t="s">
        <v>5204</v>
      </c>
      <c r="D4124" s="4">
        <v>26299</v>
      </c>
      <c r="E4124" s="4">
        <v>20210325</v>
      </c>
      <c r="F4124" s="4">
        <v>20210325</v>
      </c>
      <c r="G4124" s="4">
        <v>20240325</v>
      </c>
      <c r="H4124" s="4" t="s">
        <v>5203</v>
      </c>
      <c r="I4124" s="4" t="s">
        <v>5202</v>
      </c>
      <c r="J4124" s="4" t="s">
        <v>339</v>
      </c>
    </row>
    <row r="4125" spans="1:10" hidden="1">
      <c r="A4125" s="4">
        <v>2.0210333993000099E+17</v>
      </c>
      <c r="B4125" s="4">
        <v>6858100474</v>
      </c>
      <c r="C4125" s="4" t="s">
        <v>5201</v>
      </c>
      <c r="D4125" s="4">
        <v>33993</v>
      </c>
      <c r="E4125" s="4">
        <v>20210324</v>
      </c>
      <c r="F4125" s="4">
        <v>20210324</v>
      </c>
      <c r="G4125" s="4">
        <v>20230408</v>
      </c>
      <c r="H4125" s="4" t="s">
        <v>5200</v>
      </c>
      <c r="J4125" s="4" t="s">
        <v>1147</v>
      </c>
    </row>
    <row r="4126" spans="1:10" hidden="1">
      <c r="A4126" s="4">
        <v>2.0210333910000099E+17</v>
      </c>
      <c r="B4126" s="4">
        <v>8088600941</v>
      </c>
      <c r="C4126" s="4" t="s">
        <v>5199</v>
      </c>
      <c r="D4126" s="4">
        <v>33910</v>
      </c>
      <c r="E4126" s="4">
        <v>20210324</v>
      </c>
      <c r="F4126" s="4">
        <v>20210324</v>
      </c>
      <c r="G4126" s="4">
        <v>20240324</v>
      </c>
      <c r="H4126" s="4" t="s">
        <v>5198</v>
      </c>
      <c r="J4126" s="4" t="s">
        <v>310</v>
      </c>
    </row>
    <row r="4127" spans="1:10" hidden="1">
      <c r="A4127" s="4">
        <v>2.0210328111000099E+17</v>
      </c>
      <c r="B4127" s="4">
        <v>7178600887</v>
      </c>
      <c r="C4127" s="4" t="s">
        <v>5197</v>
      </c>
      <c r="D4127" s="4">
        <v>28111</v>
      </c>
      <c r="E4127" s="4">
        <v>20210324</v>
      </c>
      <c r="F4127" s="4">
        <v>20210324</v>
      </c>
      <c r="G4127" s="4">
        <v>20240324</v>
      </c>
      <c r="H4127" s="4" t="s">
        <v>5196</v>
      </c>
      <c r="J4127" s="4" t="s">
        <v>1614</v>
      </c>
    </row>
    <row r="4128" spans="1:10" hidden="1">
      <c r="A4128" s="4">
        <v>2.0210325111000099E+17</v>
      </c>
      <c r="B4128" s="4">
        <v>4598700858</v>
      </c>
      <c r="C4128" s="4" t="s">
        <v>5195</v>
      </c>
      <c r="D4128" s="4">
        <v>25111</v>
      </c>
      <c r="E4128" s="4">
        <v>20210324</v>
      </c>
      <c r="F4128" s="4">
        <v>20210324</v>
      </c>
      <c r="G4128" s="4">
        <v>20240324</v>
      </c>
      <c r="H4128" s="4" t="s">
        <v>5194</v>
      </c>
      <c r="J4128" s="4" t="s">
        <v>82</v>
      </c>
    </row>
    <row r="4129" spans="1:10" hidden="1">
      <c r="A4129" s="4">
        <v>2.0210352929000099E+17</v>
      </c>
      <c r="B4129" s="4">
        <v>3038801721</v>
      </c>
      <c r="C4129" s="4" t="s">
        <v>5193</v>
      </c>
      <c r="D4129" s="4">
        <v>52929</v>
      </c>
      <c r="E4129" s="4">
        <v>20210324</v>
      </c>
      <c r="F4129" s="4">
        <v>20210324</v>
      </c>
      <c r="G4129" s="4">
        <v>20240324</v>
      </c>
      <c r="H4129" s="4" t="s">
        <v>5192</v>
      </c>
      <c r="I4129" s="4" t="s">
        <v>5191</v>
      </c>
      <c r="J4129" s="4" t="s">
        <v>5190</v>
      </c>
    </row>
    <row r="4130" spans="1:10" hidden="1">
      <c r="A4130" s="4">
        <v>2.0210330399000099E+17</v>
      </c>
      <c r="B4130" s="4">
        <v>2948700232</v>
      </c>
      <c r="C4130" s="4" t="s">
        <v>5189</v>
      </c>
      <c r="D4130" s="4">
        <v>30399</v>
      </c>
      <c r="E4130" s="4">
        <v>20210324</v>
      </c>
      <c r="F4130" s="4">
        <v>20210324</v>
      </c>
      <c r="G4130" s="4">
        <v>20220824</v>
      </c>
      <c r="H4130" s="4" t="s">
        <v>5188</v>
      </c>
      <c r="J4130" s="4" t="s">
        <v>1763</v>
      </c>
    </row>
    <row r="4131" spans="1:10" hidden="1">
      <c r="A4131" s="4">
        <v>2.0210320411000099E+17</v>
      </c>
      <c r="B4131" s="4">
        <v>1698600491</v>
      </c>
      <c r="C4131" s="4" t="s">
        <v>5187</v>
      </c>
      <c r="D4131" s="4">
        <v>20411</v>
      </c>
      <c r="E4131" s="4">
        <v>20210324</v>
      </c>
      <c r="F4131" s="4">
        <v>20210324</v>
      </c>
      <c r="G4131" s="4">
        <v>20230720</v>
      </c>
      <c r="H4131" s="4" t="s">
        <v>5186</v>
      </c>
      <c r="I4131" s="4" t="s">
        <v>5185</v>
      </c>
      <c r="J4131" s="4" t="s">
        <v>694</v>
      </c>
    </row>
    <row r="4132" spans="1:10" hidden="1">
      <c r="A4132" s="4">
        <v>2.0210329299000099E+17</v>
      </c>
      <c r="B4132" s="4">
        <v>6478101146</v>
      </c>
      <c r="C4132" s="4" t="s">
        <v>5184</v>
      </c>
      <c r="D4132" s="4">
        <v>29299</v>
      </c>
      <c r="E4132" s="4">
        <v>20210324</v>
      </c>
      <c r="F4132" s="4">
        <v>20210324</v>
      </c>
      <c r="G4132" s="4">
        <v>20240324</v>
      </c>
      <c r="H4132" s="4" t="s">
        <v>5183</v>
      </c>
      <c r="I4132" s="4" t="s">
        <v>5182</v>
      </c>
      <c r="J4132" s="4" t="s">
        <v>137</v>
      </c>
    </row>
    <row r="4133" spans="1:10" hidden="1">
      <c r="A4133" s="4">
        <v>2.0210325111000099E+17</v>
      </c>
      <c r="B4133" s="4">
        <v>2838100069</v>
      </c>
      <c r="C4133" s="4" t="s">
        <v>5181</v>
      </c>
      <c r="D4133" s="4">
        <v>25111</v>
      </c>
      <c r="E4133" s="4">
        <v>20210324</v>
      </c>
      <c r="F4133" s="4">
        <v>20210324</v>
      </c>
      <c r="G4133" s="4">
        <v>20220611</v>
      </c>
      <c r="H4133" s="4" t="s">
        <v>5180</v>
      </c>
      <c r="J4133" s="4" t="s">
        <v>82</v>
      </c>
    </row>
    <row r="4134" spans="1:10" hidden="1">
      <c r="A4134" s="4">
        <v>2.0210358221000099E+17</v>
      </c>
      <c r="B4134" s="4">
        <v>1448700368</v>
      </c>
      <c r="C4134" s="4" t="s">
        <v>5179</v>
      </c>
      <c r="D4134" s="4">
        <v>58221</v>
      </c>
      <c r="E4134" s="4">
        <v>20210324</v>
      </c>
      <c r="F4134" s="4">
        <v>20210324</v>
      </c>
      <c r="G4134" s="4">
        <v>20230223</v>
      </c>
      <c r="H4134" s="4" t="s">
        <v>5178</v>
      </c>
      <c r="I4134" s="4" t="s">
        <v>5177</v>
      </c>
      <c r="J4134" s="4" t="s">
        <v>228</v>
      </c>
    </row>
    <row r="4135" spans="1:10" hidden="1">
      <c r="A4135" s="4">
        <v>2.0210346510000099E+17</v>
      </c>
      <c r="B4135" s="4">
        <v>5988800183</v>
      </c>
      <c r="C4135" s="4" t="s">
        <v>5176</v>
      </c>
      <c r="D4135" s="4">
        <v>46510</v>
      </c>
      <c r="E4135" s="4">
        <v>20210324</v>
      </c>
      <c r="F4135" s="4">
        <v>20210324</v>
      </c>
      <c r="G4135" s="4">
        <v>20221008</v>
      </c>
      <c r="H4135" s="4" t="s">
        <v>2366</v>
      </c>
      <c r="I4135" s="4" t="s">
        <v>5175</v>
      </c>
      <c r="J4135" s="4" t="s">
        <v>126</v>
      </c>
    </row>
    <row r="4136" spans="1:10" hidden="1">
      <c r="A4136" s="4">
        <v>2.0210326429000099E+17</v>
      </c>
      <c r="B4136" s="4">
        <v>3678701368</v>
      </c>
      <c r="C4136" s="4" t="s">
        <v>5174</v>
      </c>
      <c r="D4136" s="4">
        <v>26429</v>
      </c>
      <c r="E4136" s="4">
        <v>20210324</v>
      </c>
      <c r="F4136" s="4">
        <v>20210324</v>
      </c>
      <c r="G4136" s="4">
        <v>20240324</v>
      </c>
      <c r="H4136" s="4" t="s">
        <v>366</v>
      </c>
      <c r="I4136" s="4" t="s">
        <v>5173</v>
      </c>
      <c r="J4136" s="4" t="s">
        <v>422</v>
      </c>
    </row>
    <row r="4137" spans="1:10" hidden="1">
      <c r="A4137" s="4">
        <v>2.0210358221000099E+17</v>
      </c>
      <c r="B4137" s="4">
        <v>2158796939</v>
      </c>
      <c r="C4137" s="4" t="s">
        <v>5172</v>
      </c>
      <c r="D4137" s="4">
        <v>58221</v>
      </c>
      <c r="E4137" s="4">
        <v>20210324</v>
      </c>
      <c r="F4137" s="4">
        <v>20210324</v>
      </c>
      <c r="G4137" s="4">
        <v>20211212</v>
      </c>
      <c r="H4137" s="4" t="s">
        <v>5171</v>
      </c>
      <c r="I4137" s="4" t="s">
        <v>5170</v>
      </c>
      <c r="J4137" s="4" t="s">
        <v>228</v>
      </c>
    </row>
    <row r="4138" spans="1:10" hidden="1">
      <c r="A4138" s="4">
        <v>2.0210328422000099E+17</v>
      </c>
      <c r="B4138" s="4">
        <v>8028601199</v>
      </c>
      <c r="C4138" s="4" t="s">
        <v>5169</v>
      </c>
      <c r="D4138" s="4">
        <v>28422</v>
      </c>
      <c r="E4138" s="4">
        <v>20210324</v>
      </c>
      <c r="F4138" s="4">
        <v>20210324</v>
      </c>
      <c r="G4138" s="4">
        <v>20240324</v>
      </c>
      <c r="H4138" s="4" t="s">
        <v>5168</v>
      </c>
      <c r="J4138" s="4" t="s">
        <v>188</v>
      </c>
    </row>
    <row r="4139" spans="1:10" hidden="1">
      <c r="A4139" s="4">
        <v>2.0210329174000099E+17</v>
      </c>
      <c r="B4139" s="4">
        <v>5418701520</v>
      </c>
      <c r="C4139" s="4" t="s">
        <v>5167</v>
      </c>
      <c r="D4139" s="4">
        <v>29174</v>
      </c>
      <c r="E4139" s="4">
        <v>20210324</v>
      </c>
      <c r="F4139" s="4">
        <v>20210324</v>
      </c>
      <c r="G4139" s="4">
        <v>20240324</v>
      </c>
      <c r="H4139" s="4" t="s">
        <v>5166</v>
      </c>
      <c r="I4139" s="4" t="s">
        <v>91</v>
      </c>
      <c r="J4139" s="4" t="s">
        <v>877</v>
      </c>
    </row>
    <row r="4140" spans="1:10" hidden="1">
      <c r="A4140" s="4">
        <v>2.0210325111000099E+17</v>
      </c>
      <c r="B4140" s="4">
        <v>2038601470</v>
      </c>
      <c r="C4140" s="4" t="s">
        <v>5165</v>
      </c>
      <c r="D4140" s="4">
        <v>25111</v>
      </c>
      <c r="E4140" s="4">
        <v>20210324</v>
      </c>
      <c r="F4140" s="4">
        <v>20210324</v>
      </c>
      <c r="G4140" s="4">
        <v>20240324</v>
      </c>
      <c r="H4140" s="4" t="s">
        <v>5164</v>
      </c>
      <c r="J4140" s="4" t="s">
        <v>82</v>
      </c>
    </row>
    <row r="4141" spans="1:10" hidden="1">
      <c r="A4141" s="4">
        <v>2.0210346799000099E+17</v>
      </c>
      <c r="B4141" s="4">
        <v>5858601294</v>
      </c>
      <c r="C4141" s="4" t="s">
        <v>5163</v>
      </c>
      <c r="D4141" s="4">
        <v>46799</v>
      </c>
      <c r="E4141" s="4">
        <v>20210324</v>
      </c>
      <c r="F4141" s="4">
        <v>20210324</v>
      </c>
      <c r="G4141" s="4">
        <v>20240324</v>
      </c>
      <c r="H4141" s="4" t="s">
        <v>5162</v>
      </c>
      <c r="I4141" s="4" t="s">
        <v>5161</v>
      </c>
      <c r="J4141" s="4" t="s">
        <v>2181</v>
      </c>
    </row>
    <row r="4142" spans="1:10" hidden="1">
      <c r="A4142" s="4">
        <v>2.0210330310000099E+17</v>
      </c>
      <c r="B4142" s="4">
        <v>4368100168</v>
      </c>
      <c r="C4142" s="4" t="s">
        <v>5160</v>
      </c>
      <c r="D4142" s="4">
        <v>30310</v>
      </c>
      <c r="E4142" s="4">
        <v>20210324</v>
      </c>
      <c r="F4142" s="4">
        <v>20210324</v>
      </c>
      <c r="G4142" s="4">
        <v>20220703</v>
      </c>
      <c r="H4142" s="4" t="s">
        <v>5159</v>
      </c>
      <c r="I4142" s="4" t="s">
        <v>1156</v>
      </c>
      <c r="J4142" s="4" t="s">
        <v>4058</v>
      </c>
    </row>
    <row r="4143" spans="1:10" hidden="1">
      <c r="A4143" s="4">
        <v>2.0210329174000099E+17</v>
      </c>
      <c r="B4143" s="4">
        <v>8068701223</v>
      </c>
      <c r="C4143" s="4" t="s">
        <v>5158</v>
      </c>
      <c r="D4143" s="4">
        <v>29174</v>
      </c>
      <c r="E4143" s="4">
        <v>20210324</v>
      </c>
      <c r="F4143" s="4">
        <v>20210324</v>
      </c>
      <c r="G4143" s="4">
        <v>20240324</v>
      </c>
      <c r="H4143" s="4" t="s">
        <v>4671</v>
      </c>
      <c r="I4143" s="4" t="s">
        <v>3384</v>
      </c>
      <c r="J4143" s="4" t="s">
        <v>877</v>
      </c>
    </row>
    <row r="4144" spans="1:10" hidden="1">
      <c r="A4144" s="4">
        <v>2.0210333993000099E+17</v>
      </c>
      <c r="B4144" s="4">
        <v>4178801092</v>
      </c>
      <c r="C4144" s="4" t="s">
        <v>5157</v>
      </c>
      <c r="D4144" s="4">
        <v>33993</v>
      </c>
      <c r="E4144" s="4">
        <v>20210324</v>
      </c>
      <c r="F4144" s="4">
        <v>20210324</v>
      </c>
      <c r="G4144" s="4">
        <v>20240324</v>
      </c>
      <c r="H4144" s="4" t="s">
        <v>5156</v>
      </c>
      <c r="I4144" s="4" t="s">
        <v>149</v>
      </c>
      <c r="J4144" s="4" t="s">
        <v>1147</v>
      </c>
    </row>
    <row r="4145" spans="1:10" hidden="1">
      <c r="A4145" s="4">
        <v>2.0210330122000099E+17</v>
      </c>
      <c r="B4145" s="4">
        <v>6888801113</v>
      </c>
      <c r="C4145" s="4" t="s">
        <v>5155</v>
      </c>
      <c r="D4145" s="4">
        <v>30122</v>
      </c>
      <c r="E4145" s="4">
        <v>20210324</v>
      </c>
      <c r="F4145" s="4">
        <v>20210324</v>
      </c>
      <c r="G4145" s="4">
        <v>20240324</v>
      </c>
      <c r="H4145" s="4" t="s">
        <v>5154</v>
      </c>
      <c r="J4145" s="4" t="s">
        <v>2503</v>
      </c>
    </row>
    <row r="4146" spans="1:10" hidden="1">
      <c r="A4146" s="4">
        <v>2.0210332019000099E+17</v>
      </c>
      <c r="B4146" s="4">
        <v>3841501575</v>
      </c>
      <c r="C4146" s="4" t="s">
        <v>5153</v>
      </c>
      <c r="D4146" s="4">
        <v>32019</v>
      </c>
      <c r="E4146" s="4">
        <v>20210324</v>
      </c>
      <c r="F4146" s="4">
        <v>20210324</v>
      </c>
      <c r="G4146" s="4">
        <v>20240324</v>
      </c>
      <c r="H4146" s="4" t="s">
        <v>5152</v>
      </c>
      <c r="I4146" s="4" t="s">
        <v>5151</v>
      </c>
      <c r="J4146" s="4" t="s">
        <v>5150</v>
      </c>
    </row>
    <row r="4147" spans="1:10" hidden="1">
      <c r="A4147" s="4">
        <v>2.0210363120000099E+17</v>
      </c>
      <c r="B4147" s="4">
        <v>3978601872</v>
      </c>
      <c r="C4147" s="4" t="s">
        <v>5149</v>
      </c>
      <c r="D4147" s="4">
        <v>63120</v>
      </c>
      <c r="E4147" s="4">
        <v>20210324</v>
      </c>
      <c r="F4147" s="4">
        <v>20210324</v>
      </c>
      <c r="G4147" s="4">
        <v>20240324</v>
      </c>
      <c r="H4147" s="4" t="s">
        <v>4099</v>
      </c>
      <c r="J4147" s="4" t="s">
        <v>632</v>
      </c>
    </row>
    <row r="4148" spans="1:10" hidden="1">
      <c r="A4148" s="4">
        <v>2.0210328909000099E+17</v>
      </c>
      <c r="B4148" s="4">
        <v>5498701034</v>
      </c>
      <c r="C4148" s="4" t="s">
        <v>5148</v>
      </c>
      <c r="D4148" s="4">
        <v>28909</v>
      </c>
      <c r="E4148" s="4">
        <v>20210324</v>
      </c>
      <c r="F4148" s="4">
        <v>20210324</v>
      </c>
      <c r="G4148" s="4">
        <v>20240324</v>
      </c>
      <c r="H4148" s="4" t="s">
        <v>5147</v>
      </c>
      <c r="I4148" s="4" t="s">
        <v>5146</v>
      </c>
      <c r="J4148" s="4" t="s">
        <v>253</v>
      </c>
    </row>
    <row r="4149" spans="1:10" hidden="1">
      <c r="A4149" s="4">
        <v>2.0210346593000099E+17</v>
      </c>
      <c r="B4149" s="4">
        <v>3098801485</v>
      </c>
      <c r="C4149" s="4" t="s">
        <v>5144</v>
      </c>
      <c r="D4149" s="4">
        <v>46593</v>
      </c>
      <c r="E4149" s="4">
        <v>20210324</v>
      </c>
      <c r="F4149" s="4">
        <v>20210324</v>
      </c>
      <c r="G4149" s="4">
        <v>20240324</v>
      </c>
      <c r="H4149" s="4" t="s">
        <v>5145</v>
      </c>
      <c r="I4149" s="4" t="s">
        <v>5144</v>
      </c>
      <c r="J4149" s="4" t="s">
        <v>1469</v>
      </c>
    </row>
    <row r="4150" spans="1:10" hidden="1">
      <c r="A4150" s="4">
        <v>2.0210311111000099E+17</v>
      </c>
      <c r="B4150" s="4">
        <v>7688101050</v>
      </c>
      <c r="C4150" s="4" t="s">
        <v>5143</v>
      </c>
      <c r="D4150" s="4">
        <v>11111</v>
      </c>
      <c r="E4150" s="4">
        <v>20210324</v>
      </c>
      <c r="F4150" s="4">
        <v>20210324</v>
      </c>
      <c r="G4150" s="4">
        <v>20240324</v>
      </c>
      <c r="H4150" s="4" t="s">
        <v>5142</v>
      </c>
      <c r="J4150" s="4" t="s">
        <v>5141</v>
      </c>
    </row>
    <row r="4151" spans="1:10" hidden="1">
      <c r="A4151" s="4">
        <v>2.0210358221000099E+17</v>
      </c>
      <c r="B4151" s="4">
        <v>8478700088</v>
      </c>
      <c r="C4151" s="4" t="s">
        <v>5140</v>
      </c>
      <c r="D4151" s="4">
        <v>58221</v>
      </c>
      <c r="E4151" s="4">
        <v>20210324</v>
      </c>
      <c r="F4151" s="4">
        <v>20210324</v>
      </c>
      <c r="G4151" s="4">
        <v>20220526</v>
      </c>
      <c r="H4151" s="4" t="s">
        <v>5139</v>
      </c>
      <c r="I4151" s="4" t="s">
        <v>5138</v>
      </c>
      <c r="J4151" s="4" t="s">
        <v>228</v>
      </c>
    </row>
    <row r="4152" spans="1:10" hidden="1">
      <c r="A4152" s="4">
        <v>2.0210328422000099E+17</v>
      </c>
      <c r="B4152" s="4">
        <v>3028129580</v>
      </c>
      <c r="C4152" s="4" t="s">
        <v>5137</v>
      </c>
      <c r="D4152" s="4">
        <v>28422</v>
      </c>
      <c r="E4152" s="4">
        <v>20210324</v>
      </c>
      <c r="F4152" s="4">
        <v>20210324</v>
      </c>
      <c r="G4152" s="4">
        <v>20240324</v>
      </c>
      <c r="H4152" s="4" t="s">
        <v>5136</v>
      </c>
      <c r="I4152" s="4" t="s">
        <v>5135</v>
      </c>
      <c r="J4152" s="4" t="s">
        <v>188</v>
      </c>
    </row>
    <row r="4153" spans="1:10" hidden="1">
      <c r="A4153" s="4">
        <v>2.0210322199000099E+17</v>
      </c>
      <c r="B4153" s="4">
        <v>8670200519</v>
      </c>
      <c r="C4153" s="4" t="s">
        <v>5134</v>
      </c>
      <c r="D4153" s="4">
        <v>22199</v>
      </c>
      <c r="E4153" s="4">
        <v>20210324</v>
      </c>
      <c r="F4153" s="4">
        <v>20210324</v>
      </c>
      <c r="G4153" s="4">
        <v>20230928</v>
      </c>
      <c r="H4153" s="4" t="s">
        <v>5133</v>
      </c>
      <c r="J4153" s="4" t="s">
        <v>1962</v>
      </c>
    </row>
    <row r="4154" spans="1:10" hidden="1">
      <c r="A4154" s="4">
        <v>2.0210328410000099E+17</v>
      </c>
      <c r="B4154" s="4">
        <v>1618100565</v>
      </c>
      <c r="C4154" s="4" t="s">
        <v>5132</v>
      </c>
      <c r="D4154" s="4">
        <v>28410</v>
      </c>
      <c r="E4154" s="4">
        <v>20210324</v>
      </c>
      <c r="F4154" s="4">
        <v>20210324</v>
      </c>
      <c r="G4154" s="4">
        <v>20231101</v>
      </c>
      <c r="H4154" s="4" t="s">
        <v>5131</v>
      </c>
      <c r="J4154" s="4" t="s">
        <v>2199</v>
      </c>
    </row>
    <row r="4155" spans="1:10" hidden="1">
      <c r="A4155" s="4">
        <v>2.0210363120000099E+17</v>
      </c>
      <c r="B4155" s="4">
        <v>1618701718</v>
      </c>
      <c r="C4155" s="4" t="s">
        <v>5130</v>
      </c>
      <c r="D4155" s="4">
        <v>63120</v>
      </c>
      <c r="E4155" s="4">
        <v>20210324</v>
      </c>
      <c r="F4155" s="4">
        <v>20210324</v>
      </c>
      <c r="G4155" s="4">
        <v>20240324</v>
      </c>
      <c r="H4155" s="4" t="s">
        <v>5129</v>
      </c>
      <c r="I4155" s="4" t="s">
        <v>5128</v>
      </c>
      <c r="J4155" s="4" t="s">
        <v>632</v>
      </c>
    </row>
    <row r="4156" spans="1:10" hidden="1">
      <c r="A4156" s="4">
        <v>2.0210333910000099E+17</v>
      </c>
      <c r="B4156" s="4">
        <v>8258701170</v>
      </c>
      <c r="C4156" s="4" t="s">
        <v>5127</v>
      </c>
      <c r="D4156" s="4">
        <v>33910</v>
      </c>
      <c r="E4156" s="4">
        <v>20210324</v>
      </c>
      <c r="F4156" s="4">
        <v>20210324</v>
      </c>
      <c r="G4156" s="4">
        <v>20240324</v>
      </c>
      <c r="H4156" s="4" t="s">
        <v>5126</v>
      </c>
      <c r="I4156" s="4" t="s">
        <v>149</v>
      </c>
      <c r="J4156" s="4" t="s">
        <v>310</v>
      </c>
    </row>
    <row r="4157" spans="1:10" hidden="1">
      <c r="A4157" s="4">
        <v>2.0210313219000099E+17</v>
      </c>
      <c r="B4157" s="4">
        <v>2728601817</v>
      </c>
      <c r="C4157" s="4" t="s">
        <v>5125</v>
      </c>
      <c r="D4157" s="4">
        <v>13219</v>
      </c>
      <c r="E4157" s="4">
        <v>20210324</v>
      </c>
      <c r="F4157" s="4">
        <v>20210324</v>
      </c>
      <c r="G4157" s="4">
        <v>20240324</v>
      </c>
      <c r="H4157" s="4" t="s">
        <v>5124</v>
      </c>
      <c r="J4157" s="4" t="s">
        <v>2829</v>
      </c>
    </row>
    <row r="4158" spans="1:10" hidden="1">
      <c r="A4158" s="4">
        <v>2.0210333910000099E+17</v>
      </c>
      <c r="B4158" s="4">
        <v>1251398045</v>
      </c>
      <c r="C4158" s="4" t="s">
        <v>5123</v>
      </c>
      <c r="D4158" s="4">
        <v>33910</v>
      </c>
      <c r="E4158" s="4">
        <v>20210324</v>
      </c>
      <c r="F4158" s="4">
        <v>20210324</v>
      </c>
      <c r="G4158" s="4">
        <v>20220206</v>
      </c>
      <c r="H4158" s="4" t="s">
        <v>725</v>
      </c>
      <c r="I4158" s="4" t="s">
        <v>5122</v>
      </c>
      <c r="J4158" s="4" t="s">
        <v>310</v>
      </c>
    </row>
    <row r="4159" spans="1:10" hidden="1">
      <c r="A4159" s="4">
        <v>2.0210358222000099E+17</v>
      </c>
      <c r="B4159" s="4">
        <v>1188700603</v>
      </c>
      <c r="C4159" s="4" t="s">
        <v>5121</v>
      </c>
      <c r="D4159" s="4">
        <v>58222</v>
      </c>
      <c r="E4159" s="4">
        <v>20210324</v>
      </c>
      <c r="F4159" s="4">
        <v>20210324</v>
      </c>
      <c r="G4159" s="4">
        <v>20231013</v>
      </c>
      <c r="H4159" s="4" t="s">
        <v>5120</v>
      </c>
      <c r="I4159" s="4" t="s">
        <v>185</v>
      </c>
      <c r="J4159" s="4" t="s">
        <v>94</v>
      </c>
    </row>
    <row r="4160" spans="1:10" hidden="1">
      <c r="A4160" s="4">
        <v>2.0210326429000099E+17</v>
      </c>
      <c r="B4160" s="4">
        <v>1448134643</v>
      </c>
      <c r="C4160" s="4" t="s">
        <v>5119</v>
      </c>
      <c r="D4160" s="4">
        <v>26429</v>
      </c>
      <c r="E4160" s="4">
        <v>20210324</v>
      </c>
      <c r="F4160" s="4">
        <v>20210324</v>
      </c>
      <c r="G4160" s="4">
        <v>20220105</v>
      </c>
      <c r="H4160" s="4" t="s">
        <v>3309</v>
      </c>
      <c r="I4160" s="4" t="s">
        <v>5118</v>
      </c>
      <c r="J4160" s="4" t="s">
        <v>422</v>
      </c>
    </row>
    <row r="4161" spans="1:10" hidden="1">
      <c r="A4161" s="4">
        <v>2.0210342499000099E+17</v>
      </c>
      <c r="B4161" s="4">
        <v>1338143818</v>
      </c>
      <c r="C4161" s="4" t="s">
        <v>5117</v>
      </c>
      <c r="D4161" s="4">
        <v>42499</v>
      </c>
      <c r="E4161" s="4">
        <v>20210324</v>
      </c>
      <c r="F4161" s="4">
        <v>20210324</v>
      </c>
      <c r="G4161" s="4">
        <v>20230401</v>
      </c>
      <c r="H4161" s="4" t="s">
        <v>4001</v>
      </c>
      <c r="I4161" s="4" t="s">
        <v>5116</v>
      </c>
      <c r="J4161" s="4" t="s">
        <v>505</v>
      </c>
    </row>
    <row r="4162" spans="1:10" hidden="1">
      <c r="A4162" s="4">
        <v>2.0210326322000099E+17</v>
      </c>
      <c r="B4162" s="4">
        <v>5798700152</v>
      </c>
      <c r="C4162" s="4" t="s">
        <v>5115</v>
      </c>
      <c r="D4162" s="4">
        <v>26322</v>
      </c>
      <c r="E4162" s="4">
        <v>20210324</v>
      </c>
      <c r="F4162" s="4">
        <v>20210324</v>
      </c>
      <c r="G4162" s="4">
        <v>20220819</v>
      </c>
      <c r="H4162" s="4" t="s">
        <v>5114</v>
      </c>
      <c r="I4162" s="4" t="s">
        <v>5113</v>
      </c>
      <c r="J4162" s="4" t="s">
        <v>1262</v>
      </c>
    </row>
    <row r="4163" spans="1:10" hidden="1">
      <c r="A4163" s="4">
        <v>2.0210332029000099E+17</v>
      </c>
      <c r="B4163" s="4">
        <v>7171501149</v>
      </c>
      <c r="C4163" s="4" t="s">
        <v>5112</v>
      </c>
      <c r="D4163" s="4">
        <v>32029</v>
      </c>
      <c r="E4163" s="4">
        <v>20210324</v>
      </c>
      <c r="F4163" s="4">
        <v>20210324</v>
      </c>
      <c r="G4163" s="4">
        <v>20240324</v>
      </c>
      <c r="H4163" s="4" t="s">
        <v>5111</v>
      </c>
      <c r="J4163" s="4" t="s">
        <v>637</v>
      </c>
    </row>
    <row r="4164" spans="1:10" hidden="1">
      <c r="A4164" s="4">
        <v>2.0210326219000099E+17</v>
      </c>
      <c r="B4164" s="4">
        <v>7298800055</v>
      </c>
      <c r="C4164" s="4" t="s">
        <v>5110</v>
      </c>
      <c r="D4164" s="4">
        <v>26219</v>
      </c>
      <c r="E4164" s="4">
        <v>20210324</v>
      </c>
      <c r="F4164" s="4">
        <v>20210324</v>
      </c>
      <c r="G4164" s="4">
        <v>20220305</v>
      </c>
      <c r="H4164" s="4" t="s">
        <v>5109</v>
      </c>
      <c r="J4164" s="4" t="s">
        <v>5108</v>
      </c>
    </row>
    <row r="4165" spans="1:10" hidden="1">
      <c r="A4165" s="4">
        <v>2.0210325113000099E+17</v>
      </c>
      <c r="B4165" s="4">
        <v>6144600637</v>
      </c>
      <c r="C4165" s="4" t="s">
        <v>5107</v>
      </c>
      <c r="D4165" s="4">
        <v>25113</v>
      </c>
      <c r="E4165" s="4">
        <v>20210324</v>
      </c>
      <c r="F4165" s="4">
        <v>20210324</v>
      </c>
      <c r="G4165" s="4">
        <v>20240324</v>
      </c>
      <c r="H4165" s="4" t="s">
        <v>5106</v>
      </c>
      <c r="I4165" s="4" t="s">
        <v>5105</v>
      </c>
      <c r="J4165" s="4" t="s">
        <v>250</v>
      </c>
    </row>
    <row r="4166" spans="1:10" hidden="1">
      <c r="A4166" s="4">
        <v>2.0210328429000099E+17</v>
      </c>
      <c r="B4166" s="4">
        <v>3153000893</v>
      </c>
      <c r="C4166" s="4" t="s">
        <v>5104</v>
      </c>
      <c r="D4166" s="4">
        <v>28429</v>
      </c>
      <c r="E4166" s="4">
        <v>20210324</v>
      </c>
      <c r="F4166" s="4">
        <v>20210324</v>
      </c>
      <c r="G4166" s="4">
        <v>20240324</v>
      </c>
      <c r="H4166" s="4" t="s">
        <v>5103</v>
      </c>
      <c r="I4166" s="4" t="s">
        <v>5102</v>
      </c>
      <c r="J4166" s="4" t="s">
        <v>765</v>
      </c>
    </row>
    <row r="4167" spans="1:10" hidden="1">
      <c r="A4167" s="4">
        <v>2.0210361291000099E+17</v>
      </c>
      <c r="B4167" s="4">
        <v>4187500344</v>
      </c>
      <c r="C4167" s="4" t="s">
        <v>5101</v>
      </c>
      <c r="D4167" s="4">
        <v>61291</v>
      </c>
      <c r="E4167" s="4">
        <v>20210324</v>
      </c>
      <c r="F4167" s="4">
        <v>20210324</v>
      </c>
      <c r="G4167" s="4">
        <v>20240324</v>
      </c>
      <c r="H4167" s="4" t="s">
        <v>1891</v>
      </c>
      <c r="I4167" s="4" t="s">
        <v>5100</v>
      </c>
      <c r="J4167" s="4" t="s">
        <v>5099</v>
      </c>
    </row>
    <row r="4168" spans="1:10" hidden="1">
      <c r="A4168" s="4">
        <v>2.0210313999000099E+17</v>
      </c>
      <c r="B4168" s="4">
        <v>7198601280</v>
      </c>
      <c r="C4168" s="4" t="s">
        <v>5098</v>
      </c>
      <c r="D4168" s="4">
        <v>13999</v>
      </c>
      <c r="E4168" s="4">
        <v>20210324</v>
      </c>
      <c r="F4168" s="4">
        <v>20210324</v>
      </c>
      <c r="G4168" s="4">
        <v>20240324</v>
      </c>
      <c r="H4168" s="4" t="s">
        <v>3716</v>
      </c>
      <c r="I4168" s="4" t="s">
        <v>149</v>
      </c>
      <c r="J4168" s="4" t="s">
        <v>130</v>
      </c>
    </row>
    <row r="4169" spans="1:10" hidden="1">
      <c r="A4169" s="4">
        <v>2.0210385621000099E+17</v>
      </c>
      <c r="B4169" s="4">
        <v>8868801041</v>
      </c>
      <c r="C4169" s="4" t="s">
        <v>5097</v>
      </c>
      <c r="D4169" s="4">
        <v>85621</v>
      </c>
      <c r="E4169" s="4">
        <v>20210324</v>
      </c>
      <c r="F4169" s="4">
        <v>20210324</v>
      </c>
      <c r="G4169" s="4">
        <v>20240324</v>
      </c>
      <c r="H4169" s="4" t="s">
        <v>5096</v>
      </c>
      <c r="I4169" s="4" t="s">
        <v>5095</v>
      </c>
      <c r="J4169" s="4" t="s">
        <v>5094</v>
      </c>
    </row>
    <row r="4170" spans="1:10" hidden="1">
      <c r="A4170" s="4">
        <v>2.0210358222000099E+17</v>
      </c>
      <c r="B4170" s="4">
        <v>1198701323</v>
      </c>
      <c r="C4170" s="4" t="s">
        <v>5093</v>
      </c>
      <c r="D4170" s="4">
        <v>58222</v>
      </c>
      <c r="E4170" s="4">
        <v>20210324</v>
      </c>
      <c r="F4170" s="4">
        <v>20210324</v>
      </c>
      <c r="G4170" s="4">
        <v>20211020</v>
      </c>
      <c r="H4170" s="4" t="s">
        <v>366</v>
      </c>
      <c r="I4170" s="4" t="s">
        <v>5092</v>
      </c>
      <c r="J4170" s="4" t="s">
        <v>94</v>
      </c>
    </row>
    <row r="4171" spans="1:10" hidden="1">
      <c r="A4171" s="4">
        <v>2.0210328909000099E+17</v>
      </c>
      <c r="B4171" s="4">
        <v>3688801387</v>
      </c>
      <c r="C4171" s="4" t="s">
        <v>5091</v>
      </c>
      <c r="D4171" s="4">
        <v>28909</v>
      </c>
      <c r="E4171" s="4">
        <v>20210324</v>
      </c>
      <c r="F4171" s="4">
        <v>20210324</v>
      </c>
      <c r="G4171" s="4">
        <v>20240324</v>
      </c>
      <c r="H4171" s="4" t="s">
        <v>5090</v>
      </c>
      <c r="I4171" s="4" t="s">
        <v>5089</v>
      </c>
      <c r="J4171" s="4" t="s">
        <v>253</v>
      </c>
    </row>
    <row r="4172" spans="1:10" hidden="1">
      <c r="A4172" s="4">
        <v>2.0210342132000099E+17</v>
      </c>
      <c r="B4172" s="4">
        <v>5578701694</v>
      </c>
      <c r="C4172" s="4" t="s">
        <v>5088</v>
      </c>
      <c r="D4172" s="4">
        <v>42132</v>
      </c>
      <c r="E4172" s="4">
        <v>20210324</v>
      </c>
      <c r="F4172" s="4">
        <v>20210324</v>
      </c>
      <c r="G4172" s="4">
        <v>20240324</v>
      </c>
      <c r="H4172" s="4" t="s">
        <v>5087</v>
      </c>
      <c r="J4172" s="4" t="s">
        <v>5086</v>
      </c>
    </row>
    <row r="4173" spans="1:10" hidden="1">
      <c r="A4173" s="4">
        <v>2.0210341229000099E+17</v>
      </c>
      <c r="B4173" s="4">
        <v>8028101480</v>
      </c>
      <c r="C4173" s="4" t="s">
        <v>5085</v>
      </c>
      <c r="D4173" s="4">
        <v>41229</v>
      </c>
      <c r="E4173" s="4">
        <v>20210324</v>
      </c>
      <c r="F4173" s="4">
        <v>20210324</v>
      </c>
      <c r="G4173" s="4">
        <v>20240324</v>
      </c>
      <c r="H4173" s="4" t="s">
        <v>5084</v>
      </c>
      <c r="I4173" s="4" t="s">
        <v>134</v>
      </c>
      <c r="J4173" s="4" t="s">
        <v>5083</v>
      </c>
    </row>
    <row r="4174" spans="1:10" hidden="1">
      <c r="A4174" s="4">
        <v>2.0210328903000099E+17</v>
      </c>
      <c r="B4174" s="4">
        <v>6588101113</v>
      </c>
      <c r="C4174" s="4" t="s">
        <v>5082</v>
      </c>
      <c r="D4174" s="4">
        <v>28903</v>
      </c>
      <c r="E4174" s="4">
        <v>20210324</v>
      </c>
      <c r="F4174" s="4">
        <v>20210324</v>
      </c>
      <c r="G4174" s="4">
        <v>20240324</v>
      </c>
      <c r="H4174" s="4" t="s">
        <v>5081</v>
      </c>
      <c r="J4174" s="4" t="s">
        <v>460</v>
      </c>
    </row>
    <row r="4175" spans="1:10" hidden="1">
      <c r="A4175" s="4">
        <v>2.0210328423000099E+17</v>
      </c>
      <c r="B4175" s="4">
        <v>4658700377</v>
      </c>
      <c r="C4175" s="4" t="s">
        <v>5080</v>
      </c>
      <c r="D4175" s="4">
        <v>28423</v>
      </c>
      <c r="E4175" s="4">
        <v>20210324</v>
      </c>
      <c r="F4175" s="4">
        <v>20210324</v>
      </c>
      <c r="G4175" s="4">
        <v>20230331</v>
      </c>
      <c r="H4175" s="4" t="s">
        <v>5079</v>
      </c>
      <c r="I4175" s="4" t="s">
        <v>185</v>
      </c>
      <c r="J4175" s="4" t="s">
        <v>485</v>
      </c>
    </row>
    <row r="4176" spans="1:10" hidden="1">
      <c r="A4176" s="4">
        <v>2.0210313224000099E+17</v>
      </c>
      <c r="B4176" s="4">
        <v>1448601676</v>
      </c>
      <c r="C4176" s="4" t="s">
        <v>5078</v>
      </c>
      <c r="D4176" s="4">
        <v>13224</v>
      </c>
      <c r="E4176" s="4">
        <v>20210324</v>
      </c>
      <c r="F4176" s="4">
        <v>20210324</v>
      </c>
      <c r="G4176" s="4">
        <v>20240324</v>
      </c>
      <c r="H4176" s="4" t="s">
        <v>5077</v>
      </c>
      <c r="J4176" s="4" t="s">
        <v>672</v>
      </c>
    </row>
    <row r="4177" spans="1:10" hidden="1">
      <c r="A4177" s="4">
        <v>2.0210362021000099E+17</v>
      </c>
      <c r="B4177" s="4">
        <v>4728100257</v>
      </c>
      <c r="C4177" s="4" t="s">
        <v>5076</v>
      </c>
      <c r="D4177" s="4">
        <v>62021</v>
      </c>
      <c r="E4177" s="4">
        <v>20210324</v>
      </c>
      <c r="F4177" s="4">
        <v>20210324</v>
      </c>
      <c r="G4177" s="4">
        <v>20221030</v>
      </c>
      <c r="H4177" s="4" t="s">
        <v>1525</v>
      </c>
      <c r="I4177" s="4" t="s">
        <v>5075</v>
      </c>
      <c r="J4177" s="4" t="s">
        <v>1505</v>
      </c>
    </row>
    <row r="4178" spans="1:10" hidden="1">
      <c r="A4178" s="4">
        <v>2.0210327213000099E+17</v>
      </c>
      <c r="B4178" s="4">
        <v>1438127891</v>
      </c>
      <c r="C4178" s="4" t="s">
        <v>5074</v>
      </c>
      <c r="D4178" s="4">
        <v>27213</v>
      </c>
      <c r="E4178" s="4">
        <v>20210324</v>
      </c>
      <c r="F4178" s="4">
        <v>20210324</v>
      </c>
      <c r="G4178" s="4">
        <v>20211024</v>
      </c>
      <c r="H4178" s="4" t="s">
        <v>4933</v>
      </c>
      <c r="I4178" s="4" t="s">
        <v>5073</v>
      </c>
      <c r="J4178" s="4" t="s">
        <v>264</v>
      </c>
    </row>
    <row r="4179" spans="1:10" hidden="1">
      <c r="A4179" s="4">
        <v>2.0210325944000099E+17</v>
      </c>
      <c r="B4179" s="4">
        <v>3088800595</v>
      </c>
      <c r="C4179" s="4" t="s">
        <v>5072</v>
      </c>
      <c r="D4179" s="4">
        <v>25944</v>
      </c>
      <c r="E4179" s="4">
        <v>20210324</v>
      </c>
      <c r="F4179" s="4">
        <v>20210324</v>
      </c>
      <c r="G4179" s="4">
        <v>20230907</v>
      </c>
      <c r="H4179" s="4" t="s">
        <v>5071</v>
      </c>
      <c r="I4179" s="4" t="s">
        <v>5070</v>
      </c>
      <c r="J4179" s="4" t="s">
        <v>1334</v>
      </c>
    </row>
    <row r="4180" spans="1:10" hidden="1">
      <c r="A4180" s="4">
        <v>2.0210325112000099E+17</v>
      </c>
      <c r="B4180" s="4">
        <v>7098800600</v>
      </c>
      <c r="C4180" s="4" t="s">
        <v>5069</v>
      </c>
      <c r="D4180" s="4">
        <v>25112</v>
      </c>
      <c r="E4180" s="4">
        <v>20210324</v>
      </c>
      <c r="F4180" s="4">
        <v>20210324</v>
      </c>
      <c r="G4180" s="4">
        <v>20231214</v>
      </c>
      <c r="H4180" s="4" t="s">
        <v>5068</v>
      </c>
      <c r="J4180" s="4" t="s">
        <v>320</v>
      </c>
    </row>
    <row r="4181" spans="1:10" hidden="1">
      <c r="A4181" s="4">
        <v>2.0210328511000099E+17</v>
      </c>
      <c r="B4181" s="4">
        <v>1778701218</v>
      </c>
      <c r="C4181" s="4" t="s">
        <v>5067</v>
      </c>
      <c r="D4181" s="4">
        <v>28511</v>
      </c>
      <c r="E4181" s="4">
        <v>20210324</v>
      </c>
      <c r="F4181" s="4">
        <v>20210324</v>
      </c>
      <c r="G4181" s="4">
        <v>20240324</v>
      </c>
      <c r="H4181" s="4" t="s">
        <v>3478</v>
      </c>
      <c r="I4181" s="4" t="s">
        <v>5066</v>
      </c>
      <c r="J4181" s="4" t="s">
        <v>928</v>
      </c>
    </row>
    <row r="4182" spans="1:10" hidden="1">
      <c r="A4182" s="4">
        <v>2.0210358221000099E+17</v>
      </c>
      <c r="B4182" s="4">
        <v>8678800148</v>
      </c>
      <c r="C4182" s="4" t="s">
        <v>5065</v>
      </c>
      <c r="D4182" s="4">
        <v>58221</v>
      </c>
      <c r="E4182" s="4">
        <v>20210324</v>
      </c>
      <c r="F4182" s="4">
        <v>20210324</v>
      </c>
      <c r="G4182" s="4">
        <v>20220827</v>
      </c>
      <c r="H4182" s="4" t="s">
        <v>5064</v>
      </c>
      <c r="J4182" s="4" t="s">
        <v>228</v>
      </c>
    </row>
    <row r="4183" spans="1:10" hidden="1">
      <c r="A4183" s="4">
        <v>2.0210325923000099E+17</v>
      </c>
      <c r="B4183" s="4">
        <v>7808101671</v>
      </c>
      <c r="C4183" s="4" t="s">
        <v>5063</v>
      </c>
      <c r="D4183" s="4">
        <v>25923</v>
      </c>
      <c r="E4183" s="4">
        <v>20210324</v>
      </c>
      <c r="F4183" s="4">
        <v>20210324</v>
      </c>
      <c r="G4183" s="4">
        <v>20240324</v>
      </c>
      <c r="H4183" s="4" t="s">
        <v>5062</v>
      </c>
      <c r="I4183" s="4" t="s">
        <v>5061</v>
      </c>
      <c r="J4183" s="4" t="s">
        <v>204</v>
      </c>
    </row>
    <row r="4184" spans="1:10" hidden="1">
      <c r="A4184" s="4">
        <v>2.0210328422000099E+17</v>
      </c>
      <c r="B4184" s="4">
        <v>4318601532</v>
      </c>
      <c r="C4184" s="4" t="s">
        <v>5060</v>
      </c>
      <c r="D4184" s="4">
        <v>28422</v>
      </c>
      <c r="E4184" s="4">
        <v>20210324</v>
      </c>
      <c r="F4184" s="4">
        <v>20210324</v>
      </c>
      <c r="G4184" s="4">
        <v>20240324</v>
      </c>
      <c r="H4184" s="4" t="s">
        <v>5059</v>
      </c>
      <c r="J4184" s="4" t="s">
        <v>188</v>
      </c>
    </row>
    <row r="4185" spans="1:10" hidden="1">
      <c r="A4185" s="4">
        <v>2.0210333920000099E+17</v>
      </c>
      <c r="B4185" s="4">
        <v>3416800314</v>
      </c>
      <c r="C4185" s="4" t="s">
        <v>5058</v>
      </c>
      <c r="D4185" s="4">
        <v>33920</v>
      </c>
      <c r="E4185" s="4">
        <v>20210324</v>
      </c>
      <c r="F4185" s="4">
        <v>20210324</v>
      </c>
      <c r="G4185" s="4">
        <v>20240324</v>
      </c>
      <c r="H4185" s="4" t="s">
        <v>5057</v>
      </c>
      <c r="I4185" s="4" t="s">
        <v>5056</v>
      </c>
      <c r="J4185" s="4" t="s">
        <v>5055</v>
      </c>
    </row>
    <row r="4186" spans="1:10" hidden="1">
      <c r="A4186" s="4">
        <v>2.0210325999000099E+17</v>
      </c>
      <c r="B4186" s="4">
        <v>8988801383</v>
      </c>
      <c r="C4186" s="4" t="s">
        <v>5054</v>
      </c>
      <c r="D4186" s="4">
        <v>25999</v>
      </c>
      <c r="E4186" s="4">
        <v>20210324</v>
      </c>
      <c r="F4186" s="4">
        <v>20210324</v>
      </c>
      <c r="G4186" s="4">
        <v>20240324</v>
      </c>
      <c r="H4186" s="4" t="s">
        <v>5053</v>
      </c>
      <c r="J4186" s="4" t="s">
        <v>301</v>
      </c>
    </row>
    <row r="4187" spans="1:10">
      <c r="A4187" s="4">
        <v>2.0210518111000301E+17</v>
      </c>
      <c r="B4187" s="4">
        <v>4731600946</v>
      </c>
      <c r="C4187" s="4" t="s">
        <v>9046</v>
      </c>
      <c r="D4187" s="4">
        <v>18111</v>
      </c>
      <c r="E4187" s="4">
        <v>20210514</v>
      </c>
      <c r="F4187" s="4">
        <v>20210514</v>
      </c>
      <c r="G4187" s="4">
        <v>20240514</v>
      </c>
      <c r="H4187" s="4" t="s">
        <v>9045</v>
      </c>
      <c r="J4187" s="4" t="s">
        <v>662</v>
      </c>
    </row>
    <row r="4188" spans="1:10" hidden="1">
      <c r="A4188" s="4">
        <v>2.0210314111000099E+17</v>
      </c>
      <c r="B4188" s="4">
        <v>5338101643</v>
      </c>
      <c r="C4188" s="4" t="s">
        <v>5050</v>
      </c>
      <c r="D4188" s="4">
        <v>14111</v>
      </c>
      <c r="E4188" s="4">
        <v>20210323</v>
      </c>
      <c r="F4188" s="4">
        <v>20210323</v>
      </c>
      <c r="G4188" s="4">
        <v>20240323</v>
      </c>
      <c r="H4188" s="4" t="s">
        <v>5049</v>
      </c>
      <c r="J4188" s="4" t="s">
        <v>2462</v>
      </c>
    </row>
    <row r="4189" spans="1:10" hidden="1">
      <c r="A4189" s="4">
        <v>2.0210375992000099E+17</v>
      </c>
      <c r="B4189" s="4">
        <v>6028800731</v>
      </c>
      <c r="C4189" s="4" t="s">
        <v>5048</v>
      </c>
      <c r="D4189" s="4">
        <v>75992</v>
      </c>
      <c r="E4189" s="4">
        <v>20210323</v>
      </c>
      <c r="F4189" s="4">
        <v>20210323</v>
      </c>
      <c r="G4189" s="4">
        <v>20240323</v>
      </c>
      <c r="H4189" s="4" t="s">
        <v>5047</v>
      </c>
      <c r="I4189" s="4" t="s">
        <v>5046</v>
      </c>
      <c r="J4189" s="4" t="s">
        <v>111</v>
      </c>
    </row>
    <row r="4190" spans="1:10" hidden="1">
      <c r="A4190" s="4">
        <v>2.0210329193000099E+17</v>
      </c>
      <c r="B4190" s="4">
        <v>2558600676</v>
      </c>
      <c r="C4190" s="4" t="s">
        <v>5045</v>
      </c>
      <c r="D4190" s="4">
        <v>29193</v>
      </c>
      <c r="E4190" s="4">
        <v>20210323</v>
      </c>
      <c r="F4190" s="4">
        <v>20210323</v>
      </c>
      <c r="G4190" s="4">
        <v>20240224</v>
      </c>
      <c r="H4190" s="4" t="s">
        <v>5044</v>
      </c>
      <c r="I4190" s="4" t="s">
        <v>5043</v>
      </c>
      <c r="J4190" s="4" t="s">
        <v>721</v>
      </c>
    </row>
    <row r="4191" spans="1:10" hidden="1">
      <c r="A4191" s="4">
        <v>2.0210323919000099E+17</v>
      </c>
      <c r="B4191" s="4">
        <v>2318108395</v>
      </c>
      <c r="C4191" s="4" t="s">
        <v>5042</v>
      </c>
      <c r="D4191" s="4">
        <v>23919</v>
      </c>
      <c r="E4191" s="4">
        <v>20210323</v>
      </c>
      <c r="F4191" s="4">
        <v>20210323</v>
      </c>
      <c r="G4191" s="4">
        <v>20211217</v>
      </c>
      <c r="H4191" s="4" t="s">
        <v>5041</v>
      </c>
      <c r="J4191" s="4" t="s">
        <v>5040</v>
      </c>
    </row>
    <row r="4192" spans="1:10" hidden="1">
      <c r="A4192" s="4">
        <v>2.0210358222000099E+17</v>
      </c>
      <c r="B4192" s="4">
        <v>8148701511</v>
      </c>
      <c r="C4192" s="4" t="s">
        <v>5039</v>
      </c>
      <c r="D4192" s="4">
        <v>58222</v>
      </c>
      <c r="E4192" s="4">
        <v>20210323</v>
      </c>
      <c r="F4192" s="4">
        <v>20210323</v>
      </c>
      <c r="G4192" s="4">
        <v>20240323</v>
      </c>
      <c r="H4192" s="4" t="s">
        <v>5038</v>
      </c>
      <c r="I4192" s="4" t="s">
        <v>5037</v>
      </c>
      <c r="J4192" s="4" t="s">
        <v>94</v>
      </c>
    </row>
    <row r="4193" spans="1:10" hidden="1">
      <c r="A4193" s="4">
        <v>2.0210372112000099E+17</v>
      </c>
      <c r="B4193" s="4">
        <v>4513600584</v>
      </c>
      <c r="C4193" s="4" t="s">
        <v>5036</v>
      </c>
      <c r="D4193" s="4">
        <v>72112</v>
      </c>
      <c r="E4193" s="4">
        <v>20210323</v>
      </c>
      <c r="F4193" s="4">
        <v>20210323</v>
      </c>
      <c r="G4193" s="4">
        <v>20240323</v>
      </c>
      <c r="H4193" s="4" t="s">
        <v>5035</v>
      </c>
      <c r="I4193" s="4" t="s">
        <v>239</v>
      </c>
      <c r="J4193" s="4" t="s">
        <v>5034</v>
      </c>
    </row>
    <row r="4194" spans="1:10" hidden="1">
      <c r="A4194" s="4">
        <v>2.0210346595000099E+17</v>
      </c>
      <c r="B4194" s="4">
        <v>5592800976</v>
      </c>
      <c r="C4194" s="4" t="s">
        <v>5033</v>
      </c>
      <c r="D4194" s="4">
        <v>46595</v>
      </c>
      <c r="E4194" s="4">
        <v>20210323</v>
      </c>
      <c r="F4194" s="4">
        <v>20210323</v>
      </c>
      <c r="G4194" s="4">
        <v>20240323</v>
      </c>
      <c r="H4194" s="4" t="s">
        <v>4395</v>
      </c>
      <c r="J4194" s="4" t="s">
        <v>960</v>
      </c>
    </row>
    <row r="4195" spans="1:10" hidden="1">
      <c r="A4195" s="4">
        <v>2.0210329222000099E+17</v>
      </c>
      <c r="B4195" s="4">
        <v>2212423678</v>
      </c>
      <c r="C4195" s="4" t="s">
        <v>5032</v>
      </c>
      <c r="D4195" s="4">
        <v>29222</v>
      </c>
      <c r="E4195" s="4">
        <v>20210323</v>
      </c>
      <c r="F4195" s="4">
        <v>20210323</v>
      </c>
      <c r="G4195" s="4">
        <v>20240306</v>
      </c>
      <c r="H4195" s="4" t="s">
        <v>5031</v>
      </c>
      <c r="I4195" s="4" t="s">
        <v>175</v>
      </c>
      <c r="J4195" s="4" t="s">
        <v>4276</v>
      </c>
    </row>
    <row r="4196" spans="1:10" hidden="1">
      <c r="A4196" s="4">
        <v>2.0210325119000099E+17</v>
      </c>
      <c r="B4196" s="4">
        <v>7343700623</v>
      </c>
      <c r="C4196" s="4" t="s">
        <v>5030</v>
      </c>
      <c r="D4196" s="4">
        <v>25119</v>
      </c>
      <c r="E4196" s="4">
        <v>20210323</v>
      </c>
      <c r="F4196" s="4">
        <v>20210323</v>
      </c>
      <c r="G4196" s="4">
        <v>20240323</v>
      </c>
      <c r="H4196" s="4" t="s">
        <v>5029</v>
      </c>
      <c r="I4196" s="4" t="s">
        <v>5028</v>
      </c>
      <c r="J4196" s="4" t="s">
        <v>679</v>
      </c>
    </row>
    <row r="4197" spans="1:10" hidden="1">
      <c r="A4197" s="4">
        <v>2.0210323324000099E+17</v>
      </c>
      <c r="B4197" s="4">
        <v>4398801165</v>
      </c>
      <c r="C4197" s="4" t="s">
        <v>5027</v>
      </c>
      <c r="D4197" s="4">
        <v>23324</v>
      </c>
      <c r="E4197" s="4">
        <v>20210323</v>
      </c>
      <c r="F4197" s="4">
        <v>20210323</v>
      </c>
      <c r="G4197" s="4">
        <v>20240323</v>
      </c>
      <c r="H4197" s="4" t="s">
        <v>1183</v>
      </c>
      <c r="I4197" s="4" t="s">
        <v>5026</v>
      </c>
      <c r="J4197" s="4" t="s">
        <v>3323</v>
      </c>
    </row>
    <row r="4198" spans="1:10" hidden="1">
      <c r="A4198" s="4">
        <v>2.0210313402000099E+17</v>
      </c>
      <c r="B4198" s="4">
        <v>2878601691</v>
      </c>
      <c r="C4198" s="4" t="s">
        <v>5025</v>
      </c>
      <c r="D4198" s="4">
        <v>13402</v>
      </c>
      <c r="E4198" s="4">
        <v>20210323</v>
      </c>
      <c r="F4198" s="4">
        <v>20210323</v>
      </c>
      <c r="G4198" s="4">
        <v>20240323</v>
      </c>
      <c r="H4198" s="4" t="s">
        <v>5024</v>
      </c>
      <c r="J4198" s="4" t="s">
        <v>5023</v>
      </c>
    </row>
    <row r="4199" spans="1:10" hidden="1">
      <c r="A4199" s="4">
        <v>2.0210372911000099E+17</v>
      </c>
      <c r="B4199" s="4">
        <v>4894400401</v>
      </c>
      <c r="C4199" s="4" t="s">
        <v>5022</v>
      </c>
      <c r="D4199" s="4">
        <v>72911</v>
      </c>
      <c r="E4199" s="4">
        <v>20210323</v>
      </c>
      <c r="F4199" s="4">
        <v>20210323</v>
      </c>
      <c r="G4199" s="4">
        <v>20240323</v>
      </c>
      <c r="H4199" s="4" t="s">
        <v>1239</v>
      </c>
      <c r="I4199" s="4" t="s">
        <v>5021</v>
      </c>
      <c r="J4199" s="4" t="s">
        <v>5020</v>
      </c>
    </row>
    <row r="4200" spans="1:10" hidden="1">
      <c r="A4200" s="4">
        <v>2.0210332029000099E+17</v>
      </c>
      <c r="B4200" s="4">
        <v>1912500406</v>
      </c>
      <c r="C4200" s="4" t="s">
        <v>5019</v>
      </c>
      <c r="D4200" s="4">
        <v>32029</v>
      </c>
      <c r="E4200" s="4">
        <v>20210323</v>
      </c>
      <c r="F4200" s="4">
        <v>20210323</v>
      </c>
      <c r="G4200" s="4">
        <v>20240323</v>
      </c>
      <c r="H4200" s="4" t="s">
        <v>5018</v>
      </c>
      <c r="I4200" s="4" t="s">
        <v>5017</v>
      </c>
      <c r="J4200" s="4" t="s">
        <v>637</v>
      </c>
    </row>
    <row r="4201" spans="1:10" hidden="1">
      <c r="A4201" s="4">
        <v>2.0210333999000099E+17</v>
      </c>
      <c r="B4201" s="4">
        <v>1011392007</v>
      </c>
      <c r="C4201" s="4" t="s">
        <v>5016</v>
      </c>
      <c r="D4201" s="4">
        <v>33999</v>
      </c>
      <c r="E4201" s="4">
        <v>20210323</v>
      </c>
      <c r="F4201" s="4">
        <v>20210323</v>
      </c>
      <c r="G4201" s="4">
        <v>20240217</v>
      </c>
      <c r="H4201" s="4" t="s">
        <v>5015</v>
      </c>
      <c r="I4201" s="4" t="s">
        <v>5014</v>
      </c>
      <c r="J4201" s="4" t="s">
        <v>780</v>
      </c>
    </row>
    <row r="4202" spans="1:10" hidden="1">
      <c r="A4202" s="4">
        <v>2.0210370129000099E+17</v>
      </c>
      <c r="B4202" s="4">
        <v>2828800954</v>
      </c>
      <c r="C4202" s="4" t="s">
        <v>5013</v>
      </c>
      <c r="D4202" s="4">
        <v>70129</v>
      </c>
      <c r="E4202" s="4">
        <v>20210323</v>
      </c>
      <c r="F4202" s="4">
        <v>20210323</v>
      </c>
      <c r="G4202" s="4">
        <v>20240323</v>
      </c>
      <c r="H4202" s="4" t="s">
        <v>4205</v>
      </c>
      <c r="I4202" s="4" t="s">
        <v>5012</v>
      </c>
      <c r="J4202" s="4" t="s">
        <v>937</v>
      </c>
    </row>
    <row r="4203" spans="1:10" hidden="1">
      <c r="A4203" s="4">
        <v>2.0210328422000099E+17</v>
      </c>
      <c r="B4203" s="4">
        <v>4457900290</v>
      </c>
      <c r="C4203" s="4" t="s">
        <v>5011</v>
      </c>
      <c r="D4203" s="4">
        <v>28422</v>
      </c>
      <c r="E4203" s="4">
        <v>20210323</v>
      </c>
      <c r="F4203" s="4">
        <v>20210323</v>
      </c>
      <c r="G4203" s="4">
        <v>20240323</v>
      </c>
      <c r="H4203" s="4" t="s">
        <v>5010</v>
      </c>
      <c r="I4203" s="4" t="s">
        <v>1403</v>
      </c>
      <c r="J4203" s="4" t="s">
        <v>188</v>
      </c>
    </row>
    <row r="4204" spans="1:10" hidden="1">
      <c r="A4204" s="4">
        <v>2.0210328429000099E+17</v>
      </c>
      <c r="B4204" s="4">
        <v>4880401319</v>
      </c>
      <c r="C4204" s="4" t="s">
        <v>5009</v>
      </c>
      <c r="D4204" s="4">
        <v>28429</v>
      </c>
      <c r="E4204" s="4">
        <v>20210323</v>
      </c>
      <c r="F4204" s="4">
        <v>20210323</v>
      </c>
      <c r="G4204" s="4">
        <v>20240323</v>
      </c>
      <c r="H4204" s="4" t="s">
        <v>5008</v>
      </c>
      <c r="I4204" s="4" t="s">
        <v>1742</v>
      </c>
      <c r="J4204" s="4" t="s">
        <v>765</v>
      </c>
    </row>
    <row r="4205" spans="1:10" hidden="1">
      <c r="A4205" s="4">
        <v>2.0210325119000099E+17</v>
      </c>
      <c r="B4205" s="4">
        <v>5028639801</v>
      </c>
      <c r="C4205" s="4" t="s">
        <v>5007</v>
      </c>
      <c r="D4205" s="4">
        <v>25119</v>
      </c>
      <c r="E4205" s="4">
        <v>20210323</v>
      </c>
      <c r="F4205" s="4">
        <v>20210323</v>
      </c>
      <c r="G4205" s="4">
        <v>20220212</v>
      </c>
      <c r="H4205" s="4" t="s">
        <v>5006</v>
      </c>
      <c r="J4205" s="4" t="s">
        <v>679</v>
      </c>
    </row>
    <row r="4206" spans="1:10" hidden="1">
      <c r="A4206" s="4">
        <v>2.0210347811000099E+17</v>
      </c>
      <c r="B4206" s="4">
        <v>2448601850</v>
      </c>
      <c r="C4206" s="4" t="s">
        <v>5005</v>
      </c>
      <c r="D4206" s="4">
        <v>47811</v>
      </c>
      <c r="E4206" s="4">
        <v>20210323</v>
      </c>
      <c r="F4206" s="4">
        <v>20210323</v>
      </c>
      <c r="G4206" s="4">
        <v>20240323</v>
      </c>
      <c r="H4206" s="4" t="s">
        <v>5004</v>
      </c>
      <c r="I4206" s="4" t="s">
        <v>5003</v>
      </c>
      <c r="J4206" s="4" t="s">
        <v>5002</v>
      </c>
    </row>
    <row r="4207" spans="1:10" hidden="1">
      <c r="A4207" s="4">
        <v>2.0210373303000099E+17</v>
      </c>
      <c r="B4207" s="4">
        <v>1041062194</v>
      </c>
      <c r="C4207" s="4" t="s">
        <v>5001</v>
      </c>
      <c r="D4207" s="4">
        <v>73303</v>
      </c>
      <c r="E4207" s="4">
        <v>20210323</v>
      </c>
      <c r="F4207" s="4">
        <v>20210323</v>
      </c>
      <c r="G4207" s="4">
        <v>20240323</v>
      </c>
      <c r="H4207" s="4" t="s">
        <v>5000</v>
      </c>
      <c r="I4207" s="4" t="s">
        <v>185</v>
      </c>
      <c r="J4207" s="4" t="s">
        <v>4999</v>
      </c>
    </row>
    <row r="4208" spans="1:10" hidden="1">
      <c r="A4208" s="4">
        <v>2.0210322299000099E+17</v>
      </c>
      <c r="B4208" s="4">
        <v>8138101291</v>
      </c>
      <c r="C4208" s="4" t="s">
        <v>4998</v>
      </c>
      <c r="D4208" s="4">
        <v>22299</v>
      </c>
      <c r="E4208" s="4">
        <v>20210323</v>
      </c>
      <c r="F4208" s="4">
        <v>20210323</v>
      </c>
      <c r="G4208" s="4">
        <v>20240323</v>
      </c>
      <c r="H4208" s="4" t="s">
        <v>4997</v>
      </c>
      <c r="J4208" s="4" t="s">
        <v>384</v>
      </c>
    </row>
    <row r="4209" spans="1:10" hidden="1">
      <c r="A4209" s="4">
        <v>2.0210358222000099E+17</v>
      </c>
      <c r="B4209" s="4">
        <v>1338144097</v>
      </c>
      <c r="C4209" s="4" t="s">
        <v>4996</v>
      </c>
      <c r="D4209" s="4">
        <v>58222</v>
      </c>
      <c r="E4209" s="4">
        <v>20210323</v>
      </c>
      <c r="F4209" s="4">
        <v>20210323</v>
      </c>
      <c r="G4209" s="4">
        <v>20240111</v>
      </c>
      <c r="H4209" s="4" t="s">
        <v>4995</v>
      </c>
      <c r="I4209" s="4" t="s">
        <v>4994</v>
      </c>
      <c r="J4209" s="4" t="s">
        <v>94</v>
      </c>
    </row>
    <row r="4210" spans="1:10" hidden="1">
      <c r="A4210" s="4">
        <v>2.0210328422000099E+17</v>
      </c>
      <c r="B4210" s="4">
        <v>6538101272</v>
      </c>
      <c r="C4210" s="4" t="s">
        <v>4993</v>
      </c>
      <c r="D4210" s="4">
        <v>28422</v>
      </c>
      <c r="E4210" s="4">
        <v>20210323</v>
      </c>
      <c r="F4210" s="4">
        <v>20210323</v>
      </c>
      <c r="G4210" s="4">
        <v>20240323</v>
      </c>
      <c r="H4210" s="4" t="s">
        <v>4992</v>
      </c>
      <c r="I4210" s="4" t="s">
        <v>591</v>
      </c>
      <c r="J4210" s="4" t="s">
        <v>188</v>
      </c>
    </row>
    <row r="4211" spans="1:10" hidden="1">
      <c r="A4211" s="4">
        <v>2.0210331312000099E+17</v>
      </c>
      <c r="B4211" s="4">
        <v>6978600924</v>
      </c>
      <c r="C4211" s="4" t="s">
        <v>4991</v>
      </c>
      <c r="D4211" s="4">
        <v>31312</v>
      </c>
      <c r="E4211" s="4">
        <v>20210323</v>
      </c>
      <c r="F4211" s="4">
        <v>20210323</v>
      </c>
      <c r="G4211" s="4">
        <v>20240323</v>
      </c>
      <c r="H4211" s="4" t="s">
        <v>4990</v>
      </c>
      <c r="I4211" s="4" t="s">
        <v>4989</v>
      </c>
      <c r="J4211" s="4" t="s">
        <v>748</v>
      </c>
    </row>
    <row r="4212" spans="1:10">
      <c r="A4212" s="4">
        <v>2.02106171220004E+17</v>
      </c>
      <c r="B4212" s="4">
        <v>2891801441</v>
      </c>
      <c r="C4212" s="4" t="s">
        <v>10084</v>
      </c>
      <c r="D4212" s="4">
        <v>17122</v>
      </c>
      <c r="E4212" s="4">
        <v>20210601</v>
      </c>
      <c r="F4212" s="4">
        <v>20210601</v>
      </c>
      <c r="G4212" s="4">
        <v>20240601</v>
      </c>
      <c r="H4212" s="4" t="s">
        <v>10083</v>
      </c>
      <c r="I4212" s="4" t="s">
        <v>1742</v>
      </c>
      <c r="J4212" s="4" t="s">
        <v>5437</v>
      </c>
    </row>
    <row r="4213" spans="1:10" hidden="1">
      <c r="A4213" s="4">
        <v>2.0210331114000099E+17</v>
      </c>
      <c r="B4213" s="4">
        <v>6628601271</v>
      </c>
      <c r="C4213" s="4" t="s">
        <v>4985</v>
      </c>
      <c r="D4213" s="4">
        <v>31114</v>
      </c>
      <c r="E4213" s="4">
        <v>20210323</v>
      </c>
      <c r="F4213" s="4">
        <v>20210323</v>
      </c>
      <c r="G4213" s="4">
        <v>20240323</v>
      </c>
      <c r="H4213" s="4" t="s">
        <v>1061</v>
      </c>
      <c r="I4213" s="4" t="s">
        <v>4984</v>
      </c>
      <c r="J4213" s="4" t="s">
        <v>1070</v>
      </c>
    </row>
    <row r="4214" spans="1:10" hidden="1">
      <c r="A4214" s="4">
        <v>2.0210322299000099E+17</v>
      </c>
      <c r="B4214" s="4">
        <v>3268601792</v>
      </c>
      <c r="C4214" s="4" t="s">
        <v>4983</v>
      </c>
      <c r="D4214" s="4">
        <v>22299</v>
      </c>
      <c r="E4214" s="4">
        <v>20210323</v>
      </c>
      <c r="F4214" s="4">
        <v>20210323</v>
      </c>
      <c r="G4214" s="4">
        <v>20240323</v>
      </c>
      <c r="H4214" s="4" t="s">
        <v>4982</v>
      </c>
      <c r="J4214" s="4" t="s">
        <v>384</v>
      </c>
    </row>
    <row r="4215" spans="1:10" hidden="1">
      <c r="A4215" s="4">
        <v>2.0210326299000099E+17</v>
      </c>
      <c r="B4215" s="4">
        <v>1388601609</v>
      </c>
      <c r="C4215" s="4" t="s">
        <v>4981</v>
      </c>
      <c r="D4215" s="4">
        <v>26299</v>
      </c>
      <c r="E4215" s="4">
        <v>20210323</v>
      </c>
      <c r="F4215" s="4">
        <v>20210323</v>
      </c>
      <c r="G4215" s="4">
        <v>20220202</v>
      </c>
      <c r="H4215" s="4" t="s">
        <v>1923</v>
      </c>
      <c r="I4215" s="4" t="s">
        <v>4980</v>
      </c>
      <c r="J4215" s="4" t="s">
        <v>339</v>
      </c>
    </row>
    <row r="4216" spans="1:10" hidden="1">
      <c r="A4216" s="4">
        <v>2.0210358222000099E+17</v>
      </c>
      <c r="B4216" s="4">
        <v>7528801563</v>
      </c>
      <c r="C4216" s="4" t="s">
        <v>4979</v>
      </c>
      <c r="D4216" s="4">
        <v>58222</v>
      </c>
      <c r="E4216" s="4">
        <v>20210323</v>
      </c>
      <c r="F4216" s="4">
        <v>20210323</v>
      </c>
      <c r="G4216" s="4">
        <v>20240323</v>
      </c>
      <c r="H4216" s="4" t="s">
        <v>1950</v>
      </c>
      <c r="I4216" s="4" t="s">
        <v>4978</v>
      </c>
      <c r="J4216" s="4" t="s">
        <v>94</v>
      </c>
    </row>
    <row r="4217" spans="1:10" hidden="1">
      <c r="A4217" s="4">
        <v>2.0210323231000099E+17</v>
      </c>
      <c r="B4217" s="4">
        <v>3998700935</v>
      </c>
      <c r="C4217" s="4" t="s">
        <v>4977</v>
      </c>
      <c r="D4217" s="4">
        <v>23231</v>
      </c>
      <c r="E4217" s="4">
        <v>20210323</v>
      </c>
      <c r="F4217" s="4">
        <v>20210323</v>
      </c>
      <c r="G4217" s="4">
        <v>20240323</v>
      </c>
      <c r="H4217" s="4" t="s">
        <v>4976</v>
      </c>
      <c r="J4217" s="4" t="s">
        <v>4149</v>
      </c>
    </row>
    <row r="4218" spans="1:10" hidden="1">
      <c r="A4218" s="4">
        <v>2.0210358221000099E+17</v>
      </c>
      <c r="B4218" s="4">
        <v>5148198865</v>
      </c>
      <c r="C4218" s="4" t="s">
        <v>4975</v>
      </c>
      <c r="D4218" s="4">
        <v>58221</v>
      </c>
      <c r="E4218" s="4">
        <v>20210323</v>
      </c>
      <c r="F4218" s="4">
        <v>20210323</v>
      </c>
      <c r="G4218" s="4">
        <v>20230314</v>
      </c>
      <c r="H4218" s="4" t="s">
        <v>356</v>
      </c>
      <c r="I4218" s="4" t="s">
        <v>4974</v>
      </c>
      <c r="J4218" s="4" t="s">
        <v>228</v>
      </c>
    </row>
    <row r="4219" spans="1:10" hidden="1">
      <c r="A4219" s="4">
        <v>2.0210328111000099E+17</v>
      </c>
      <c r="B4219" s="4">
        <v>4678800900</v>
      </c>
      <c r="C4219" s="4" t="s">
        <v>4973</v>
      </c>
      <c r="D4219" s="4">
        <v>28111</v>
      </c>
      <c r="E4219" s="4">
        <v>20210323</v>
      </c>
      <c r="F4219" s="4">
        <v>20210323</v>
      </c>
      <c r="G4219" s="4">
        <v>20240323</v>
      </c>
      <c r="H4219" s="4" t="s">
        <v>4350</v>
      </c>
      <c r="I4219" s="4" t="s">
        <v>4972</v>
      </c>
      <c r="J4219" s="4" t="s">
        <v>1614</v>
      </c>
    </row>
    <row r="4220" spans="1:10" hidden="1">
      <c r="A4220" s="4">
        <v>2.0210325111000099E+17</v>
      </c>
      <c r="B4220" s="4">
        <v>4138700319</v>
      </c>
      <c r="C4220" s="4" t="s">
        <v>4971</v>
      </c>
      <c r="D4220" s="4">
        <v>25111</v>
      </c>
      <c r="E4220" s="4">
        <v>20210323</v>
      </c>
      <c r="F4220" s="4">
        <v>20210323</v>
      </c>
      <c r="G4220" s="4">
        <v>20230602</v>
      </c>
      <c r="H4220" s="4" t="s">
        <v>4970</v>
      </c>
      <c r="I4220" s="4" t="s">
        <v>4969</v>
      </c>
      <c r="J4220" s="4" t="s">
        <v>82</v>
      </c>
    </row>
    <row r="4221" spans="1:10" hidden="1">
      <c r="A4221" s="4">
        <v>2.0210322299000099E+17</v>
      </c>
      <c r="B4221" s="4">
        <v>3068601750</v>
      </c>
      <c r="C4221" s="4" t="s">
        <v>4968</v>
      </c>
      <c r="D4221" s="4">
        <v>22299</v>
      </c>
      <c r="E4221" s="4">
        <v>20210323</v>
      </c>
      <c r="F4221" s="4">
        <v>20210323</v>
      </c>
      <c r="G4221" s="4">
        <v>20240323</v>
      </c>
      <c r="H4221" s="4" t="s">
        <v>4967</v>
      </c>
      <c r="I4221" s="4" t="s">
        <v>657</v>
      </c>
      <c r="J4221" s="4" t="s">
        <v>384</v>
      </c>
    </row>
    <row r="4222" spans="1:10" hidden="1">
      <c r="A4222" s="4">
        <v>2.0210328123000099E+17</v>
      </c>
      <c r="B4222" s="4">
        <v>6678801208</v>
      </c>
      <c r="C4222" s="4" t="s">
        <v>4966</v>
      </c>
      <c r="D4222" s="4">
        <v>28123</v>
      </c>
      <c r="E4222" s="4">
        <v>20210323</v>
      </c>
      <c r="F4222" s="4">
        <v>20210323</v>
      </c>
      <c r="G4222" s="4">
        <v>20240323</v>
      </c>
      <c r="H4222" s="4" t="s">
        <v>4481</v>
      </c>
      <c r="I4222" s="4" t="s">
        <v>91</v>
      </c>
      <c r="J4222" s="4" t="s">
        <v>640</v>
      </c>
    </row>
    <row r="4223" spans="1:10" hidden="1">
      <c r="A4223" s="4">
        <v>2.0210326421000099E+17</v>
      </c>
      <c r="B4223" s="4">
        <v>8488100075</v>
      </c>
      <c r="C4223" s="4" t="s">
        <v>4965</v>
      </c>
      <c r="D4223" s="4">
        <v>26421</v>
      </c>
      <c r="E4223" s="4">
        <v>20210323</v>
      </c>
      <c r="F4223" s="4">
        <v>20210323</v>
      </c>
      <c r="G4223" s="4">
        <v>20220427</v>
      </c>
      <c r="H4223" s="4" t="s">
        <v>4964</v>
      </c>
      <c r="I4223" s="4" t="s">
        <v>4963</v>
      </c>
      <c r="J4223" s="4" t="s">
        <v>1767</v>
      </c>
    </row>
    <row r="4224" spans="1:10" hidden="1">
      <c r="A4224" s="4">
        <v>2.0210325944000099E+17</v>
      </c>
      <c r="B4224" s="4">
        <v>8788600445</v>
      </c>
      <c r="C4224" s="4" t="s">
        <v>4962</v>
      </c>
      <c r="D4224" s="4">
        <v>25944</v>
      </c>
      <c r="E4224" s="4">
        <v>20210323</v>
      </c>
      <c r="F4224" s="4">
        <v>20210323</v>
      </c>
      <c r="G4224" s="4">
        <v>20230712</v>
      </c>
      <c r="H4224" s="4" t="s">
        <v>4961</v>
      </c>
      <c r="I4224" s="4" t="s">
        <v>1580</v>
      </c>
      <c r="J4224" s="4" t="s">
        <v>1334</v>
      </c>
    </row>
    <row r="4225" spans="1:10" hidden="1">
      <c r="A4225" s="4">
        <v>2.0210346329000099E+17</v>
      </c>
      <c r="B4225" s="4">
        <v>4812500968</v>
      </c>
      <c r="C4225" s="4" t="s">
        <v>4960</v>
      </c>
      <c r="D4225" s="4">
        <v>46329</v>
      </c>
      <c r="E4225" s="4">
        <v>20210323</v>
      </c>
      <c r="F4225" s="4">
        <v>20210323</v>
      </c>
      <c r="G4225" s="4">
        <v>20240323</v>
      </c>
      <c r="H4225" s="4" t="s">
        <v>4959</v>
      </c>
      <c r="J4225" s="4" t="s">
        <v>830</v>
      </c>
    </row>
    <row r="4226" spans="1:10" hidden="1">
      <c r="A4226" s="4">
        <v>2.0210316291000099E+17</v>
      </c>
      <c r="B4226" s="4">
        <v>8275200160</v>
      </c>
      <c r="C4226" s="4" t="s">
        <v>4957</v>
      </c>
      <c r="D4226" s="4">
        <v>16291</v>
      </c>
      <c r="E4226" s="4">
        <v>20210323</v>
      </c>
      <c r="F4226" s="4">
        <v>20210323</v>
      </c>
      <c r="G4226" s="4">
        <v>20240323</v>
      </c>
      <c r="H4226" s="4" t="s">
        <v>4958</v>
      </c>
      <c r="I4226" s="4" t="s">
        <v>4957</v>
      </c>
      <c r="J4226" s="4" t="s">
        <v>4956</v>
      </c>
    </row>
    <row r="4227" spans="1:10" hidden="1">
      <c r="A4227" s="4">
        <v>2.0210329132000099E+17</v>
      </c>
      <c r="B4227" s="4">
        <v>4608102102</v>
      </c>
      <c r="C4227" s="4" t="s">
        <v>4955</v>
      </c>
      <c r="D4227" s="4">
        <v>29132</v>
      </c>
      <c r="E4227" s="4">
        <v>20210323</v>
      </c>
      <c r="F4227" s="4">
        <v>20210323</v>
      </c>
      <c r="G4227" s="4">
        <v>20240323</v>
      </c>
      <c r="H4227" s="4" t="s">
        <v>4954</v>
      </c>
      <c r="J4227" s="4" t="s">
        <v>1083</v>
      </c>
    </row>
    <row r="4228" spans="1:10" hidden="1">
      <c r="A4228" s="4">
        <v>2.0210310212000099E+17</v>
      </c>
      <c r="B4228" s="4">
        <v>3453300819</v>
      </c>
      <c r="C4228" s="4" t="s">
        <v>4953</v>
      </c>
      <c r="D4228" s="4">
        <v>10212</v>
      </c>
      <c r="E4228" s="4">
        <v>20210323</v>
      </c>
      <c r="F4228" s="4">
        <v>20210323</v>
      </c>
      <c r="G4228" s="4">
        <v>20240323</v>
      </c>
      <c r="H4228" s="4" t="s">
        <v>4952</v>
      </c>
      <c r="J4228" s="4" t="s">
        <v>585</v>
      </c>
    </row>
    <row r="4229" spans="1:10" hidden="1">
      <c r="A4229" s="4">
        <v>2.0210325929000099E+17</v>
      </c>
      <c r="B4229" s="4">
        <v>8274900234</v>
      </c>
      <c r="C4229" s="4" t="s">
        <v>4951</v>
      </c>
      <c r="D4229" s="4">
        <v>25929</v>
      </c>
      <c r="E4229" s="4">
        <v>20210323</v>
      </c>
      <c r="F4229" s="4">
        <v>20210323</v>
      </c>
      <c r="G4229" s="4">
        <v>20240323</v>
      </c>
      <c r="H4229" s="4" t="s">
        <v>4950</v>
      </c>
      <c r="J4229" s="4" t="s">
        <v>701</v>
      </c>
    </row>
    <row r="4230" spans="1:10" hidden="1">
      <c r="A4230" s="4">
        <v>2.0210359120000099E+17</v>
      </c>
      <c r="B4230" s="4">
        <v>2753900360</v>
      </c>
      <c r="C4230" s="4" t="s">
        <v>4949</v>
      </c>
      <c r="D4230" s="4">
        <v>59120</v>
      </c>
      <c r="E4230" s="4">
        <v>20210323</v>
      </c>
      <c r="F4230" s="4">
        <v>20210323</v>
      </c>
      <c r="G4230" s="4">
        <v>20240323</v>
      </c>
      <c r="H4230" s="4" t="s">
        <v>4125</v>
      </c>
      <c r="I4230" s="4" t="s">
        <v>4948</v>
      </c>
      <c r="J4230" s="4" t="s">
        <v>2961</v>
      </c>
    </row>
    <row r="4231" spans="1:10" hidden="1">
      <c r="A4231" s="4">
        <v>2.0210313229000099E+17</v>
      </c>
      <c r="B4231" s="4">
        <v>4318101838</v>
      </c>
      <c r="C4231" s="4" t="s">
        <v>4947</v>
      </c>
      <c r="D4231" s="4">
        <v>13229</v>
      </c>
      <c r="E4231" s="4">
        <v>20210323</v>
      </c>
      <c r="F4231" s="4">
        <v>20210323</v>
      </c>
      <c r="G4231" s="4">
        <v>20240323</v>
      </c>
      <c r="H4231" s="4" t="s">
        <v>4946</v>
      </c>
      <c r="J4231" s="4" t="s">
        <v>115</v>
      </c>
    </row>
    <row r="4232" spans="1:10" hidden="1">
      <c r="A4232" s="4">
        <v>2.0210322211000099E+17</v>
      </c>
      <c r="B4232" s="4">
        <v>4518801340</v>
      </c>
      <c r="C4232" s="4" t="s">
        <v>4945</v>
      </c>
      <c r="D4232" s="4">
        <v>22211</v>
      </c>
      <c r="E4232" s="4">
        <v>20210322</v>
      </c>
      <c r="F4232" s="4">
        <v>20210322</v>
      </c>
      <c r="G4232" s="4">
        <v>20240322</v>
      </c>
      <c r="H4232" s="4" t="s">
        <v>4944</v>
      </c>
      <c r="I4232" s="4" t="s">
        <v>4943</v>
      </c>
      <c r="J4232" s="4" t="s">
        <v>1820</v>
      </c>
    </row>
    <row r="4233" spans="1:10" hidden="1">
      <c r="A4233" s="4">
        <v>2.0210314192000099E+17</v>
      </c>
      <c r="B4233" s="4">
        <v>8858101689</v>
      </c>
      <c r="C4233" s="4" t="s">
        <v>4942</v>
      </c>
      <c r="D4233" s="4">
        <v>14192</v>
      </c>
      <c r="E4233" s="4">
        <v>20210322</v>
      </c>
      <c r="F4233" s="4">
        <v>20210322</v>
      </c>
      <c r="G4233" s="4">
        <v>20240322</v>
      </c>
      <c r="H4233" s="4" t="s">
        <v>4941</v>
      </c>
      <c r="J4233" s="4" t="s">
        <v>4910</v>
      </c>
    </row>
    <row r="4234" spans="1:10" hidden="1">
      <c r="A4234" s="4">
        <v>2.0210327214000099E+17</v>
      </c>
      <c r="B4234" s="4">
        <v>3748700649</v>
      </c>
      <c r="C4234" s="4" t="s">
        <v>4940</v>
      </c>
      <c r="D4234" s="4">
        <v>27214</v>
      </c>
      <c r="E4234" s="4">
        <v>20210322</v>
      </c>
      <c r="F4234" s="4">
        <v>20210322</v>
      </c>
      <c r="G4234" s="4">
        <v>20240322</v>
      </c>
      <c r="H4234" s="4" t="s">
        <v>4939</v>
      </c>
      <c r="I4234" s="4" t="s">
        <v>4938</v>
      </c>
      <c r="J4234" s="4" t="s">
        <v>4937</v>
      </c>
    </row>
    <row r="4235" spans="1:10" hidden="1">
      <c r="A4235" s="4">
        <v>2.0210325112000099E+17</v>
      </c>
      <c r="B4235" s="4">
        <v>6858100722</v>
      </c>
      <c r="C4235" s="4" t="s">
        <v>4936</v>
      </c>
      <c r="D4235" s="4">
        <v>25112</v>
      </c>
      <c r="E4235" s="4">
        <v>20210322</v>
      </c>
      <c r="F4235" s="4">
        <v>20210322</v>
      </c>
      <c r="G4235" s="4">
        <v>20240209</v>
      </c>
      <c r="H4235" s="4" t="s">
        <v>4935</v>
      </c>
      <c r="J4235" s="4" t="s">
        <v>320</v>
      </c>
    </row>
    <row r="4236" spans="1:10" hidden="1">
      <c r="A4236" s="4">
        <v>2.0210329174000099E+17</v>
      </c>
      <c r="B4236" s="4">
        <v>3618600587</v>
      </c>
      <c r="C4236" s="4" t="s">
        <v>4934</v>
      </c>
      <c r="D4236" s="4">
        <v>29174</v>
      </c>
      <c r="E4236" s="4">
        <v>20210322</v>
      </c>
      <c r="F4236" s="4">
        <v>20210322</v>
      </c>
      <c r="G4236" s="4">
        <v>20231104</v>
      </c>
      <c r="H4236" s="4" t="s">
        <v>4933</v>
      </c>
      <c r="I4236" s="4" t="s">
        <v>4932</v>
      </c>
      <c r="J4236" s="4" t="s">
        <v>877</v>
      </c>
    </row>
    <row r="4237" spans="1:10" hidden="1">
      <c r="A4237" s="4">
        <v>2.0210328901000099E+17</v>
      </c>
      <c r="B4237" s="4">
        <v>6448101394</v>
      </c>
      <c r="C4237" s="4" t="s">
        <v>4931</v>
      </c>
      <c r="D4237" s="4">
        <v>28901</v>
      </c>
      <c r="E4237" s="4">
        <v>20210322</v>
      </c>
      <c r="F4237" s="4">
        <v>20210322</v>
      </c>
      <c r="G4237" s="4">
        <v>20240322</v>
      </c>
      <c r="H4237" s="4" t="s">
        <v>128</v>
      </c>
      <c r="I4237" s="4" t="s">
        <v>4930</v>
      </c>
      <c r="J4237" s="4" t="s">
        <v>4186</v>
      </c>
    </row>
    <row r="4238" spans="1:10" hidden="1">
      <c r="A4238" s="4">
        <v>2.0210358222000099E+17</v>
      </c>
      <c r="B4238" s="4">
        <v>1568102009</v>
      </c>
      <c r="C4238" s="4" t="s">
        <v>4929</v>
      </c>
      <c r="D4238" s="4">
        <v>58222</v>
      </c>
      <c r="E4238" s="4">
        <v>20210322</v>
      </c>
      <c r="F4238" s="4">
        <v>20210322</v>
      </c>
      <c r="G4238" s="4">
        <v>20240322</v>
      </c>
      <c r="H4238" s="4" t="s">
        <v>4928</v>
      </c>
      <c r="J4238" s="4" t="s">
        <v>94</v>
      </c>
    </row>
    <row r="4239" spans="1:10" hidden="1">
      <c r="A4239" s="4">
        <v>2.0210328422000099E+17</v>
      </c>
      <c r="B4239" s="4">
        <v>5048618379</v>
      </c>
      <c r="C4239" s="4" t="s">
        <v>4927</v>
      </c>
      <c r="D4239" s="4">
        <v>28422</v>
      </c>
      <c r="E4239" s="4">
        <v>20210322</v>
      </c>
      <c r="F4239" s="4">
        <v>20210322</v>
      </c>
      <c r="G4239" s="4">
        <v>20220107</v>
      </c>
      <c r="H4239" s="4" t="s">
        <v>4926</v>
      </c>
      <c r="J4239" s="4" t="s">
        <v>188</v>
      </c>
    </row>
    <row r="4240" spans="1:10" hidden="1">
      <c r="A4240" s="4">
        <v>2.0210342322000099E+17</v>
      </c>
      <c r="B4240" s="4">
        <v>8868100548</v>
      </c>
      <c r="C4240" s="4" t="s">
        <v>4925</v>
      </c>
      <c r="D4240" s="4">
        <v>42322</v>
      </c>
      <c r="E4240" s="4">
        <v>20210322</v>
      </c>
      <c r="F4240" s="4">
        <v>20210322</v>
      </c>
      <c r="G4240" s="4">
        <v>20230728</v>
      </c>
      <c r="H4240" s="4" t="s">
        <v>4924</v>
      </c>
      <c r="I4240" s="4" t="s">
        <v>4923</v>
      </c>
      <c r="J4240" s="4" t="s">
        <v>2524</v>
      </c>
    </row>
    <row r="4241" spans="1:10" hidden="1">
      <c r="A4241" s="4">
        <v>2.0210323231000099E+17</v>
      </c>
      <c r="B4241" s="4">
        <v>1458701114</v>
      </c>
      <c r="C4241" s="4" t="s">
        <v>4922</v>
      </c>
      <c r="D4241" s="4">
        <v>23231</v>
      </c>
      <c r="E4241" s="4">
        <v>20210322</v>
      </c>
      <c r="F4241" s="4">
        <v>20210322</v>
      </c>
      <c r="G4241" s="4">
        <v>20240322</v>
      </c>
      <c r="H4241" s="4" t="s">
        <v>4921</v>
      </c>
      <c r="I4241" s="4" t="s">
        <v>4920</v>
      </c>
      <c r="J4241" s="4" t="s">
        <v>4149</v>
      </c>
    </row>
    <row r="4242" spans="1:10" hidden="1">
      <c r="A4242" s="4">
        <v>2.0210360221000099E+17</v>
      </c>
      <c r="B4242" s="4">
        <v>1448129121</v>
      </c>
      <c r="C4242" s="4" t="s">
        <v>4919</v>
      </c>
      <c r="D4242" s="4">
        <v>60221</v>
      </c>
      <c r="E4242" s="4">
        <v>20210322</v>
      </c>
      <c r="F4242" s="4">
        <v>20210322</v>
      </c>
      <c r="G4242" s="4">
        <v>20210813</v>
      </c>
      <c r="H4242" s="4" t="s">
        <v>4918</v>
      </c>
      <c r="J4242" s="4" t="s">
        <v>4178</v>
      </c>
    </row>
    <row r="4243" spans="1:10" hidden="1">
      <c r="A4243" s="4">
        <v>2.0210370129000099E+17</v>
      </c>
      <c r="B4243" s="4">
        <v>4558601450</v>
      </c>
      <c r="C4243" s="4" t="s">
        <v>4917</v>
      </c>
      <c r="D4243" s="4">
        <v>70129</v>
      </c>
      <c r="E4243" s="4">
        <v>20210322</v>
      </c>
      <c r="F4243" s="4">
        <v>20210322</v>
      </c>
      <c r="G4243" s="4">
        <v>20240322</v>
      </c>
      <c r="H4243" s="4" t="s">
        <v>210</v>
      </c>
      <c r="I4243" s="4" t="s">
        <v>4916</v>
      </c>
      <c r="J4243" s="4" t="s">
        <v>937</v>
      </c>
    </row>
    <row r="4244" spans="1:10" hidden="1">
      <c r="A4244" s="4">
        <v>2.0210342136000099E+17</v>
      </c>
      <c r="B4244" s="4">
        <v>2648148932</v>
      </c>
      <c r="C4244" s="4" t="s">
        <v>4915</v>
      </c>
      <c r="D4244" s="4">
        <v>42136</v>
      </c>
      <c r="E4244" s="4">
        <v>20210322</v>
      </c>
      <c r="F4244" s="4">
        <v>20210322</v>
      </c>
      <c r="G4244" s="4">
        <v>20220127</v>
      </c>
      <c r="H4244" s="4" t="s">
        <v>4914</v>
      </c>
      <c r="I4244" s="4" t="s">
        <v>142</v>
      </c>
      <c r="J4244" s="4" t="s">
        <v>4913</v>
      </c>
    </row>
    <row r="4245" spans="1:10" hidden="1">
      <c r="A4245" s="4">
        <v>2.0210314192000099E+17</v>
      </c>
      <c r="B4245" s="4">
        <v>2018641646</v>
      </c>
      <c r="C4245" s="4" t="s">
        <v>4912</v>
      </c>
      <c r="D4245" s="4">
        <v>14192</v>
      </c>
      <c r="E4245" s="4">
        <v>20210322</v>
      </c>
      <c r="F4245" s="4">
        <v>20210322</v>
      </c>
      <c r="G4245" s="4">
        <v>20210822</v>
      </c>
      <c r="H4245" s="4" t="s">
        <v>4911</v>
      </c>
      <c r="I4245" s="4" t="s">
        <v>91</v>
      </c>
      <c r="J4245" s="4" t="s">
        <v>4910</v>
      </c>
    </row>
    <row r="4246" spans="1:10" hidden="1">
      <c r="A4246" s="4">
        <v>2.0210358222000099E+17</v>
      </c>
      <c r="B4246" s="4">
        <v>8538101741</v>
      </c>
      <c r="C4246" s="4" t="s">
        <v>4909</v>
      </c>
      <c r="D4246" s="4">
        <v>58222</v>
      </c>
      <c r="E4246" s="4">
        <v>20210322</v>
      </c>
      <c r="F4246" s="4">
        <v>20210322</v>
      </c>
      <c r="G4246" s="4">
        <v>20240322</v>
      </c>
      <c r="H4246" s="4" t="s">
        <v>474</v>
      </c>
      <c r="I4246" s="4" t="s">
        <v>4908</v>
      </c>
      <c r="J4246" s="4" t="s">
        <v>94</v>
      </c>
    </row>
    <row r="4247" spans="1:10" hidden="1">
      <c r="A4247" s="4">
        <v>2.0210374100000099E+17</v>
      </c>
      <c r="B4247" s="4">
        <v>2468600139</v>
      </c>
      <c r="C4247" s="4" t="s">
        <v>4907</v>
      </c>
      <c r="D4247" s="4">
        <v>74100</v>
      </c>
      <c r="E4247" s="4">
        <v>20210322</v>
      </c>
      <c r="F4247" s="4">
        <v>20210322</v>
      </c>
      <c r="G4247" s="4">
        <v>20220619</v>
      </c>
      <c r="H4247" s="4" t="s">
        <v>4906</v>
      </c>
      <c r="J4247" s="4" t="s">
        <v>2207</v>
      </c>
    </row>
    <row r="4248" spans="1:10" hidden="1">
      <c r="A4248" s="4">
        <v>2.0210326529000099E+17</v>
      </c>
      <c r="B4248" s="4">
        <v>3525900379</v>
      </c>
      <c r="C4248" s="4" t="s">
        <v>4905</v>
      </c>
      <c r="D4248" s="4">
        <v>26529</v>
      </c>
      <c r="E4248" s="4">
        <v>20210322</v>
      </c>
      <c r="F4248" s="4">
        <v>20210322</v>
      </c>
      <c r="G4248" s="4">
        <v>20240322</v>
      </c>
      <c r="H4248" s="4" t="s">
        <v>1597</v>
      </c>
      <c r="I4248" s="4" t="s">
        <v>4904</v>
      </c>
      <c r="J4248" s="4" t="s">
        <v>1207</v>
      </c>
    </row>
    <row r="4249" spans="1:10" hidden="1">
      <c r="A4249" s="4">
        <v>2.0210329199000099E+17</v>
      </c>
      <c r="B4249" s="4">
        <v>4268800189</v>
      </c>
      <c r="C4249" s="4" t="s">
        <v>4903</v>
      </c>
      <c r="D4249" s="4">
        <v>29199</v>
      </c>
      <c r="E4249" s="4">
        <v>20210322</v>
      </c>
      <c r="F4249" s="4">
        <v>20210322</v>
      </c>
      <c r="G4249" s="4">
        <v>20220717</v>
      </c>
      <c r="H4249" s="4" t="s">
        <v>4902</v>
      </c>
      <c r="I4249" s="4" t="s">
        <v>4901</v>
      </c>
      <c r="J4249" s="4" t="s">
        <v>166</v>
      </c>
    </row>
    <row r="4250" spans="1:10" hidden="1">
      <c r="A4250" s="4">
        <v>2.0210347919000099E+17</v>
      </c>
      <c r="B4250" s="4">
        <v>3763900299</v>
      </c>
      <c r="C4250" s="4" t="s">
        <v>4900</v>
      </c>
      <c r="D4250" s="4">
        <v>47919</v>
      </c>
      <c r="E4250" s="4">
        <v>20210322</v>
      </c>
      <c r="F4250" s="4">
        <v>20210322</v>
      </c>
      <c r="G4250" s="4">
        <v>20240322</v>
      </c>
      <c r="H4250" s="4" t="s">
        <v>4899</v>
      </c>
      <c r="I4250" s="4" t="s">
        <v>4898</v>
      </c>
      <c r="J4250" s="4" t="s">
        <v>4897</v>
      </c>
    </row>
    <row r="4251" spans="1:10">
      <c r="A4251" s="4">
        <v>2.0210618119000499E+17</v>
      </c>
      <c r="B4251" s="4">
        <v>4702800300</v>
      </c>
      <c r="C4251" s="4" t="s">
        <v>12375</v>
      </c>
      <c r="D4251" s="4">
        <v>18119</v>
      </c>
      <c r="E4251" s="4">
        <v>20210621</v>
      </c>
      <c r="F4251" s="4">
        <v>20210621</v>
      </c>
      <c r="G4251" s="4">
        <v>20230720</v>
      </c>
      <c r="H4251" s="4" t="s">
        <v>12374</v>
      </c>
      <c r="I4251" s="4" t="s">
        <v>12373</v>
      </c>
      <c r="J4251" s="4" t="s">
        <v>707</v>
      </c>
    </row>
    <row r="4252" spans="1:10" hidden="1">
      <c r="A4252" s="4">
        <v>2.0210322299000099E+17</v>
      </c>
      <c r="B4252" s="4">
        <v>8792100565</v>
      </c>
      <c r="C4252" s="4" t="s">
        <v>4894</v>
      </c>
      <c r="D4252" s="4">
        <v>22299</v>
      </c>
      <c r="E4252" s="4">
        <v>20210322</v>
      </c>
      <c r="F4252" s="4">
        <v>20210322</v>
      </c>
      <c r="G4252" s="4">
        <v>20240322</v>
      </c>
      <c r="H4252" s="4" t="s">
        <v>4893</v>
      </c>
      <c r="I4252" s="4" t="s">
        <v>1695</v>
      </c>
      <c r="J4252" s="4" t="s">
        <v>384</v>
      </c>
    </row>
    <row r="4253" spans="1:10" hidden="1">
      <c r="A4253" s="4">
        <v>2.0210347912000099E+17</v>
      </c>
      <c r="B4253" s="4">
        <v>3181201335</v>
      </c>
      <c r="C4253" s="4" t="s">
        <v>4892</v>
      </c>
      <c r="D4253" s="4">
        <v>47912</v>
      </c>
      <c r="E4253" s="4">
        <v>20210322</v>
      </c>
      <c r="F4253" s="4">
        <v>20210322</v>
      </c>
      <c r="G4253" s="4">
        <v>20240322</v>
      </c>
      <c r="H4253" s="4" t="s">
        <v>4891</v>
      </c>
      <c r="I4253" s="4" t="s">
        <v>4890</v>
      </c>
      <c r="J4253" s="4" t="s">
        <v>78</v>
      </c>
    </row>
    <row r="4254" spans="1:10" hidden="1">
      <c r="A4254" s="4">
        <v>2.0210358222000099E+17</v>
      </c>
      <c r="B4254" s="4">
        <v>1688801545</v>
      </c>
      <c r="C4254" s="4" t="s">
        <v>4889</v>
      </c>
      <c r="D4254" s="4">
        <v>58222</v>
      </c>
      <c r="E4254" s="4">
        <v>20210322</v>
      </c>
      <c r="F4254" s="4">
        <v>20210322</v>
      </c>
      <c r="G4254" s="4">
        <v>20240322</v>
      </c>
      <c r="H4254" s="4" t="s">
        <v>4888</v>
      </c>
      <c r="I4254" s="4" t="s">
        <v>4887</v>
      </c>
      <c r="J4254" s="4" t="s">
        <v>94</v>
      </c>
    </row>
    <row r="4255" spans="1:10" hidden="1">
      <c r="A4255" s="4">
        <v>2.0210347821000099E+17</v>
      </c>
      <c r="B4255" s="4">
        <v>3053373099</v>
      </c>
      <c r="C4255" s="4" t="s">
        <v>4886</v>
      </c>
      <c r="D4255" s="4">
        <v>47821</v>
      </c>
      <c r="E4255" s="4">
        <v>20210322</v>
      </c>
      <c r="F4255" s="4">
        <v>20210322</v>
      </c>
      <c r="G4255" s="4">
        <v>20211211</v>
      </c>
      <c r="H4255" s="4" t="s">
        <v>4885</v>
      </c>
      <c r="I4255" s="4" t="s">
        <v>91</v>
      </c>
      <c r="J4255" s="4" t="s">
        <v>4207</v>
      </c>
    </row>
    <row r="4256" spans="1:10" hidden="1">
      <c r="A4256" s="4">
        <v>2.0210329199000099E+17</v>
      </c>
      <c r="B4256" s="4">
        <v>6528600708</v>
      </c>
      <c r="C4256" s="4" t="s">
        <v>4884</v>
      </c>
      <c r="D4256" s="4">
        <v>29199</v>
      </c>
      <c r="E4256" s="4">
        <v>20210322</v>
      </c>
      <c r="F4256" s="4">
        <v>20210322</v>
      </c>
      <c r="G4256" s="4">
        <v>20240322</v>
      </c>
      <c r="H4256" s="4" t="s">
        <v>4883</v>
      </c>
      <c r="J4256" s="4" t="s">
        <v>166</v>
      </c>
    </row>
    <row r="4257" spans="1:10" hidden="1">
      <c r="A4257" s="4">
        <v>2.0210358222000099E+17</v>
      </c>
      <c r="B4257" s="4">
        <v>7768801609</v>
      </c>
      <c r="C4257" s="4" t="s">
        <v>4882</v>
      </c>
      <c r="D4257" s="4">
        <v>58222</v>
      </c>
      <c r="E4257" s="4">
        <v>20210322</v>
      </c>
      <c r="F4257" s="4">
        <v>20210322</v>
      </c>
      <c r="G4257" s="4">
        <v>20240322</v>
      </c>
      <c r="H4257" s="4" t="s">
        <v>4881</v>
      </c>
      <c r="I4257" s="4" t="s">
        <v>4880</v>
      </c>
      <c r="J4257" s="4" t="s">
        <v>94</v>
      </c>
    </row>
    <row r="4258" spans="1:10" hidden="1">
      <c r="A4258" s="4">
        <v>2.0210328422000099E+17</v>
      </c>
      <c r="B4258" s="4">
        <v>2181968961</v>
      </c>
      <c r="C4258" s="4" t="s">
        <v>4879</v>
      </c>
      <c r="D4258" s="4">
        <v>28422</v>
      </c>
      <c r="E4258" s="4">
        <v>20210322</v>
      </c>
      <c r="F4258" s="4">
        <v>20210322</v>
      </c>
      <c r="G4258" s="4">
        <v>20240322</v>
      </c>
      <c r="H4258" s="4" t="s">
        <v>4878</v>
      </c>
      <c r="I4258" s="4" t="s">
        <v>91</v>
      </c>
      <c r="J4258" s="4" t="s">
        <v>188</v>
      </c>
    </row>
    <row r="4259" spans="1:10" hidden="1">
      <c r="A4259" s="4">
        <v>2.0210362021000099E+17</v>
      </c>
      <c r="B4259" s="4">
        <v>8758101737</v>
      </c>
      <c r="C4259" s="4" t="s">
        <v>4877</v>
      </c>
      <c r="D4259" s="4">
        <v>62021</v>
      </c>
      <c r="E4259" s="4">
        <v>20210322</v>
      </c>
      <c r="F4259" s="4">
        <v>20210322</v>
      </c>
      <c r="G4259" s="4">
        <v>20240322</v>
      </c>
      <c r="H4259" s="4" t="s">
        <v>4876</v>
      </c>
      <c r="I4259" s="4" t="s">
        <v>4875</v>
      </c>
      <c r="J4259" s="4" t="s">
        <v>1505</v>
      </c>
    </row>
    <row r="4260" spans="1:10" hidden="1">
      <c r="A4260" s="4">
        <v>2.0210346799000099E+17</v>
      </c>
      <c r="B4260" s="4">
        <v>3838601363</v>
      </c>
      <c r="C4260" s="4" t="s">
        <v>4874</v>
      </c>
      <c r="D4260" s="4">
        <v>46799</v>
      </c>
      <c r="E4260" s="4">
        <v>20210322</v>
      </c>
      <c r="F4260" s="4">
        <v>20210322</v>
      </c>
      <c r="G4260" s="4">
        <v>20240322</v>
      </c>
      <c r="H4260" s="4" t="s">
        <v>4873</v>
      </c>
      <c r="J4260" s="4" t="s">
        <v>2181</v>
      </c>
    </row>
    <row r="4261" spans="1:10" hidden="1">
      <c r="A4261" s="4">
        <v>2.0210323324000099E+17</v>
      </c>
      <c r="B4261" s="4">
        <v>7228800296</v>
      </c>
      <c r="C4261" s="4" t="s">
        <v>4872</v>
      </c>
      <c r="D4261" s="4">
        <v>23324</v>
      </c>
      <c r="E4261" s="4">
        <v>20210322</v>
      </c>
      <c r="F4261" s="4">
        <v>20210322</v>
      </c>
      <c r="G4261" s="4">
        <v>20230127</v>
      </c>
      <c r="H4261" s="4" t="s">
        <v>4871</v>
      </c>
      <c r="J4261" s="4" t="s">
        <v>3323</v>
      </c>
    </row>
    <row r="4262" spans="1:10" hidden="1">
      <c r="A4262" s="4">
        <v>2.0210370129000099E+17</v>
      </c>
      <c r="B4262" s="4">
        <v>4858102305</v>
      </c>
      <c r="C4262" s="4" t="s">
        <v>4870</v>
      </c>
      <c r="D4262" s="4">
        <v>70129</v>
      </c>
      <c r="E4262" s="4">
        <v>20210322</v>
      </c>
      <c r="F4262" s="4">
        <v>20210322</v>
      </c>
      <c r="G4262" s="4">
        <v>20240322</v>
      </c>
      <c r="H4262" s="4" t="s">
        <v>4869</v>
      </c>
      <c r="J4262" s="4" t="s">
        <v>937</v>
      </c>
    </row>
    <row r="4263" spans="1:10" hidden="1">
      <c r="A4263" s="4">
        <v>2.0210316300000099E+17</v>
      </c>
      <c r="B4263" s="4">
        <v>7528701358</v>
      </c>
      <c r="C4263" s="4" t="s">
        <v>4868</v>
      </c>
      <c r="D4263" s="4">
        <v>16300</v>
      </c>
      <c r="E4263" s="4">
        <v>20210322</v>
      </c>
      <c r="F4263" s="4">
        <v>20210322</v>
      </c>
      <c r="G4263" s="4">
        <v>20240322</v>
      </c>
      <c r="H4263" s="4" t="s">
        <v>4867</v>
      </c>
      <c r="I4263" s="4" t="s">
        <v>4866</v>
      </c>
      <c r="J4263" s="4" t="s">
        <v>4865</v>
      </c>
    </row>
    <row r="4264" spans="1:10" hidden="1">
      <c r="A4264" s="4">
        <v>2.0210342321000099E+17</v>
      </c>
      <c r="B4264" s="4">
        <v>8648100285</v>
      </c>
      <c r="C4264" s="4" t="s">
        <v>4864</v>
      </c>
      <c r="D4264" s="4">
        <v>42321</v>
      </c>
      <c r="E4264" s="4">
        <v>20210322</v>
      </c>
      <c r="F4264" s="4">
        <v>20210322</v>
      </c>
      <c r="G4264" s="4">
        <v>20230106</v>
      </c>
      <c r="H4264" s="4" t="s">
        <v>4863</v>
      </c>
      <c r="J4264" s="4" t="s">
        <v>698</v>
      </c>
    </row>
    <row r="4265" spans="1:10" hidden="1">
      <c r="A4265" s="4">
        <v>2.0210320422000099E+17</v>
      </c>
      <c r="B4265" s="4">
        <v>2888801761</v>
      </c>
      <c r="C4265" s="4" t="s">
        <v>4862</v>
      </c>
      <c r="D4265" s="4">
        <v>20422</v>
      </c>
      <c r="E4265" s="4">
        <v>20210322</v>
      </c>
      <c r="F4265" s="4">
        <v>20210322</v>
      </c>
      <c r="G4265" s="4">
        <v>20240322</v>
      </c>
      <c r="H4265" s="4" t="s">
        <v>4861</v>
      </c>
      <c r="I4265" s="4" t="s">
        <v>91</v>
      </c>
      <c r="J4265" s="4" t="s">
        <v>392</v>
      </c>
    </row>
    <row r="4266" spans="1:10" hidden="1">
      <c r="A4266" s="4">
        <v>2.0210320423000099E+17</v>
      </c>
      <c r="B4266" s="4">
        <v>7468800782</v>
      </c>
      <c r="C4266" s="4" t="s">
        <v>4860</v>
      </c>
      <c r="D4266" s="4">
        <v>20423</v>
      </c>
      <c r="E4266" s="4">
        <v>20210322</v>
      </c>
      <c r="F4266" s="4">
        <v>20210322</v>
      </c>
      <c r="G4266" s="4">
        <v>20240322</v>
      </c>
      <c r="H4266" s="4" t="s">
        <v>4859</v>
      </c>
      <c r="I4266" s="4" t="s">
        <v>4858</v>
      </c>
      <c r="J4266" s="4" t="s">
        <v>368</v>
      </c>
    </row>
    <row r="4267" spans="1:10" hidden="1">
      <c r="A4267" s="4">
        <v>2.0210370121000099E+17</v>
      </c>
      <c r="B4267" s="4">
        <v>3338600414</v>
      </c>
      <c r="C4267" s="4" t="s">
        <v>4857</v>
      </c>
      <c r="D4267" s="4">
        <v>70121</v>
      </c>
      <c r="E4267" s="4">
        <v>20210322</v>
      </c>
      <c r="F4267" s="4">
        <v>20210322</v>
      </c>
      <c r="G4267" s="4">
        <v>20230610</v>
      </c>
      <c r="H4267" s="4" t="s">
        <v>3483</v>
      </c>
      <c r="I4267" s="4" t="s">
        <v>4856</v>
      </c>
      <c r="J4267" s="4" t="s">
        <v>1267</v>
      </c>
    </row>
    <row r="4268" spans="1:10" hidden="1">
      <c r="A4268" s="4">
        <v>2.0210325113000099E+17</v>
      </c>
      <c r="B4268" s="4">
        <v>4518600823</v>
      </c>
      <c r="C4268" s="4" t="s">
        <v>4855</v>
      </c>
      <c r="D4268" s="4">
        <v>25113</v>
      </c>
      <c r="E4268" s="4">
        <v>20210322</v>
      </c>
      <c r="F4268" s="4">
        <v>20210322</v>
      </c>
      <c r="G4268" s="4">
        <v>20240220</v>
      </c>
      <c r="H4268" s="4" t="s">
        <v>4854</v>
      </c>
      <c r="J4268" s="4" t="s">
        <v>250</v>
      </c>
    </row>
    <row r="4269" spans="1:10" hidden="1">
      <c r="A4269" s="4">
        <v>2.0210333401000099E+17</v>
      </c>
      <c r="B4269" s="4">
        <v>8848800707</v>
      </c>
      <c r="C4269" s="4" t="s">
        <v>4853</v>
      </c>
      <c r="D4269" s="4">
        <v>33401</v>
      </c>
      <c r="E4269" s="4">
        <v>20210322</v>
      </c>
      <c r="F4269" s="4">
        <v>20210322</v>
      </c>
      <c r="G4269" s="4">
        <v>20240210</v>
      </c>
      <c r="H4269" s="4" t="s">
        <v>4852</v>
      </c>
      <c r="I4269" s="4" t="s">
        <v>185</v>
      </c>
      <c r="J4269" s="4" t="s">
        <v>364</v>
      </c>
    </row>
    <row r="4270" spans="1:10" hidden="1">
      <c r="A4270" s="4">
        <v>2.0210370113000099E+17</v>
      </c>
      <c r="B4270" s="4">
        <v>3678801822</v>
      </c>
      <c r="C4270" s="4" t="s">
        <v>4851</v>
      </c>
      <c r="D4270" s="4">
        <v>70113</v>
      </c>
      <c r="E4270" s="4">
        <v>20210322</v>
      </c>
      <c r="F4270" s="4">
        <v>20210322</v>
      </c>
      <c r="G4270" s="4">
        <v>20240322</v>
      </c>
      <c r="H4270" s="4" t="s">
        <v>4850</v>
      </c>
      <c r="I4270" s="4" t="s">
        <v>185</v>
      </c>
      <c r="J4270" s="4" t="s">
        <v>1173</v>
      </c>
    </row>
    <row r="4271" spans="1:10" hidden="1">
      <c r="A4271" s="4">
        <v>2.0210342411000099E+17</v>
      </c>
      <c r="B4271" s="4">
        <v>7728701861</v>
      </c>
      <c r="C4271" s="4" t="s">
        <v>4849</v>
      </c>
      <c r="D4271" s="4">
        <v>42411</v>
      </c>
      <c r="E4271" s="4">
        <v>20210322</v>
      </c>
      <c r="F4271" s="4">
        <v>20210322</v>
      </c>
      <c r="G4271" s="4">
        <v>20240322</v>
      </c>
      <c r="H4271" s="4" t="s">
        <v>4848</v>
      </c>
      <c r="I4271" s="4" t="s">
        <v>1245</v>
      </c>
      <c r="J4271" s="4" t="s">
        <v>2211</v>
      </c>
    </row>
    <row r="4272" spans="1:10" hidden="1">
      <c r="A4272" s="4">
        <v>2.0210333999000099E+17</v>
      </c>
      <c r="B4272" s="4">
        <v>4258100377</v>
      </c>
      <c r="C4272" s="4" t="s">
        <v>4847</v>
      </c>
      <c r="D4272" s="4">
        <v>33999</v>
      </c>
      <c r="E4272" s="4">
        <v>20210322</v>
      </c>
      <c r="F4272" s="4">
        <v>20210322</v>
      </c>
      <c r="G4272" s="4">
        <v>20230728</v>
      </c>
      <c r="H4272" s="4" t="s">
        <v>660</v>
      </c>
      <c r="I4272" s="4" t="s">
        <v>4846</v>
      </c>
      <c r="J4272" s="4" t="s">
        <v>780</v>
      </c>
    </row>
    <row r="4273" spans="1:10" hidden="1">
      <c r="A4273" s="4">
        <v>2.0210341221000099E+17</v>
      </c>
      <c r="B4273" s="4">
        <v>7028800685</v>
      </c>
      <c r="C4273" s="4" t="s">
        <v>4845</v>
      </c>
      <c r="D4273" s="4">
        <v>41221</v>
      </c>
      <c r="E4273" s="4">
        <v>20210322</v>
      </c>
      <c r="F4273" s="4">
        <v>20210322</v>
      </c>
      <c r="G4273" s="4">
        <v>20240322</v>
      </c>
      <c r="H4273" s="4" t="s">
        <v>4844</v>
      </c>
      <c r="I4273" s="4" t="s">
        <v>4843</v>
      </c>
      <c r="J4273" s="4" t="s">
        <v>1605</v>
      </c>
    </row>
    <row r="4274" spans="1:10" hidden="1">
      <c r="A4274" s="4">
        <v>2.0210347912000099E+17</v>
      </c>
      <c r="B4274" s="4">
        <v>8168802089</v>
      </c>
      <c r="C4274" s="4" t="s">
        <v>4842</v>
      </c>
      <c r="D4274" s="4">
        <v>47912</v>
      </c>
      <c r="E4274" s="4">
        <v>20210322</v>
      </c>
      <c r="F4274" s="4">
        <v>20210322</v>
      </c>
      <c r="G4274" s="4">
        <v>20240322</v>
      </c>
      <c r="H4274" s="4" t="s">
        <v>4841</v>
      </c>
      <c r="I4274" s="4" t="s">
        <v>1403</v>
      </c>
      <c r="J4274" s="4" t="s">
        <v>78</v>
      </c>
    </row>
    <row r="4275" spans="1:10" hidden="1">
      <c r="A4275" s="4">
        <v>2.0210358222000099E+17</v>
      </c>
      <c r="B4275" s="4">
        <v>6198701027</v>
      </c>
      <c r="C4275" s="4" t="s">
        <v>4840</v>
      </c>
      <c r="D4275" s="4">
        <v>58222</v>
      </c>
      <c r="E4275" s="4">
        <v>20210322</v>
      </c>
      <c r="F4275" s="4">
        <v>20210322</v>
      </c>
      <c r="G4275" s="4">
        <v>20240322</v>
      </c>
      <c r="H4275" s="4" t="s">
        <v>2446</v>
      </c>
      <c r="J4275" s="4" t="s">
        <v>94</v>
      </c>
    </row>
    <row r="4276" spans="1:10" hidden="1">
      <c r="A4276" s="4">
        <v>2.0210325944000099E+17</v>
      </c>
      <c r="B4276" s="4">
        <v>3828600828</v>
      </c>
      <c r="C4276" s="4" t="s">
        <v>4839</v>
      </c>
      <c r="D4276" s="4">
        <v>25944</v>
      </c>
      <c r="E4276" s="4">
        <v>20210322</v>
      </c>
      <c r="F4276" s="4">
        <v>20210322</v>
      </c>
      <c r="G4276" s="4">
        <v>20240322</v>
      </c>
      <c r="H4276" s="4" t="s">
        <v>4838</v>
      </c>
      <c r="I4276" s="4" t="s">
        <v>1403</v>
      </c>
      <c r="J4276" s="4" t="s">
        <v>1334</v>
      </c>
    </row>
    <row r="4277" spans="1:10">
      <c r="A4277" s="4">
        <v>2.0210546453000301E+17</v>
      </c>
      <c r="B4277" s="4">
        <v>6102814284</v>
      </c>
      <c r="C4277" s="4" t="s">
        <v>9748</v>
      </c>
      <c r="D4277" s="4">
        <v>46453</v>
      </c>
      <c r="E4277" s="4">
        <v>20210528</v>
      </c>
      <c r="F4277" s="4">
        <v>20210528</v>
      </c>
      <c r="G4277" s="4">
        <v>20220105</v>
      </c>
      <c r="H4277" s="4" t="s">
        <v>9747</v>
      </c>
      <c r="J4277" s="4" t="s">
        <v>816</v>
      </c>
    </row>
    <row r="4278" spans="1:10" hidden="1">
      <c r="A4278" s="4">
        <v>2.0210363999000099E+17</v>
      </c>
      <c r="B4278" s="4">
        <v>6708602043</v>
      </c>
      <c r="C4278" s="4" t="s">
        <v>4835</v>
      </c>
      <c r="D4278" s="4">
        <v>63999</v>
      </c>
      <c r="E4278" s="4">
        <v>20210322</v>
      </c>
      <c r="F4278" s="4">
        <v>20210322</v>
      </c>
      <c r="G4278" s="4">
        <v>20240322</v>
      </c>
      <c r="H4278" s="4" t="s">
        <v>4834</v>
      </c>
      <c r="I4278" s="4" t="s">
        <v>4833</v>
      </c>
      <c r="J4278" s="4" t="s">
        <v>643</v>
      </c>
    </row>
    <row r="4279" spans="1:10" hidden="1">
      <c r="A4279" s="4">
        <v>2.0210358221000099E+17</v>
      </c>
      <c r="B4279" s="4">
        <v>6898600296</v>
      </c>
      <c r="C4279" s="4" t="s">
        <v>4832</v>
      </c>
      <c r="D4279" s="4">
        <v>58221</v>
      </c>
      <c r="E4279" s="4">
        <v>20210322</v>
      </c>
      <c r="F4279" s="4">
        <v>20210322</v>
      </c>
      <c r="G4279" s="4">
        <v>20230127</v>
      </c>
      <c r="H4279" s="4" t="s">
        <v>4831</v>
      </c>
      <c r="I4279" s="4" t="s">
        <v>4830</v>
      </c>
      <c r="J4279" s="4" t="s">
        <v>228</v>
      </c>
    </row>
    <row r="4280" spans="1:10" hidden="1">
      <c r="A4280" s="4">
        <v>2.0210358221000099E+17</v>
      </c>
      <c r="B4280" s="4">
        <v>8108101948</v>
      </c>
      <c r="C4280" s="4" t="s">
        <v>4829</v>
      </c>
      <c r="D4280" s="4">
        <v>58221</v>
      </c>
      <c r="E4280" s="4">
        <v>20210322</v>
      </c>
      <c r="F4280" s="4">
        <v>20210322</v>
      </c>
      <c r="G4280" s="4">
        <v>20240322</v>
      </c>
      <c r="H4280" s="4" t="s">
        <v>4828</v>
      </c>
      <c r="J4280" s="4" t="s">
        <v>228</v>
      </c>
    </row>
    <row r="4281" spans="1:10" hidden="1">
      <c r="A4281" s="4">
        <v>2.0210325112000099E+17</v>
      </c>
      <c r="B4281" s="4">
        <v>8128802262</v>
      </c>
      <c r="C4281" s="4" t="s">
        <v>4827</v>
      </c>
      <c r="D4281" s="4">
        <v>25112</v>
      </c>
      <c r="E4281" s="4">
        <v>20210322</v>
      </c>
      <c r="F4281" s="4">
        <v>20210322</v>
      </c>
      <c r="G4281" s="4">
        <v>20240322</v>
      </c>
      <c r="H4281" s="4" t="s">
        <v>4826</v>
      </c>
      <c r="J4281" s="4" t="s">
        <v>320</v>
      </c>
    </row>
    <row r="4282" spans="1:10" hidden="1">
      <c r="A4282" s="4">
        <v>2.0210358222000099E+17</v>
      </c>
      <c r="B4282" s="4">
        <v>4868701733</v>
      </c>
      <c r="C4282" s="4" t="s">
        <v>4825</v>
      </c>
      <c r="D4282" s="4">
        <v>58222</v>
      </c>
      <c r="E4282" s="4">
        <v>20210322</v>
      </c>
      <c r="F4282" s="4">
        <v>20210322</v>
      </c>
      <c r="G4282" s="4">
        <v>20240322</v>
      </c>
      <c r="H4282" s="4" t="s">
        <v>4824</v>
      </c>
      <c r="I4282" s="4" t="s">
        <v>4823</v>
      </c>
      <c r="J4282" s="4" t="s">
        <v>94</v>
      </c>
    </row>
    <row r="4283" spans="1:10" hidden="1">
      <c r="A4283" s="4">
        <v>2.0210315129000099E+17</v>
      </c>
      <c r="B4283" s="4">
        <v>2858801345</v>
      </c>
      <c r="C4283" s="4" t="s">
        <v>4822</v>
      </c>
      <c r="D4283" s="4">
        <v>15129</v>
      </c>
      <c r="E4283" s="4">
        <v>20210322</v>
      </c>
      <c r="F4283" s="4">
        <v>20210322</v>
      </c>
      <c r="G4283" s="4">
        <v>20240322</v>
      </c>
      <c r="H4283" s="4" t="s">
        <v>4821</v>
      </c>
      <c r="J4283" s="4" t="s">
        <v>2024</v>
      </c>
    </row>
    <row r="4284" spans="1:10" hidden="1">
      <c r="A4284" s="4">
        <v>2.0210328111000099E+17</v>
      </c>
      <c r="B4284" s="4">
        <v>6138177129</v>
      </c>
      <c r="C4284" s="4" t="s">
        <v>4820</v>
      </c>
      <c r="D4284" s="4">
        <v>28111</v>
      </c>
      <c r="E4284" s="4">
        <v>20210322</v>
      </c>
      <c r="F4284" s="4">
        <v>20210322</v>
      </c>
      <c r="G4284" s="4">
        <v>20210805</v>
      </c>
      <c r="H4284" s="4" t="s">
        <v>4819</v>
      </c>
      <c r="J4284" s="4" t="s">
        <v>1614</v>
      </c>
    </row>
    <row r="4285" spans="1:10" hidden="1">
      <c r="A4285" s="4">
        <v>2.0210342411000099E+17</v>
      </c>
      <c r="B4285" s="4">
        <v>7218801633</v>
      </c>
      <c r="C4285" s="4" t="s">
        <v>4818</v>
      </c>
      <c r="D4285" s="4">
        <v>42411</v>
      </c>
      <c r="E4285" s="4">
        <v>20210322</v>
      </c>
      <c r="F4285" s="4">
        <v>20210322</v>
      </c>
      <c r="G4285" s="4">
        <v>20240322</v>
      </c>
      <c r="H4285" s="4" t="s">
        <v>4817</v>
      </c>
      <c r="J4285" s="4" t="s">
        <v>2211</v>
      </c>
    </row>
    <row r="4286" spans="1:10" hidden="1">
      <c r="A4286" s="4">
        <v>2.0210323324000099E+17</v>
      </c>
      <c r="B4286" s="4">
        <v>2888801010</v>
      </c>
      <c r="C4286" s="4" t="s">
        <v>4816</v>
      </c>
      <c r="D4286" s="4">
        <v>23324</v>
      </c>
      <c r="E4286" s="4">
        <v>20210322</v>
      </c>
      <c r="F4286" s="4">
        <v>20210322</v>
      </c>
      <c r="G4286" s="4">
        <v>20240322</v>
      </c>
      <c r="H4286" s="4" t="s">
        <v>4815</v>
      </c>
      <c r="J4286" s="4" t="s">
        <v>3323</v>
      </c>
    </row>
    <row r="4287" spans="1:10" hidden="1">
      <c r="A4287" s="4">
        <v>2.0210328429000099E+17</v>
      </c>
      <c r="B4287" s="4">
        <v>6778101735</v>
      </c>
      <c r="C4287" s="4" t="s">
        <v>4814</v>
      </c>
      <c r="D4287" s="4">
        <v>28429</v>
      </c>
      <c r="E4287" s="4">
        <v>20210322</v>
      </c>
      <c r="F4287" s="4">
        <v>20210322</v>
      </c>
      <c r="G4287" s="4">
        <v>20240322</v>
      </c>
      <c r="H4287" s="4" t="s">
        <v>4813</v>
      </c>
      <c r="I4287" s="4" t="s">
        <v>805</v>
      </c>
      <c r="J4287" s="4" t="s">
        <v>765</v>
      </c>
    </row>
    <row r="4288" spans="1:10" hidden="1">
      <c r="A4288" s="4">
        <v>2.0210310759000099E+17</v>
      </c>
      <c r="B4288" s="4">
        <v>7813000746</v>
      </c>
      <c r="C4288" s="4" t="s">
        <v>4812</v>
      </c>
      <c r="D4288" s="4">
        <v>10759</v>
      </c>
      <c r="E4288" s="4">
        <v>20210322</v>
      </c>
      <c r="F4288" s="4">
        <v>20210322</v>
      </c>
      <c r="G4288" s="4">
        <v>20240322</v>
      </c>
      <c r="H4288" s="4" t="s">
        <v>4811</v>
      </c>
      <c r="J4288" s="4" t="s">
        <v>4810</v>
      </c>
    </row>
    <row r="4289" spans="1:10" hidden="1">
      <c r="A4289" s="4">
        <v>2.0210363120000099E+17</v>
      </c>
      <c r="B4289" s="4">
        <v>6718101421</v>
      </c>
      <c r="C4289" s="4" t="s">
        <v>4809</v>
      </c>
      <c r="D4289" s="4">
        <v>63120</v>
      </c>
      <c r="E4289" s="4">
        <v>20210322</v>
      </c>
      <c r="F4289" s="4">
        <v>20210322</v>
      </c>
      <c r="G4289" s="4">
        <v>20240322</v>
      </c>
      <c r="H4289" s="4" t="s">
        <v>2452</v>
      </c>
      <c r="I4289" s="4">
        <v>901</v>
      </c>
      <c r="J4289" s="4" t="s">
        <v>632</v>
      </c>
    </row>
    <row r="4290" spans="1:10" hidden="1">
      <c r="A4290" s="4">
        <v>2.0210373203000099E+17</v>
      </c>
      <c r="B4290" s="4">
        <v>4084330762</v>
      </c>
      <c r="C4290" s="4" t="s">
        <v>4808</v>
      </c>
      <c r="D4290" s="4">
        <v>73203</v>
      </c>
      <c r="E4290" s="4">
        <v>20210322</v>
      </c>
      <c r="F4290" s="4">
        <v>20210322</v>
      </c>
      <c r="G4290" s="4">
        <v>20220714</v>
      </c>
      <c r="H4290" s="4" t="s">
        <v>4807</v>
      </c>
      <c r="I4290" s="4" t="s">
        <v>4806</v>
      </c>
      <c r="J4290" s="4" t="s">
        <v>260</v>
      </c>
    </row>
    <row r="4291" spans="1:10" hidden="1">
      <c r="A4291" s="4">
        <v>2.0210362010000099E+17</v>
      </c>
      <c r="B4291" s="4">
        <v>2458701281</v>
      </c>
      <c r="C4291" s="4" t="s">
        <v>4805</v>
      </c>
      <c r="D4291" s="4">
        <v>62010</v>
      </c>
      <c r="E4291" s="4">
        <v>20210322</v>
      </c>
      <c r="F4291" s="4">
        <v>20210322</v>
      </c>
      <c r="G4291" s="4">
        <v>20240322</v>
      </c>
      <c r="H4291" s="4" t="s">
        <v>4804</v>
      </c>
      <c r="I4291" s="4" t="s">
        <v>4803</v>
      </c>
      <c r="J4291" s="4" t="s">
        <v>118</v>
      </c>
    </row>
    <row r="4292" spans="1:10" hidden="1">
      <c r="A4292" s="4">
        <v>2.0210329229000099E+17</v>
      </c>
      <c r="B4292" s="4">
        <v>8058101631</v>
      </c>
      <c r="C4292" s="4" t="s">
        <v>4802</v>
      </c>
      <c r="D4292" s="4">
        <v>29229</v>
      </c>
      <c r="E4292" s="4">
        <v>20210322</v>
      </c>
      <c r="F4292" s="4">
        <v>20210322</v>
      </c>
      <c r="G4292" s="4">
        <v>20240322</v>
      </c>
      <c r="H4292" s="4" t="s">
        <v>3799</v>
      </c>
      <c r="I4292" s="4" t="s">
        <v>4801</v>
      </c>
      <c r="J4292" s="4" t="s">
        <v>1137</v>
      </c>
    </row>
    <row r="4293" spans="1:10" hidden="1">
      <c r="A4293" s="4">
        <v>2.0210322212000099E+17</v>
      </c>
      <c r="B4293" s="4">
        <v>3372200656</v>
      </c>
      <c r="C4293" s="4" t="s">
        <v>4800</v>
      </c>
      <c r="D4293" s="4">
        <v>22212</v>
      </c>
      <c r="E4293" s="4">
        <v>20210322</v>
      </c>
      <c r="F4293" s="4">
        <v>20210322</v>
      </c>
      <c r="G4293" s="4">
        <v>20240322</v>
      </c>
      <c r="H4293" s="4" t="s">
        <v>4799</v>
      </c>
      <c r="I4293" s="4" t="s">
        <v>4798</v>
      </c>
      <c r="J4293" s="4" t="s">
        <v>893</v>
      </c>
    </row>
    <row r="4294" spans="1:10" hidden="1">
      <c r="A4294" s="4">
        <v>2.0210329199000099E+17</v>
      </c>
      <c r="B4294" s="4">
        <v>1578800605</v>
      </c>
      <c r="C4294" s="4" t="s">
        <v>4797</v>
      </c>
      <c r="D4294" s="4">
        <v>29199</v>
      </c>
      <c r="E4294" s="4">
        <v>20210322</v>
      </c>
      <c r="F4294" s="4">
        <v>20210322</v>
      </c>
      <c r="G4294" s="4">
        <v>20240209</v>
      </c>
      <c r="H4294" s="4" t="s">
        <v>2927</v>
      </c>
      <c r="J4294" s="4" t="s">
        <v>166</v>
      </c>
    </row>
    <row r="4295" spans="1:10" hidden="1">
      <c r="A4295" s="4">
        <v>2.0210320411000099E+17</v>
      </c>
      <c r="B4295" s="4">
        <v>5638800208</v>
      </c>
      <c r="C4295" s="4" t="s">
        <v>4796</v>
      </c>
      <c r="D4295" s="4">
        <v>20411</v>
      </c>
      <c r="E4295" s="4">
        <v>20210322</v>
      </c>
      <c r="F4295" s="4">
        <v>20210322</v>
      </c>
      <c r="G4295" s="4">
        <v>20221005</v>
      </c>
      <c r="H4295" s="4" t="s">
        <v>3578</v>
      </c>
      <c r="I4295" s="4" t="s">
        <v>4795</v>
      </c>
      <c r="J4295" s="4" t="s">
        <v>694</v>
      </c>
    </row>
    <row r="4296" spans="1:10" hidden="1">
      <c r="A4296" s="4">
        <v>2.0210325111000099E+17</v>
      </c>
      <c r="B4296" s="4">
        <v>3393000360</v>
      </c>
      <c r="C4296" s="4" t="s">
        <v>4794</v>
      </c>
      <c r="D4296" s="4">
        <v>25111</v>
      </c>
      <c r="E4296" s="4">
        <v>20210322</v>
      </c>
      <c r="F4296" s="4">
        <v>20210322</v>
      </c>
      <c r="G4296" s="4">
        <v>20240322</v>
      </c>
      <c r="H4296" s="4" t="s">
        <v>4793</v>
      </c>
      <c r="J4296" s="4" t="s">
        <v>82</v>
      </c>
    </row>
    <row r="4297" spans="1:10" hidden="1">
      <c r="A4297" s="4">
        <v>2.0210322299000099E+17</v>
      </c>
      <c r="B4297" s="4">
        <v>2958100887</v>
      </c>
      <c r="C4297" s="4" t="s">
        <v>4792</v>
      </c>
      <c r="D4297" s="4">
        <v>22299</v>
      </c>
      <c r="E4297" s="4">
        <v>20210322</v>
      </c>
      <c r="F4297" s="4">
        <v>20210322</v>
      </c>
      <c r="G4297" s="4">
        <v>20240322</v>
      </c>
      <c r="H4297" s="4" t="s">
        <v>4791</v>
      </c>
      <c r="I4297" s="4" t="s">
        <v>4790</v>
      </c>
      <c r="J4297" s="4" t="s">
        <v>384</v>
      </c>
    </row>
    <row r="4298" spans="1:10" hidden="1">
      <c r="A4298" s="4">
        <v>2.0210314419000099E+17</v>
      </c>
      <c r="B4298" s="4">
        <v>6440801881</v>
      </c>
      <c r="C4298" s="4" t="s">
        <v>4789</v>
      </c>
      <c r="D4298" s="4">
        <v>14419</v>
      </c>
      <c r="E4298" s="4">
        <v>20210322</v>
      </c>
      <c r="F4298" s="4">
        <v>20210322</v>
      </c>
      <c r="G4298" s="4">
        <v>20240322</v>
      </c>
      <c r="H4298" s="4" t="s">
        <v>4788</v>
      </c>
      <c r="J4298" s="4" t="s">
        <v>4787</v>
      </c>
    </row>
    <row r="4299" spans="1:10" hidden="1">
      <c r="A4299" s="4">
        <v>2.0210373301000099E+17</v>
      </c>
      <c r="B4299" s="4">
        <v>2488700170</v>
      </c>
      <c r="C4299" s="4" t="s">
        <v>4786</v>
      </c>
      <c r="D4299" s="4">
        <v>73301</v>
      </c>
      <c r="E4299" s="4">
        <v>20210322</v>
      </c>
      <c r="F4299" s="4">
        <v>20210322</v>
      </c>
      <c r="G4299" s="4">
        <v>20221005</v>
      </c>
      <c r="H4299" s="4" t="s">
        <v>4785</v>
      </c>
      <c r="I4299" s="4" t="s">
        <v>185</v>
      </c>
      <c r="J4299" s="4" t="s">
        <v>2203</v>
      </c>
    </row>
    <row r="4300" spans="1:10" hidden="1">
      <c r="A4300" s="4">
        <v>2.0210313229000099E+17</v>
      </c>
      <c r="B4300" s="4">
        <v>6338101263</v>
      </c>
      <c r="C4300" s="4" t="s">
        <v>4784</v>
      </c>
      <c r="D4300" s="4">
        <v>13229</v>
      </c>
      <c r="E4300" s="4">
        <v>20210322</v>
      </c>
      <c r="F4300" s="4">
        <v>20210322</v>
      </c>
      <c r="G4300" s="4">
        <v>20240322</v>
      </c>
      <c r="H4300" s="4" t="s">
        <v>4783</v>
      </c>
      <c r="J4300" s="4" t="s">
        <v>115</v>
      </c>
    </row>
    <row r="4301" spans="1:10" hidden="1">
      <c r="A4301" s="4">
        <v>2.0210325999000099E+17</v>
      </c>
      <c r="B4301" s="4">
        <v>4692300760</v>
      </c>
      <c r="C4301" s="4" t="s">
        <v>4782</v>
      </c>
      <c r="D4301" s="4">
        <v>25999</v>
      </c>
      <c r="E4301" s="4">
        <v>20210320</v>
      </c>
      <c r="F4301" s="4">
        <v>20210320</v>
      </c>
      <c r="G4301" s="4">
        <v>20240320</v>
      </c>
      <c r="H4301" s="4" t="s">
        <v>474</v>
      </c>
      <c r="J4301" s="4" t="s">
        <v>301</v>
      </c>
    </row>
    <row r="4302" spans="1:10" hidden="1">
      <c r="A4302" s="4">
        <v>2.0210347912000099E+17</v>
      </c>
      <c r="B4302" s="4">
        <v>3510102316</v>
      </c>
      <c r="C4302" s="4" t="s">
        <v>4781</v>
      </c>
      <c r="D4302" s="4">
        <v>47912</v>
      </c>
      <c r="E4302" s="4">
        <v>20210320</v>
      </c>
      <c r="F4302" s="4">
        <v>20210320</v>
      </c>
      <c r="G4302" s="4">
        <v>20240320</v>
      </c>
      <c r="H4302" s="4" t="s">
        <v>4780</v>
      </c>
      <c r="I4302" s="4" t="s">
        <v>855</v>
      </c>
      <c r="J4302" s="4" t="s">
        <v>78</v>
      </c>
    </row>
    <row r="4303" spans="1:10" hidden="1">
      <c r="A4303" s="4">
        <v>2.0210330399000099E+17</v>
      </c>
      <c r="B4303" s="4">
        <v>1773400945</v>
      </c>
      <c r="C4303" s="4" t="s">
        <v>4778</v>
      </c>
      <c r="D4303" s="4">
        <v>30399</v>
      </c>
      <c r="E4303" s="4">
        <v>20210320</v>
      </c>
      <c r="F4303" s="4">
        <v>20210320</v>
      </c>
      <c r="G4303" s="4">
        <v>20240320</v>
      </c>
      <c r="H4303" s="4" t="s">
        <v>4779</v>
      </c>
      <c r="I4303" s="4" t="s">
        <v>4778</v>
      </c>
      <c r="J4303" s="4" t="s">
        <v>1763</v>
      </c>
    </row>
    <row r="4304" spans="1:10" hidden="1">
      <c r="A4304" s="4">
        <v>2.0210323311000099E+17</v>
      </c>
      <c r="B4304" s="4">
        <v>5918601872</v>
      </c>
      <c r="C4304" s="4" t="s">
        <v>4777</v>
      </c>
      <c r="D4304" s="4">
        <v>23311</v>
      </c>
      <c r="E4304" s="4">
        <v>20210320</v>
      </c>
      <c r="F4304" s="4">
        <v>20210320</v>
      </c>
      <c r="G4304" s="4">
        <v>20240320</v>
      </c>
      <c r="H4304" s="4" t="s">
        <v>4776</v>
      </c>
      <c r="I4304" s="4" t="s">
        <v>4775</v>
      </c>
      <c r="J4304" s="4" t="s">
        <v>4774</v>
      </c>
    </row>
    <row r="4305" spans="1:10" hidden="1">
      <c r="A4305" s="4">
        <v>2.0210342420000099E+17</v>
      </c>
      <c r="B4305" s="4">
        <v>3188102572</v>
      </c>
      <c r="C4305" s="4" t="s">
        <v>4773</v>
      </c>
      <c r="D4305" s="4">
        <v>42420</v>
      </c>
      <c r="E4305" s="4">
        <v>20210319</v>
      </c>
      <c r="F4305" s="4">
        <v>20210319</v>
      </c>
      <c r="G4305" s="4">
        <v>20210715</v>
      </c>
      <c r="H4305" s="4" t="s">
        <v>4772</v>
      </c>
      <c r="I4305" s="4" t="s">
        <v>4771</v>
      </c>
      <c r="J4305" s="4" t="s">
        <v>1649</v>
      </c>
    </row>
    <row r="4306" spans="1:10" hidden="1">
      <c r="A4306" s="4">
        <v>2.0210370209000099E+17</v>
      </c>
      <c r="B4306" s="4">
        <v>1938700623</v>
      </c>
      <c r="C4306" s="4" t="s">
        <v>4770</v>
      </c>
      <c r="D4306" s="4">
        <v>70209</v>
      </c>
      <c r="E4306" s="4">
        <v>20210319</v>
      </c>
      <c r="F4306" s="4">
        <v>20210319</v>
      </c>
      <c r="G4306" s="4">
        <v>20231129</v>
      </c>
      <c r="H4306" s="4" t="s">
        <v>4769</v>
      </c>
      <c r="I4306" s="4" t="s">
        <v>185</v>
      </c>
      <c r="J4306" s="4" t="s">
        <v>242</v>
      </c>
    </row>
    <row r="4307" spans="1:10" hidden="1">
      <c r="A4307" s="4">
        <v>2.0210330399000099E+17</v>
      </c>
      <c r="B4307" s="4">
        <v>6478600574</v>
      </c>
      <c r="C4307" s="4" t="s">
        <v>4768</v>
      </c>
      <c r="D4307" s="4">
        <v>30399</v>
      </c>
      <c r="E4307" s="4">
        <v>20210319</v>
      </c>
      <c r="F4307" s="4">
        <v>20210319</v>
      </c>
      <c r="G4307" s="4">
        <v>20240319</v>
      </c>
      <c r="H4307" s="4" t="s">
        <v>4767</v>
      </c>
      <c r="J4307" s="4" t="s">
        <v>1763</v>
      </c>
    </row>
    <row r="4308" spans="1:10" hidden="1">
      <c r="A4308" s="4">
        <v>2.0210358222000099E+17</v>
      </c>
      <c r="B4308" s="4">
        <v>1328801435</v>
      </c>
      <c r="C4308" s="4" t="s">
        <v>4766</v>
      </c>
      <c r="D4308" s="4">
        <v>58222</v>
      </c>
      <c r="E4308" s="4">
        <v>20210319</v>
      </c>
      <c r="F4308" s="4">
        <v>20210319</v>
      </c>
      <c r="G4308" s="4">
        <v>20240319</v>
      </c>
      <c r="H4308" s="4" t="s">
        <v>4622</v>
      </c>
      <c r="I4308" s="4" t="s">
        <v>4765</v>
      </c>
      <c r="J4308" s="4" t="s">
        <v>94</v>
      </c>
    </row>
    <row r="4309" spans="1:10" hidden="1">
      <c r="A4309" s="4">
        <v>2.0210328519000099E+17</v>
      </c>
      <c r="B4309" s="4">
        <v>2298700126</v>
      </c>
      <c r="C4309" s="4" t="s">
        <v>4764</v>
      </c>
      <c r="D4309" s="4">
        <v>28519</v>
      </c>
      <c r="E4309" s="4">
        <v>20210319</v>
      </c>
      <c r="F4309" s="4">
        <v>20210319</v>
      </c>
      <c r="G4309" s="4">
        <v>20220615</v>
      </c>
      <c r="H4309" s="4" t="s">
        <v>3538</v>
      </c>
      <c r="I4309" s="4" t="s">
        <v>4763</v>
      </c>
      <c r="J4309" s="4" t="s">
        <v>1412</v>
      </c>
    </row>
    <row r="4310" spans="1:10" hidden="1">
      <c r="A4310" s="4">
        <v>2.0210371600000099E+17</v>
      </c>
      <c r="B4310" s="4">
        <v>7248101517</v>
      </c>
      <c r="C4310" s="4" t="s">
        <v>4762</v>
      </c>
      <c r="D4310" s="4">
        <v>71600</v>
      </c>
      <c r="E4310" s="4">
        <v>20210319</v>
      </c>
      <c r="F4310" s="4">
        <v>20210319</v>
      </c>
      <c r="G4310" s="4">
        <v>20240319</v>
      </c>
      <c r="H4310" s="4" t="s">
        <v>4761</v>
      </c>
      <c r="I4310" s="4" t="s">
        <v>4760</v>
      </c>
      <c r="J4310" s="4" t="s">
        <v>1783</v>
      </c>
    </row>
    <row r="4311" spans="1:10" hidden="1">
      <c r="A4311" s="4">
        <v>2.0210363991000099E+17</v>
      </c>
      <c r="B4311" s="4">
        <v>2768801467</v>
      </c>
      <c r="C4311" s="4" t="s">
        <v>4759</v>
      </c>
      <c r="D4311" s="4">
        <v>63991</v>
      </c>
      <c r="E4311" s="4">
        <v>20210319</v>
      </c>
      <c r="F4311" s="4">
        <v>20210319</v>
      </c>
      <c r="G4311" s="4">
        <v>20240319</v>
      </c>
      <c r="H4311" s="4" t="s">
        <v>4758</v>
      </c>
      <c r="I4311" s="4" t="s">
        <v>591</v>
      </c>
      <c r="J4311" s="4" t="s">
        <v>395</v>
      </c>
    </row>
    <row r="4312" spans="1:10" hidden="1">
      <c r="A4312" s="4">
        <v>2.0210313225000099E+17</v>
      </c>
      <c r="B4312" s="4">
        <v>5916200066</v>
      </c>
      <c r="C4312" s="4" t="s">
        <v>4756</v>
      </c>
      <c r="D4312" s="4">
        <v>13225</v>
      </c>
      <c r="E4312" s="4">
        <v>20210319</v>
      </c>
      <c r="F4312" s="4">
        <v>20210319</v>
      </c>
      <c r="G4312" s="4">
        <v>20221203</v>
      </c>
      <c r="H4312" s="4" t="s">
        <v>4757</v>
      </c>
      <c r="I4312" s="4" t="s">
        <v>4756</v>
      </c>
      <c r="J4312" s="4" t="s">
        <v>2307</v>
      </c>
    </row>
    <row r="4313" spans="1:10" hidden="1">
      <c r="A4313" s="4">
        <v>2.0210390221000099E+17</v>
      </c>
      <c r="B4313" s="4">
        <v>6718800964</v>
      </c>
      <c r="C4313" s="4" t="s">
        <v>4755</v>
      </c>
      <c r="D4313" s="4">
        <v>90221</v>
      </c>
      <c r="E4313" s="4">
        <v>20210319</v>
      </c>
      <c r="F4313" s="4">
        <v>20210319</v>
      </c>
      <c r="G4313" s="4">
        <v>20240319</v>
      </c>
      <c r="H4313" s="4" t="s">
        <v>4754</v>
      </c>
      <c r="J4313" s="4" t="s">
        <v>4753</v>
      </c>
    </row>
    <row r="4314" spans="1:10" hidden="1">
      <c r="A4314" s="4">
        <v>2.0210320202000099E+17</v>
      </c>
      <c r="B4314" s="4">
        <v>6190977039</v>
      </c>
      <c r="C4314" s="4" t="s">
        <v>4752</v>
      </c>
      <c r="D4314" s="4">
        <v>20202</v>
      </c>
      <c r="E4314" s="4">
        <v>20210319</v>
      </c>
      <c r="F4314" s="4">
        <v>20210319</v>
      </c>
      <c r="G4314" s="4">
        <v>20240319</v>
      </c>
      <c r="H4314" s="4" t="s">
        <v>4751</v>
      </c>
      <c r="J4314" s="4" t="s">
        <v>224</v>
      </c>
    </row>
    <row r="4315" spans="1:10" hidden="1">
      <c r="A4315" s="4">
        <v>2.0210326429000099E+17</v>
      </c>
      <c r="B4315" s="4">
        <v>6238601470</v>
      </c>
      <c r="C4315" s="4" t="s">
        <v>4750</v>
      </c>
      <c r="D4315" s="4">
        <v>26429</v>
      </c>
      <c r="E4315" s="4">
        <v>20210319</v>
      </c>
      <c r="F4315" s="4">
        <v>20210319</v>
      </c>
      <c r="G4315" s="4">
        <v>20240319</v>
      </c>
      <c r="H4315" s="4" t="s">
        <v>4749</v>
      </c>
      <c r="I4315" s="4" t="s">
        <v>1922</v>
      </c>
      <c r="J4315" s="4" t="s">
        <v>422</v>
      </c>
    </row>
    <row r="4316" spans="1:10" hidden="1">
      <c r="A4316" s="4">
        <v>2.0210374220000099E+17</v>
      </c>
      <c r="B4316" s="4">
        <v>8838102042</v>
      </c>
      <c r="C4316" s="4" t="s">
        <v>4748</v>
      </c>
      <c r="D4316" s="4">
        <v>74220</v>
      </c>
      <c r="E4316" s="4">
        <v>20210319</v>
      </c>
      <c r="F4316" s="4">
        <v>20210319</v>
      </c>
      <c r="G4316" s="4">
        <v>20240319</v>
      </c>
      <c r="H4316" s="4" t="s">
        <v>4747</v>
      </c>
      <c r="I4316" s="4" t="s">
        <v>4746</v>
      </c>
      <c r="J4316" s="4" t="s">
        <v>2988</v>
      </c>
    </row>
    <row r="4317" spans="1:10" hidden="1">
      <c r="A4317" s="4">
        <v>2.0210320423000099E+17</v>
      </c>
      <c r="B4317" s="4">
        <v>4512101143</v>
      </c>
      <c r="C4317" s="4" t="s">
        <v>4745</v>
      </c>
      <c r="D4317" s="4">
        <v>20423</v>
      </c>
      <c r="E4317" s="4">
        <v>20210319</v>
      </c>
      <c r="F4317" s="4">
        <v>20210319</v>
      </c>
      <c r="G4317" s="4">
        <v>20240319</v>
      </c>
      <c r="H4317" s="4" t="s">
        <v>1644</v>
      </c>
      <c r="I4317" s="4" t="s">
        <v>1643</v>
      </c>
      <c r="J4317" s="4" t="s">
        <v>368</v>
      </c>
    </row>
    <row r="4318" spans="1:10" hidden="1">
      <c r="A4318" s="4">
        <v>2.0210371531000099E+17</v>
      </c>
      <c r="B4318" s="4">
        <v>1928200038</v>
      </c>
      <c r="C4318" s="4" t="s">
        <v>4744</v>
      </c>
      <c r="D4318" s="4">
        <v>71531</v>
      </c>
      <c r="E4318" s="4">
        <v>20210319</v>
      </c>
      <c r="F4318" s="4">
        <v>20210319</v>
      </c>
      <c r="G4318" s="4">
        <v>20220428</v>
      </c>
      <c r="H4318" s="4" t="s">
        <v>4743</v>
      </c>
      <c r="I4318" s="4" t="s">
        <v>591</v>
      </c>
      <c r="J4318" s="4" t="s">
        <v>87</v>
      </c>
    </row>
    <row r="4319" spans="1:10" hidden="1">
      <c r="A4319" s="4">
        <v>2.0210322199000099E+17</v>
      </c>
      <c r="B4319" s="4">
        <v>7778600332</v>
      </c>
      <c r="C4319" s="4" t="s">
        <v>4742</v>
      </c>
      <c r="D4319" s="4">
        <v>22199</v>
      </c>
      <c r="E4319" s="4">
        <v>20210319</v>
      </c>
      <c r="F4319" s="4">
        <v>20210319</v>
      </c>
      <c r="G4319" s="4">
        <v>20230330</v>
      </c>
      <c r="H4319" s="4" t="s">
        <v>4741</v>
      </c>
      <c r="I4319" s="4" t="s">
        <v>1134</v>
      </c>
      <c r="J4319" s="4" t="s">
        <v>1962</v>
      </c>
    </row>
    <row r="4320" spans="1:10" hidden="1">
      <c r="A4320" s="4">
        <v>2.0210342491000099E+17</v>
      </c>
      <c r="B4320" s="4">
        <v>7838102058</v>
      </c>
      <c r="C4320" s="4" t="s">
        <v>4740</v>
      </c>
      <c r="D4320" s="4">
        <v>42491</v>
      </c>
      <c r="E4320" s="4">
        <v>20210319</v>
      </c>
      <c r="F4320" s="4">
        <v>20210319</v>
      </c>
      <c r="G4320" s="4">
        <v>20240319</v>
      </c>
      <c r="H4320" s="4" t="s">
        <v>4739</v>
      </c>
      <c r="I4320" s="4" t="s">
        <v>2244</v>
      </c>
      <c r="J4320" s="4" t="s">
        <v>883</v>
      </c>
    </row>
    <row r="4321" spans="1:10" hidden="1">
      <c r="A4321" s="4">
        <v>2.0210346452000099E+17</v>
      </c>
      <c r="B4321" s="4">
        <v>1212592076</v>
      </c>
      <c r="C4321" s="4" t="s">
        <v>4738</v>
      </c>
      <c r="D4321" s="4">
        <v>46452</v>
      </c>
      <c r="E4321" s="4">
        <v>20210319</v>
      </c>
      <c r="F4321" s="4">
        <v>20210319</v>
      </c>
      <c r="G4321" s="4">
        <v>20220201</v>
      </c>
      <c r="H4321" s="4" t="s">
        <v>4737</v>
      </c>
      <c r="I4321" s="4" t="s">
        <v>4736</v>
      </c>
      <c r="J4321" s="4" t="s">
        <v>516</v>
      </c>
    </row>
    <row r="4322" spans="1:10" hidden="1">
      <c r="A4322" s="4">
        <v>2.0210301122000099E+17</v>
      </c>
      <c r="B4322" s="4">
        <v>6719401251</v>
      </c>
      <c r="C4322" s="4" t="s">
        <v>4735</v>
      </c>
      <c r="D4322" s="4">
        <v>1122</v>
      </c>
      <c r="E4322" s="4">
        <v>20210319</v>
      </c>
      <c r="F4322" s="4">
        <v>20210319</v>
      </c>
      <c r="G4322" s="4">
        <v>20240319</v>
      </c>
      <c r="H4322" s="4" t="s">
        <v>4734</v>
      </c>
      <c r="J4322" s="4" t="s">
        <v>4733</v>
      </c>
    </row>
    <row r="4323" spans="1:10" hidden="1">
      <c r="A4323" s="4">
        <v>2.0210328123000099E+17</v>
      </c>
      <c r="B4323" s="4">
        <v>3906100165</v>
      </c>
      <c r="C4323" s="4" t="s">
        <v>4732</v>
      </c>
      <c r="D4323" s="4">
        <v>28123</v>
      </c>
      <c r="E4323" s="4">
        <v>20210319</v>
      </c>
      <c r="F4323" s="4">
        <v>20210319</v>
      </c>
      <c r="G4323" s="4">
        <v>20230427</v>
      </c>
      <c r="H4323" s="4" t="s">
        <v>3581</v>
      </c>
      <c r="I4323" s="4" t="s">
        <v>4731</v>
      </c>
      <c r="J4323" s="4" t="s">
        <v>640</v>
      </c>
    </row>
    <row r="4324" spans="1:10" hidden="1">
      <c r="A4324" s="4">
        <v>2.0210347821000099E+17</v>
      </c>
      <c r="B4324" s="4">
        <v>8183100609</v>
      </c>
      <c r="C4324" s="4" t="s">
        <v>4730</v>
      </c>
      <c r="D4324" s="4">
        <v>47821</v>
      </c>
      <c r="E4324" s="4">
        <v>20210319</v>
      </c>
      <c r="F4324" s="4">
        <v>20210319</v>
      </c>
      <c r="G4324" s="4">
        <v>20240319</v>
      </c>
      <c r="H4324" s="4" t="s">
        <v>4729</v>
      </c>
      <c r="I4324" s="4" t="s">
        <v>175</v>
      </c>
      <c r="J4324" s="4" t="s">
        <v>4207</v>
      </c>
    </row>
    <row r="4325" spans="1:10" hidden="1">
      <c r="A4325" s="4">
        <v>2.0210358222000099E+17</v>
      </c>
      <c r="B4325" s="4">
        <v>8628100159</v>
      </c>
      <c r="C4325" s="4" t="s">
        <v>4728</v>
      </c>
      <c r="D4325" s="4">
        <v>58222</v>
      </c>
      <c r="E4325" s="4">
        <v>20210319</v>
      </c>
      <c r="F4325" s="4">
        <v>20210319</v>
      </c>
      <c r="G4325" s="4">
        <v>20220629</v>
      </c>
      <c r="H4325" s="4" t="s">
        <v>2650</v>
      </c>
      <c r="I4325" s="4" t="s">
        <v>4727</v>
      </c>
      <c r="J4325" s="4" t="s">
        <v>94</v>
      </c>
    </row>
    <row r="4326" spans="1:10" hidden="1">
      <c r="A4326" s="4">
        <v>2.0210363991000099E+17</v>
      </c>
      <c r="B4326" s="4">
        <v>5286800376</v>
      </c>
      <c r="C4326" s="4" t="s">
        <v>4726</v>
      </c>
      <c r="D4326" s="4">
        <v>63991</v>
      </c>
      <c r="E4326" s="4">
        <v>20210319</v>
      </c>
      <c r="F4326" s="4">
        <v>20210319</v>
      </c>
      <c r="G4326" s="4">
        <v>20240319</v>
      </c>
      <c r="H4326" s="4" t="s">
        <v>431</v>
      </c>
      <c r="I4326" s="4" t="s">
        <v>4725</v>
      </c>
      <c r="J4326" s="4" t="s">
        <v>395</v>
      </c>
    </row>
    <row r="4327" spans="1:10" hidden="1">
      <c r="A4327" s="4">
        <v>2.0210358222000099E+17</v>
      </c>
      <c r="B4327" s="4">
        <v>5753900445</v>
      </c>
      <c r="C4327" s="4" t="s">
        <v>4724</v>
      </c>
      <c r="D4327" s="4">
        <v>58222</v>
      </c>
      <c r="E4327" s="4">
        <v>20210319</v>
      </c>
      <c r="F4327" s="4">
        <v>20210319</v>
      </c>
      <c r="G4327" s="4">
        <v>20240319</v>
      </c>
      <c r="H4327" s="4" t="s">
        <v>4723</v>
      </c>
      <c r="I4327" s="4" t="s">
        <v>149</v>
      </c>
      <c r="J4327" s="4" t="s">
        <v>94</v>
      </c>
    </row>
    <row r="4328" spans="1:10" hidden="1">
      <c r="A4328" s="4">
        <v>2.0210325113000099E+17</v>
      </c>
      <c r="B4328" s="4">
        <v>4438600690</v>
      </c>
      <c r="C4328" s="4" t="s">
        <v>4722</v>
      </c>
      <c r="D4328" s="4">
        <v>25113</v>
      </c>
      <c r="E4328" s="4">
        <v>20210319</v>
      </c>
      <c r="F4328" s="4">
        <v>20210319</v>
      </c>
      <c r="G4328" s="4">
        <v>20240319</v>
      </c>
      <c r="H4328" s="4" t="s">
        <v>4721</v>
      </c>
      <c r="J4328" s="4" t="s">
        <v>250</v>
      </c>
    </row>
    <row r="4329" spans="1:10" hidden="1">
      <c r="A4329" s="4">
        <v>2.0210325111000099E+17</v>
      </c>
      <c r="B4329" s="4">
        <v>4658601480</v>
      </c>
      <c r="C4329" s="4" t="s">
        <v>4720</v>
      </c>
      <c r="D4329" s="4">
        <v>25111</v>
      </c>
      <c r="E4329" s="4">
        <v>20210319</v>
      </c>
      <c r="F4329" s="4">
        <v>20210319</v>
      </c>
      <c r="G4329" s="4">
        <v>20240319</v>
      </c>
      <c r="H4329" s="4" t="s">
        <v>4719</v>
      </c>
      <c r="I4329" s="4" t="s">
        <v>4718</v>
      </c>
      <c r="J4329" s="4" t="s">
        <v>82</v>
      </c>
    </row>
    <row r="4330" spans="1:10" hidden="1">
      <c r="A4330" s="4">
        <v>2.0210347912000099E+17</v>
      </c>
      <c r="B4330" s="4">
        <v>5458601812</v>
      </c>
      <c r="C4330" s="4" t="s">
        <v>4717</v>
      </c>
      <c r="D4330" s="4">
        <v>47912</v>
      </c>
      <c r="E4330" s="4">
        <v>20210319</v>
      </c>
      <c r="F4330" s="4">
        <v>20210319</v>
      </c>
      <c r="G4330" s="4">
        <v>20240319</v>
      </c>
      <c r="H4330" s="4" t="s">
        <v>4716</v>
      </c>
      <c r="I4330" s="4" t="s">
        <v>108</v>
      </c>
      <c r="J4330" s="4" t="s">
        <v>78</v>
      </c>
    </row>
    <row r="4331" spans="1:10" hidden="1">
      <c r="A4331" s="4">
        <v>2.0210346109000099E+17</v>
      </c>
      <c r="B4331" s="4">
        <v>8198801153</v>
      </c>
      <c r="C4331" s="4" t="s">
        <v>4715</v>
      </c>
      <c r="D4331" s="4">
        <v>46109</v>
      </c>
      <c r="E4331" s="4">
        <v>20210319</v>
      </c>
      <c r="F4331" s="4">
        <v>20210319</v>
      </c>
      <c r="G4331" s="4">
        <v>20240319</v>
      </c>
      <c r="H4331" s="4" t="s">
        <v>4714</v>
      </c>
      <c r="I4331" s="4" t="s">
        <v>4713</v>
      </c>
      <c r="J4331" s="4" t="s">
        <v>133</v>
      </c>
    </row>
    <row r="4332" spans="1:10" hidden="1">
      <c r="A4332" s="4">
        <v>2.0210342420000099E+17</v>
      </c>
      <c r="B4332" s="4">
        <v>1168177948</v>
      </c>
      <c r="C4332" s="4" t="s">
        <v>4712</v>
      </c>
      <c r="D4332" s="4">
        <v>42420</v>
      </c>
      <c r="E4332" s="4">
        <v>20210319</v>
      </c>
      <c r="F4332" s="4">
        <v>20210319</v>
      </c>
      <c r="G4332" s="4">
        <v>20240319</v>
      </c>
      <c r="H4332" s="4" t="s">
        <v>4711</v>
      </c>
      <c r="I4332" s="4" t="s">
        <v>1117</v>
      </c>
      <c r="J4332" s="4" t="s">
        <v>1649</v>
      </c>
    </row>
    <row r="4333" spans="1:10" hidden="1">
      <c r="A4333" s="4">
        <v>2.0210363991000099E+17</v>
      </c>
      <c r="B4333" s="4">
        <v>8728601086</v>
      </c>
      <c r="C4333" s="4" t="s">
        <v>4710</v>
      </c>
      <c r="D4333" s="4">
        <v>63991</v>
      </c>
      <c r="E4333" s="4">
        <v>20210319</v>
      </c>
      <c r="F4333" s="4">
        <v>20210319</v>
      </c>
      <c r="G4333" s="4">
        <v>20240319</v>
      </c>
      <c r="H4333" s="4" t="s">
        <v>4709</v>
      </c>
      <c r="I4333" s="4" t="s">
        <v>91</v>
      </c>
      <c r="J4333" s="4" t="s">
        <v>395</v>
      </c>
    </row>
    <row r="4334" spans="1:10" hidden="1">
      <c r="A4334" s="4">
        <v>2.0210358221000099E+17</v>
      </c>
      <c r="B4334" s="4">
        <v>4248100239</v>
      </c>
      <c r="C4334" s="4" t="s">
        <v>4708</v>
      </c>
      <c r="D4334" s="4">
        <v>58221</v>
      </c>
      <c r="E4334" s="4">
        <v>20210319</v>
      </c>
      <c r="F4334" s="4">
        <v>20210319</v>
      </c>
      <c r="G4334" s="4">
        <v>20221119</v>
      </c>
      <c r="H4334" s="4" t="s">
        <v>4707</v>
      </c>
      <c r="I4334" s="4" t="s">
        <v>4706</v>
      </c>
      <c r="J4334" s="4" t="s">
        <v>228</v>
      </c>
    </row>
    <row r="4335" spans="1:10" hidden="1">
      <c r="A4335" s="4">
        <v>2.0210371600000099E+17</v>
      </c>
      <c r="B4335" s="4">
        <v>6398101937</v>
      </c>
      <c r="C4335" s="4" t="s">
        <v>4705</v>
      </c>
      <c r="D4335" s="4">
        <v>71600</v>
      </c>
      <c r="E4335" s="4">
        <v>20210319</v>
      </c>
      <c r="F4335" s="4">
        <v>20210319</v>
      </c>
      <c r="G4335" s="4">
        <v>20240319</v>
      </c>
      <c r="H4335" s="4" t="s">
        <v>787</v>
      </c>
      <c r="I4335" s="4" t="s">
        <v>4704</v>
      </c>
      <c r="J4335" s="4" t="s">
        <v>1783</v>
      </c>
    </row>
    <row r="4336" spans="1:10" hidden="1">
      <c r="A4336" s="4">
        <v>2.0210330332000099E+17</v>
      </c>
      <c r="B4336" s="4">
        <v>3258101019</v>
      </c>
      <c r="C4336" s="4" t="s">
        <v>4703</v>
      </c>
      <c r="D4336" s="4">
        <v>30332</v>
      </c>
      <c r="E4336" s="4">
        <v>20210319</v>
      </c>
      <c r="F4336" s="4">
        <v>20210319</v>
      </c>
      <c r="G4336" s="4">
        <v>20240319</v>
      </c>
      <c r="H4336" s="4" t="s">
        <v>4702</v>
      </c>
      <c r="J4336" s="4" t="s">
        <v>4701</v>
      </c>
    </row>
    <row r="4337" spans="1:10" hidden="1">
      <c r="A4337" s="4">
        <v>2.0210320411000099E+17</v>
      </c>
      <c r="B4337" s="4">
        <v>2428800067</v>
      </c>
      <c r="C4337" s="4" t="s">
        <v>4700</v>
      </c>
      <c r="D4337" s="4">
        <v>20411</v>
      </c>
      <c r="E4337" s="4">
        <v>20210319</v>
      </c>
      <c r="F4337" s="4">
        <v>20210319</v>
      </c>
      <c r="G4337" s="4">
        <v>20220330</v>
      </c>
      <c r="H4337" s="4" t="s">
        <v>4699</v>
      </c>
      <c r="I4337" s="4" t="s">
        <v>4698</v>
      </c>
      <c r="J4337" s="4" t="s">
        <v>694</v>
      </c>
    </row>
    <row r="4338" spans="1:10" hidden="1">
      <c r="A4338" s="4">
        <v>2.0210320499000099E+17</v>
      </c>
      <c r="B4338" s="4">
        <v>6688601207</v>
      </c>
      <c r="C4338" s="4" t="s">
        <v>4697</v>
      </c>
      <c r="D4338" s="4">
        <v>20499</v>
      </c>
      <c r="E4338" s="4">
        <v>20210319</v>
      </c>
      <c r="F4338" s="4">
        <v>20210319</v>
      </c>
      <c r="G4338" s="4">
        <v>20240319</v>
      </c>
      <c r="H4338" s="4" t="s">
        <v>4696</v>
      </c>
      <c r="I4338" s="4" t="s">
        <v>4695</v>
      </c>
      <c r="J4338" s="4" t="s">
        <v>406</v>
      </c>
    </row>
    <row r="4339" spans="1:10" hidden="1">
      <c r="A4339" s="4">
        <v>2.0210358222000099E+17</v>
      </c>
      <c r="B4339" s="4">
        <v>5658101373</v>
      </c>
      <c r="C4339" s="4" t="s">
        <v>4694</v>
      </c>
      <c r="D4339" s="4">
        <v>58222</v>
      </c>
      <c r="E4339" s="4">
        <v>20210319</v>
      </c>
      <c r="F4339" s="4">
        <v>20210319</v>
      </c>
      <c r="G4339" s="4">
        <v>20240319</v>
      </c>
      <c r="H4339" s="4" t="s">
        <v>4693</v>
      </c>
      <c r="I4339" s="4" t="s">
        <v>149</v>
      </c>
      <c r="J4339" s="4" t="s">
        <v>94</v>
      </c>
    </row>
    <row r="4340" spans="1:10" hidden="1">
      <c r="A4340" s="4">
        <v>2.0210370113000099E+17</v>
      </c>
      <c r="B4340" s="4">
        <v>6188701500</v>
      </c>
      <c r="C4340" s="4" t="s">
        <v>4692</v>
      </c>
      <c r="D4340" s="4">
        <v>70113</v>
      </c>
      <c r="E4340" s="4">
        <v>20210319</v>
      </c>
      <c r="F4340" s="4">
        <v>20210319</v>
      </c>
      <c r="G4340" s="4">
        <v>20240319</v>
      </c>
      <c r="H4340" s="4" t="s">
        <v>4691</v>
      </c>
      <c r="I4340" s="4">
        <v>1905</v>
      </c>
      <c r="J4340" s="4" t="s">
        <v>1173</v>
      </c>
    </row>
    <row r="4341" spans="1:10" hidden="1">
      <c r="A4341" s="4">
        <v>2.0210315129000099E+17</v>
      </c>
      <c r="B4341" s="4">
        <v>7568800061</v>
      </c>
      <c r="C4341" s="4" t="s">
        <v>4690</v>
      </c>
      <c r="D4341" s="4">
        <v>15129</v>
      </c>
      <c r="E4341" s="4">
        <v>20210319</v>
      </c>
      <c r="F4341" s="4">
        <v>20210319</v>
      </c>
      <c r="G4341" s="4">
        <v>20220325</v>
      </c>
      <c r="H4341" s="4" t="s">
        <v>4689</v>
      </c>
      <c r="I4341" s="4" t="s">
        <v>239</v>
      </c>
      <c r="J4341" s="4" t="s">
        <v>2024</v>
      </c>
    </row>
    <row r="4342" spans="1:10" hidden="1">
      <c r="A4342" s="4">
        <v>2.0210325112000099E+17</v>
      </c>
      <c r="B4342" s="4">
        <v>7018600354</v>
      </c>
      <c r="C4342" s="4" t="s">
        <v>4688</v>
      </c>
      <c r="D4342" s="4">
        <v>25112</v>
      </c>
      <c r="E4342" s="4">
        <v>20210319</v>
      </c>
      <c r="F4342" s="4">
        <v>20210319</v>
      </c>
      <c r="G4342" s="4">
        <v>20230721</v>
      </c>
      <c r="H4342" s="4" t="s">
        <v>4687</v>
      </c>
      <c r="J4342" s="4" t="s">
        <v>320</v>
      </c>
    </row>
    <row r="4343" spans="1:10" hidden="1">
      <c r="A4343" s="4">
        <v>2.0210358222000099E+17</v>
      </c>
      <c r="B4343" s="4">
        <v>2468100740</v>
      </c>
      <c r="C4343" s="4" t="s">
        <v>4686</v>
      </c>
      <c r="D4343" s="4">
        <v>58222</v>
      </c>
      <c r="E4343" s="4">
        <v>20210319</v>
      </c>
      <c r="F4343" s="4">
        <v>20210319</v>
      </c>
      <c r="G4343" s="4">
        <v>20240319</v>
      </c>
      <c r="H4343" s="4" t="s">
        <v>4685</v>
      </c>
      <c r="I4343" s="4" t="s">
        <v>4684</v>
      </c>
      <c r="J4343" s="4" t="s">
        <v>94</v>
      </c>
    </row>
    <row r="4344" spans="1:10" hidden="1">
      <c r="A4344" s="4">
        <v>2.0210313992000099E+17</v>
      </c>
      <c r="B4344" s="4">
        <v>8668601679</v>
      </c>
      <c r="C4344" s="4" t="s">
        <v>4683</v>
      </c>
      <c r="D4344" s="4">
        <v>13992</v>
      </c>
      <c r="E4344" s="4">
        <v>20210319</v>
      </c>
      <c r="F4344" s="4">
        <v>20210319</v>
      </c>
      <c r="G4344" s="4">
        <v>20240319</v>
      </c>
      <c r="H4344" s="4" t="s">
        <v>4682</v>
      </c>
      <c r="J4344" s="4" t="s">
        <v>2982</v>
      </c>
    </row>
    <row r="4345" spans="1:10" hidden="1">
      <c r="A4345" s="4">
        <v>2.0210333302000099E+17</v>
      </c>
      <c r="B4345" s="4">
        <v>6748701854</v>
      </c>
      <c r="C4345" s="4" t="s">
        <v>4681</v>
      </c>
      <c r="D4345" s="4">
        <v>33302</v>
      </c>
      <c r="E4345" s="4">
        <v>20210319</v>
      </c>
      <c r="F4345" s="4">
        <v>20210319</v>
      </c>
      <c r="G4345" s="4">
        <v>20240319</v>
      </c>
      <c r="H4345" s="4" t="s">
        <v>4680</v>
      </c>
      <c r="I4345" s="4" t="s">
        <v>175</v>
      </c>
      <c r="J4345" s="4" t="s">
        <v>4679</v>
      </c>
    </row>
    <row r="4346" spans="1:10" hidden="1">
      <c r="A4346" s="4">
        <v>2.0210346510000099E+17</v>
      </c>
      <c r="B4346" s="4">
        <v>2618801714</v>
      </c>
      <c r="C4346" s="4" t="s">
        <v>4678</v>
      </c>
      <c r="D4346" s="4">
        <v>46510</v>
      </c>
      <c r="E4346" s="4">
        <v>20210319</v>
      </c>
      <c r="F4346" s="4">
        <v>20210319</v>
      </c>
      <c r="G4346" s="4">
        <v>20240319</v>
      </c>
      <c r="H4346" s="4" t="s">
        <v>4677</v>
      </c>
      <c r="J4346" s="4" t="s">
        <v>126</v>
      </c>
    </row>
    <row r="4347" spans="1:10" hidden="1">
      <c r="A4347" s="4">
        <v>2.0210376320000099E+17</v>
      </c>
      <c r="B4347" s="4">
        <v>8418101957</v>
      </c>
      <c r="C4347" s="4" t="s">
        <v>4676</v>
      </c>
      <c r="D4347" s="4">
        <v>76320</v>
      </c>
      <c r="E4347" s="4">
        <v>20210319</v>
      </c>
      <c r="F4347" s="4">
        <v>20210319</v>
      </c>
      <c r="G4347" s="4">
        <v>20240319</v>
      </c>
      <c r="H4347" s="4" t="s">
        <v>4675</v>
      </c>
      <c r="I4347" s="4" t="s">
        <v>4674</v>
      </c>
      <c r="J4347" s="4" t="s">
        <v>4673</v>
      </c>
    </row>
    <row r="4348" spans="1:10" hidden="1">
      <c r="A4348" s="4">
        <v>2.0210326410000099E+17</v>
      </c>
      <c r="B4348" s="4">
        <v>5898601748</v>
      </c>
      <c r="C4348" s="4" t="s">
        <v>4672</v>
      </c>
      <c r="D4348" s="4">
        <v>26410</v>
      </c>
      <c r="E4348" s="4">
        <v>20210319</v>
      </c>
      <c r="F4348" s="4">
        <v>20210319</v>
      </c>
      <c r="G4348" s="4">
        <v>20240319</v>
      </c>
      <c r="H4348" s="4" t="s">
        <v>4671</v>
      </c>
      <c r="I4348" s="4" t="s">
        <v>4670</v>
      </c>
      <c r="J4348" s="4" t="s">
        <v>1102</v>
      </c>
    </row>
    <row r="4349" spans="1:10" hidden="1">
      <c r="A4349" s="4">
        <v>2.0210358221000099E+17</v>
      </c>
      <c r="B4349" s="4">
        <v>2778101840</v>
      </c>
      <c r="C4349" s="4" t="s">
        <v>4669</v>
      </c>
      <c r="D4349" s="4">
        <v>58221</v>
      </c>
      <c r="E4349" s="4">
        <v>20210319</v>
      </c>
      <c r="F4349" s="4">
        <v>20210319</v>
      </c>
      <c r="G4349" s="4">
        <v>20240319</v>
      </c>
      <c r="H4349" s="4" t="s">
        <v>4668</v>
      </c>
      <c r="I4349" s="4" t="s">
        <v>185</v>
      </c>
      <c r="J4349" s="4" t="s">
        <v>228</v>
      </c>
    </row>
    <row r="4350" spans="1:10" hidden="1">
      <c r="A4350" s="4">
        <v>2.0210370121000099E+17</v>
      </c>
      <c r="B4350" s="4">
        <v>1738701287</v>
      </c>
      <c r="C4350" s="4" t="s">
        <v>4667</v>
      </c>
      <c r="D4350" s="4">
        <v>70121</v>
      </c>
      <c r="E4350" s="4">
        <v>20210319</v>
      </c>
      <c r="F4350" s="4">
        <v>20210319</v>
      </c>
      <c r="G4350" s="4">
        <v>20240319</v>
      </c>
      <c r="H4350" s="4" t="s">
        <v>4666</v>
      </c>
      <c r="J4350" s="4" t="s">
        <v>1267</v>
      </c>
    </row>
    <row r="4351" spans="1:10" hidden="1">
      <c r="A4351" s="4">
        <v>2.0210362010000099E+17</v>
      </c>
      <c r="B4351" s="4">
        <v>6258600405</v>
      </c>
      <c r="C4351" s="4" t="s">
        <v>4665</v>
      </c>
      <c r="D4351" s="4">
        <v>62010</v>
      </c>
      <c r="E4351" s="4">
        <v>20210319</v>
      </c>
      <c r="F4351" s="4">
        <v>20210319</v>
      </c>
      <c r="G4351" s="4">
        <v>20230421</v>
      </c>
      <c r="H4351" s="4" t="s">
        <v>4664</v>
      </c>
      <c r="I4351" s="4" t="s">
        <v>4663</v>
      </c>
      <c r="J4351" s="4" t="s">
        <v>118</v>
      </c>
    </row>
    <row r="4352" spans="1:10" hidden="1">
      <c r="A4352" s="4">
        <v>2.0210342500000099E+17</v>
      </c>
      <c r="B4352" s="4">
        <v>8258100844</v>
      </c>
      <c r="C4352" s="4" t="s">
        <v>4662</v>
      </c>
      <c r="D4352" s="4">
        <v>42500</v>
      </c>
      <c r="E4352" s="4">
        <v>20210319</v>
      </c>
      <c r="F4352" s="4">
        <v>20210319</v>
      </c>
      <c r="G4352" s="4">
        <v>20240319</v>
      </c>
      <c r="H4352" s="4" t="s">
        <v>4661</v>
      </c>
      <c r="I4352" s="4" t="s">
        <v>1174</v>
      </c>
      <c r="J4352" s="4" t="s">
        <v>740</v>
      </c>
    </row>
    <row r="4353" spans="1:10" hidden="1">
      <c r="A4353" s="4">
        <v>2.0210329132000099E+17</v>
      </c>
      <c r="B4353" s="4">
        <v>8578701556</v>
      </c>
      <c r="C4353" s="4" t="s">
        <v>4660</v>
      </c>
      <c r="D4353" s="4">
        <v>29132</v>
      </c>
      <c r="E4353" s="4">
        <v>20210319</v>
      </c>
      <c r="F4353" s="4">
        <v>20210319</v>
      </c>
      <c r="G4353" s="4">
        <v>20240319</v>
      </c>
      <c r="H4353" s="4" t="s">
        <v>4659</v>
      </c>
      <c r="I4353" s="4" t="s">
        <v>149</v>
      </c>
      <c r="J4353" s="4" t="s">
        <v>1083</v>
      </c>
    </row>
    <row r="4354" spans="1:10" hidden="1">
      <c r="A4354" s="4">
        <v>2.0210313225000099E+17</v>
      </c>
      <c r="B4354" s="4">
        <v>3088601038</v>
      </c>
      <c r="C4354" s="4" t="s">
        <v>4658</v>
      </c>
      <c r="D4354" s="4">
        <v>13225</v>
      </c>
      <c r="E4354" s="4">
        <v>20210319</v>
      </c>
      <c r="F4354" s="4">
        <v>20210319</v>
      </c>
      <c r="G4354" s="4">
        <v>20240319</v>
      </c>
      <c r="H4354" s="4" t="s">
        <v>4657</v>
      </c>
      <c r="I4354" s="4" t="s">
        <v>4656</v>
      </c>
      <c r="J4354" s="4" t="s">
        <v>2307</v>
      </c>
    </row>
    <row r="4355" spans="1:10" hidden="1">
      <c r="A4355" s="4">
        <v>2.0210385669000099E+17</v>
      </c>
      <c r="B4355" s="4">
        <v>8218801059</v>
      </c>
      <c r="C4355" s="4" t="s">
        <v>4655</v>
      </c>
      <c r="D4355" s="4">
        <v>85669</v>
      </c>
      <c r="E4355" s="4">
        <v>20210319</v>
      </c>
      <c r="F4355" s="4">
        <v>20210319</v>
      </c>
      <c r="G4355" s="4">
        <v>20240319</v>
      </c>
      <c r="H4355" s="4" t="s">
        <v>4654</v>
      </c>
      <c r="I4355" s="4" t="s">
        <v>4653</v>
      </c>
      <c r="J4355" s="4" t="s">
        <v>3833</v>
      </c>
    </row>
    <row r="4356" spans="1:10" hidden="1">
      <c r="A4356" s="4">
        <v>2.0210370130000099E+17</v>
      </c>
      <c r="B4356" s="4">
        <v>4510401622</v>
      </c>
      <c r="C4356" s="4" t="s">
        <v>4652</v>
      </c>
      <c r="D4356" s="4">
        <v>70130</v>
      </c>
      <c r="E4356" s="4">
        <v>20210319</v>
      </c>
      <c r="F4356" s="4">
        <v>20210319</v>
      </c>
      <c r="G4356" s="4">
        <v>20240319</v>
      </c>
      <c r="H4356" s="4" t="s">
        <v>4651</v>
      </c>
      <c r="I4356" s="4" t="s">
        <v>4650</v>
      </c>
      <c r="J4356" s="4" t="s">
        <v>170</v>
      </c>
    </row>
    <row r="4357" spans="1:10" hidden="1">
      <c r="A4357" s="4">
        <v>2.0210329199000099E+17</v>
      </c>
      <c r="B4357" s="4">
        <v>5032539647</v>
      </c>
      <c r="C4357" s="4" t="s">
        <v>4649</v>
      </c>
      <c r="D4357" s="4">
        <v>29199</v>
      </c>
      <c r="E4357" s="4">
        <v>20210319</v>
      </c>
      <c r="F4357" s="4">
        <v>20210319</v>
      </c>
      <c r="G4357" s="4">
        <v>20211001</v>
      </c>
      <c r="H4357" s="4" t="s">
        <v>182</v>
      </c>
      <c r="J4357" s="4" t="s">
        <v>166</v>
      </c>
    </row>
    <row r="4358" spans="1:10" hidden="1">
      <c r="A4358" s="4">
        <v>2.0210320322000099E+17</v>
      </c>
      <c r="B4358" s="4">
        <v>3630901335</v>
      </c>
      <c r="C4358" s="4" t="s">
        <v>4648</v>
      </c>
      <c r="D4358" s="4">
        <v>20322</v>
      </c>
      <c r="E4358" s="4">
        <v>20210319</v>
      </c>
      <c r="F4358" s="4">
        <v>20210319</v>
      </c>
      <c r="G4358" s="4">
        <v>20240319</v>
      </c>
      <c r="H4358" s="4" t="s">
        <v>1467</v>
      </c>
      <c r="I4358" s="4" t="s">
        <v>4647</v>
      </c>
      <c r="J4358" s="4" t="s">
        <v>105</v>
      </c>
    </row>
    <row r="4359" spans="1:10" hidden="1">
      <c r="A4359" s="4">
        <v>2.0210333401000099E+17</v>
      </c>
      <c r="B4359" s="4">
        <v>1018691375</v>
      </c>
      <c r="C4359" s="4" t="s">
        <v>4646</v>
      </c>
      <c r="D4359" s="4">
        <v>33401</v>
      </c>
      <c r="E4359" s="4">
        <v>20210319</v>
      </c>
      <c r="F4359" s="4">
        <v>20210319</v>
      </c>
      <c r="G4359" s="4">
        <v>20210707</v>
      </c>
      <c r="H4359" s="4" t="s">
        <v>4645</v>
      </c>
      <c r="I4359" s="4">
        <v>708</v>
      </c>
      <c r="J4359" s="4" t="s">
        <v>364</v>
      </c>
    </row>
    <row r="4360" spans="1:10" hidden="1">
      <c r="A4360" s="4">
        <v>2.0210310713000099E+17</v>
      </c>
      <c r="B4360" s="4">
        <v>3500901396</v>
      </c>
      <c r="C4360" s="4" t="s">
        <v>4644</v>
      </c>
      <c r="D4360" s="4">
        <v>10713</v>
      </c>
      <c r="E4360" s="4">
        <v>20210319</v>
      </c>
      <c r="F4360" s="4">
        <v>20210319</v>
      </c>
      <c r="G4360" s="4">
        <v>20240319</v>
      </c>
      <c r="H4360" s="4" t="s">
        <v>4643</v>
      </c>
      <c r="I4360" s="4" t="s">
        <v>938</v>
      </c>
      <c r="J4360" s="4" t="s">
        <v>715</v>
      </c>
    </row>
    <row r="4361" spans="1:10" hidden="1">
      <c r="A4361" s="4">
        <v>2.0210332029000099E+17</v>
      </c>
      <c r="B4361" s="4">
        <v>5283500271</v>
      </c>
      <c r="C4361" s="4" t="s">
        <v>2913</v>
      </c>
      <c r="D4361" s="4">
        <v>32029</v>
      </c>
      <c r="E4361" s="4">
        <v>20210319</v>
      </c>
      <c r="F4361" s="4">
        <v>20210319</v>
      </c>
      <c r="G4361" s="4">
        <v>20240319</v>
      </c>
      <c r="H4361" s="4" t="s">
        <v>2912</v>
      </c>
      <c r="I4361" s="4" t="s">
        <v>149</v>
      </c>
      <c r="J4361" s="4" t="s">
        <v>637</v>
      </c>
    </row>
    <row r="4362" spans="1:10" hidden="1">
      <c r="A4362" s="4">
        <v>2.0210322192000099E+17</v>
      </c>
      <c r="B4362" s="4">
        <v>2198700279</v>
      </c>
      <c r="C4362" s="4" t="s">
        <v>4642</v>
      </c>
      <c r="D4362" s="4">
        <v>22192</v>
      </c>
      <c r="E4362" s="4">
        <v>20210318</v>
      </c>
      <c r="F4362" s="4">
        <v>20210318</v>
      </c>
      <c r="G4362" s="4">
        <v>20221028</v>
      </c>
      <c r="H4362" s="4" t="s">
        <v>4109</v>
      </c>
      <c r="I4362" s="4" t="s">
        <v>4641</v>
      </c>
      <c r="J4362" s="4" t="s">
        <v>4640</v>
      </c>
    </row>
    <row r="4363" spans="1:10" hidden="1">
      <c r="A4363" s="4">
        <v>2.0210358222000099E+17</v>
      </c>
      <c r="B4363" s="4">
        <v>7618601525</v>
      </c>
      <c r="C4363" s="4" t="s">
        <v>4639</v>
      </c>
      <c r="D4363" s="4">
        <v>58222</v>
      </c>
      <c r="E4363" s="4">
        <v>20210318</v>
      </c>
      <c r="F4363" s="4">
        <v>20210318</v>
      </c>
      <c r="G4363" s="4">
        <v>20240318</v>
      </c>
      <c r="H4363" s="4" t="s">
        <v>4638</v>
      </c>
      <c r="I4363" s="4" t="s">
        <v>4637</v>
      </c>
      <c r="J4363" s="4" t="s">
        <v>94</v>
      </c>
    </row>
    <row r="4364" spans="1:10" hidden="1">
      <c r="A4364" s="4">
        <v>2.0210322211000099E+17</v>
      </c>
      <c r="B4364" s="4">
        <v>4378801529</v>
      </c>
      <c r="C4364" s="4" t="s">
        <v>4636</v>
      </c>
      <c r="D4364" s="4">
        <v>22211</v>
      </c>
      <c r="E4364" s="4">
        <v>20210318</v>
      </c>
      <c r="F4364" s="4">
        <v>20210318</v>
      </c>
      <c r="G4364" s="4">
        <v>20240318</v>
      </c>
      <c r="H4364" s="4" t="s">
        <v>474</v>
      </c>
      <c r="I4364" s="4" t="s">
        <v>4635</v>
      </c>
      <c r="J4364" s="4" t="s">
        <v>1820</v>
      </c>
    </row>
    <row r="4365" spans="1:10" hidden="1">
      <c r="A4365" s="4">
        <v>2.0210326519000099E+17</v>
      </c>
      <c r="B4365" s="4">
        <v>6328100091</v>
      </c>
      <c r="C4365" s="4" t="s">
        <v>4634</v>
      </c>
      <c r="D4365" s="4">
        <v>26519</v>
      </c>
      <c r="E4365" s="4">
        <v>20210318</v>
      </c>
      <c r="F4365" s="4">
        <v>20210318</v>
      </c>
      <c r="G4365" s="4">
        <v>20220420</v>
      </c>
      <c r="H4365" s="4" t="s">
        <v>4633</v>
      </c>
      <c r="I4365" s="4" t="s">
        <v>4632</v>
      </c>
      <c r="J4365" s="4" t="s">
        <v>668</v>
      </c>
    </row>
    <row r="4366" spans="1:10" hidden="1">
      <c r="A4366" s="4">
        <v>2.0210347320000099E+17</v>
      </c>
      <c r="B4366" s="4">
        <v>2398702010</v>
      </c>
      <c r="C4366" s="4" t="s">
        <v>4631</v>
      </c>
      <c r="D4366" s="4">
        <v>47320</v>
      </c>
      <c r="E4366" s="4">
        <v>20210318</v>
      </c>
      <c r="F4366" s="4">
        <v>20210318</v>
      </c>
      <c r="G4366" s="4">
        <v>20240318</v>
      </c>
      <c r="H4366" s="4" t="s">
        <v>4630</v>
      </c>
      <c r="I4366" s="4" t="s">
        <v>4629</v>
      </c>
      <c r="J4366" s="4" t="s">
        <v>4628</v>
      </c>
    </row>
    <row r="4367" spans="1:10" hidden="1">
      <c r="A4367" s="4">
        <v>2.0210320423000099E+17</v>
      </c>
      <c r="B4367" s="4">
        <v>7400301210</v>
      </c>
      <c r="C4367" s="4" t="s">
        <v>4627</v>
      </c>
      <c r="D4367" s="4">
        <v>20423</v>
      </c>
      <c r="E4367" s="4">
        <v>20210318</v>
      </c>
      <c r="F4367" s="4">
        <v>20210318</v>
      </c>
      <c r="G4367" s="4">
        <v>20240318</v>
      </c>
      <c r="H4367" s="4" t="s">
        <v>4626</v>
      </c>
      <c r="I4367" s="4" t="s">
        <v>91</v>
      </c>
      <c r="J4367" s="4" t="s">
        <v>368</v>
      </c>
    </row>
    <row r="4368" spans="1:10" hidden="1">
      <c r="A4368" s="4">
        <v>2.0210310795000099E+17</v>
      </c>
      <c r="B4368" s="4">
        <v>8116300424</v>
      </c>
      <c r="C4368" s="4" t="s">
        <v>4625</v>
      </c>
      <c r="D4368" s="4">
        <v>10795</v>
      </c>
      <c r="E4368" s="4">
        <v>20210318</v>
      </c>
      <c r="F4368" s="4">
        <v>20210318</v>
      </c>
      <c r="G4368" s="4">
        <v>20240318</v>
      </c>
      <c r="H4368" s="4" t="s">
        <v>4624</v>
      </c>
      <c r="J4368" s="4" t="s">
        <v>851</v>
      </c>
    </row>
    <row r="4369" spans="1:10" hidden="1">
      <c r="A4369" s="4">
        <v>2.0210320423000099E+17</v>
      </c>
      <c r="B4369" s="4">
        <v>3117600017</v>
      </c>
      <c r="C4369" s="4" t="s">
        <v>4623</v>
      </c>
      <c r="D4369" s="4">
        <v>20423</v>
      </c>
      <c r="E4369" s="4">
        <v>20210318</v>
      </c>
      <c r="F4369" s="4">
        <v>20210318</v>
      </c>
      <c r="G4369" s="4">
        <v>20220317</v>
      </c>
      <c r="H4369" s="4" t="s">
        <v>4622</v>
      </c>
      <c r="I4369" s="4" t="s">
        <v>4621</v>
      </c>
      <c r="J4369" s="4" t="s">
        <v>368</v>
      </c>
    </row>
    <row r="4370" spans="1:10" hidden="1">
      <c r="A4370" s="4">
        <v>2.0210370121000099E+17</v>
      </c>
      <c r="B4370" s="4">
        <v>7115500677</v>
      </c>
      <c r="C4370" s="4" t="s">
        <v>4620</v>
      </c>
      <c r="D4370" s="4">
        <v>70121</v>
      </c>
      <c r="E4370" s="4">
        <v>20210318</v>
      </c>
      <c r="F4370" s="4">
        <v>20210318</v>
      </c>
      <c r="G4370" s="4">
        <v>20240318</v>
      </c>
      <c r="H4370" s="4" t="s">
        <v>4619</v>
      </c>
      <c r="I4370" s="4" t="s">
        <v>4618</v>
      </c>
      <c r="J4370" s="4" t="s">
        <v>1267</v>
      </c>
    </row>
    <row r="4371" spans="1:10" hidden="1">
      <c r="A4371" s="4">
        <v>2.0210373202000099E+17</v>
      </c>
      <c r="B4371" s="4">
        <v>8485400292</v>
      </c>
      <c r="C4371" s="4" t="s">
        <v>4617</v>
      </c>
      <c r="D4371" s="4">
        <v>73202</v>
      </c>
      <c r="E4371" s="4">
        <v>20210318</v>
      </c>
      <c r="F4371" s="4">
        <v>20210318</v>
      </c>
      <c r="G4371" s="4">
        <v>20240318</v>
      </c>
      <c r="H4371" s="4" t="s">
        <v>4616</v>
      </c>
      <c r="I4371" s="4" t="s">
        <v>4615</v>
      </c>
      <c r="J4371" s="4" t="s">
        <v>605</v>
      </c>
    </row>
    <row r="4372" spans="1:10" hidden="1">
      <c r="A4372" s="4">
        <v>2.0210371600000099E+17</v>
      </c>
      <c r="B4372" s="4">
        <v>8988601598</v>
      </c>
      <c r="C4372" s="4" t="s">
        <v>4614</v>
      </c>
      <c r="D4372" s="4">
        <v>71600</v>
      </c>
      <c r="E4372" s="4">
        <v>20210318</v>
      </c>
      <c r="F4372" s="4">
        <v>20210318</v>
      </c>
      <c r="G4372" s="4">
        <v>20240318</v>
      </c>
      <c r="H4372" s="4" t="s">
        <v>1569</v>
      </c>
      <c r="I4372" s="4" t="s">
        <v>4613</v>
      </c>
      <c r="J4372" s="4" t="s">
        <v>1783</v>
      </c>
    </row>
    <row r="4373" spans="1:10" hidden="1">
      <c r="A4373" s="4">
        <v>2.0210323324000099E+17</v>
      </c>
      <c r="B4373" s="4">
        <v>1083591637</v>
      </c>
      <c r="C4373" s="4" t="s">
        <v>4611</v>
      </c>
      <c r="D4373" s="4">
        <v>23324</v>
      </c>
      <c r="E4373" s="4">
        <v>20210318</v>
      </c>
      <c r="F4373" s="4">
        <v>20210318</v>
      </c>
      <c r="G4373" s="4">
        <v>20220301</v>
      </c>
      <c r="H4373" s="4" t="s">
        <v>4612</v>
      </c>
      <c r="I4373" s="4" t="s">
        <v>4611</v>
      </c>
      <c r="J4373" s="4" t="s">
        <v>3323</v>
      </c>
    </row>
    <row r="4374" spans="1:10" hidden="1">
      <c r="A4374" s="4">
        <v>2.0210322299000099E+17</v>
      </c>
      <c r="B4374" s="4">
        <v>7211201128</v>
      </c>
      <c r="C4374" s="4" t="s">
        <v>4610</v>
      </c>
      <c r="D4374" s="4">
        <v>22299</v>
      </c>
      <c r="E4374" s="4">
        <v>20210318</v>
      </c>
      <c r="F4374" s="4">
        <v>20210318</v>
      </c>
      <c r="G4374" s="4">
        <v>20240318</v>
      </c>
      <c r="H4374" s="4" t="s">
        <v>3256</v>
      </c>
      <c r="I4374" s="4" t="s">
        <v>4609</v>
      </c>
      <c r="J4374" s="4" t="s">
        <v>384</v>
      </c>
    </row>
    <row r="4375" spans="1:10" hidden="1">
      <c r="A4375" s="4">
        <v>2.0210325999000099E+17</v>
      </c>
      <c r="B4375" s="4">
        <v>1601001047</v>
      </c>
      <c r="C4375" s="4" t="s">
        <v>4608</v>
      </c>
      <c r="D4375" s="4">
        <v>25999</v>
      </c>
      <c r="E4375" s="4">
        <v>20210318</v>
      </c>
      <c r="F4375" s="4">
        <v>20210318</v>
      </c>
      <c r="G4375" s="4">
        <v>20240318</v>
      </c>
      <c r="H4375" s="4" t="s">
        <v>4607</v>
      </c>
      <c r="J4375" s="4" t="s">
        <v>301</v>
      </c>
    </row>
    <row r="4376" spans="1:10" hidden="1">
      <c r="A4376" s="4">
        <v>2.0210323321000099E+17</v>
      </c>
      <c r="B4376" s="4">
        <v>4496500446</v>
      </c>
      <c r="C4376" s="4" t="s">
        <v>4606</v>
      </c>
      <c r="D4376" s="4">
        <v>23321</v>
      </c>
      <c r="E4376" s="4">
        <v>20210318</v>
      </c>
      <c r="F4376" s="4">
        <v>20210318</v>
      </c>
      <c r="G4376" s="4">
        <v>20240318</v>
      </c>
      <c r="H4376" s="4" t="s">
        <v>4605</v>
      </c>
      <c r="J4376" s="4" t="s">
        <v>1337</v>
      </c>
    </row>
    <row r="4377" spans="1:10" hidden="1">
      <c r="A4377" s="4">
        <v>2.0210326429000099E+17</v>
      </c>
      <c r="B4377" s="4">
        <v>6398801407</v>
      </c>
      <c r="C4377" s="4" t="s">
        <v>4604</v>
      </c>
      <c r="D4377" s="4">
        <v>26429</v>
      </c>
      <c r="E4377" s="4">
        <v>20210318</v>
      </c>
      <c r="F4377" s="4">
        <v>20210318</v>
      </c>
      <c r="G4377" s="4">
        <v>20240318</v>
      </c>
      <c r="H4377" s="4" t="s">
        <v>4603</v>
      </c>
      <c r="I4377" s="4" t="s">
        <v>91</v>
      </c>
      <c r="J4377" s="4" t="s">
        <v>422</v>
      </c>
    </row>
    <row r="4378" spans="1:10" hidden="1">
      <c r="A4378" s="4">
        <v>2.0210325111000099E+17</v>
      </c>
      <c r="B4378" s="4">
        <v>3128670330</v>
      </c>
      <c r="C4378" s="4" t="s">
        <v>4602</v>
      </c>
      <c r="D4378" s="4">
        <v>25111</v>
      </c>
      <c r="E4378" s="4">
        <v>20210318</v>
      </c>
      <c r="F4378" s="4">
        <v>20210318</v>
      </c>
      <c r="G4378" s="4">
        <v>20210923</v>
      </c>
      <c r="H4378" s="4" t="s">
        <v>4601</v>
      </c>
      <c r="I4378" s="4" t="s">
        <v>247</v>
      </c>
      <c r="J4378" s="4" t="s">
        <v>82</v>
      </c>
    </row>
    <row r="4379" spans="1:10" hidden="1">
      <c r="A4379" s="4">
        <v>2.0210320321000099E+17</v>
      </c>
      <c r="B4379" s="4">
        <v>2198701958</v>
      </c>
      <c r="C4379" s="4" t="s">
        <v>4600</v>
      </c>
      <c r="D4379" s="4">
        <v>20321</v>
      </c>
      <c r="E4379" s="4">
        <v>20210318</v>
      </c>
      <c r="F4379" s="4">
        <v>20210318</v>
      </c>
      <c r="G4379" s="4">
        <v>20240318</v>
      </c>
      <c r="H4379" s="4" t="s">
        <v>4599</v>
      </c>
      <c r="I4379" s="4" t="s">
        <v>4598</v>
      </c>
      <c r="J4379" s="4" t="s">
        <v>192</v>
      </c>
    </row>
    <row r="4380" spans="1:10" hidden="1">
      <c r="A4380" s="4">
        <v>2.0210323324000099E+17</v>
      </c>
      <c r="B4380" s="4">
        <v>7048601406</v>
      </c>
      <c r="C4380" s="4" t="s">
        <v>4597</v>
      </c>
      <c r="D4380" s="4">
        <v>23324</v>
      </c>
      <c r="E4380" s="4">
        <v>20210318</v>
      </c>
      <c r="F4380" s="4">
        <v>20210318</v>
      </c>
      <c r="G4380" s="4">
        <v>20240318</v>
      </c>
      <c r="H4380" s="4" t="s">
        <v>4596</v>
      </c>
      <c r="I4380" s="4" t="s">
        <v>91</v>
      </c>
      <c r="J4380" s="4" t="s">
        <v>3323</v>
      </c>
    </row>
    <row r="4381" spans="1:10" hidden="1">
      <c r="A4381" s="4">
        <v>2.0210320423000099E+17</v>
      </c>
      <c r="B4381" s="4">
        <v>4628801020</v>
      </c>
      <c r="C4381" s="4" t="s">
        <v>4595</v>
      </c>
      <c r="D4381" s="4">
        <v>20423</v>
      </c>
      <c r="E4381" s="4">
        <v>20210318</v>
      </c>
      <c r="F4381" s="4">
        <v>20210318</v>
      </c>
      <c r="G4381" s="4">
        <v>20240318</v>
      </c>
      <c r="H4381" s="4" t="s">
        <v>1478</v>
      </c>
      <c r="I4381" s="4" t="s">
        <v>4594</v>
      </c>
      <c r="J4381" s="4" t="s">
        <v>368</v>
      </c>
    </row>
    <row r="4382" spans="1:10" hidden="1">
      <c r="A4382" s="4">
        <v>2.0210358222000099E+17</v>
      </c>
      <c r="B4382" s="4">
        <v>2888100079</v>
      </c>
      <c r="C4382" s="4" t="s">
        <v>4593</v>
      </c>
      <c r="D4382" s="4">
        <v>58222</v>
      </c>
      <c r="E4382" s="4">
        <v>20210318</v>
      </c>
      <c r="F4382" s="4">
        <v>20210318</v>
      </c>
      <c r="G4382" s="4">
        <v>20220414</v>
      </c>
      <c r="H4382" s="4" t="s">
        <v>1838</v>
      </c>
      <c r="I4382" s="4" t="s">
        <v>4592</v>
      </c>
      <c r="J4382" s="4" t="s">
        <v>94</v>
      </c>
    </row>
    <row r="4383" spans="1:10" hidden="1">
      <c r="A4383" s="4">
        <v>2.0210326299000099E+17</v>
      </c>
      <c r="B4383" s="4">
        <v>5358100830</v>
      </c>
      <c r="C4383" s="4" t="s">
        <v>4591</v>
      </c>
      <c r="D4383" s="4">
        <v>26299</v>
      </c>
      <c r="E4383" s="4">
        <v>20210318</v>
      </c>
      <c r="F4383" s="4">
        <v>20210318</v>
      </c>
      <c r="G4383" s="4">
        <v>20240318</v>
      </c>
      <c r="H4383" s="4" t="s">
        <v>4590</v>
      </c>
      <c r="I4383" s="4" t="s">
        <v>4589</v>
      </c>
      <c r="J4383" s="4" t="s">
        <v>339</v>
      </c>
    </row>
    <row r="4384" spans="1:10" hidden="1">
      <c r="A4384" s="4">
        <v>2.0210328909000099E+17</v>
      </c>
      <c r="B4384" s="4">
        <v>1408197758</v>
      </c>
      <c r="C4384" s="4" t="s">
        <v>4588</v>
      </c>
      <c r="D4384" s="4">
        <v>28909</v>
      </c>
      <c r="E4384" s="4">
        <v>20210318</v>
      </c>
      <c r="F4384" s="4">
        <v>20210318</v>
      </c>
      <c r="G4384" s="4">
        <v>20240318</v>
      </c>
      <c r="H4384" s="4" t="s">
        <v>1280</v>
      </c>
      <c r="J4384" s="4" t="s">
        <v>253</v>
      </c>
    </row>
    <row r="4385" spans="1:10" hidden="1">
      <c r="A4385" s="4">
        <v>2.0210374220000099E+17</v>
      </c>
      <c r="B4385" s="4">
        <v>3268100954</v>
      </c>
      <c r="C4385" s="4" t="s">
        <v>4586</v>
      </c>
      <c r="D4385" s="4">
        <v>74220</v>
      </c>
      <c r="E4385" s="4">
        <v>20210318</v>
      </c>
      <c r="F4385" s="4">
        <v>20210318</v>
      </c>
      <c r="G4385" s="4">
        <v>20240318</v>
      </c>
      <c r="H4385" s="4" t="s">
        <v>4587</v>
      </c>
      <c r="I4385" s="4" t="s">
        <v>4586</v>
      </c>
      <c r="J4385" s="4" t="s">
        <v>2988</v>
      </c>
    </row>
    <row r="4386" spans="1:10" hidden="1">
      <c r="A4386" s="4">
        <v>2.0210326329000099E+17</v>
      </c>
      <c r="B4386" s="4">
        <v>6598101912</v>
      </c>
      <c r="C4386" s="4" t="s">
        <v>4585</v>
      </c>
      <c r="D4386" s="4">
        <v>26329</v>
      </c>
      <c r="E4386" s="4">
        <v>20210318</v>
      </c>
      <c r="F4386" s="4">
        <v>20210318</v>
      </c>
      <c r="G4386" s="4">
        <v>20240318</v>
      </c>
      <c r="H4386" s="4" t="s">
        <v>4584</v>
      </c>
      <c r="I4386" s="4" t="s">
        <v>4583</v>
      </c>
      <c r="J4386" s="4" t="s">
        <v>565</v>
      </c>
    </row>
    <row r="4387" spans="1:10" hidden="1">
      <c r="A4387" s="4">
        <v>2.0210328429000099E+17</v>
      </c>
      <c r="B4387" s="4">
        <v>5938800816</v>
      </c>
      <c r="C4387" s="4" t="s">
        <v>4582</v>
      </c>
      <c r="D4387" s="4">
        <v>28429</v>
      </c>
      <c r="E4387" s="4">
        <v>20210318</v>
      </c>
      <c r="F4387" s="4">
        <v>20210318</v>
      </c>
      <c r="G4387" s="4">
        <v>20240318</v>
      </c>
      <c r="H4387" s="4" t="s">
        <v>4581</v>
      </c>
      <c r="I4387" s="4" t="s">
        <v>149</v>
      </c>
      <c r="J4387" s="4" t="s">
        <v>765</v>
      </c>
    </row>
    <row r="4388" spans="1:10" hidden="1">
      <c r="A4388" s="4">
        <v>2.0210374100000099E+17</v>
      </c>
      <c r="B4388" s="4">
        <v>1748701897</v>
      </c>
      <c r="C4388" s="4" t="s">
        <v>4580</v>
      </c>
      <c r="D4388" s="4">
        <v>74100</v>
      </c>
      <c r="E4388" s="4">
        <v>20210318</v>
      </c>
      <c r="F4388" s="4">
        <v>20210318</v>
      </c>
      <c r="G4388" s="4">
        <v>20240318</v>
      </c>
      <c r="H4388" s="4" t="s">
        <v>4579</v>
      </c>
      <c r="I4388" s="4" t="s">
        <v>4578</v>
      </c>
      <c r="J4388" s="4" t="s">
        <v>2207</v>
      </c>
    </row>
    <row r="4389" spans="1:10" hidden="1">
      <c r="A4389" s="4">
        <v>2.0210329271000099E+17</v>
      </c>
      <c r="B4389" s="4">
        <v>6260600712</v>
      </c>
      <c r="C4389" s="4" t="s">
        <v>4577</v>
      </c>
      <c r="D4389" s="4">
        <v>29271</v>
      </c>
      <c r="E4389" s="4">
        <v>20210318</v>
      </c>
      <c r="F4389" s="4">
        <v>20210318</v>
      </c>
      <c r="G4389" s="4">
        <v>20240318</v>
      </c>
      <c r="H4389" s="4" t="s">
        <v>4576</v>
      </c>
      <c r="J4389" s="4" t="s">
        <v>285</v>
      </c>
    </row>
    <row r="4390" spans="1:10" hidden="1">
      <c r="A4390" s="4">
        <v>2.0210316102000099E+17</v>
      </c>
      <c r="B4390" s="4">
        <v>1193700542</v>
      </c>
      <c r="C4390" s="4" t="s">
        <v>4575</v>
      </c>
      <c r="D4390" s="4">
        <v>16102</v>
      </c>
      <c r="E4390" s="4">
        <v>20210318</v>
      </c>
      <c r="F4390" s="4">
        <v>20210318</v>
      </c>
      <c r="G4390" s="4">
        <v>20240318</v>
      </c>
      <c r="H4390" s="4" t="s">
        <v>4574</v>
      </c>
      <c r="J4390" s="4" t="s">
        <v>451</v>
      </c>
    </row>
    <row r="4391" spans="1:10" hidden="1">
      <c r="A4391" s="4">
        <v>2.0210314199000099E+17</v>
      </c>
      <c r="B4391" s="4">
        <v>1931301465</v>
      </c>
      <c r="C4391" s="4" t="s">
        <v>4573</v>
      </c>
      <c r="D4391" s="4">
        <v>14199</v>
      </c>
      <c r="E4391" s="4">
        <v>20210318</v>
      </c>
      <c r="F4391" s="4">
        <v>20210318</v>
      </c>
      <c r="G4391" s="4">
        <v>20240318</v>
      </c>
      <c r="H4391" s="4" t="s">
        <v>4572</v>
      </c>
      <c r="J4391" s="4" t="s">
        <v>3215</v>
      </c>
    </row>
    <row r="4392" spans="1:10" hidden="1">
      <c r="A4392" s="4">
        <v>2.0210329162000099E+17</v>
      </c>
      <c r="B4392" s="4">
        <v>7088701142</v>
      </c>
      <c r="C4392" s="4" t="s">
        <v>4571</v>
      </c>
      <c r="D4392" s="4">
        <v>29162</v>
      </c>
      <c r="E4392" s="4">
        <v>20210317</v>
      </c>
      <c r="F4392" s="4">
        <v>20210317</v>
      </c>
      <c r="G4392" s="4">
        <v>20240317</v>
      </c>
      <c r="H4392" s="4" t="s">
        <v>4570</v>
      </c>
      <c r="J4392" s="4" t="s">
        <v>4569</v>
      </c>
    </row>
    <row r="4393" spans="1:10" hidden="1">
      <c r="A4393" s="4">
        <v>2.0210316102000099E+17</v>
      </c>
      <c r="B4393" s="4">
        <v>4368801676</v>
      </c>
      <c r="C4393" s="4" t="s">
        <v>4568</v>
      </c>
      <c r="D4393" s="4">
        <v>16102</v>
      </c>
      <c r="E4393" s="4">
        <v>20210317</v>
      </c>
      <c r="F4393" s="4">
        <v>20210317</v>
      </c>
      <c r="G4393" s="4">
        <v>20240317</v>
      </c>
      <c r="H4393" s="4" t="s">
        <v>4567</v>
      </c>
      <c r="J4393" s="4" t="s">
        <v>451</v>
      </c>
    </row>
    <row r="4394" spans="1:10" hidden="1">
      <c r="A4394" s="4">
        <v>2.0210362021000099E+17</v>
      </c>
      <c r="B4394" s="4">
        <v>3338600904</v>
      </c>
      <c r="C4394" s="4" t="s">
        <v>4566</v>
      </c>
      <c r="D4394" s="4">
        <v>62021</v>
      </c>
      <c r="E4394" s="4">
        <v>20210317</v>
      </c>
      <c r="F4394" s="4">
        <v>20210317</v>
      </c>
      <c r="G4394" s="4">
        <v>20240317</v>
      </c>
      <c r="H4394" s="4" t="s">
        <v>4565</v>
      </c>
      <c r="I4394" s="4" t="s">
        <v>1813</v>
      </c>
      <c r="J4394" s="4" t="s">
        <v>1505</v>
      </c>
    </row>
    <row r="4395" spans="1:10" hidden="1">
      <c r="A4395" s="4">
        <v>2.0210313229000099E+17</v>
      </c>
      <c r="B4395" s="4">
        <v>8388801528</v>
      </c>
      <c r="C4395" s="4" t="s">
        <v>4564</v>
      </c>
      <c r="D4395" s="4">
        <v>13229</v>
      </c>
      <c r="E4395" s="4">
        <v>20210317</v>
      </c>
      <c r="F4395" s="4">
        <v>20210317</v>
      </c>
      <c r="G4395" s="4">
        <v>20240317</v>
      </c>
      <c r="H4395" s="4" t="s">
        <v>716</v>
      </c>
      <c r="I4395" s="4" t="s">
        <v>4563</v>
      </c>
      <c r="J4395" s="4" t="s">
        <v>115</v>
      </c>
    </row>
    <row r="4396" spans="1:10" hidden="1">
      <c r="A4396" s="4">
        <v>2.0210301411000099E+17</v>
      </c>
      <c r="B4396" s="4">
        <v>8198701030</v>
      </c>
      <c r="C4396" s="4" t="s">
        <v>4562</v>
      </c>
      <c r="D4396" s="4">
        <v>1411</v>
      </c>
      <c r="E4396" s="4">
        <v>20210317</v>
      </c>
      <c r="F4396" s="4">
        <v>20210317</v>
      </c>
      <c r="G4396" s="4">
        <v>20240317</v>
      </c>
      <c r="H4396" s="4" t="s">
        <v>4561</v>
      </c>
      <c r="I4396" s="4" t="s">
        <v>4560</v>
      </c>
      <c r="J4396" s="4" t="s">
        <v>4559</v>
      </c>
    </row>
    <row r="4397" spans="1:10" hidden="1">
      <c r="A4397" s="4">
        <v>2.0210313224000099E+17</v>
      </c>
      <c r="B4397" s="4">
        <v>4978801588</v>
      </c>
      <c r="C4397" s="4" t="s">
        <v>4558</v>
      </c>
      <c r="D4397" s="4">
        <v>13224</v>
      </c>
      <c r="E4397" s="4">
        <v>20210317</v>
      </c>
      <c r="F4397" s="4">
        <v>20210317</v>
      </c>
      <c r="G4397" s="4">
        <v>20240317</v>
      </c>
      <c r="H4397" s="4" t="s">
        <v>1332</v>
      </c>
      <c r="I4397" s="4" t="s">
        <v>4557</v>
      </c>
      <c r="J4397" s="4" t="s">
        <v>672</v>
      </c>
    </row>
    <row r="4398" spans="1:10" hidden="1">
      <c r="A4398" s="4">
        <v>2.0210358222000099E+17</v>
      </c>
      <c r="B4398" s="4">
        <v>2248166816</v>
      </c>
      <c r="C4398" s="4" t="s">
        <v>4556</v>
      </c>
      <c r="D4398" s="4">
        <v>58222</v>
      </c>
      <c r="E4398" s="4">
        <v>20210317</v>
      </c>
      <c r="F4398" s="4">
        <v>20210317</v>
      </c>
      <c r="G4398" s="4">
        <v>20220216</v>
      </c>
      <c r="H4398" s="4" t="s">
        <v>4555</v>
      </c>
      <c r="I4398" s="4" t="s">
        <v>4554</v>
      </c>
      <c r="J4398" s="4" t="s">
        <v>94</v>
      </c>
    </row>
    <row r="4399" spans="1:10" hidden="1">
      <c r="A4399" s="4">
        <v>2.0210327213000099E+17</v>
      </c>
      <c r="B4399" s="4">
        <v>8678801434</v>
      </c>
      <c r="C4399" s="4" t="s">
        <v>4553</v>
      </c>
      <c r="D4399" s="4">
        <v>27213</v>
      </c>
      <c r="E4399" s="4">
        <v>20210317</v>
      </c>
      <c r="F4399" s="4">
        <v>20210317</v>
      </c>
      <c r="G4399" s="4">
        <v>20240317</v>
      </c>
      <c r="H4399" s="4" t="s">
        <v>4552</v>
      </c>
      <c r="I4399" s="4" t="s">
        <v>4551</v>
      </c>
      <c r="J4399" s="4" t="s">
        <v>264</v>
      </c>
    </row>
    <row r="4400" spans="1:10" hidden="1">
      <c r="A4400" s="4">
        <v>2.0210371310000099E+17</v>
      </c>
      <c r="B4400" s="4">
        <v>6118128336</v>
      </c>
      <c r="C4400" s="4" t="s">
        <v>4550</v>
      </c>
      <c r="D4400" s="4">
        <v>71310</v>
      </c>
      <c r="E4400" s="4">
        <v>20210317</v>
      </c>
      <c r="F4400" s="4">
        <v>20210317</v>
      </c>
      <c r="G4400" s="4">
        <v>20240317</v>
      </c>
      <c r="H4400" s="4" t="s">
        <v>4549</v>
      </c>
      <c r="I4400" s="4" t="s">
        <v>4548</v>
      </c>
      <c r="J4400" s="4" t="s">
        <v>426</v>
      </c>
    </row>
    <row r="4401" spans="1:10" hidden="1">
      <c r="A4401" s="4">
        <v>2.0210358221000099E+17</v>
      </c>
      <c r="B4401" s="4">
        <v>8038800260</v>
      </c>
      <c r="C4401" s="4" t="s">
        <v>4547</v>
      </c>
      <c r="D4401" s="4">
        <v>58221</v>
      </c>
      <c r="E4401" s="4">
        <v>20210317</v>
      </c>
      <c r="F4401" s="4">
        <v>20210317</v>
      </c>
      <c r="G4401" s="4">
        <v>20230205</v>
      </c>
      <c r="H4401" s="4" t="s">
        <v>4546</v>
      </c>
      <c r="I4401" s="4" t="s">
        <v>4545</v>
      </c>
      <c r="J4401" s="4" t="s">
        <v>228</v>
      </c>
    </row>
    <row r="4402" spans="1:10" hidden="1">
      <c r="A4402" s="4">
        <v>2.0210327191000099E+17</v>
      </c>
      <c r="B4402" s="4">
        <v>5708701396</v>
      </c>
      <c r="C4402" s="4" t="s">
        <v>4544</v>
      </c>
      <c r="D4402" s="4">
        <v>27191</v>
      </c>
      <c r="E4402" s="4">
        <v>20210317</v>
      </c>
      <c r="F4402" s="4">
        <v>20210317</v>
      </c>
      <c r="G4402" s="4">
        <v>20240317</v>
      </c>
      <c r="H4402" s="4" t="s">
        <v>4543</v>
      </c>
      <c r="I4402" s="4" t="s">
        <v>4542</v>
      </c>
      <c r="J4402" s="4" t="s">
        <v>4541</v>
      </c>
    </row>
    <row r="4403" spans="1:10" hidden="1">
      <c r="A4403" s="4">
        <v>2.0210373902000099E+17</v>
      </c>
      <c r="B4403" s="4">
        <v>1628800325</v>
      </c>
      <c r="C4403" s="4" t="s">
        <v>4540</v>
      </c>
      <c r="D4403" s="4">
        <v>73902</v>
      </c>
      <c r="E4403" s="4">
        <v>20210317</v>
      </c>
      <c r="F4403" s="4">
        <v>20210317</v>
      </c>
      <c r="G4403" s="4">
        <v>20230211</v>
      </c>
      <c r="H4403" s="4" t="s">
        <v>4539</v>
      </c>
      <c r="I4403" s="4">
        <v>218</v>
      </c>
      <c r="J4403" s="4" t="s">
        <v>1540</v>
      </c>
    </row>
    <row r="4404" spans="1:10">
      <c r="A4404" s="4">
        <v>2.0210518119000301E+17</v>
      </c>
      <c r="B4404" s="4">
        <v>2230466224</v>
      </c>
      <c r="C4404" s="4" t="s">
        <v>9760</v>
      </c>
      <c r="D4404" s="4">
        <v>18119</v>
      </c>
      <c r="E4404" s="4">
        <v>20210528</v>
      </c>
      <c r="F4404" s="4">
        <v>20210528</v>
      </c>
      <c r="G4404" s="4">
        <v>20230901</v>
      </c>
      <c r="H4404" s="4" t="s">
        <v>9759</v>
      </c>
      <c r="I4404" s="4" t="s">
        <v>149</v>
      </c>
      <c r="J4404" s="4" t="s">
        <v>707</v>
      </c>
    </row>
    <row r="4405" spans="1:10" hidden="1">
      <c r="A4405" s="4">
        <v>2.0210358222000099E+17</v>
      </c>
      <c r="B4405" s="4">
        <v>7078701891</v>
      </c>
      <c r="C4405" s="4" t="s">
        <v>4535</v>
      </c>
      <c r="D4405" s="4">
        <v>58222</v>
      </c>
      <c r="E4405" s="4">
        <v>20210317</v>
      </c>
      <c r="F4405" s="4">
        <v>20210317</v>
      </c>
      <c r="G4405" s="4">
        <v>20240317</v>
      </c>
      <c r="H4405" s="4" t="s">
        <v>4534</v>
      </c>
      <c r="I4405" s="4" t="s">
        <v>4533</v>
      </c>
      <c r="J4405" s="4" t="s">
        <v>94</v>
      </c>
    </row>
    <row r="4406" spans="1:10" hidden="1">
      <c r="A4406" s="4">
        <v>2.0210358222000099E+17</v>
      </c>
      <c r="B4406" s="4">
        <v>6788600559</v>
      </c>
      <c r="C4406" s="4" t="s">
        <v>4532</v>
      </c>
      <c r="D4406" s="4">
        <v>58222</v>
      </c>
      <c r="E4406" s="4">
        <v>20210317</v>
      </c>
      <c r="F4406" s="4">
        <v>20210317</v>
      </c>
      <c r="G4406" s="4">
        <v>20231118</v>
      </c>
      <c r="H4406" s="4" t="s">
        <v>4531</v>
      </c>
      <c r="I4406" s="4" t="s">
        <v>91</v>
      </c>
      <c r="J4406" s="4" t="s">
        <v>94</v>
      </c>
    </row>
    <row r="4407" spans="1:10" hidden="1">
      <c r="A4407" s="4">
        <v>2.0210310797000099E+17</v>
      </c>
      <c r="B4407" s="4">
        <v>7878101008</v>
      </c>
      <c r="C4407" s="4" t="s">
        <v>4530</v>
      </c>
      <c r="D4407" s="4">
        <v>10797</v>
      </c>
      <c r="E4407" s="4">
        <v>20210317</v>
      </c>
      <c r="F4407" s="4">
        <v>20210317</v>
      </c>
      <c r="G4407" s="4">
        <v>20240317</v>
      </c>
      <c r="H4407" s="4" t="s">
        <v>4529</v>
      </c>
      <c r="J4407" s="4" t="s">
        <v>1108</v>
      </c>
    </row>
    <row r="4408" spans="1:10" hidden="1">
      <c r="A4408" s="4">
        <v>2.0210322229000099E+17</v>
      </c>
      <c r="B4408" s="4">
        <v>1994500034</v>
      </c>
      <c r="C4408" s="4" t="s">
        <v>4528</v>
      </c>
      <c r="D4408" s="4">
        <v>22229</v>
      </c>
      <c r="E4408" s="4">
        <v>20210317</v>
      </c>
      <c r="F4408" s="4">
        <v>20210317</v>
      </c>
      <c r="G4408" s="4">
        <v>20220408</v>
      </c>
      <c r="H4408" s="4" t="s">
        <v>4527</v>
      </c>
      <c r="J4408" s="4" t="s">
        <v>554</v>
      </c>
    </row>
    <row r="4409" spans="1:10" hidden="1">
      <c r="A4409" s="4">
        <v>2.0210320321000099E+17</v>
      </c>
      <c r="B4409" s="4">
        <v>5118125913</v>
      </c>
      <c r="C4409" s="4" t="s">
        <v>4526</v>
      </c>
      <c r="D4409" s="4">
        <v>20321</v>
      </c>
      <c r="E4409" s="4">
        <v>20210317</v>
      </c>
      <c r="F4409" s="4">
        <v>20210317</v>
      </c>
      <c r="G4409" s="4">
        <v>20240317</v>
      </c>
      <c r="H4409" s="4" t="s">
        <v>491</v>
      </c>
      <c r="I4409" s="4" t="s">
        <v>1174</v>
      </c>
      <c r="J4409" s="4" t="s">
        <v>192</v>
      </c>
    </row>
    <row r="4410" spans="1:10" hidden="1">
      <c r="A4410" s="4">
        <v>2.0210310122000099E+17</v>
      </c>
      <c r="B4410" s="4">
        <v>2213318110</v>
      </c>
      <c r="C4410" s="4" t="s">
        <v>4525</v>
      </c>
      <c r="D4410" s="4">
        <v>10122</v>
      </c>
      <c r="E4410" s="4">
        <v>20210317</v>
      </c>
      <c r="F4410" s="4">
        <v>20210317</v>
      </c>
      <c r="G4410" s="4">
        <v>20240317</v>
      </c>
      <c r="H4410" s="4" t="s">
        <v>4524</v>
      </c>
      <c r="I4410" s="4" t="s">
        <v>4523</v>
      </c>
      <c r="J4410" s="4" t="s">
        <v>1361</v>
      </c>
    </row>
    <row r="4411" spans="1:10" hidden="1">
      <c r="A4411" s="4">
        <v>2.0210333309000099E+17</v>
      </c>
      <c r="B4411" s="4">
        <v>6337000098</v>
      </c>
      <c r="C4411" s="4" t="s">
        <v>4522</v>
      </c>
      <c r="D4411" s="4">
        <v>33309</v>
      </c>
      <c r="E4411" s="4">
        <v>20210317</v>
      </c>
      <c r="F4411" s="4">
        <v>20210317</v>
      </c>
      <c r="G4411" s="4">
        <v>20240213</v>
      </c>
      <c r="H4411" s="4" t="s">
        <v>4521</v>
      </c>
      <c r="J4411" s="4" t="s">
        <v>238</v>
      </c>
    </row>
    <row r="4412" spans="1:10" hidden="1">
      <c r="A4412" s="4">
        <v>2.0210328903000099E+17</v>
      </c>
      <c r="B4412" s="4">
        <v>6066900353</v>
      </c>
      <c r="C4412" s="4" t="s">
        <v>4520</v>
      </c>
      <c r="D4412" s="4">
        <v>28903</v>
      </c>
      <c r="E4412" s="4">
        <v>20210317</v>
      </c>
      <c r="F4412" s="4">
        <v>20210317</v>
      </c>
      <c r="G4412" s="4">
        <v>20240317</v>
      </c>
      <c r="H4412" s="4" t="s">
        <v>4519</v>
      </c>
      <c r="I4412" s="4" t="s">
        <v>4518</v>
      </c>
      <c r="J4412" s="4" t="s">
        <v>460</v>
      </c>
    </row>
    <row r="4413" spans="1:10" hidden="1">
      <c r="A4413" s="4">
        <v>2.0210358222000099E+17</v>
      </c>
      <c r="B4413" s="4">
        <v>8028101272</v>
      </c>
      <c r="C4413" s="4" t="s">
        <v>4517</v>
      </c>
      <c r="D4413" s="4">
        <v>58222</v>
      </c>
      <c r="E4413" s="4">
        <v>20210317</v>
      </c>
      <c r="F4413" s="4">
        <v>20210317</v>
      </c>
      <c r="G4413" s="4">
        <v>20240317</v>
      </c>
      <c r="H4413" s="4" t="s">
        <v>4516</v>
      </c>
      <c r="I4413" s="4" t="s">
        <v>938</v>
      </c>
      <c r="J4413" s="4" t="s">
        <v>94</v>
      </c>
    </row>
    <row r="4414" spans="1:10" hidden="1">
      <c r="A4414" s="4">
        <v>2.0210362010000099E+17</v>
      </c>
      <c r="B4414" s="4">
        <v>4918801616</v>
      </c>
      <c r="C4414" s="4" t="s">
        <v>4515</v>
      </c>
      <c r="D4414" s="4">
        <v>62010</v>
      </c>
      <c r="E4414" s="4">
        <v>20210317</v>
      </c>
      <c r="F4414" s="4">
        <v>20210317</v>
      </c>
      <c r="G4414" s="4">
        <v>20240317</v>
      </c>
      <c r="H4414" s="4" t="s">
        <v>4514</v>
      </c>
      <c r="I4414" s="4" t="s">
        <v>4513</v>
      </c>
      <c r="J4414" s="4" t="s">
        <v>118</v>
      </c>
    </row>
    <row r="4415" spans="1:10" hidden="1">
      <c r="A4415" s="4">
        <v>2.0210346799000099E+17</v>
      </c>
      <c r="B4415" s="4">
        <v>8080901560</v>
      </c>
      <c r="C4415" s="4" t="s">
        <v>4512</v>
      </c>
      <c r="D4415" s="4">
        <v>46799</v>
      </c>
      <c r="E4415" s="4">
        <v>20210317</v>
      </c>
      <c r="F4415" s="4">
        <v>20210317</v>
      </c>
      <c r="G4415" s="4">
        <v>20240317</v>
      </c>
      <c r="H4415" s="4" t="s">
        <v>4511</v>
      </c>
      <c r="I4415" s="4" t="s">
        <v>4510</v>
      </c>
      <c r="J4415" s="4" t="s">
        <v>2181</v>
      </c>
    </row>
    <row r="4416" spans="1:10" hidden="1">
      <c r="A4416" s="4">
        <v>2.0210346621000099E+17</v>
      </c>
      <c r="B4416" s="4">
        <v>7783000361</v>
      </c>
      <c r="C4416" s="4" t="s">
        <v>4509</v>
      </c>
      <c r="D4416" s="4">
        <v>46621</v>
      </c>
      <c r="E4416" s="4">
        <v>20210317</v>
      </c>
      <c r="F4416" s="4">
        <v>20210317</v>
      </c>
      <c r="G4416" s="4">
        <v>20240317</v>
      </c>
      <c r="H4416" s="4" t="s">
        <v>4508</v>
      </c>
      <c r="I4416" s="4" t="s">
        <v>4507</v>
      </c>
      <c r="J4416" s="4" t="s">
        <v>4506</v>
      </c>
    </row>
    <row r="4417" spans="1:10" hidden="1">
      <c r="A4417" s="4">
        <v>2.0210358221000099E+17</v>
      </c>
      <c r="B4417" s="4">
        <v>1548802225</v>
      </c>
      <c r="C4417" s="4" t="s">
        <v>4505</v>
      </c>
      <c r="D4417" s="4">
        <v>58221</v>
      </c>
      <c r="E4417" s="4">
        <v>20210317</v>
      </c>
      <c r="F4417" s="4">
        <v>20210317</v>
      </c>
      <c r="G4417" s="4">
        <v>20240317</v>
      </c>
      <c r="H4417" s="4" t="s">
        <v>825</v>
      </c>
      <c r="I4417" s="4" t="s">
        <v>4504</v>
      </c>
      <c r="J4417" s="4" t="s">
        <v>228</v>
      </c>
    </row>
    <row r="4418" spans="1:10" hidden="1">
      <c r="A4418" s="4">
        <v>2.0210328123000099E+17</v>
      </c>
      <c r="B4418" s="4">
        <v>4908100537</v>
      </c>
      <c r="C4418" s="4" t="s">
        <v>4503</v>
      </c>
      <c r="D4418" s="4">
        <v>28123</v>
      </c>
      <c r="E4418" s="4">
        <v>20210317</v>
      </c>
      <c r="F4418" s="4">
        <v>20210317</v>
      </c>
      <c r="G4418" s="4">
        <v>20230922</v>
      </c>
      <c r="H4418" s="4" t="s">
        <v>4502</v>
      </c>
      <c r="J4418" s="4" t="s">
        <v>640</v>
      </c>
    </row>
    <row r="4419" spans="1:10" hidden="1">
      <c r="A4419" s="4">
        <v>2.0210358221000099E+17</v>
      </c>
      <c r="B4419" s="4">
        <v>7854600230</v>
      </c>
      <c r="C4419" s="4" t="s">
        <v>4501</v>
      </c>
      <c r="D4419" s="4">
        <v>58221</v>
      </c>
      <c r="E4419" s="4">
        <v>20210317</v>
      </c>
      <c r="F4419" s="4">
        <v>20210317</v>
      </c>
      <c r="G4419" s="4">
        <v>20231201</v>
      </c>
      <c r="H4419" s="4" t="s">
        <v>1280</v>
      </c>
      <c r="J4419" s="4" t="s">
        <v>228</v>
      </c>
    </row>
    <row r="4420" spans="1:10" hidden="1">
      <c r="A4420" s="4">
        <v>2.0210328111000099E+17</v>
      </c>
      <c r="B4420" s="4">
        <v>4748100781</v>
      </c>
      <c r="C4420" s="4" t="s">
        <v>4500</v>
      </c>
      <c r="D4420" s="4">
        <v>28111</v>
      </c>
      <c r="E4420" s="4">
        <v>20210317</v>
      </c>
      <c r="F4420" s="4">
        <v>20210317</v>
      </c>
      <c r="G4420" s="4">
        <v>20240317</v>
      </c>
      <c r="H4420" s="4" t="s">
        <v>774</v>
      </c>
      <c r="J4420" s="4" t="s">
        <v>1614</v>
      </c>
    </row>
    <row r="4421" spans="1:10" hidden="1">
      <c r="A4421" s="4">
        <v>2.0210346443000099E+17</v>
      </c>
      <c r="B4421" s="4">
        <v>7368801713</v>
      </c>
      <c r="C4421" s="4" t="s">
        <v>4499</v>
      </c>
      <c r="D4421" s="4">
        <v>46443</v>
      </c>
      <c r="E4421" s="4">
        <v>20210317</v>
      </c>
      <c r="F4421" s="4">
        <v>20210317</v>
      </c>
      <c r="G4421" s="4">
        <v>20240317</v>
      </c>
      <c r="H4421" s="4" t="s">
        <v>3195</v>
      </c>
      <c r="I4421" s="4" t="s">
        <v>4498</v>
      </c>
      <c r="J4421" s="4" t="s">
        <v>1379</v>
      </c>
    </row>
    <row r="4422" spans="1:10" hidden="1">
      <c r="A4422" s="4">
        <v>2.0210347912000099E+17</v>
      </c>
      <c r="B4422" s="4">
        <v>1450801462</v>
      </c>
      <c r="C4422" s="4" t="s">
        <v>4497</v>
      </c>
      <c r="D4422" s="4">
        <v>47912</v>
      </c>
      <c r="E4422" s="4">
        <v>20210317</v>
      </c>
      <c r="F4422" s="4">
        <v>20210317</v>
      </c>
      <c r="G4422" s="4">
        <v>20240317</v>
      </c>
      <c r="H4422" s="4" t="s">
        <v>4496</v>
      </c>
      <c r="I4422" s="4" t="s">
        <v>4495</v>
      </c>
      <c r="J4422" s="4" t="s">
        <v>78</v>
      </c>
    </row>
    <row r="4423" spans="1:10" hidden="1">
      <c r="A4423" s="4">
        <v>2.0210346452000099E+17</v>
      </c>
      <c r="B4423" s="4">
        <v>4151661461</v>
      </c>
      <c r="C4423" s="4" t="s">
        <v>4494</v>
      </c>
      <c r="D4423" s="4">
        <v>46452</v>
      </c>
      <c r="E4423" s="4">
        <v>20210317</v>
      </c>
      <c r="F4423" s="4">
        <v>20210317</v>
      </c>
      <c r="G4423" s="4">
        <v>20231215</v>
      </c>
      <c r="H4423" s="4" t="s">
        <v>4493</v>
      </c>
      <c r="I4423" s="4" t="s">
        <v>4492</v>
      </c>
      <c r="J4423" s="4" t="s">
        <v>516</v>
      </c>
    </row>
    <row r="4424" spans="1:10" hidden="1">
      <c r="A4424" s="4">
        <v>2.0210325944000099E+17</v>
      </c>
      <c r="B4424" s="4">
        <v>1056300407</v>
      </c>
      <c r="C4424" s="4" t="s">
        <v>4491</v>
      </c>
      <c r="D4424" s="4">
        <v>25944</v>
      </c>
      <c r="E4424" s="4">
        <v>20210317</v>
      </c>
      <c r="F4424" s="4">
        <v>20210317</v>
      </c>
      <c r="G4424" s="4">
        <v>20240317</v>
      </c>
      <c r="H4424" s="4" t="s">
        <v>4490</v>
      </c>
      <c r="J4424" s="4" t="s">
        <v>1334</v>
      </c>
    </row>
    <row r="4425" spans="1:10" hidden="1">
      <c r="A4425" s="4">
        <v>2.0210358222000099E+17</v>
      </c>
      <c r="B4425" s="4">
        <v>7288701544</v>
      </c>
      <c r="C4425" s="4" t="s">
        <v>4489</v>
      </c>
      <c r="D4425" s="4">
        <v>58222</v>
      </c>
      <c r="E4425" s="4">
        <v>20210317</v>
      </c>
      <c r="F4425" s="4">
        <v>20210317</v>
      </c>
      <c r="G4425" s="4">
        <v>20240317</v>
      </c>
      <c r="H4425" s="4" t="s">
        <v>3953</v>
      </c>
      <c r="I4425" s="4" t="s">
        <v>4488</v>
      </c>
      <c r="J4425" s="4" t="s">
        <v>94</v>
      </c>
    </row>
    <row r="4426" spans="1:10" hidden="1">
      <c r="A4426" s="4">
        <v>2.0210358222000099E+17</v>
      </c>
      <c r="B4426" s="4">
        <v>4938701648</v>
      </c>
      <c r="C4426" s="4" t="s">
        <v>4487</v>
      </c>
      <c r="D4426" s="4">
        <v>58222</v>
      </c>
      <c r="E4426" s="4">
        <v>20210317</v>
      </c>
      <c r="F4426" s="4">
        <v>20210317</v>
      </c>
      <c r="G4426" s="4">
        <v>20240317</v>
      </c>
      <c r="H4426" s="4" t="s">
        <v>4486</v>
      </c>
      <c r="I4426" s="4" t="s">
        <v>4485</v>
      </c>
      <c r="J4426" s="4" t="s">
        <v>94</v>
      </c>
    </row>
    <row r="4427" spans="1:10" hidden="1">
      <c r="A4427" s="4">
        <v>2.0210370121000099E+17</v>
      </c>
      <c r="B4427" s="4">
        <v>5288101374</v>
      </c>
      <c r="C4427" s="4" t="s">
        <v>4484</v>
      </c>
      <c r="D4427" s="4">
        <v>70121</v>
      </c>
      <c r="E4427" s="4">
        <v>20210317</v>
      </c>
      <c r="F4427" s="4">
        <v>20210317</v>
      </c>
      <c r="G4427" s="4">
        <v>20240317</v>
      </c>
      <c r="H4427" s="4" t="s">
        <v>4483</v>
      </c>
      <c r="J4427" s="4" t="s">
        <v>1267</v>
      </c>
    </row>
    <row r="4428" spans="1:10" hidden="1">
      <c r="A4428" s="4">
        <v>2.0210326211000099E+17</v>
      </c>
      <c r="B4428" s="4">
        <v>3118801339</v>
      </c>
      <c r="C4428" s="4" t="s">
        <v>4482</v>
      </c>
      <c r="D4428" s="4">
        <v>26211</v>
      </c>
      <c r="E4428" s="4">
        <v>20210317</v>
      </c>
      <c r="F4428" s="4">
        <v>20210317</v>
      </c>
      <c r="G4428" s="4">
        <v>20240317</v>
      </c>
      <c r="H4428" s="4" t="s">
        <v>4481</v>
      </c>
      <c r="I4428" s="4" t="s">
        <v>149</v>
      </c>
      <c r="J4428" s="4" t="s">
        <v>4480</v>
      </c>
    </row>
    <row r="4429" spans="1:10" hidden="1">
      <c r="A4429" s="4">
        <v>2.0210342499000099E+17</v>
      </c>
      <c r="B4429" s="4">
        <v>3148800926</v>
      </c>
      <c r="C4429" s="4" t="s">
        <v>4479</v>
      </c>
      <c r="D4429" s="4">
        <v>42499</v>
      </c>
      <c r="E4429" s="4">
        <v>20210317</v>
      </c>
      <c r="F4429" s="4">
        <v>20210317</v>
      </c>
      <c r="G4429" s="4">
        <v>20240317</v>
      </c>
      <c r="H4429" s="4" t="s">
        <v>4222</v>
      </c>
      <c r="I4429" s="4" t="s">
        <v>4478</v>
      </c>
      <c r="J4429" s="4" t="s">
        <v>505</v>
      </c>
    </row>
    <row r="4430" spans="1:10" hidden="1">
      <c r="A4430" s="4">
        <v>2.0210358222000099E+17</v>
      </c>
      <c r="B4430" s="4">
        <v>5658100919</v>
      </c>
      <c r="C4430" s="4" t="s">
        <v>4477</v>
      </c>
      <c r="D4430" s="4">
        <v>58222</v>
      </c>
      <c r="E4430" s="4">
        <v>20210317</v>
      </c>
      <c r="F4430" s="4">
        <v>20210317</v>
      </c>
      <c r="G4430" s="4">
        <v>20240317</v>
      </c>
      <c r="H4430" s="4" t="s">
        <v>1196</v>
      </c>
      <c r="I4430" s="4" t="s">
        <v>4476</v>
      </c>
      <c r="J4430" s="4" t="s">
        <v>94</v>
      </c>
    </row>
    <row r="4431" spans="1:10" hidden="1">
      <c r="A4431" s="4">
        <v>2.0210359120000099E+17</v>
      </c>
      <c r="B4431" s="4">
        <v>3208801371</v>
      </c>
      <c r="C4431" s="4" t="s">
        <v>4475</v>
      </c>
      <c r="D4431" s="4">
        <v>59120</v>
      </c>
      <c r="E4431" s="4">
        <v>20210317</v>
      </c>
      <c r="F4431" s="4">
        <v>20210317</v>
      </c>
      <c r="G4431" s="4">
        <v>20240317</v>
      </c>
      <c r="H4431" s="4" t="s">
        <v>4474</v>
      </c>
      <c r="I4431" s="4" t="s">
        <v>4473</v>
      </c>
      <c r="J4431" s="4" t="s">
        <v>2961</v>
      </c>
    </row>
    <row r="4432" spans="1:10" hidden="1">
      <c r="A4432" s="4">
        <v>2.0210385503000099E+17</v>
      </c>
      <c r="B4432" s="4">
        <v>8168100699</v>
      </c>
      <c r="C4432" s="4" t="s">
        <v>4472</v>
      </c>
      <c r="D4432" s="4">
        <v>85503</v>
      </c>
      <c r="E4432" s="4">
        <v>20210317</v>
      </c>
      <c r="F4432" s="4">
        <v>20210317</v>
      </c>
      <c r="G4432" s="4">
        <v>20240227</v>
      </c>
      <c r="H4432" s="4" t="s">
        <v>4471</v>
      </c>
      <c r="I4432" s="4" t="s">
        <v>938</v>
      </c>
      <c r="J4432" s="4" t="s">
        <v>4470</v>
      </c>
    </row>
    <row r="4433" spans="1:10" hidden="1">
      <c r="A4433" s="4">
        <v>2.0210346595000099E+17</v>
      </c>
      <c r="B4433" s="4">
        <v>8438601657</v>
      </c>
      <c r="C4433" s="4" t="s">
        <v>4469</v>
      </c>
      <c r="D4433" s="4">
        <v>46595</v>
      </c>
      <c r="E4433" s="4">
        <v>20210317</v>
      </c>
      <c r="F4433" s="4">
        <v>20210317</v>
      </c>
      <c r="G4433" s="4">
        <v>20240317</v>
      </c>
      <c r="H4433" s="4" t="s">
        <v>4468</v>
      </c>
      <c r="I4433" s="4" t="s">
        <v>4467</v>
      </c>
      <c r="J4433" s="4" t="s">
        <v>960</v>
      </c>
    </row>
    <row r="4434" spans="1:10" hidden="1">
      <c r="A4434" s="4">
        <v>2.0210342420000099E+17</v>
      </c>
      <c r="B4434" s="4">
        <v>8108100876</v>
      </c>
      <c r="C4434" s="4" t="s">
        <v>4466</v>
      </c>
      <c r="D4434" s="4">
        <v>42420</v>
      </c>
      <c r="E4434" s="4">
        <v>20210317</v>
      </c>
      <c r="F4434" s="4">
        <v>20210317</v>
      </c>
      <c r="G4434" s="4">
        <v>20240317</v>
      </c>
      <c r="H4434" s="4" t="s">
        <v>4465</v>
      </c>
      <c r="I4434" s="4" t="s">
        <v>149</v>
      </c>
      <c r="J4434" s="4" t="s">
        <v>1649</v>
      </c>
    </row>
    <row r="4435" spans="1:10" hidden="1">
      <c r="A4435" s="4">
        <v>2.0210328422000099E+17</v>
      </c>
      <c r="B4435" s="4">
        <v>8958701432</v>
      </c>
      <c r="C4435" s="4" t="s">
        <v>4464</v>
      </c>
      <c r="D4435" s="4">
        <v>28422</v>
      </c>
      <c r="E4435" s="4">
        <v>20210317</v>
      </c>
      <c r="F4435" s="4">
        <v>20210317</v>
      </c>
      <c r="G4435" s="4">
        <v>20240317</v>
      </c>
      <c r="H4435" s="4" t="s">
        <v>4004</v>
      </c>
      <c r="I4435" s="4" t="s">
        <v>4463</v>
      </c>
      <c r="J4435" s="4" t="s">
        <v>188</v>
      </c>
    </row>
    <row r="4436" spans="1:10" hidden="1">
      <c r="A4436" s="4">
        <v>2.0210325111000099E+17</v>
      </c>
      <c r="B4436" s="4">
        <v>7968700970</v>
      </c>
      <c r="C4436" s="4" t="s">
        <v>4462</v>
      </c>
      <c r="D4436" s="4">
        <v>25111</v>
      </c>
      <c r="E4436" s="4">
        <v>20210317</v>
      </c>
      <c r="F4436" s="4">
        <v>20210317</v>
      </c>
      <c r="G4436" s="4">
        <v>20240317</v>
      </c>
      <c r="H4436" s="4" t="s">
        <v>4461</v>
      </c>
      <c r="J4436" s="4" t="s">
        <v>82</v>
      </c>
    </row>
    <row r="4437" spans="1:10" hidden="1">
      <c r="A4437" s="4">
        <v>2.0210329173000099E+17</v>
      </c>
      <c r="B4437" s="4">
        <v>7028800365</v>
      </c>
      <c r="C4437" s="4" t="s">
        <v>4460</v>
      </c>
      <c r="D4437" s="4">
        <v>29173</v>
      </c>
      <c r="E4437" s="4">
        <v>20210317</v>
      </c>
      <c r="F4437" s="4">
        <v>20210317</v>
      </c>
      <c r="G4437" s="4">
        <v>20230718</v>
      </c>
      <c r="H4437" s="4" t="s">
        <v>4459</v>
      </c>
      <c r="J4437" s="4" t="s">
        <v>297</v>
      </c>
    </row>
    <row r="4438" spans="1:10" hidden="1">
      <c r="A4438" s="4">
        <v>2.0210342412000099E+17</v>
      </c>
      <c r="B4438" s="4">
        <v>5338800041</v>
      </c>
      <c r="C4438" s="4" t="s">
        <v>4120</v>
      </c>
      <c r="D4438" s="4">
        <v>42412</v>
      </c>
      <c r="E4438" s="4">
        <v>20210317</v>
      </c>
      <c r="F4438" s="4">
        <v>20210317</v>
      </c>
      <c r="G4438" s="4">
        <v>20220420</v>
      </c>
      <c r="H4438" s="4" t="s">
        <v>4119</v>
      </c>
      <c r="I4438" s="4" t="s">
        <v>239</v>
      </c>
      <c r="J4438" s="4" t="s">
        <v>281</v>
      </c>
    </row>
    <row r="4439" spans="1:10" hidden="1">
      <c r="A4439" s="4">
        <v>2.0210320423000099E+17</v>
      </c>
      <c r="B4439" s="4">
        <v>6098623920</v>
      </c>
      <c r="C4439" s="4" t="s">
        <v>4458</v>
      </c>
      <c r="D4439" s="4">
        <v>20423</v>
      </c>
      <c r="E4439" s="4">
        <v>20210317</v>
      </c>
      <c r="F4439" s="4">
        <v>20210317</v>
      </c>
      <c r="G4439" s="4">
        <v>20211229</v>
      </c>
      <c r="H4439" s="4" t="s">
        <v>4457</v>
      </c>
      <c r="I4439" s="4" t="s">
        <v>91</v>
      </c>
      <c r="J4439" s="4" t="s">
        <v>368</v>
      </c>
    </row>
    <row r="4440" spans="1:10" hidden="1">
      <c r="A4440" s="4">
        <v>2.0210314199000099E+17</v>
      </c>
      <c r="B4440" s="4">
        <v>1978601855</v>
      </c>
      <c r="C4440" s="4" t="s">
        <v>4456</v>
      </c>
      <c r="D4440" s="4">
        <v>14199</v>
      </c>
      <c r="E4440" s="4">
        <v>20210317</v>
      </c>
      <c r="F4440" s="4">
        <v>20210317</v>
      </c>
      <c r="G4440" s="4">
        <v>20240317</v>
      </c>
      <c r="H4440" s="4" t="s">
        <v>4455</v>
      </c>
      <c r="I4440" s="4" t="s">
        <v>4454</v>
      </c>
      <c r="J4440" s="4" t="s">
        <v>3215</v>
      </c>
    </row>
    <row r="4441" spans="1:10" hidden="1">
      <c r="A4441" s="4">
        <v>2.0210362010000099E+17</v>
      </c>
      <c r="B4441" s="4">
        <v>1338145169</v>
      </c>
      <c r="C4441" s="4" t="s">
        <v>4453</v>
      </c>
      <c r="D4441" s="4">
        <v>62010</v>
      </c>
      <c r="E4441" s="4">
        <v>20210317</v>
      </c>
      <c r="F4441" s="4">
        <v>20210317</v>
      </c>
      <c r="G4441" s="4">
        <v>20240317</v>
      </c>
      <c r="H4441" s="4" t="s">
        <v>1074</v>
      </c>
      <c r="I4441" s="4" t="s">
        <v>4452</v>
      </c>
      <c r="J4441" s="4" t="s">
        <v>118</v>
      </c>
    </row>
    <row r="4442" spans="1:10" hidden="1">
      <c r="A4442" s="4">
        <v>2.0210325112000099E+17</v>
      </c>
      <c r="B4442" s="4">
        <v>5028640763</v>
      </c>
      <c r="C4442" s="4" t="s">
        <v>4451</v>
      </c>
      <c r="D4442" s="4">
        <v>25112</v>
      </c>
      <c r="E4442" s="4">
        <v>20210317</v>
      </c>
      <c r="F4442" s="4">
        <v>20210317</v>
      </c>
      <c r="G4442" s="4">
        <v>20240317</v>
      </c>
      <c r="H4442" s="4" t="s">
        <v>4450</v>
      </c>
      <c r="I4442" s="4" t="s">
        <v>4449</v>
      </c>
      <c r="J4442" s="4" t="s">
        <v>320</v>
      </c>
    </row>
    <row r="4443" spans="1:10" hidden="1">
      <c r="A4443" s="4">
        <v>2.0210372122000099E+17</v>
      </c>
      <c r="B4443" s="4">
        <v>5578600306</v>
      </c>
      <c r="C4443" s="4" t="s">
        <v>4448</v>
      </c>
      <c r="D4443" s="4">
        <v>72122</v>
      </c>
      <c r="E4443" s="4">
        <v>20210317</v>
      </c>
      <c r="F4443" s="4">
        <v>20210317</v>
      </c>
      <c r="G4443" s="4">
        <v>20230219</v>
      </c>
      <c r="H4443" s="4" t="s">
        <v>4218</v>
      </c>
      <c r="I4443" s="4" t="s">
        <v>4447</v>
      </c>
      <c r="J4443" s="4" t="s">
        <v>2484</v>
      </c>
    </row>
    <row r="4444" spans="1:10" hidden="1">
      <c r="A4444" s="4">
        <v>2.0210329199000099E+17</v>
      </c>
      <c r="B4444" s="4">
        <v>3488601768</v>
      </c>
      <c r="C4444" s="4" t="s">
        <v>4446</v>
      </c>
      <c r="D4444" s="4">
        <v>29199</v>
      </c>
      <c r="E4444" s="4">
        <v>20210317</v>
      </c>
      <c r="F4444" s="4">
        <v>20210317</v>
      </c>
      <c r="G4444" s="4">
        <v>20240317</v>
      </c>
      <c r="H4444" s="4" t="s">
        <v>4445</v>
      </c>
      <c r="J4444" s="4" t="s">
        <v>166</v>
      </c>
    </row>
    <row r="4445" spans="1:10" hidden="1">
      <c r="A4445" s="4">
        <v>2.0210316102000099E+17</v>
      </c>
      <c r="B4445" s="4">
        <v>7998101466</v>
      </c>
      <c r="C4445" s="4" t="s">
        <v>4444</v>
      </c>
      <c r="D4445" s="4">
        <v>16102</v>
      </c>
      <c r="E4445" s="4">
        <v>20210317</v>
      </c>
      <c r="F4445" s="4">
        <v>20210317</v>
      </c>
      <c r="G4445" s="4">
        <v>20240317</v>
      </c>
      <c r="H4445" s="4" t="s">
        <v>4443</v>
      </c>
      <c r="I4445" s="4" t="s">
        <v>149</v>
      </c>
      <c r="J4445" s="4" t="s">
        <v>451</v>
      </c>
    </row>
    <row r="4446" spans="1:10" hidden="1">
      <c r="A4446" s="4">
        <v>2.0210358222000099E+17</v>
      </c>
      <c r="B4446" s="4">
        <v>6498801286</v>
      </c>
      <c r="C4446" s="4" t="s">
        <v>4442</v>
      </c>
      <c r="D4446" s="4">
        <v>58222</v>
      </c>
      <c r="E4446" s="4">
        <v>20210317</v>
      </c>
      <c r="F4446" s="4">
        <v>20210317</v>
      </c>
      <c r="G4446" s="4">
        <v>20240317</v>
      </c>
      <c r="H4446" s="4" t="s">
        <v>1525</v>
      </c>
      <c r="I4446" s="4" t="s">
        <v>4441</v>
      </c>
      <c r="J4446" s="4" t="s">
        <v>94</v>
      </c>
    </row>
    <row r="4447" spans="1:10" hidden="1">
      <c r="A4447" s="4">
        <v>2.0210358221000099E+17</v>
      </c>
      <c r="B4447" s="4">
        <v>5908101869</v>
      </c>
      <c r="C4447" s="4" t="s">
        <v>4440</v>
      </c>
      <c r="D4447" s="4">
        <v>58221</v>
      </c>
      <c r="E4447" s="4">
        <v>20210317</v>
      </c>
      <c r="F4447" s="4">
        <v>20210317</v>
      </c>
      <c r="G4447" s="4">
        <v>20240317</v>
      </c>
      <c r="H4447" s="4" t="s">
        <v>4439</v>
      </c>
      <c r="I4447" s="4" t="s">
        <v>185</v>
      </c>
      <c r="J4447" s="4" t="s">
        <v>228</v>
      </c>
    </row>
    <row r="4448" spans="1:10" hidden="1">
      <c r="A4448" s="4">
        <v>2.0210328410000099E+17</v>
      </c>
      <c r="B4448" s="4">
        <v>7838700294</v>
      </c>
      <c r="C4448" s="4" t="s">
        <v>4438</v>
      </c>
      <c r="D4448" s="4">
        <v>28410</v>
      </c>
      <c r="E4448" s="4">
        <v>20210317</v>
      </c>
      <c r="F4448" s="4">
        <v>20210317</v>
      </c>
      <c r="G4448" s="4">
        <v>20221106</v>
      </c>
      <c r="H4448" s="4" t="s">
        <v>4437</v>
      </c>
      <c r="J4448" s="4" t="s">
        <v>2199</v>
      </c>
    </row>
    <row r="4449" spans="1:10" hidden="1">
      <c r="A4449" s="4">
        <v>2.0210329299000099E+17</v>
      </c>
      <c r="B4449" s="4">
        <v>4358801673</v>
      </c>
      <c r="C4449" s="4" t="s">
        <v>4436</v>
      </c>
      <c r="D4449" s="4">
        <v>29299</v>
      </c>
      <c r="E4449" s="4">
        <v>20210317</v>
      </c>
      <c r="F4449" s="4">
        <v>20210317</v>
      </c>
      <c r="G4449" s="4">
        <v>20240317</v>
      </c>
      <c r="H4449" s="4" t="s">
        <v>4435</v>
      </c>
      <c r="I4449" s="4" t="s">
        <v>4434</v>
      </c>
      <c r="J4449" s="4" t="s">
        <v>137</v>
      </c>
    </row>
    <row r="4450" spans="1:10" hidden="1">
      <c r="A4450" s="4">
        <v>2.0210316229000099E+17</v>
      </c>
      <c r="B4450" s="4">
        <v>2361101680</v>
      </c>
      <c r="C4450" s="4" t="s">
        <v>4433</v>
      </c>
      <c r="D4450" s="4">
        <v>16229</v>
      </c>
      <c r="E4450" s="4">
        <v>20210317</v>
      </c>
      <c r="F4450" s="4">
        <v>20210317</v>
      </c>
      <c r="G4450" s="4">
        <v>20240317</v>
      </c>
      <c r="H4450" s="4" t="s">
        <v>4432</v>
      </c>
      <c r="I4450" s="4" t="s">
        <v>4431</v>
      </c>
      <c r="J4450" s="4" t="s">
        <v>1451</v>
      </c>
    </row>
    <row r="4451" spans="1:10" hidden="1">
      <c r="A4451" s="4">
        <v>2.0210322211000099E+17</v>
      </c>
      <c r="B4451" s="4">
        <v>4183900706</v>
      </c>
      <c r="C4451" s="4" t="s">
        <v>4430</v>
      </c>
      <c r="D4451" s="4">
        <v>22211</v>
      </c>
      <c r="E4451" s="4">
        <v>20210317</v>
      </c>
      <c r="F4451" s="4">
        <v>20210317</v>
      </c>
      <c r="G4451" s="4">
        <v>20240317</v>
      </c>
      <c r="H4451" s="4" t="s">
        <v>4429</v>
      </c>
      <c r="I4451" s="4" t="s">
        <v>970</v>
      </c>
      <c r="J4451" s="4" t="s">
        <v>1820</v>
      </c>
    </row>
    <row r="4452" spans="1:10" hidden="1">
      <c r="A4452" s="4">
        <v>2.0210347217000099E+17</v>
      </c>
      <c r="B4452" s="4">
        <v>8478801347</v>
      </c>
      <c r="C4452" s="4" t="s">
        <v>4428</v>
      </c>
      <c r="D4452" s="4">
        <v>47217</v>
      </c>
      <c r="E4452" s="4">
        <v>20210317</v>
      </c>
      <c r="F4452" s="4">
        <v>20210317</v>
      </c>
      <c r="G4452" s="4">
        <v>20240317</v>
      </c>
      <c r="H4452" s="4" t="s">
        <v>4427</v>
      </c>
      <c r="I4452" s="4" t="s">
        <v>4426</v>
      </c>
      <c r="J4452" s="4" t="s">
        <v>4425</v>
      </c>
    </row>
    <row r="4453" spans="1:10" hidden="1">
      <c r="A4453" s="4">
        <v>2.0210320422000099E+17</v>
      </c>
      <c r="B4453" s="4">
        <v>6228127088</v>
      </c>
      <c r="C4453" s="4" t="s">
        <v>4424</v>
      </c>
      <c r="D4453" s="4">
        <v>20422</v>
      </c>
      <c r="E4453" s="4">
        <v>20210316</v>
      </c>
      <c r="F4453" s="4">
        <v>20210316</v>
      </c>
      <c r="G4453" s="4">
        <v>20240316</v>
      </c>
      <c r="H4453" s="4" t="s">
        <v>4423</v>
      </c>
      <c r="I4453" s="4" t="s">
        <v>175</v>
      </c>
      <c r="J4453" s="4" t="s">
        <v>392</v>
      </c>
    </row>
    <row r="4454" spans="1:10" hidden="1">
      <c r="A4454" s="4">
        <v>2.0210328302000099E+17</v>
      </c>
      <c r="B4454" s="4">
        <v>5268101169</v>
      </c>
      <c r="C4454" s="4" t="s">
        <v>4422</v>
      </c>
      <c r="D4454" s="4">
        <v>28302</v>
      </c>
      <c r="E4454" s="4">
        <v>20210316</v>
      </c>
      <c r="F4454" s="4">
        <v>20210316</v>
      </c>
      <c r="G4454" s="4">
        <v>20240316</v>
      </c>
      <c r="H4454" s="4" t="s">
        <v>4421</v>
      </c>
      <c r="I4454" s="4" t="s">
        <v>4420</v>
      </c>
      <c r="J4454" s="4" t="s">
        <v>4419</v>
      </c>
    </row>
    <row r="4455" spans="1:10" hidden="1">
      <c r="A4455" s="4">
        <v>2.0210371310000099E+17</v>
      </c>
      <c r="B4455" s="4">
        <v>4848800962</v>
      </c>
      <c r="C4455" s="4" t="s">
        <v>4418</v>
      </c>
      <c r="D4455" s="4">
        <v>71310</v>
      </c>
      <c r="E4455" s="4">
        <v>20210316</v>
      </c>
      <c r="F4455" s="4">
        <v>20210316</v>
      </c>
      <c r="G4455" s="4">
        <v>20240316</v>
      </c>
      <c r="H4455" s="4" t="s">
        <v>4417</v>
      </c>
      <c r="I4455" s="4" t="s">
        <v>4416</v>
      </c>
      <c r="J4455" s="4" t="s">
        <v>426</v>
      </c>
    </row>
    <row r="4456" spans="1:10" hidden="1">
      <c r="A4456" s="4">
        <v>2.0210363111000099E+17</v>
      </c>
      <c r="B4456" s="4">
        <v>4078701216</v>
      </c>
      <c r="C4456" s="4" t="s">
        <v>4415</v>
      </c>
      <c r="D4456" s="4">
        <v>63111</v>
      </c>
      <c r="E4456" s="4">
        <v>20210316</v>
      </c>
      <c r="F4456" s="4">
        <v>20210316</v>
      </c>
      <c r="G4456" s="4">
        <v>20240316</v>
      </c>
      <c r="H4456" s="4" t="s">
        <v>4035</v>
      </c>
      <c r="I4456" s="4" t="s">
        <v>4414</v>
      </c>
      <c r="J4456" s="4" t="s">
        <v>915</v>
      </c>
    </row>
    <row r="4457" spans="1:10" hidden="1">
      <c r="A4457" s="4">
        <v>2.0210326299000099E+17</v>
      </c>
      <c r="B4457" s="4">
        <v>2128615342</v>
      </c>
      <c r="C4457" s="4" t="s">
        <v>4413</v>
      </c>
      <c r="D4457" s="4">
        <v>26299</v>
      </c>
      <c r="E4457" s="4">
        <v>20210316</v>
      </c>
      <c r="F4457" s="4">
        <v>20210316</v>
      </c>
      <c r="G4457" s="4">
        <v>20240316</v>
      </c>
      <c r="H4457" s="4" t="s">
        <v>4412</v>
      </c>
      <c r="I4457" s="4" t="s">
        <v>4411</v>
      </c>
      <c r="J4457" s="4" t="s">
        <v>339</v>
      </c>
    </row>
    <row r="4458" spans="1:10" hidden="1">
      <c r="A4458" s="4">
        <v>2.0210326519000099E+17</v>
      </c>
      <c r="B4458" s="4">
        <v>6658700695</v>
      </c>
      <c r="C4458" s="4" t="s">
        <v>4410</v>
      </c>
      <c r="D4458" s="4">
        <v>26519</v>
      </c>
      <c r="E4458" s="4">
        <v>20210316</v>
      </c>
      <c r="F4458" s="4">
        <v>20210316</v>
      </c>
      <c r="G4458" s="4">
        <v>20240308</v>
      </c>
      <c r="H4458" s="4" t="s">
        <v>3962</v>
      </c>
      <c r="I4458" s="4" t="s">
        <v>4409</v>
      </c>
      <c r="J4458" s="4" t="s">
        <v>668</v>
      </c>
    </row>
    <row r="4459" spans="1:10" hidden="1">
      <c r="A4459" s="4">
        <v>2.0210326322000099E+17</v>
      </c>
      <c r="B4459" s="4">
        <v>7508600337</v>
      </c>
      <c r="C4459" s="4" t="s">
        <v>4408</v>
      </c>
      <c r="D4459" s="4">
        <v>26322</v>
      </c>
      <c r="E4459" s="4">
        <v>20210316</v>
      </c>
      <c r="F4459" s="4">
        <v>20210316</v>
      </c>
      <c r="G4459" s="4">
        <v>20230302</v>
      </c>
      <c r="H4459" s="4" t="s">
        <v>1142</v>
      </c>
      <c r="I4459" s="4" t="s">
        <v>4407</v>
      </c>
      <c r="J4459" s="4" t="s">
        <v>1262</v>
      </c>
    </row>
    <row r="4460" spans="1:10" hidden="1">
      <c r="A4460" s="4">
        <v>2.0210347841000099E+17</v>
      </c>
      <c r="B4460" s="4">
        <v>5399000469</v>
      </c>
      <c r="C4460" s="4" t="s">
        <v>4406</v>
      </c>
      <c r="D4460" s="4">
        <v>47841</v>
      </c>
      <c r="E4460" s="4">
        <v>20210316</v>
      </c>
      <c r="F4460" s="4">
        <v>20210316</v>
      </c>
      <c r="G4460" s="4">
        <v>20240316</v>
      </c>
      <c r="H4460" s="4" t="s">
        <v>4405</v>
      </c>
      <c r="I4460" s="4" t="s">
        <v>175</v>
      </c>
      <c r="J4460" s="4" t="s">
        <v>4404</v>
      </c>
    </row>
    <row r="4461" spans="1:10" hidden="1">
      <c r="A4461" s="4">
        <v>2.0210346799000099E+17</v>
      </c>
      <c r="B4461" s="4">
        <v>3168600307</v>
      </c>
      <c r="C4461" s="4" t="s">
        <v>4403</v>
      </c>
      <c r="D4461" s="4">
        <v>46799</v>
      </c>
      <c r="E4461" s="4">
        <v>20210316</v>
      </c>
      <c r="F4461" s="4">
        <v>20210316</v>
      </c>
      <c r="G4461" s="4">
        <v>20221229</v>
      </c>
      <c r="H4461" s="4" t="s">
        <v>4402</v>
      </c>
      <c r="I4461" s="4" t="s">
        <v>591</v>
      </c>
      <c r="J4461" s="4" t="s">
        <v>2181</v>
      </c>
    </row>
    <row r="4462" spans="1:10" hidden="1">
      <c r="A4462" s="4">
        <v>2.0210326299000099E+17</v>
      </c>
      <c r="B4462" s="4">
        <v>1651900916</v>
      </c>
      <c r="C4462" s="4" t="s">
        <v>4401</v>
      </c>
      <c r="D4462" s="4">
        <v>26299</v>
      </c>
      <c r="E4462" s="4">
        <v>20210316</v>
      </c>
      <c r="F4462" s="4">
        <v>20210316</v>
      </c>
      <c r="G4462" s="4">
        <v>20240316</v>
      </c>
      <c r="H4462" s="4" t="s">
        <v>3256</v>
      </c>
      <c r="I4462" s="4" t="s">
        <v>4400</v>
      </c>
      <c r="J4462" s="4" t="s">
        <v>339</v>
      </c>
    </row>
    <row r="4463" spans="1:10" hidden="1">
      <c r="A4463" s="4">
        <v>2.0210346204000099E+17</v>
      </c>
      <c r="B4463" s="4">
        <v>2316900372</v>
      </c>
      <c r="C4463" s="4" t="s">
        <v>4399</v>
      </c>
      <c r="D4463" s="4">
        <v>46204</v>
      </c>
      <c r="E4463" s="4">
        <v>20210316</v>
      </c>
      <c r="F4463" s="4">
        <v>20210316</v>
      </c>
      <c r="G4463" s="4">
        <v>20240316</v>
      </c>
      <c r="H4463" s="4" t="s">
        <v>4398</v>
      </c>
      <c r="J4463" s="4" t="s">
        <v>4397</v>
      </c>
    </row>
    <row r="4464" spans="1:10" hidden="1">
      <c r="A4464" s="4">
        <v>2.0210346596000099E+17</v>
      </c>
      <c r="B4464" s="4">
        <v>6022491545</v>
      </c>
      <c r="C4464" s="4" t="s">
        <v>4396</v>
      </c>
      <c r="D4464" s="4">
        <v>46596</v>
      </c>
      <c r="E4464" s="4">
        <v>20210316</v>
      </c>
      <c r="F4464" s="4">
        <v>20210316</v>
      </c>
      <c r="G4464" s="4">
        <v>20230215</v>
      </c>
      <c r="H4464" s="4" t="s">
        <v>4395</v>
      </c>
      <c r="I4464" s="4" t="s">
        <v>239</v>
      </c>
      <c r="J4464" s="4" t="s">
        <v>4394</v>
      </c>
    </row>
    <row r="4465" spans="1:10" hidden="1">
      <c r="A4465" s="4">
        <v>2.0210313229000099E+17</v>
      </c>
      <c r="B4465" s="4">
        <v>6110629037</v>
      </c>
      <c r="C4465" s="4" t="s">
        <v>4392</v>
      </c>
      <c r="D4465" s="4">
        <v>13229</v>
      </c>
      <c r="E4465" s="4">
        <v>20210316</v>
      </c>
      <c r="F4465" s="4">
        <v>20210316</v>
      </c>
      <c r="G4465" s="4">
        <v>20240316</v>
      </c>
      <c r="H4465" s="4" t="s">
        <v>4393</v>
      </c>
      <c r="I4465" s="4" t="s">
        <v>4392</v>
      </c>
      <c r="J4465" s="4" t="s">
        <v>115</v>
      </c>
    </row>
    <row r="4466" spans="1:10" hidden="1">
      <c r="A4466" s="4">
        <v>2.0210325112000099E+17</v>
      </c>
      <c r="B4466" s="4">
        <v>2408600034</v>
      </c>
      <c r="C4466" s="4" t="s">
        <v>4391</v>
      </c>
      <c r="D4466" s="4">
        <v>25112</v>
      </c>
      <c r="E4466" s="4">
        <v>20210316</v>
      </c>
      <c r="F4466" s="4">
        <v>20210316</v>
      </c>
      <c r="G4466" s="4">
        <v>20220313</v>
      </c>
      <c r="H4466" s="4" t="s">
        <v>4390</v>
      </c>
      <c r="I4466" s="4" t="s">
        <v>4389</v>
      </c>
      <c r="J4466" s="4" t="s">
        <v>320</v>
      </c>
    </row>
    <row r="4467" spans="1:10" hidden="1">
      <c r="A4467" s="4">
        <v>2.0210373203000099E+17</v>
      </c>
      <c r="B4467" s="4">
        <v>1561500160</v>
      </c>
      <c r="C4467" s="4" t="s">
        <v>4387</v>
      </c>
      <c r="D4467" s="4">
        <v>73203</v>
      </c>
      <c r="E4467" s="4">
        <v>20210316</v>
      </c>
      <c r="F4467" s="4">
        <v>20210316</v>
      </c>
      <c r="G4467" s="4">
        <v>20220803</v>
      </c>
      <c r="H4467" s="4" t="s">
        <v>4388</v>
      </c>
      <c r="I4467" s="4" t="s">
        <v>4387</v>
      </c>
      <c r="J4467" s="4" t="s">
        <v>260</v>
      </c>
    </row>
    <row r="4468" spans="1:10" hidden="1">
      <c r="A4468" s="4">
        <v>2.0210358222000099E+17</v>
      </c>
      <c r="B4468" s="4">
        <v>3388101994</v>
      </c>
      <c r="C4468" s="4" t="s">
        <v>4386</v>
      </c>
      <c r="D4468" s="4">
        <v>58222</v>
      </c>
      <c r="E4468" s="4">
        <v>20210316</v>
      </c>
      <c r="F4468" s="4">
        <v>20210316</v>
      </c>
      <c r="G4468" s="4">
        <v>20240316</v>
      </c>
      <c r="H4468" s="4" t="s">
        <v>3171</v>
      </c>
      <c r="I4468" s="4" t="s">
        <v>4385</v>
      </c>
      <c r="J4468" s="4" t="s">
        <v>94</v>
      </c>
    </row>
    <row r="4469" spans="1:10" hidden="1">
      <c r="A4469" s="4">
        <v>2.0210320422000099E+17</v>
      </c>
      <c r="B4469" s="4">
        <v>6868601184</v>
      </c>
      <c r="C4469" s="4" t="s">
        <v>4384</v>
      </c>
      <c r="D4469" s="4">
        <v>20422</v>
      </c>
      <c r="E4469" s="4">
        <v>20210316</v>
      </c>
      <c r="F4469" s="4">
        <v>20210316</v>
      </c>
      <c r="G4469" s="4">
        <v>20240316</v>
      </c>
      <c r="H4469" s="4" t="s">
        <v>374</v>
      </c>
      <c r="I4469" s="4" t="s">
        <v>4383</v>
      </c>
      <c r="J4469" s="4" t="s">
        <v>392</v>
      </c>
    </row>
    <row r="4470" spans="1:10" hidden="1">
      <c r="A4470" s="4">
        <v>2.0210346329000099E+17</v>
      </c>
      <c r="B4470" s="4">
        <v>8080901371</v>
      </c>
      <c r="C4470" s="4" t="s">
        <v>4382</v>
      </c>
      <c r="D4470" s="4">
        <v>46329</v>
      </c>
      <c r="E4470" s="4">
        <v>20210316</v>
      </c>
      <c r="F4470" s="4">
        <v>20210316</v>
      </c>
      <c r="G4470" s="4">
        <v>20240316</v>
      </c>
      <c r="H4470" s="4" t="s">
        <v>4381</v>
      </c>
      <c r="J4470" s="4" t="s">
        <v>830</v>
      </c>
    </row>
    <row r="4471" spans="1:10" hidden="1">
      <c r="A4471" s="4">
        <v>2.0210301140000099E+17</v>
      </c>
      <c r="B4471" s="4">
        <v>2598601401</v>
      </c>
      <c r="C4471" s="4" t="s">
        <v>4380</v>
      </c>
      <c r="D4471" s="4">
        <v>1140</v>
      </c>
      <c r="E4471" s="4">
        <v>20210316</v>
      </c>
      <c r="F4471" s="4">
        <v>20210316</v>
      </c>
      <c r="G4471" s="4">
        <v>20240316</v>
      </c>
      <c r="H4471" s="4" t="s">
        <v>4379</v>
      </c>
      <c r="J4471" s="4" t="s">
        <v>4378</v>
      </c>
    </row>
    <row r="4472" spans="1:10" hidden="1">
      <c r="A4472" s="4">
        <v>2.0210325111000099E+17</v>
      </c>
      <c r="B4472" s="4">
        <v>1817700276</v>
      </c>
      <c r="C4472" s="4" t="s">
        <v>4376</v>
      </c>
      <c r="D4472" s="4">
        <v>25111</v>
      </c>
      <c r="E4472" s="4">
        <v>20210316</v>
      </c>
      <c r="F4472" s="4">
        <v>20210316</v>
      </c>
      <c r="G4472" s="4">
        <v>20240316</v>
      </c>
      <c r="H4472" s="4" t="s">
        <v>4377</v>
      </c>
      <c r="I4472" s="4" t="s">
        <v>4376</v>
      </c>
      <c r="J4472" s="4" t="s">
        <v>82</v>
      </c>
    </row>
    <row r="4473" spans="1:10" hidden="1">
      <c r="A4473" s="4">
        <v>2.0210385709000099E+17</v>
      </c>
      <c r="B4473" s="4">
        <v>7561301058</v>
      </c>
      <c r="C4473" s="4" t="s">
        <v>4375</v>
      </c>
      <c r="D4473" s="4">
        <v>85709</v>
      </c>
      <c r="E4473" s="4">
        <v>20210316</v>
      </c>
      <c r="F4473" s="4">
        <v>20210316</v>
      </c>
      <c r="G4473" s="4">
        <v>20240316</v>
      </c>
      <c r="H4473" s="4" t="s">
        <v>4374</v>
      </c>
      <c r="I4473" s="4" t="s">
        <v>1922</v>
      </c>
      <c r="J4473" s="4" t="s">
        <v>141</v>
      </c>
    </row>
    <row r="4474" spans="1:10" hidden="1">
      <c r="A4474" s="4">
        <v>2.0210346800000099E+17</v>
      </c>
      <c r="B4474" s="4">
        <v>7952700139</v>
      </c>
      <c r="C4474" s="4" t="s">
        <v>4373</v>
      </c>
      <c r="D4474" s="4">
        <v>46800</v>
      </c>
      <c r="E4474" s="4">
        <v>20210316</v>
      </c>
      <c r="F4474" s="4">
        <v>20210316</v>
      </c>
      <c r="G4474" s="4">
        <v>20230718</v>
      </c>
      <c r="H4474" s="4" t="s">
        <v>4372</v>
      </c>
      <c r="I4474" s="4" t="s">
        <v>4371</v>
      </c>
      <c r="J4474" s="4" t="s">
        <v>979</v>
      </c>
    </row>
    <row r="4475" spans="1:10" hidden="1">
      <c r="A4475" s="4">
        <v>2.0210371600000099E+17</v>
      </c>
      <c r="B4475" s="4">
        <v>1073363037</v>
      </c>
      <c r="C4475" s="4" t="s">
        <v>4370</v>
      </c>
      <c r="D4475" s="4">
        <v>71600</v>
      </c>
      <c r="E4475" s="4">
        <v>20210316</v>
      </c>
      <c r="F4475" s="4">
        <v>20210316</v>
      </c>
      <c r="G4475" s="4">
        <v>20240316</v>
      </c>
      <c r="H4475" s="4" t="s">
        <v>4369</v>
      </c>
      <c r="I4475" s="4" t="s">
        <v>4368</v>
      </c>
      <c r="J4475" s="4" t="s">
        <v>1783</v>
      </c>
    </row>
    <row r="4476" spans="1:10" hidden="1">
      <c r="A4476" s="4">
        <v>2.0210347912000099E+17</v>
      </c>
      <c r="B4476" s="4">
        <v>3541201379</v>
      </c>
      <c r="C4476" s="4" t="s">
        <v>4367</v>
      </c>
      <c r="D4476" s="4">
        <v>47912</v>
      </c>
      <c r="E4476" s="4">
        <v>20210316</v>
      </c>
      <c r="F4476" s="4">
        <v>20210316</v>
      </c>
      <c r="G4476" s="4">
        <v>20240316</v>
      </c>
      <c r="H4476" s="4" t="s">
        <v>4366</v>
      </c>
      <c r="I4476" s="4" t="s">
        <v>4365</v>
      </c>
      <c r="J4476" s="4" t="s">
        <v>78</v>
      </c>
    </row>
    <row r="4477" spans="1:10" hidden="1">
      <c r="A4477" s="4">
        <v>2.0210326299000099E+17</v>
      </c>
      <c r="B4477" s="4">
        <v>1268800028</v>
      </c>
      <c r="C4477" s="4" t="s">
        <v>4364</v>
      </c>
      <c r="D4477" s="4">
        <v>26299</v>
      </c>
      <c r="E4477" s="4">
        <v>20210316</v>
      </c>
      <c r="F4477" s="4">
        <v>20210316</v>
      </c>
      <c r="G4477" s="4">
        <v>20220217</v>
      </c>
      <c r="H4477" s="4" t="s">
        <v>1407</v>
      </c>
      <c r="I4477" s="4" t="s">
        <v>4363</v>
      </c>
      <c r="J4477" s="4" t="s">
        <v>339</v>
      </c>
    </row>
    <row r="4478" spans="1:10" hidden="1">
      <c r="A4478" s="4">
        <v>2.0210358222000099E+17</v>
      </c>
      <c r="B4478" s="4">
        <v>7208101757</v>
      </c>
      <c r="C4478" s="4" t="s">
        <v>4362</v>
      </c>
      <c r="D4478" s="4">
        <v>58222</v>
      </c>
      <c r="E4478" s="4">
        <v>20210316</v>
      </c>
      <c r="F4478" s="4">
        <v>20210316</v>
      </c>
      <c r="G4478" s="4">
        <v>20240316</v>
      </c>
      <c r="H4478" s="4" t="s">
        <v>4361</v>
      </c>
      <c r="I4478" s="4" t="s">
        <v>4360</v>
      </c>
      <c r="J4478" s="4" t="s">
        <v>94</v>
      </c>
    </row>
    <row r="4479" spans="1:10" hidden="1">
      <c r="A4479" s="4">
        <v>2.0210323199000099E+17</v>
      </c>
      <c r="B4479" s="4">
        <v>1368601511</v>
      </c>
      <c r="C4479" s="4" t="s">
        <v>4359</v>
      </c>
      <c r="D4479" s="4">
        <v>23199</v>
      </c>
      <c r="E4479" s="4">
        <v>20210316</v>
      </c>
      <c r="F4479" s="4">
        <v>20210316</v>
      </c>
      <c r="G4479" s="4">
        <v>20240316</v>
      </c>
      <c r="H4479" s="4" t="s">
        <v>4358</v>
      </c>
      <c r="I4479" s="4" t="s">
        <v>4357</v>
      </c>
      <c r="J4479" s="4" t="s">
        <v>4356</v>
      </c>
    </row>
    <row r="4480" spans="1:10" hidden="1">
      <c r="A4480" s="4">
        <v>2.0210341129000099E+17</v>
      </c>
      <c r="B4480" s="4">
        <v>7150101812</v>
      </c>
      <c r="C4480" s="4" t="s">
        <v>4355</v>
      </c>
      <c r="D4480" s="4">
        <v>41129</v>
      </c>
      <c r="E4480" s="4">
        <v>20210316</v>
      </c>
      <c r="F4480" s="4">
        <v>20210316</v>
      </c>
      <c r="G4480" s="4">
        <v>20240316</v>
      </c>
      <c r="H4480" s="4" t="s">
        <v>4354</v>
      </c>
      <c r="I4480" s="4" t="s">
        <v>4353</v>
      </c>
      <c r="J4480" s="4" t="s">
        <v>4352</v>
      </c>
    </row>
    <row r="4481" spans="1:10" hidden="1">
      <c r="A4481" s="4">
        <v>2.0210331312000099E+17</v>
      </c>
      <c r="B4481" s="4">
        <v>2968101477</v>
      </c>
      <c r="C4481" s="4" t="s">
        <v>4351</v>
      </c>
      <c r="D4481" s="4">
        <v>31312</v>
      </c>
      <c r="E4481" s="4">
        <v>20210316</v>
      </c>
      <c r="F4481" s="4">
        <v>20210316</v>
      </c>
      <c r="G4481" s="4">
        <v>20240316</v>
      </c>
      <c r="H4481" s="4" t="s">
        <v>4350</v>
      </c>
      <c r="I4481" s="4" t="s">
        <v>4349</v>
      </c>
      <c r="J4481" s="4" t="s">
        <v>748</v>
      </c>
    </row>
    <row r="4482" spans="1:10" hidden="1">
      <c r="A4482" s="4">
        <v>2.0210346522000099E+17</v>
      </c>
      <c r="B4482" s="4">
        <v>8472100893</v>
      </c>
      <c r="C4482" s="4" t="s">
        <v>4348</v>
      </c>
      <c r="D4482" s="4">
        <v>46522</v>
      </c>
      <c r="E4482" s="4">
        <v>20210316</v>
      </c>
      <c r="F4482" s="4">
        <v>20210316</v>
      </c>
      <c r="G4482" s="4">
        <v>20240316</v>
      </c>
      <c r="H4482" s="4" t="s">
        <v>4347</v>
      </c>
      <c r="I4482" s="4" t="s">
        <v>657</v>
      </c>
      <c r="J4482" s="4" t="s">
        <v>3922</v>
      </c>
    </row>
    <row r="4483" spans="1:10" hidden="1">
      <c r="A4483" s="4">
        <v>2.0210321300000099E+17</v>
      </c>
      <c r="B4483" s="4">
        <v>3288101847</v>
      </c>
      <c r="C4483" s="4" t="s">
        <v>4346</v>
      </c>
      <c r="D4483" s="4">
        <v>21300</v>
      </c>
      <c r="E4483" s="4">
        <v>20210316</v>
      </c>
      <c r="F4483" s="4">
        <v>20210316</v>
      </c>
      <c r="G4483" s="4">
        <v>20240316</v>
      </c>
      <c r="H4483" s="4" t="s">
        <v>4345</v>
      </c>
      <c r="I4483" s="4" t="s">
        <v>1455</v>
      </c>
      <c r="J4483" s="4" t="s">
        <v>530</v>
      </c>
    </row>
    <row r="4484" spans="1:10" hidden="1">
      <c r="A4484" s="4">
        <v>2.0210375992000099E+17</v>
      </c>
      <c r="B4484" s="4">
        <v>3188700218</v>
      </c>
      <c r="C4484" s="4" t="s">
        <v>4344</v>
      </c>
      <c r="D4484" s="4">
        <v>75992</v>
      </c>
      <c r="E4484" s="4">
        <v>20210316</v>
      </c>
      <c r="F4484" s="4">
        <v>20210316</v>
      </c>
      <c r="G4484" s="4">
        <v>20221105</v>
      </c>
      <c r="H4484" s="4" t="s">
        <v>4343</v>
      </c>
      <c r="I4484" s="4" t="s">
        <v>591</v>
      </c>
      <c r="J4484" s="4" t="s">
        <v>111</v>
      </c>
    </row>
    <row r="4485" spans="1:10" hidden="1">
      <c r="A4485" s="4">
        <v>2.0210328123000099E+17</v>
      </c>
      <c r="B4485" s="4">
        <v>2038801867</v>
      </c>
      <c r="C4485" s="4" t="s">
        <v>4342</v>
      </c>
      <c r="D4485" s="4">
        <v>28123</v>
      </c>
      <c r="E4485" s="4">
        <v>20210316</v>
      </c>
      <c r="F4485" s="4">
        <v>20210316</v>
      </c>
      <c r="G4485" s="4">
        <v>20240316</v>
      </c>
      <c r="H4485" s="4" t="s">
        <v>4341</v>
      </c>
      <c r="I4485" s="4" t="s">
        <v>134</v>
      </c>
      <c r="J4485" s="4" t="s">
        <v>640</v>
      </c>
    </row>
    <row r="4486" spans="1:10" hidden="1">
      <c r="A4486" s="4">
        <v>2.0210358222000099E+17</v>
      </c>
      <c r="B4486" s="4">
        <v>2498700381</v>
      </c>
      <c r="C4486" s="4" t="s">
        <v>4340</v>
      </c>
      <c r="D4486" s="4">
        <v>58222</v>
      </c>
      <c r="E4486" s="4">
        <v>20210316</v>
      </c>
      <c r="F4486" s="4">
        <v>20210316</v>
      </c>
      <c r="G4486" s="4">
        <v>20221207</v>
      </c>
      <c r="H4486" s="4" t="s">
        <v>4339</v>
      </c>
      <c r="I4486" s="4" t="s">
        <v>4338</v>
      </c>
      <c r="J4486" s="4" t="s">
        <v>94</v>
      </c>
    </row>
    <row r="4487" spans="1:10" hidden="1">
      <c r="A4487" s="4">
        <v>2.0210346721000099E+17</v>
      </c>
      <c r="B4487" s="4">
        <v>2308111470</v>
      </c>
      <c r="C4487" s="4" t="s">
        <v>4337</v>
      </c>
      <c r="D4487" s="4">
        <v>46721</v>
      </c>
      <c r="E4487" s="4">
        <v>20210316</v>
      </c>
      <c r="F4487" s="4">
        <v>20210316</v>
      </c>
      <c r="G4487" s="4">
        <v>20240316</v>
      </c>
      <c r="H4487" s="4" t="s">
        <v>4336</v>
      </c>
      <c r="J4487" s="4" t="s">
        <v>4335</v>
      </c>
    </row>
    <row r="4488" spans="1:10" hidden="1">
      <c r="A4488" s="4">
        <v>2.0210329299000099E+17</v>
      </c>
      <c r="B4488" s="4">
        <v>3218600070</v>
      </c>
      <c r="C4488" s="4" t="s">
        <v>4334</v>
      </c>
      <c r="D4488" s="4">
        <v>29299</v>
      </c>
      <c r="E4488" s="4">
        <v>20210316</v>
      </c>
      <c r="F4488" s="4">
        <v>20210316</v>
      </c>
      <c r="G4488" s="4">
        <v>20220512</v>
      </c>
      <c r="H4488" s="4" t="s">
        <v>4333</v>
      </c>
      <c r="I4488" s="4" t="s">
        <v>1553</v>
      </c>
      <c r="J4488" s="4" t="s">
        <v>137</v>
      </c>
    </row>
    <row r="4489" spans="1:10" hidden="1">
      <c r="A4489" s="4">
        <v>2.0210328429000099E+17</v>
      </c>
      <c r="B4489" s="4">
        <v>3978701184</v>
      </c>
      <c r="C4489" s="4" t="s">
        <v>4332</v>
      </c>
      <c r="D4489" s="4">
        <v>28429</v>
      </c>
      <c r="E4489" s="4">
        <v>20210316</v>
      </c>
      <c r="F4489" s="4">
        <v>20210316</v>
      </c>
      <c r="G4489" s="4">
        <v>20240316</v>
      </c>
      <c r="H4489" s="4" t="s">
        <v>560</v>
      </c>
      <c r="I4489" s="4" t="s">
        <v>4331</v>
      </c>
      <c r="J4489" s="4" t="s">
        <v>765</v>
      </c>
    </row>
    <row r="4490" spans="1:10" hidden="1">
      <c r="A4490" s="4">
        <v>2.0210375992000099E+17</v>
      </c>
      <c r="B4490" s="4">
        <v>2218600504</v>
      </c>
      <c r="C4490" s="4" t="s">
        <v>4330</v>
      </c>
      <c r="D4490" s="4">
        <v>75992</v>
      </c>
      <c r="E4490" s="4">
        <v>20210316</v>
      </c>
      <c r="F4490" s="4">
        <v>20210316</v>
      </c>
      <c r="G4490" s="4">
        <v>20230520</v>
      </c>
      <c r="H4490" s="4" t="s">
        <v>4329</v>
      </c>
      <c r="I4490" s="4" t="s">
        <v>4328</v>
      </c>
      <c r="J4490" s="4" t="s">
        <v>111</v>
      </c>
    </row>
    <row r="4491" spans="1:10" hidden="1">
      <c r="A4491" s="4">
        <v>2.0210371310000099E+17</v>
      </c>
      <c r="B4491" s="4">
        <v>4188601825</v>
      </c>
      <c r="C4491" s="4" t="s">
        <v>4327</v>
      </c>
      <c r="D4491" s="4">
        <v>71310</v>
      </c>
      <c r="E4491" s="4">
        <v>20210316</v>
      </c>
      <c r="F4491" s="4">
        <v>20210316</v>
      </c>
      <c r="G4491" s="4">
        <v>20240316</v>
      </c>
      <c r="H4491" s="4" t="s">
        <v>4326</v>
      </c>
      <c r="I4491" s="4" t="s">
        <v>149</v>
      </c>
      <c r="J4491" s="4" t="s">
        <v>426</v>
      </c>
    </row>
    <row r="4492" spans="1:10" hidden="1">
      <c r="A4492" s="4">
        <v>2.0210326329000099E+17</v>
      </c>
      <c r="B4492" s="4">
        <v>5198700539</v>
      </c>
      <c r="C4492" s="4" t="s">
        <v>4325</v>
      </c>
      <c r="D4492" s="4">
        <v>26329</v>
      </c>
      <c r="E4492" s="4">
        <v>20210316</v>
      </c>
      <c r="F4492" s="4">
        <v>20210316</v>
      </c>
      <c r="G4492" s="4">
        <v>20230429</v>
      </c>
      <c r="H4492" s="4" t="s">
        <v>4324</v>
      </c>
      <c r="I4492" s="4" t="s">
        <v>142</v>
      </c>
      <c r="J4492" s="4" t="s">
        <v>565</v>
      </c>
    </row>
    <row r="4493" spans="1:10" hidden="1">
      <c r="A4493" s="4">
        <v>2.0210362021000099E+17</v>
      </c>
      <c r="B4493" s="4">
        <v>3408701795</v>
      </c>
      <c r="C4493" s="4" t="s">
        <v>4323</v>
      </c>
      <c r="D4493" s="4">
        <v>62021</v>
      </c>
      <c r="E4493" s="4">
        <v>20210316</v>
      </c>
      <c r="F4493" s="4">
        <v>20210316</v>
      </c>
      <c r="G4493" s="4">
        <v>20240316</v>
      </c>
      <c r="H4493" s="4" t="s">
        <v>4322</v>
      </c>
      <c r="I4493" s="4" t="s">
        <v>4321</v>
      </c>
      <c r="J4493" s="4" t="s">
        <v>1505</v>
      </c>
    </row>
    <row r="4494" spans="1:10" hidden="1">
      <c r="A4494" s="4">
        <v>2.0210323999000099E+17</v>
      </c>
      <c r="B4494" s="4">
        <v>1348737252</v>
      </c>
      <c r="C4494" s="4" t="s">
        <v>4320</v>
      </c>
      <c r="D4494" s="4">
        <v>23999</v>
      </c>
      <c r="E4494" s="4">
        <v>20210316</v>
      </c>
      <c r="F4494" s="4">
        <v>20210316</v>
      </c>
      <c r="G4494" s="4">
        <v>20220127</v>
      </c>
      <c r="H4494" s="4" t="s">
        <v>4319</v>
      </c>
      <c r="I4494" s="4" t="s">
        <v>4318</v>
      </c>
      <c r="J4494" s="4" t="s">
        <v>1719</v>
      </c>
    </row>
    <row r="4495" spans="1:10" hidden="1">
      <c r="A4495" s="4">
        <v>2.0210385699000099E+17</v>
      </c>
      <c r="B4495" s="4">
        <v>8988701182</v>
      </c>
      <c r="C4495" s="4" t="s">
        <v>4317</v>
      </c>
      <c r="D4495" s="4">
        <v>85699</v>
      </c>
      <c r="E4495" s="4">
        <v>20210316</v>
      </c>
      <c r="F4495" s="4">
        <v>20210316</v>
      </c>
      <c r="G4495" s="4">
        <v>20240316</v>
      </c>
      <c r="H4495" s="4" t="s">
        <v>4316</v>
      </c>
      <c r="I4495" s="4" t="s">
        <v>4315</v>
      </c>
      <c r="J4495" s="4" t="s">
        <v>2192</v>
      </c>
    </row>
    <row r="4496" spans="1:10" hidden="1">
      <c r="A4496" s="4">
        <v>2.0210358221000099E+17</v>
      </c>
      <c r="B4496" s="4">
        <v>3888800330</v>
      </c>
      <c r="C4496" s="4" t="s">
        <v>4314</v>
      </c>
      <c r="D4496" s="4">
        <v>58221</v>
      </c>
      <c r="E4496" s="4">
        <v>20210316</v>
      </c>
      <c r="F4496" s="4">
        <v>20210316</v>
      </c>
      <c r="G4496" s="4">
        <v>20230511</v>
      </c>
      <c r="H4496" s="4" t="s">
        <v>4313</v>
      </c>
      <c r="I4496" s="4" t="s">
        <v>4312</v>
      </c>
      <c r="J4496" s="4" t="s">
        <v>228</v>
      </c>
    </row>
    <row r="4497" spans="1:10" hidden="1">
      <c r="A4497" s="4">
        <v>2.0210358222000099E+17</v>
      </c>
      <c r="B4497" s="4">
        <v>4418100189</v>
      </c>
      <c r="C4497" s="4" t="s">
        <v>4311</v>
      </c>
      <c r="D4497" s="4">
        <v>58222</v>
      </c>
      <c r="E4497" s="4">
        <v>20210316</v>
      </c>
      <c r="F4497" s="4">
        <v>20210316</v>
      </c>
      <c r="G4497" s="4">
        <v>20220925</v>
      </c>
      <c r="H4497" s="4" t="s">
        <v>4310</v>
      </c>
      <c r="I4497" s="4" t="s">
        <v>159</v>
      </c>
      <c r="J4497" s="4" t="s">
        <v>94</v>
      </c>
    </row>
    <row r="4498" spans="1:10" hidden="1">
      <c r="A4498" s="4">
        <v>2.0210358222000099E+17</v>
      </c>
      <c r="B4498" s="4">
        <v>3748701444</v>
      </c>
      <c r="C4498" s="4" t="s">
        <v>4309</v>
      </c>
      <c r="D4498" s="4">
        <v>58222</v>
      </c>
      <c r="E4498" s="4">
        <v>20210316</v>
      </c>
      <c r="F4498" s="4">
        <v>20210316</v>
      </c>
      <c r="G4498" s="4">
        <v>20240316</v>
      </c>
      <c r="H4498" s="4" t="s">
        <v>4308</v>
      </c>
      <c r="J4498" s="4" t="s">
        <v>94</v>
      </c>
    </row>
    <row r="4499" spans="1:10" hidden="1">
      <c r="A4499" s="4">
        <v>2.0210363991000099E+17</v>
      </c>
      <c r="B4499" s="4">
        <v>8018701306</v>
      </c>
      <c r="C4499" s="4" t="s">
        <v>4307</v>
      </c>
      <c r="D4499" s="4">
        <v>63991</v>
      </c>
      <c r="E4499" s="4">
        <v>20210316</v>
      </c>
      <c r="F4499" s="4">
        <v>20210316</v>
      </c>
      <c r="G4499" s="4">
        <v>20240316</v>
      </c>
      <c r="H4499" s="4" t="s">
        <v>1366</v>
      </c>
      <c r="I4499" s="4" t="s">
        <v>4306</v>
      </c>
      <c r="J4499" s="4" t="s">
        <v>395</v>
      </c>
    </row>
    <row r="4500" spans="1:10" hidden="1">
      <c r="A4500" s="4">
        <v>2.0210325113000099E+17</v>
      </c>
      <c r="B4500" s="4">
        <v>7578800894</v>
      </c>
      <c r="C4500" s="4" t="s">
        <v>4305</v>
      </c>
      <c r="D4500" s="4">
        <v>25113</v>
      </c>
      <c r="E4500" s="4">
        <v>20210316</v>
      </c>
      <c r="F4500" s="4">
        <v>20210316</v>
      </c>
      <c r="G4500" s="4">
        <v>20240316</v>
      </c>
      <c r="H4500" s="4" t="s">
        <v>4304</v>
      </c>
      <c r="I4500" s="4" t="s">
        <v>4303</v>
      </c>
      <c r="J4500" s="4" t="s">
        <v>250</v>
      </c>
    </row>
    <row r="4501" spans="1:10" hidden="1">
      <c r="A4501" s="4">
        <v>2.0210327212000099E+17</v>
      </c>
      <c r="B4501" s="4">
        <v>5288700299</v>
      </c>
      <c r="C4501" s="4" t="s">
        <v>4302</v>
      </c>
      <c r="D4501" s="4">
        <v>27212</v>
      </c>
      <c r="E4501" s="4">
        <v>20210316</v>
      </c>
      <c r="F4501" s="4">
        <v>20210316</v>
      </c>
      <c r="G4501" s="4">
        <v>20230108</v>
      </c>
      <c r="H4501" s="4" t="s">
        <v>4301</v>
      </c>
      <c r="I4501" s="4" t="s">
        <v>4300</v>
      </c>
      <c r="J4501" s="4" t="s">
        <v>200</v>
      </c>
    </row>
    <row r="4502" spans="1:10" hidden="1">
      <c r="A4502" s="4">
        <v>2.0210359113000099E+17</v>
      </c>
      <c r="B4502" s="4">
        <v>4961800695</v>
      </c>
      <c r="C4502" s="4" t="s">
        <v>4299</v>
      </c>
      <c r="D4502" s="4">
        <v>59113</v>
      </c>
      <c r="E4502" s="4">
        <v>20210316</v>
      </c>
      <c r="F4502" s="4">
        <v>20210316</v>
      </c>
      <c r="G4502" s="4">
        <v>20240316</v>
      </c>
      <c r="H4502" s="4" t="s">
        <v>4298</v>
      </c>
      <c r="I4502" s="4" t="s">
        <v>91</v>
      </c>
      <c r="J4502" s="4" t="s">
        <v>3651</v>
      </c>
    </row>
    <row r="4503" spans="1:10" hidden="1">
      <c r="A4503" s="4">
        <v>2.0210358222000099E+17</v>
      </c>
      <c r="B4503" s="4">
        <v>1042692286</v>
      </c>
      <c r="C4503" s="4" t="s">
        <v>4297</v>
      </c>
      <c r="D4503" s="4">
        <v>58222</v>
      </c>
      <c r="E4503" s="4">
        <v>20210316</v>
      </c>
      <c r="F4503" s="4">
        <v>20210316</v>
      </c>
      <c r="G4503" s="4">
        <v>20240316</v>
      </c>
      <c r="H4503" s="4" t="s">
        <v>560</v>
      </c>
      <c r="J4503" s="4" t="s">
        <v>94</v>
      </c>
    </row>
    <row r="4504" spans="1:10" hidden="1">
      <c r="A4504" s="4">
        <v>2.0210328511000099E+17</v>
      </c>
      <c r="B4504" s="4">
        <v>2698101679</v>
      </c>
      <c r="C4504" s="4" t="s">
        <v>4296</v>
      </c>
      <c r="D4504" s="4">
        <v>28511</v>
      </c>
      <c r="E4504" s="4">
        <v>20210316</v>
      </c>
      <c r="F4504" s="4">
        <v>20210316</v>
      </c>
      <c r="G4504" s="4">
        <v>20240316</v>
      </c>
      <c r="H4504" s="4" t="s">
        <v>1902</v>
      </c>
      <c r="I4504" s="4" t="s">
        <v>4295</v>
      </c>
      <c r="J4504" s="4" t="s">
        <v>928</v>
      </c>
    </row>
    <row r="4505" spans="1:10" hidden="1">
      <c r="A4505" s="4">
        <v>2.0210359113000099E+17</v>
      </c>
      <c r="B4505" s="4">
        <v>4714900759</v>
      </c>
      <c r="C4505" s="4" t="s">
        <v>4294</v>
      </c>
      <c r="D4505" s="4">
        <v>59113</v>
      </c>
      <c r="E4505" s="4">
        <v>20210316</v>
      </c>
      <c r="F4505" s="4">
        <v>20210316</v>
      </c>
      <c r="G4505" s="4">
        <v>20240316</v>
      </c>
      <c r="H4505" s="4" t="s">
        <v>4293</v>
      </c>
      <c r="I4505" s="4" t="s">
        <v>2919</v>
      </c>
      <c r="J4505" s="4" t="s">
        <v>3651</v>
      </c>
    </row>
    <row r="4506" spans="1:10" hidden="1">
      <c r="A4506" s="4">
        <v>2.0210370130000099E+17</v>
      </c>
      <c r="B4506" s="4">
        <v>6933700598</v>
      </c>
      <c r="C4506" s="4" t="s">
        <v>4292</v>
      </c>
      <c r="D4506" s="4">
        <v>70130</v>
      </c>
      <c r="E4506" s="4">
        <v>20210316</v>
      </c>
      <c r="F4506" s="4">
        <v>20210316</v>
      </c>
      <c r="G4506" s="4">
        <v>20240316</v>
      </c>
      <c r="H4506" s="4" t="s">
        <v>4291</v>
      </c>
      <c r="I4506" s="4" t="s">
        <v>4290</v>
      </c>
      <c r="J4506" s="4" t="s">
        <v>170</v>
      </c>
    </row>
    <row r="4507" spans="1:10" hidden="1">
      <c r="A4507" s="4">
        <v>2.0210346109000099E+17</v>
      </c>
      <c r="B4507" s="4">
        <v>2048655061</v>
      </c>
      <c r="C4507" s="4" t="s">
        <v>4289</v>
      </c>
      <c r="D4507" s="4">
        <v>46109</v>
      </c>
      <c r="E4507" s="4">
        <v>20210315</v>
      </c>
      <c r="F4507" s="4">
        <v>20210315</v>
      </c>
      <c r="G4507" s="4">
        <v>20211121</v>
      </c>
      <c r="H4507" s="4" t="s">
        <v>4288</v>
      </c>
      <c r="J4507" s="4" t="s">
        <v>133</v>
      </c>
    </row>
    <row r="4508" spans="1:10" hidden="1">
      <c r="A4508" s="4">
        <v>2.0210346800000099E+17</v>
      </c>
      <c r="B4508" s="4">
        <v>1308707945</v>
      </c>
      <c r="C4508" s="4" t="s">
        <v>4287</v>
      </c>
      <c r="D4508" s="4">
        <v>46800</v>
      </c>
      <c r="E4508" s="4">
        <v>20210315</v>
      </c>
      <c r="F4508" s="4">
        <v>20210315</v>
      </c>
      <c r="G4508" s="4">
        <v>20230714</v>
      </c>
      <c r="H4508" s="4" t="s">
        <v>4286</v>
      </c>
      <c r="I4508" s="4" t="s">
        <v>4285</v>
      </c>
      <c r="J4508" s="4" t="s">
        <v>979</v>
      </c>
    </row>
    <row r="4509" spans="1:10" hidden="1">
      <c r="A4509" s="4">
        <v>2.0210362010000099E+17</v>
      </c>
      <c r="B4509" s="4">
        <v>6778800583</v>
      </c>
      <c r="C4509" s="4" t="s">
        <v>4284</v>
      </c>
      <c r="D4509" s="4">
        <v>62010</v>
      </c>
      <c r="E4509" s="4">
        <v>20210315</v>
      </c>
      <c r="F4509" s="4">
        <v>20210315</v>
      </c>
      <c r="G4509" s="4">
        <v>20240117</v>
      </c>
      <c r="H4509" s="4" t="s">
        <v>4283</v>
      </c>
      <c r="I4509" s="4" t="s">
        <v>91</v>
      </c>
      <c r="J4509" s="4" t="s">
        <v>118</v>
      </c>
    </row>
    <row r="4510" spans="1:10" hidden="1">
      <c r="A4510" s="4">
        <v>2.0210373909000099E+17</v>
      </c>
      <c r="B4510" s="4">
        <v>2978601970</v>
      </c>
      <c r="C4510" s="4" t="s">
        <v>4282</v>
      </c>
      <c r="D4510" s="4">
        <v>73909</v>
      </c>
      <c r="E4510" s="4">
        <v>20210315</v>
      </c>
      <c r="F4510" s="4">
        <v>20210315</v>
      </c>
      <c r="G4510" s="4">
        <v>20240315</v>
      </c>
      <c r="H4510" s="4" t="s">
        <v>4281</v>
      </c>
      <c r="I4510" s="4" t="s">
        <v>4280</v>
      </c>
      <c r="J4510" s="4" t="s">
        <v>293</v>
      </c>
    </row>
    <row r="4511" spans="1:10" hidden="1">
      <c r="A4511" s="4">
        <v>2.0210329222000099E+17</v>
      </c>
      <c r="B4511" s="4">
        <v>1828601606</v>
      </c>
      <c r="C4511" s="4" t="s">
        <v>4279</v>
      </c>
      <c r="D4511" s="4">
        <v>29222</v>
      </c>
      <c r="E4511" s="4">
        <v>20210315</v>
      </c>
      <c r="F4511" s="4">
        <v>20210315</v>
      </c>
      <c r="G4511" s="4">
        <v>20240315</v>
      </c>
      <c r="H4511" s="4" t="s">
        <v>4278</v>
      </c>
      <c r="I4511" s="4" t="s">
        <v>4277</v>
      </c>
      <c r="J4511" s="4" t="s">
        <v>4276</v>
      </c>
    </row>
    <row r="4512" spans="1:10" hidden="1">
      <c r="A4512" s="4">
        <v>2.0210363120000099E+17</v>
      </c>
      <c r="B4512" s="4">
        <v>8818101896</v>
      </c>
      <c r="C4512" s="4" t="s">
        <v>4275</v>
      </c>
      <c r="D4512" s="4">
        <v>63120</v>
      </c>
      <c r="E4512" s="4">
        <v>20210315</v>
      </c>
      <c r="F4512" s="4">
        <v>20210315</v>
      </c>
      <c r="G4512" s="4">
        <v>20240315</v>
      </c>
      <c r="H4512" s="4" t="s">
        <v>4274</v>
      </c>
      <c r="I4512" s="4" t="s">
        <v>4273</v>
      </c>
      <c r="J4512" s="4" t="s">
        <v>632</v>
      </c>
    </row>
    <row r="4513" spans="1:10" hidden="1">
      <c r="A4513" s="4">
        <v>2.0210333993000099E+17</v>
      </c>
      <c r="B4513" s="4">
        <v>2698101290</v>
      </c>
      <c r="C4513" s="4" t="s">
        <v>4272</v>
      </c>
      <c r="D4513" s="4">
        <v>33993</v>
      </c>
      <c r="E4513" s="4">
        <v>20210315</v>
      </c>
      <c r="F4513" s="4">
        <v>20210315</v>
      </c>
      <c r="G4513" s="4">
        <v>20240315</v>
      </c>
      <c r="H4513" s="4" t="s">
        <v>4271</v>
      </c>
      <c r="I4513" s="4" t="s">
        <v>415</v>
      </c>
      <c r="J4513" s="4" t="s">
        <v>1147</v>
      </c>
    </row>
    <row r="4514" spans="1:10" hidden="1">
      <c r="A4514" s="4">
        <v>2.0210358221000099E+17</v>
      </c>
      <c r="B4514" s="4">
        <v>6908600883</v>
      </c>
      <c r="C4514" s="4" t="s">
        <v>4270</v>
      </c>
      <c r="D4514" s="4">
        <v>58221</v>
      </c>
      <c r="E4514" s="4">
        <v>20210315</v>
      </c>
      <c r="F4514" s="4">
        <v>20210315</v>
      </c>
      <c r="G4514" s="4">
        <v>20240315</v>
      </c>
      <c r="H4514" s="4" t="s">
        <v>1525</v>
      </c>
      <c r="I4514" s="4" t="s">
        <v>4269</v>
      </c>
      <c r="J4514" s="4" t="s">
        <v>228</v>
      </c>
    </row>
    <row r="4515" spans="1:10" hidden="1">
      <c r="A4515" s="4">
        <v>2.0210342491000099E+17</v>
      </c>
      <c r="B4515" s="4">
        <v>7908800023</v>
      </c>
      <c r="C4515" s="4" t="s">
        <v>4268</v>
      </c>
      <c r="D4515" s="4">
        <v>42491</v>
      </c>
      <c r="E4515" s="4">
        <v>20210315</v>
      </c>
      <c r="F4515" s="4">
        <v>20210315</v>
      </c>
      <c r="G4515" s="4">
        <v>20220316</v>
      </c>
      <c r="H4515" s="4" t="s">
        <v>4267</v>
      </c>
      <c r="I4515" s="4" t="s">
        <v>149</v>
      </c>
      <c r="J4515" s="4" t="s">
        <v>883</v>
      </c>
    </row>
    <row r="4516" spans="1:10" hidden="1">
      <c r="A4516" s="4">
        <v>2.0210323999000099E+17</v>
      </c>
      <c r="B4516" s="4">
        <v>7328802044</v>
      </c>
      <c r="C4516" s="4" t="s">
        <v>4266</v>
      </c>
      <c r="D4516" s="4">
        <v>23999</v>
      </c>
      <c r="E4516" s="4">
        <v>20210315</v>
      </c>
      <c r="F4516" s="4">
        <v>20210315</v>
      </c>
      <c r="G4516" s="4">
        <v>20240315</v>
      </c>
      <c r="H4516" s="4" t="s">
        <v>4265</v>
      </c>
      <c r="J4516" s="4" t="s">
        <v>1719</v>
      </c>
    </row>
    <row r="4517" spans="1:10" hidden="1">
      <c r="A4517" s="4">
        <v>2.0210362021000099E+17</v>
      </c>
      <c r="B4517" s="4">
        <v>7938101148</v>
      </c>
      <c r="C4517" s="4" t="s">
        <v>4264</v>
      </c>
      <c r="D4517" s="4">
        <v>62021</v>
      </c>
      <c r="E4517" s="4">
        <v>20210315</v>
      </c>
      <c r="F4517" s="4">
        <v>20210315</v>
      </c>
      <c r="G4517" s="4">
        <v>20240315</v>
      </c>
      <c r="H4517" s="4" t="s">
        <v>2721</v>
      </c>
      <c r="I4517" s="4" t="s">
        <v>4263</v>
      </c>
      <c r="J4517" s="4" t="s">
        <v>1505</v>
      </c>
    </row>
    <row r="4518" spans="1:10" hidden="1">
      <c r="A4518" s="4">
        <v>2.0210320321000099E+17</v>
      </c>
      <c r="B4518" s="4">
        <v>4278101858</v>
      </c>
      <c r="C4518" s="4" t="s">
        <v>4262</v>
      </c>
      <c r="D4518" s="4">
        <v>20321</v>
      </c>
      <c r="E4518" s="4">
        <v>20210315</v>
      </c>
      <c r="F4518" s="4">
        <v>20210315</v>
      </c>
      <c r="G4518" s="4">
        <v>20240315</v>
      </c>
      <c r="H4518" s="4" t="s">
        <v>2894</v>
      </c>
      <c r="I4518" s="4" t="s">
        <v>4261</v>
      </c>
      <c r="J4518" s="4" t="s">
        <v>192</v>
      </c>
    </row>
    <row r="4519" spans="1:10" hidden="1">
      <c r="A4519" s="4">
        <v>2.0210329210000099E+17</v>
      </c>
      <c r="B4519" s="4">
        <v>6548701447</v>
      </c>
      <c r="C4519" s="4" t="s">
        <v>4260</v>
      </c>
      <c r="D4519" s="4">
        <v>29210</v>
      </c>
      <c r="E4519" s="4">
        <v>20210315</v>
      </c>
      <c r="F4519" s="4">
        <v>20210315</v>
      </c>
      <c r="G4519" s="4">
        <v>20240315</v>
      </c>
      <c r="H4519" s="4" t="s">
        <v>4259</v>
      </c>
      <c r="J4519" s="4" t="s">
        <v>1274</v>
      </c>
    </row>
    <row r="4520" spans="1:10" hidden="1">
      <c r="A4520" s="4">
        <v>2.0210347512000099E+17</v>
      </c>
      <c r="B4520" s="4">
        <v>2021015734</v>
      </c>
      <c r="C4520" s="4" t="s">
        <v>4258</v>
      </c>
      <c r="D4520" s="4">
        <v>47512</v>
      </c>
      <c r="E4520" s="4">
        <v>20210315</v>
      </c>
      <c r="F4520" s="4">
        <v>20210315</v>
      </c>
      <c r="G4520" s="4">
        <v>20240315</v>
      </c>
      <c r="H4520" s="4" t="s">
        <v>4257</v>
      </c>
      <c r="J4520" s="4" t="s">
        <v>3052</v>
      </c>
    </row>
    <row r="4521" spans="1:10" hidden="1">
      <c r="A4521" s="4">
        <v>2.0210325111000099E+17</v>
      </c>
      <c r="B4521" s="4">
        <v>6794600352</v>
      </c>
      <c r="C4521" s="4" t="s">
        <v>4255</v>
      </c>
      <c r="D4521" s="4">
        <v>25111</v>
      </c>
      <c r="E4521" s="4">
        <v>20210315</v>
      </c>
      <c r="F4521" s="4">
        <v>20210315</v>
      </c>
      <c r="G4521" s="4">
        <v>20240315</v>
      </c>
      <c r="H4521" s="4" t="s">
        <v>4256</v>
      </c>
      <c r="I4521" s="4" t="s">
        <v>4255</v>
      </c>
      <c r="J4521" s="4" t="s">
        <v>82</v>
      </c>
    </row>
    <row r="4522" spans="1:10" hidden="1">
      <c r="A4522" s="4">
        <v>2.0210347611000099E+17</v>
      </c>
      <c r="B4522" s="4">
        <v>6121661418</v>
      </c>
      <c r="C4522" s="4" t="s">
        <v>4254</v>
      </c>
      <c r="D4522" s="4">
        <v>47611</v>
      </c>
      <c r="E4522" s="4">
        <v>20210315</v>
      </c>
      <c r="F4522" s="4">
        <v>20210315</v>
      </c>
      <c r="G4522" s="4">
        <v>20240315</v>
      </c>
      <c r="H4522" s="4" t="s">
        <v>4253</v>
      </c>
      <c r="I4522" s="4" t="s">
        <v>149</v>
      </c>
      <c r="J4522" s="4" t="s">
        <v>4252</v>
      </c>
    </row>
    <row r="4523" spans="1:10">
      <c r="A4523" s="4">
        <v>2.02106581900004E+17</v>
      </c>
      <c r="B4523" s="4">
        <v>3798700950</v>
      </c>
      <c r="C4523" s="4" t="s">
        <v>10553</v>
      </c>
      <c r="D4523" s="4">
        <v>58190</v>
      </c>
      <c r="E4523" s="4">
        <v>20210607</v>
      </c>
      <c r="F4523" s="4">
        <v>20210607</v>
      </c>
      <c r="G4523" s="4">
        <v>20240607</v>
      </c>
      <c r="H4523" s="4" t="s">
        <v>10552</v>
      </c>
      <c r="I4523" s="4" t="s">
        <v>91</v>
      </c>
      <c r="J4523" s="4" t="s">
        <v>196</v>
      </c>
    </row>
    <row r="4524" spans="1:10" hidden="1">
      <c r="A4524" s="4">
        <v>2.0210325112000099E+17</v>
      </c>
      <c r="B4524" s="4">
        <v>7462800570</v>
      </c>
      <c r="C4524" s="4" t="s">
        <v>4248</v>
      </c>
      <c r="D4524" s="4">
        <v>25112</v>
      </c>
      <c r="E4524" s="4">
        <v>20210315</v>
      </c>
      <c r="F4524" s="4">
        <v>20210315</v>
      </c>
      <c r="G4524" s="4">
        <v>20240315</v>
      </c>
      <c r="H4524" s="4" t="s">
        <v>4247</v>
      </c>
      <c r="J4524" s="4" t="s">
        <v>320</v>
      </c>
    </row>
    <row r="4525" spans="1:10" hidden="1">
      <c r="A4525" s="4">
        <v>2.0210324290000099E+17</v>
      </c>
      <c r="B4525" s="4">
        <v>7778701041</v>
      </c>
      <c r="C4525" s="4" t="s">
        <v>4246</v>
      </c>
      <c r="D4525" s="4">
        <v>24290</v>
      </c>
      <c r="E4525" s="4">
        <v>20210315</v>
      </c>
      <c r="F4525" s="4">
        <v>20210315</v>
      </c>
      <c r="G4525" s="4">
        <v>20240315</v>
      </c>
      <c r="H4525" s="4" t="s">
        <v>4245</v>
      </c>
      <c r="J4525" s="4" t="s">
        <v>325</v>
      </c>
    </row>
    <row r="4526" spans="1:10" hidden="1">
      <c r="A4526" s="4">
        <v>2.0210358222000099E+17</v>
      </c>
      <c r="B4526" s="4">
        <v>7358801175</v>
      </c>
      <c r="C4526" s="4" t="s">
        <v>4244</v>
      </c>
      <c r="D4526" s="4">
        <v>58222</v>
      </c>
      <c r="E4526" s="4">
        <v>20210315</v>
      </c>
      <c r="F4526" s="4">
        <v>20210315</v>
      </c>
      <c r="G4526" s="4">
        <v>20240315</v>
      </c>
      <c r="H4526" s="4" t="s">
        <v>4243</v>
      </c>
      <c r="I4526" s="4" t="s">
        <v>4242</v>
      </c>
      <c r="J4526" s="4" t="s">
        <v>94</v>
      </c>
    </row>
    <row r="4527" spans="1:10" hidden="1">
      <c r="A4527" s="4">
        <v>2.0210358222000099E+17</v>
      </c>
      <c r="B4527" s="4">
        <v>1218801115</v>
      </c>
      <c r="C4527" s="4" t="s">
        <v>4241</v>
      </c>
      <c r="D4527" s="4">
        <v>58222</v>
      </c>
      <c r="E4527" s="4">
        <v>20210315</v>
      </c>
      <c r="F4527" s="4">
        <v>20210315</v>
      </c>
      <c r="G4527" s="4">
        <v>20240315</v>
      </c>
      <c r="H4527" s="4" t="s">
        <v>4240</v>
      </c>
      <c r="I4527" s="4" t="s">
        <v>4239</v>
      </c>
      <c r="J4527" s="4" t="s">
        <v>94</v>
      </c>
    </row>
    <row r="4528" spans="1:10" hidden="1">
      <c r="A4528" s="4">
        <v>2.0210330399000099E+17</v>
      </c>
      <c r="B4528" s="4">
        <v>4348101574</v>
      </c>
      <c r="C4528" s="4" t="s">
        <v>4238</v>
      </c>
      <c r="D4528" s="4">
        <v>30399</v>
      </c>
      <c r="E4528" s="4">
        <v>20210315</v>
      </c>
      <c r="F4528" s="4">
        <v>20210315</v>
      </c>
      <c r="G4528" s="4">
        <v>20240315</v>
      </c>
      <c r="H4528" s="4" t="s">
        <v>4213</v>
      </c>
      <c r="I4528" s="4" t="s">
        <v>4237</v>
      </c>
      <c r="J4528" s="4" t="s">
        <v>1763</v>
      </c>
    </row>
    <row r="4529" spans="1:10" hidden="1">
      <c r="A4529" s="4">
        <v>2.0210310802000099E+17</v>
      </c>
      <c r="B4529" s="4">
        <v>4228801871</v>
      </c>
      <c r="C4529" s="4" t="s">
        <v>4236</v>
      </c>
      <c r="D4529" s="4">
        <v>10802</v>
      </c>
      <c r="E4529" s="4">
        <v>20210315</v>
      </c>
      <c r="F4529" s="4">
        <v>20210315</v>
      </c>
      <c r="G4529" s="4">
        <v>20240315</v>
      </c>
      <c r="H4529" s="4" t="s">
        <v>950</v>
      </c>
      <c r="I4529" s="4" t="s">
        <v>4235</v>
      </c>
      <c r="J4529" s="4" t="s">
        <v>973</v>
      </c>
    </row>
    <row r="4530" spans="1:10" hidden="1">
      <c r="A4530" s="4">
        <v>2.0210328903000099E+17</v>
      </c>
      <c r="B4530" s="4">
        <v>2738100344</v>
      </c>
      <c r="C4530" s="4" t="s">
        <v>4234</v>
      </c>
      <c r="D4530" s="4">
        <v>28903</v>
      </c>
      <c r="E4530" s="4">
        <v>20210315</v>
      </c>
      <c r="F4530" s="4">
        <v>20210315</v>
      </c>
      <c r="G4530" s="4">
        <v>20230727</v>
      </c>
      <c r="H4530" s="4" t="s">
        <v>4233</v>
      </c>
      <c r="J4530" s="4" t="s">
        <v>460</v>
      </c>
    </row>
    <row r="4531" spans="1:10" hidden="1">
      <c r="A4531" s="4">
        <v>2.0210333401000099E+17</v>
      </c>
      <c r="B4531" s="4">
        <v>7438101920</v>
      </c>
      <c r="C4531" s="4" t="s">
        <v>4232</v>
      </c>
      <c r="D4531" s="4">
        <v>33401</v>
      </c>
      <c r="E4531" s="4">
        <v>20210315</v>
      </c>
      <c r="F4531" s="4">
        <v>20210315</v>
      </c>
      <c r="G4531" s="4">
        <v>20240315</v>
      </c>
      <c r="H4531" s="4" t="s">
        <v>1896</v>
      </c>
      <c r="I4531" s="4" t="s">
        <v>4231</v>
      </c>
      <c r="J4531" s="4" t="s">
        <v>364</v>
      </c>
    </row>
    <row r="4532" spans="1:10" hidden="1">
      <c r="A4532" s="4">
        <v>2.0210326299000099E+17</v>
      </c>
      <c r="B4532" s="4">
        <v>6228601007</v>
      </c>
      <c r="C4532" s="4" t="s">
        <v>4230</v>
      </c>
      <c r="D4532" s="4">
        <v>26299</v>
      </c>
      <c r="E4532" s="4">
        <v>20210315</v>
      </c>
      <c r="F4532" s="4">
        <v>20210315</v>
      </c>
      <c r="G4532" s="4">
        <v>20240315</v>
      </c>
      <c r="H4532" s="4" t="s">
        <v>4229</v>
      </c>
      <c r="I4532" s="4" t="s">
        <v>4228</v>
      </c>
      <c r="J4532" s="4" t="s">
        <v>339</v>
      </c>
    </row>
    <row r="4533" spans="1:10" hidden="1">
      <c r="A4533" s="4">
        <v>2.0210371392000099E+17</v>
      </c>
      <c r="B4533" s="4">
        <v>6168801307</v>
      </c>
      <c r="C4533" s="4" t="s">
        <v>4227</v>
      </c>
      <c r="D4533" s="4">
        <v>71392</v>
      </c>
      <c r="E4533" s="4">
        <v>20210315</v>
      </c>
      <c r="F4533" s="4">
        <v>20210315</v>
      </c>
      <c r="G4533" s="4">
        <v>20240315</v>
      </c>
      <c r="H4533" s="4" t="s">
        <v>4226</v>
      </c>
      <c r="I4533" s="4" t="s">
        <v>3073</v>
      </c>
      <c r="J4533" s="4" t="s">
        <v>943</v>
      </c>
    </row>
    <row r="4534" spans="1:10" hidden="1">
      <c r="A4534" s="4">
        <v>2.0210325999000099E+17</v>
      </c>
      <c r="B4534" s="4">
        <v>6818101113</v>
      </c>
      <c r="C4534" s="4" t="s">
        <v>4225</v>
      </c>
      <c r="D4534" s="4">
        <v>25999</v>
      </c>
      <c r="E4534" s="4">
        <v>20210315</v>
      </c>
      <c r="F4534" s="4">
        <v>20210315</v>
      </c>
      <c r="G4534" s="4">
        <v>20240315</v>
      </c>
      <c r="H4534" s="4" t="s">
        <v>4224</v>
      </c>
      <c r="J4534" s="4" t="s">
        <v>301</v>
      </c>
    </row>
    <row r="4535" spans="1:10" hidden="1">
      <c r="A4535" s="4">
        <v>2.0210320495000099E+17</v>
      </c>
      <c r="B4535" s="4">
        <v>1198801844</v>
      </c>
      <c r="C4535" s="4" t="s">
        <v>4223</v>
      </c>
      <c r="D4535" s="4">
        <v>20495</v>
      </c>
      <c r="E4535" s="4">
        <v>20210315</v>
      </c>
      <c r="F4535" s="4">
        <v>20210315</v>
      </c>
      <c r="G4535" s="4">
        <v>20240315</v>
      </c>
      <c r="H4535" s="4" t="s">
        <v>4222</v>
      </c>
      <c r="I4535" s="4" t="s">
        <v>4221</v>
      </c>
      <c r="J4535" s="4" t="s">
        <v>4220</v>
      </c>
    </row>
    <row r="4536" spans="1:10" hidden="1">
      <c r="A4536" s="4">
        <v>2.0210363999000099E+17</v>
      </c>
      <c r="B4536" s="4">
        <v>5258701794</v>
      </c>
      <c r="C4536" s="4" t="s">
        <v>4219</v>
      </c>
      <c r="D4536" s="4">
        <v>63999</v>
      </c>
      <c r="E4536" s="4">
        <v>20210315</v>
      </c>
      <c r="F4536" s="4">
        <v>20210315</v>
      </c>
      <c r="G4536" s="4">
        <v>20240315</v>
      </c>
      <c r="H4536" s="4" t="s">
        <v>4218</v>
      </c>
      <c r="J4536" s="4" t="s">
        <v>643</v>
      </c>
    </row>
    <row r="4537" spans="1:10" hidden="1">
      <c r="A4537" s="4">
        <v>2.0210375121000099E+17</v>
      </c>
      <c r="B4537" s="4">
        <v>1218700929</v>
      </c>
      <c r="C4537" s="4" t="s">
        <v>4217</v>
      </c>
      <c r="D4537" s="4">
        <v>75121</v>
      </c>
      <c r="E4537" s="4">
        <v>20210315</v>
      </c>
      <c r="F4537" s="4">
        <v>20210315</v>
      </c>
      <c r="G4537" s="4">
        <v>20240315</v>
      </c>
      <c r="H4537" s="4" t="s">
        <v>4216</v>
      </c>
      <c r="I4537" s="4" t="s">
        <v>4215</v>
      </c>
      <c r="J4537" s="4" t="s">
        <v>2152</v>
      </c>
    </row>
    <row r="4538" spans="1:10" hidden="1">
      <c r="A4538" s="4">
        <v>2.0210329280000099E+17</v>
      </c>
      <c r="B4538" s="4">
        <v>4648801706</v>
      </c>
      <c r="C4538" s="4" t="s">
        <v>4214</v>
      </c>
      <c r="D4538" s="4">
        <v>29280</v>
      </c>
      <c r="E4538" s="4">
        <v>20210315</v>
      </c>
      <c r="F4538" s="4">
        <v>20210315</v>
      </c>
      <c r="G4538" s="4">
        <v>20240315</v>
      </c>
      <c r="H4538" s="4" t="s">
        <v>4213</v>
      </c>
      <c r="I4538" s="4" t="s">
        <v>4212</v>
      </c>
      <c r="J4538" s="4" t="s">
        <v>533</v>
      </c>
    </row>
    <row r="4539" spans="1:10" hidden="1">
      <c r="A4539" s="4">
        <v>2.0210370113000099E+17</v>
      </c>
      <c r="B4539" s="4">
        <v>2358102296</v>
      </c>
      <c r="C4539" s="4" t="s">
        <v>4211</v>
      </c>
      <c r="D4539" s="4">
        <v>70113</v>
      </c>
      <c r="E4539" s="4">
        <v>20210315</v>
      </c>
      <c r="F4539" s="4">
        <v>20210315</v>
      </c>
      <c r="G4539" s="4">
        <v>20240315</v>
      </c>
      <c r="H4539" s="4" t="s">
        <v>825</v>
      </c>
      <c r="I4539" s="4" t="s">
        <v>4210</v>
      </c>
      <c r="J4539" s="4" t="s">
        <v>1173</v>
      </c>
    </row>
    <row r="4540" spans="1:10" hidden="1">
      <c r="A4540" s="4">
        <v>2.0210347821000099E+17</v>
      </c>
      <c r="B4540" s="4">
        <v>6496300149</v>
      </c>
      <c r="C4540" s="4" t="s">
        <v>4209</v>
      </c>
      <c r="D4540" s="4">
        <v>47821</v>
      </c>
      <c r="E4540" s="4">
        <v>20210315</v>
      </c>
      <c r="F4540" s="4">
        <v>20210315</v>
      </c>
      <c r="G4540" s="4">
        <v>20240315</v>
      </c>
      <c r="H4540" s="4" t="s">
        <v>4208</v>
      </c>
      <c r="J4540" s="4" t="s">
        <v>4207</v>
      </c>
    </row>
    <row r="4541" spans="1:10" hidden="1">
      <c r="A4541" s="4">
        <v>2.0210326310000099E+17</v>
      </c>
      <c r="B4541" s="4">
        <v>5550701401</v>
      </c>
      <c r="C4541" s="4" t="s">
        <v>4206</v>
      </c>
      <c r="D4541" s="4">
        <v>26310</v>
      </c>
      <c r="E4541" s="4">
        <v>20210315</v>
      </c>
      <c r="F4541" s="4">
        <v>20210315</v>
      </c>
      <c r="G4541" s="4">
        <v>20240315</v>
      </c>
      <c r="H4541" s="4" t="s">
        <v>4205</v>
      </c>
      <c r="I4541" s="4" t="s">
        <v>4204</v>
      </c>
      <c r="J4541" s="4" t="s">
        <v>372</v>
      </c>
    </row>
    <row r="4542" spans="1:10" hidden="1">
      <c r="A4542" s="4">
        <v>2.0210346433000099E+17</v>
      </c>
      <c r="B4542" s="4">
        <v>8460901617</v>
      </c>
      <c r="C4542" s="4" t="s">
        <v>4203</v>
      </c>
      <c r="D4542" s="4">
        <v>46433</v>
      </c>
      <c r="E4542" s="4">
        <v>20210315</v>
      </c>
      <c r="F4542" s="4">
        <v>20210315</v>
      </c>
      <c r="G4542" s="4">
        <v>20240315</v>
      </c>
      <c r="H4542" s="4" t="s">
        <v>2316</v>
      </c>
      <c r="I4542" s="4" t="s">
        <v>4202</v>
      </c>
      <c r="J4542" s="4" t="s">
        <v>4201</v>
      </c>
    </row>
    <row r="4543" spans="1:10" hidden="1">
      <c r="A4543" s="4">
        <v>2.0210328519000099E+17</v>
      </c>
      <c r="B4543" s="4">
        <v>5292300820</v>
      </c>
      <c r="C4543" s="4" t="s">
        <v>4200</v>
      </c>
      <c r="D4543" s="4">
        <v>28519</v>
      </c>
      <c r="E4543" s="4">
        <v>20210315</v>
      </c>
      <c r="F4543" s="4">
        <v>20210315</v>
      </c>
      <c r="G4543" s="4">
        <v>20240315</v>
      </c>
      <c r="H4543" s="4" t="s">
        <v>4199</v>
      </c>
      <c r="I4543" s="4" t="s">
        <v>4198</v>
      </c>
      <c r="J4543" s="4" t="s">
        <v>1412</v>
      </c>
    </row>
    <row r="4544" spans="1:10">
      <c r="A4544" s="4">
        <v>2.0210518119000301E+17</v>
      </c>
      <c r="B4544" s="4">
        <v>3342301051</v>
      </c>
      <c r="C4544" s="4" t="s">
        <v>8549</v>
      </c>
      <c r="D4544" s="4">
        <v>18119</v>
      </c>
      <c r="E4544" s="4">
        <v>20210507</v>
      </c>
      <c r="F4544" s="4">
        <v>20210507</v>
      </c>
      <c r="G4544" s="4">
        <v>20240507</v>
      </c>
      <c r="H4544" s="4" t="s">
        <v>8548</v>
      </c>
      <c r="I4544" s="4" t="s">
        <v>149</v>
      </c>
      <c r="J4544" s="4" t="s">
        <v>707</v>
      </c>
    </row>
    <row r="4545" spans="1:10" hidden="1">
      <c r="A4545" s="4">
        <v>2.0210325944000099E+17</v>
      </c>
      <c r="B4545" s="4">
        <v>6548701146</v>
      </c>
      <c r="C4545" s="4" t="s">
        <v>4194</v>
      </c>
      <c r="D4545" s="4">
        <v>25944</v>
      </c>
      <c r="E4545" s="4">
        <v>20210312</v>
      </c>
      <c r="F4545" s="4">
        <v>20210312</v>
      </c>
      <c r="G4545" s="4">
        <v>20240312</v>
      </c>
      <c r="H4545" s="4" t="s">
        <v>4193</v>
      </c>
      <c r="I4545" s="4" t="s">
        <v>4192</v>
      </c>
      <c r="J4545" s="4" t="s">
        <v>1334</v>
      </c>
    </row>
    <row r="4546" spans="1:10" hidden="1">
      <c r="A4546" s="4">
        <v>2.0210323325000099E+17</v>
      </c>
      <c r="B4546" s="4">
        <v>2318106908</v>
      </c>
      <c r="C4546" s="4" t="s">
        <v>4191</v>
      </c>
      <c r="D4546" s="4">
        <v>23325</v>
      </c>
      <c r="E4546" s="4">
        <v>20210312</v>
      </c>
      <c r="F4546" s="4">
        <v>20210312</v>
      </c>
      <c r="G4546" s="4">
        <v>20210904</v>
      </c>
      <c r="H4546" s="4" t="s">
        <v>4190</v>
      </c>
      <c r="J4546" s="4" t="s">
        <v>2588</v>
      </c>
    </row>
    <row r="4547" spans="1:10" hidden="1">
      <c r="A4547" s="4">
        <v>2.0210328901000099E+17</v>
      </c>
      <c r="B4547" s="4">
        <v>4268101063</v>
      </c>
      <c r="C4547" s="4" t="s">
        <v>4189</v>
      </c>
      <c r="D4547" s="4">
        <v>28901</v>
      </c>
      <c r="E4547" s="4">
        <v>20210312</v>
      </c>
      <c r="F4547" s="4">
        <v>20210312</v>
      </c>
      <c r="G4547" s="4">
        <v>20240312</v>
      </c>
      <c r="H4547" s="4" t="s">
        <v>4188</v>
      </c>
      <c r="I4547" s="4" t="s">
        <v>4187</v>
      </c>
      <c r="J4547" s="4" t="s">
        <v>4186</v>
      </c>
    </row>
    <row r="4548" spans="1:10" hidden="1">
      <c r="A4548" s="4">
        <v>2.0210328123000099E+17</v>
      </c>
      <c r="B4548" s="4">
        <v>5698701891</v>
      </c>
      <c r="C4548" s="4" t="s">
        <v>4185</v>
      </c>
      <c r="D4548" s="4">
        <v>28123</v>
      </c>
      <c r="E4548" s="4">
        <v>20210312</v>
      </c>
      <c r="F4548" s="4">
        <v>20210312</v>
      </c>
      <c r="G4548" s="4">
        <v>20240312</v>
      </c>
      <c r="H4548" s="4" t="s">
        <v>1430</v>
      </c>
      <c r="J4548" s="4" t="s">
        <v>640</v>
      </c>
    </row>
    <row r="4549" spans="1:10" hidden="1">
      <c r="A4549" s="4">
        <v>2.0210322291000099E+17</v>
      </c>
      <c r="B4549" s="4">
        <v>3148665532</v>
      </c>
      <c r="C4549" s="4" t="s">
        <v>4184</v>
      </c>
      <c r="D4549" s="4">
        <v>22291</v>
      </c>
      <c r="E4549" s="4">
        <v>20210312</v>
      </c>
      <c r="F4549" s="4">
        <v>20210312</v>
      </c>
      <c r="G4549" s="4">
        <v>20240312</v>
      </c>
      <c r="H4549" s="4" t="s">
        <v>4183</v>
      </c>
      <c r="J4549" s="4" t="s">
        <v>4182</v>
      </c>
    </row>
    <row r="4550" spans="1:10" hidden="1">
      <c r="A4550" s="4">
        <v>2.0210360221000099E+17</v>
      </c>
      <c r="B4550" s="4">
        <v>4648601245</v>
      </c>
      <c r="C4550" s="4" t="s">
        <v>4181</v>
      </c>
      <c r="D4550" s="4">
        <v>60221</v>
      </c>
      <c r="E4550" s="4">
        <v>20210312</v>
      </c>
      <c r="F4550" s="4">
        <v>20210312</v>
      </c>
      <c r="G4550" s="4">
        <v>20240312</v>
      </c>
      <c r="H4550" s="4" t="s">
        <v>4180</v>
      </c>
      <c r="I4550" s="4" t="s">
        <v>4179</v>
      </c>
      <c r="J4550" s="4" t="s">
        <v>4178</v>
      </c>
    </row>
    <row r="4551" spans="1:10" hidden="1">
      <c r="A4551" s="4">
        <v>2.0210316102000099E+17</v>
      </c>
      <c r="B4551" s="4">
        <v>2130724626</v>
      </c>
      <c r="C4551" s="4" t="s">
        <v>4177</v>
      </c>
      <c r="D4551" s="4">
        <v>16102</v>
      </c>
      <c r="E4551" s="4">
        <v>20210312</v>
      </c>
      <c r="F4551" s="4">
        <v>20210312</v>
      </c>
      <c r="G4551" s="4">
        <v>20240312</v>
      </c>
      <c r="H4551" s="4" t="s">
        <v>4176</v>
      </c>
      <c r="J4551" s="4" t="s">
        <v>451</v>
      </c>
    </row>
    <row r="4552" spans="1:10" hidden="1">
      <c r="A4552" s="4">
        <v>2.0210325932000099E+17</v>
      </c>
      <c r="B4552" s="4">
        <v>1386400461</v>
      </c>
      <c r="C4552" s="4" t="s">
        <v>4175</v>
      </c>
      <c r="D4552" s="4">
        <v>25932</v>
      </c>
      <c r="E4552" s="4">
        <v>20210312</v>
      </c>
      <c r="F4552" s="4">
        <v>20210312</v>
      </c>
      <c r="G4552" s="4">
        <v>20240312</v>
      </c>
      <c r="H4552" s="4" t="s">
        <v>4174</v>
      </c>
      <c r="I4552" s="4" t="s">
        <v>4173</v>
      </c>
      <c r="J4552" s="4" t="s">
        <v>246</v>
      </c>
    </row>
    <row r="4553" spans="1:10" hidden="1">
      <c r="A4553" s="4">
        <v>2.0210331322000099E+17</v>
      </c>
      <c r="B4553" s="4">
        <v>3588601921</v>
      </c>
      <c r="C4553" s="4" t="s">
        <v>4172</v>
      </c>
      <c r="D4553" s="4">
        <v>31322</v>
      </c>
      <c r="E4553" s="4">
        <v>20210312</v>
      </c>
      <c r="F4553" s="4">
        <v>20210312</v>
      </c>
      <c r="G4553" s="4">
        <v>20240312</v>
      </c>
      <c r="H4553" s="4" t="s">
        <v>945</v>
      </c>
      <c r="J4553" s="4" t="s">
        <v>3546</v>
      </c>
    </row>
    <row r="4554" spans="1:10" hidden="1">
      <c r="A4554" s="4">
        <v>2.0210317110000099E+17</v>
      </c>
      <c r="B4554" s="4">
        <v>3568601401</v>
      </c>
      <c r="C4554" s="4" t="s">
        <v>4171</v>
      </c>
      <c r="D4554" s="4">
        <v>17110</v>
      </c>
      <c r="E4554" s="4">
        <v>20210312</v>
      </c>
      <c r="F4554" s="4">
        <v>20210312</v>
      </c>
      <c r="G4554" s="4">
        <v>20240312</v>
      </c>
      <c r="H4554" s="4" t="s">
        <v>4170</v>
      </c>
      <c r="J4554" s="4" t="s">
        <v>4169</v>
      </c>
    </row>
    <row r="4555" spans="1:10" hidden="1">
      <c r="A4555" s="4">
        <v>2.0210322211000099E+17</v>
      </c>
      <c r="B4555" s="4">
        <v>7880101182</v>
      </c>
      <c r="C4555" s="4" t="s">
        <v>4168</v>
      </c>
      <c r="D4555" s="4">
        <v>22211</v>
      </c>
      <c r="E4555" s="4">
        <v>20210312</v>
      </c>
      <c r="F4555" s="4">
        <v>20210312</v>
      </c>
      <c r="G4555" s="4">
        <v>20240312</v>
      </c>
      <c r="H4555" s="4" t="s">
        <v>4167</v>
      </c>
      <c r="J4555" s="4" t="s">
        <v>1820</v>
      </c>
    </row>
    <row r="4556" spans="1:10" hidden="1">
      <c r="A4556" s="4">
        <v>2.0210332029000099E+17</v>
      </c>
      <c r="B4556" s="4">
        <v>2358200295</v>
      </c>
      <c r="C4556" s="4" t="s">
        <v>4166</v>
      </c>
      <c r="D4556" s="4">
        <v>32029</v>
      </c>
      <c r="E4556" s="4">
        <v>20210312</v>
      </c>
      <c r="F4556" s="4">
        <v>20210312</v>
      </c>
      <c r="G4556" s="4">
        <v>20240312</v>
      </c>
      <c r="H4556" s="4" t="s">
        <v>4165</v>
      </c>
      <c r="I4556" s="4" t="s">
        <v>4164</v>
      </c>
      <c r="J4556" s="4" t="s">
        <v>637</v>
      </c>
    </row>
    <row r="4557" spans="1:10" hidden="1">
      <c r="A4557" s="4">
        <v>2.0210310791000099E+17</v>
      </c>
      <c r="B4557" s="4">
        <v>4645700154</v>
      </c>
      <c r="C4557" s="4" t="s">
        <v>4163</v>
      </c>
      <c r="D4557" s="4">
        <v>10791</v>
      </c>
      <c r="E4557" s="4">
        <v>20210312</v>
      </c>
      <c r="F4557" s="4">
        <v>20210312</v>
      </c>
      <c r="G4557" s="4">
        <v>20240312</v>
      </c>
      <c r="H4557" s="4" t="s">
        <v>4162</v>
      </c>
      <c r="I4557" s="4" t="s">
        <v>4161</v>
      </c>
      <c r="J4557" s="4" t="s">
        <v>335</v>
      </c>
    </row>
    <row r="4558" spans="1:10" hidden="1">
      <c r="A4558" s="4">
        <v>2.0210346510000099E+17</v>
      </c>
      <c r="B4558" s="4">
        <v>3080893262</v>
      </c>
      <c r="C4558" s="4" t="s">
        <v>4160</v>
      </c>
      <c r="D4558" s="4">
        <v>46510</v>
      </c>
      <c r="E4558" s="4">
        <v>20210312</v>
      </c>
      <c r="F4558" s="4">
        <v>20210312</v>
      </c>
      <c r="G4558" s="4">
        <v>20240312</v>
      </c>
      <c r="H4558" s="4" t="s">
        <v>4159</v>
      </c>
      <c r="I4558" s="4" t="s">
        <v>938</v>
      </c>
      <c r="J4558" s="4" t="s">
        <v>126</v>
      </c>
    </row>
    <row r="4559" spans="1:10" hidden="1">
      <c r="A4559" s="4">
        <v>2.0210320499000099E+17</v>
      </c>
      <c r="B4559" s="4">
        <v>3160700409</v>
      </c>
      <c r="C4559" s="4" t="s">
        <v>4158</v>
      </c>
      <c r="D4559" s="4">
        <v>20499</v>
      </c>
      <c r="E4559" s="4">
        <v>20210312</v>
      </c>
      <c r="F4559" s="4">
        <v>20210312</v>
      </c>
      <c r="G4559" s="4">
        <v>20230406</v>
      </c>
      <c r="H4559" s="4" t="s">
        <v>1520</v>
      </c>
      <c r="I4559" s="4" t="s">
        <v>4157</v>
      </c>
      <c r="J4559" s="4" t="s">
        <v>406</v>
      </c>
    </row>
    <row r="4560" spans="1:10" hidden="1">
      <c r="A4560" s="4">
        <v>2.0210370113000099E+17</v>
      </c>
      <c r="B4560" s="4">
        <v>1598801920</v>
      </c>
      <c r="C4560" s="4" t="s">
        <v>4156</v>
      </c>
      <c r="D4560" s="4">
        <v>70113</v>
      </c>
      <c r="E4560" s="4">
        <v>20210312</v>
      </c>
      <c r="F4560" s="4">
        <v>20210312</v>
      </c>
      <c r="G4560" s="4">
        <v>20240312</v>
      </c>
      <c r="H4560" s="4" t="s">
        <v>4155</v>
      </c>
      <c r="I4560" s="4" t="s">
        <v>4154</v>
      </c>
      <c r="J4560" s="4" t="s">
        <v>1173</v>
      </c>
    </row>
    <row r="4561" spans="1:10" hidden="1">
      <c r="A4561" s="4">
        <v>2.0210320499000099E+17</v>
      </c>
      <c r="B4561" s="4">
        <v>5900700967</v>
      </c>
      <c r="C4561" s="4" t="s">
        <v>4152</v>
      </c>
      <c r="D4561" s="4">
        <v>20499</v>
      </c>
      <c r="E4561" s="4">
        <v>20210312</v>
      </c>
      <c r="F4561" s="4">
        <v>20210312</v>
      </c>
      <c r="G4561" s="4">
        <v>20240312</v>
      </c>
      <c r="H4561" s="4" t="s">
        <v>4153</v>
      </c>
      <c r="I4561" s="4" t="s">
        <v>4152</v>
      </c>
      <c r="J4561" s="4" t="s">
        <v>406</v>
      </c>
    </row>
    <row r="4562" spans="1:10" hidden="1">
      <c r="A4562" s="4">
        <v>2.0210323231000099E+17</v>
      </c>
      <c r="B4562" s="4">
        <v>3038601580</v>
      </c>
      <c r="C4562" s="4" t="s">
        <v>4151</v>
      </c>
      <c r="D4562" s="4">
        <v>23231</v>
      </c>
      <c r="E4562" s="4">
        <v>20210312</v>
      </c>
      <c r="F4562" s="4">
        <v>20210312</v>
      </c>
      <c r="G4562" s="4">
        <v>20240312</v>
      </c>
      <c r="H4562" s="4" t="s">
        <v>4150</v>
      </c>
      <c r="J4562" s="4" t="s">
        <v>4149</v>
      </c>
    </row>
    <row r="4563" spans="1:10" hidden="1">
      <c r="A4563" s="4">
        <v>2.0210317909000099E+17</v>
      </c>
      <c r="B4563" s="4">
        <v>8198701272</v>
      </c>
      <c r="C4563" s="4" t="s">
        <v>4148</v>
      </c>
      <c r="D4563" s="4">
        <v>17909</v>
      </c>
      <c r="E4563" s="4">
        <v>20210312</v>
      </c>
      <c r="F4563" s="4">
        <v>20210312</v>
      </c>
      <c r="G4563" s="4">
        <v>20240312</v>
      </c>
      <c r="H4563" s="4" t="s">
        <v>1644</v>
      </c>
      <c r="I4563" s="4" t="s">
        <v>4147</v>
      </c>
      <c r="J4563" s="4" t="s">
        <v>1810</v>
      </c>
    </row>
    <row r="4564" spans="1:10" hidden="1">
      <c r="A4564" s="4">
        <v>2.0210346109000099E+17</v>
      </c>
      <c r="B4564" s="4">
        <v>2141498361</v>
      </c>
      <c r="C4564" s="4" t="s">
        <v>4146</v>
      </c>
      <c r="D4564" s="4">
        <v>46109</v>
      </c>
      <c r="E4564" s="4">
        <v>20210312</v>
      </c>
      <c r="F4564" s="4">
        <v>20210312</v>
      </c>
      <c r="G4564" s="4">
        <v>20210801</v>
      </c>
      <c r="H4564" s="4" t="s">
        <v>4145</v>
      </c>
      <c r="I4564" s="4" t="s">
        <v>4144</v>
      </c>
      <c r="J4564" s="4" t="s">
        <v>133</v>
      </c>
    </row>
    <row r="4565" spans="1:10" hidden="1">
      <c r="A4565" s="4">
        <v>2.0210358222000099E+17</v>
      </c>
      <c r="B4565" s="4">
        <v>4818801040</v>
      </c>
      <c r="C4565" s="4" t="s">
        <v>4143</v>
      </c>
      <c r="D4565" s="4">
        <v>58222</v>
      </c>
      <c r="E4565" s="4">
        <v>20210312</v>
      </c>
      <c r="F4565" s="4">
        <v>20210312</v>
      </c>
      <c r="G4565" s="4">
        <v>20240312</v>
      </c>
      <c r="H4565" s="4" t="s">
        <v>4142</v>
      </c>
      <c r="I4565" s="4" t="s">
        <v>4141</v>
      </c>
      <c r="J4565" s="4" t="s">
        <v>94</v>
      </c>
    </row>
    <row r="4566" spans="1:10" hidden="1">
      <c r="A4566" s="4">
        <v>2.0210333910000099E+17</v>
      </c>
      <c r="B4566" s="4">
        <v>3168801367</v>
      </c>
      <c r="C4566" s="4" t="s">
        <v>4140</v>
      </c>
      <c r="D4566" s="4">
        <v>33910</v>
      </c>
      <c r="E4566" s="4">
        <v>20210312</v>
      </c>
      <c r="F4566" s="4">
        <v>20210312</v>
      </c>
      <c r="G4566" s="4">
        <v>20240312</v>
      </c>
      <c r="H4566" s="4" t="s">
        <v>4139</v>
      </c>
      <c r="J4566" s="4" t="s">
        <v>310</v>
      </c>
    </row>
    <row r="4567" spans="1:10">
      <c r="A4567" s="4">
        <v>2.0210118119E+17</v>
      </c>
      <c r="B4567" s="4">
        <v>7383900653</v>
      </c>
      <c r="C4567" s="4" t="s">
        <v>709</v>
      </c>
      <c r="D4567" s="4">
        <v>18119</v>
      </c>
      <c r="E4567" s="4">
        <v>20210125</v>
      </c>
      <c r="F4567" s="4">
        <v>20210125</v>
      </c>
      <c r="G4567" s="4">
        <v>20240125</v>
      </c>
      <c r="H4567" s="4" t="s">
        <v>708</v>
      </c>
      <c r="I4567" s="4" t="s">
        <v>91</v>
      </c>
      <c r="J4567" s="4" t="s">
        <v>707</v>
      </c>
    </row>
    <row r="4568" spans="1:10" hidden="1">
      <c r="A4568" s="4">
        <v>2.0210325999000099E+17</v>
      </c>
      <c r="B4568" s="4">
        <v>2588601000</v>
      </c>
      <c r="C4568" s="4" t="s">
        <v>4136</v>
      </c>
      <c r="D4568" s="4">
        <v>25999</v>
      </c>
      <c r="E4568" s="4">
        <v>20210312</v>
      </c>
      <c r="F4568" s="4">
        <v>20210312</v>
      </c>
      <c r="G4568" s="4">
        <v>20240312</v>
      </c>
      <c r="H4568" s="4" t="s">
        <v>4135</v>
      </c>
      <c r="I4568" s="4" t="s">
        <v>4134</v>
      </c>
      <c r="J4568" s="4" t="s">
        <v>301</v>
      </c>
    </row>
    <row r="4569" spans="1:10" hidden="1">
      <c r="A4569" s="4">
        <v>2.0210329280000099E+17</v>
      </c>
      <c r="B4569" s="4">
        <v>1048800858</v>
      </c>
      <c r="C4569" s="4" t="s">
        <v>4133</v>
      </c>
      <c r="D4569" s="4">
        <v>29280</v>
      </c>
      <c r="E4569" s="4">
        <v>20210312</v>
      </c>
      <c r="F4569" s="4">
        <v>20210312</v>
      </c>
      <c r="G4569" s="4">
        <v>20240312</v>
      </c>
      <c r="H4569" s="4" t="s">
        <v>1106</v>
      </c>
      <c r="I4569" s="4" t="s">
        <v>4132</v>
      </c>
      <c r="J4569" s="4" t="s">
        <v>533</v>
      </c>
    </row>
    <row r="4570" spans="1:10" hidden="1">
      <c r="A4570" s="4">
        <v>2.0210310799000099E+17</v>
      </c>
      <c r="B4570" s="4">
        <v>5198801966</v>
      </c>
      <c r="C4570" s="4" t="s">
        <v>4131</v>
      </c>
      <c r="D4570" s="4">
        <v>10799</v>
      </c>
      <c r="E4570" s="4">
        <v>20210312</v>
      </c>
      <c r="F4570" s="4">
        <v>20210312</v>
      </c>
      <c r="G4570" s="4">
        <v>20240312</v>
      </c>
      <c r="H4570" s="4" t="s">
        <v>4130</v>
      </c>
      <c r="I4570" s="4" t="s">
        <v>91</v>
      </c>
      <c r="J4570" s="4" t="s">
        <v>2973</v>
      </c>
    </row>
    <row r="4571" spans="1:10" hidden="1">
      <c r="A4571" s="4">
        <v>2.0210366192000099E+17</v>
      </c>
      <c r="B4571" s="4">
        <v>5848801223</v>
      </c>
      <c r="C4571" s="4" t="s">
        <v>4129</v>
      </c>
      <c r="D4571" s="4">
        <v>66192</v>
      </c>
      <c r="E4571" s="4">
        <v>20210312</v>
      </c>
      <c r="F4571" s="4">
        <v>20210312</v>
      </c>
      <c r="G4571" s="4">
        <v>20240312</v>
      </c>
      <c r="H4571" s="4" t="s">
        <v>397</v>
      </c>
      <c r="I4571" s="4" t="s">
        <v>4128</v>
      </c>
      <c r="J4571" s="4" t="s">
        <v>4127</v>
      </c>
    </row>
    <row r="4572" spans="1:10" hidden="1">
      <c r="A4572" s="4">
        <v>2.0210363991000099E+17</v>
      </c>
      <c r="B4572" s="4">
        <v>3848601935</v>
      </c>
      <c r="C4572" s="4" t="s">
        <v>4126</v>
      </c>
      <c r="D4572" s="4">
        <v>63991</v>
      </c>
      <c r="E4572" s="4">
        <v>20210312</v>
      </c>
      <c r="F4572" s="4">
        <v>20210312</v>
      </c>
      <c r="G4572" s="4">
        <v>20240312</v>
      </c>
      <c r="H4572" s="4" t="s">
        <v>4125</v>
      </c>
      <c r="I4572" s="4" t="s">
        <v>4124</v>
      </c>
      <c r="J4572" s="4" t="s">
        <v>395</v>
      </c>
    </row>
    <row r="4573" spans="1:10" hidden="1">
      <c r="A4573" s="4">
        <v>2.0210341224000099E+17</v>
      </c>
      <c r="B4573" s="4">
        <v>4848600745</v>
      </c>
      <c r="C4573" s="4" t="s">
        <v>4123</v>
      </c>
      <c r="D4573" s="4">
        <v>41224</v>
      </c>
      <c r="E4573" s="4">
        <v>20210312</v>
      </c>
      <c r="F4573" s="4">
        <v>20210312</v>
      </c>
      <c r="G4573" s="4">
        <v>20240312</v>
      </c>
      <c r="H4573" s="4" t="s">
        <v>4122</v>
      </c>
      <c r="J4573" s="4" t="s">
        <v>4121</v>
      </c>
    </row>
    <row r="4574" spans="1:10" hidden="1">
      <c r="A4574" s="4">
        <v>2.0210341121000099E+17</v>
      </c>
      <c r="B4574" s="4">
        <v>5338800041</v>
      </c>
      <c r="C4574" s="4" t="s">
        <v>4120</v>
      </c>
      <c r="D4574" s="4">
        <v>41121</v>
      </c>
      <c r="E4574" s="4">
        <v>20210312</v>
      </c>
      <c r="F4574" s="4">
        <v>20210312</v>
      </c>
      <c r="G4574" s="4">
        <v>20220420</v>
      </c>
      <c r="H4574" s="4" t="s">
        <v>4119</v>
      </c>
      <c r="I4574" s="4" t="s">
        <v>239</v>
      </c>
      <c r="J4574" s="4" t="s">
        <v>2302</v>
      </c>
    </row>
    <row r="4575" spans="1:10" hidden="1">
      <c r="A4575" s="4">
        <v>2.0210358222000099E+17</v>
      </c>
      <c r="B4575" s="4">
        <v>6128701308</v>
      </c>
      <c r="C4575" s="4" t="s">
        <v>4118</v>
      </c>
      <c r="D4575" s="4">
        <v>58222</v>
      </c>
      <c r="E4575" s="4">
        <v>20210312</v>
      </c>
      <c r="F4575" s="4">
        <v>20210312</v>
      </c>
      <c r="G4575" s="4">
        <v>20240312</v>
      </c>
      <c r="H4575" s="4" t="s">
        <v>4117</v>
      </c>
      <c r="I4575" s="4" t="s">
        <v>4116</v>
      </c>
      <c r="J4575" s="4" t="s">
        <v>94</v>
      </c>
    </row>
    <row r="4576" spans="1:10" hidden="1">
      <c r="A4576" s="4">
        <v>2.0210327213000099E+17</v>
      </c>
      <c r="B4576" s="4">
        <v>2658701572</v>
      </c>
      <c r="C4576" s="4" t="s">
        <v>4115</v>
      </c>
      <c r="D4576" s="4">
        <v>27213</v>
      </c>
      <c r="E4576" s="4">
        <v>20210312</v>
      </c>
      <c r="F4576" s="4">
        <v>20210312</v>
      </c>
      <c r="G4576" s="4">
        <v>20240312</v>
      </c>
      <c r="H4576" s="4" t="s">
        <v>4114</v>
      </c>
      <c r="J4576" s="4" t="s">
        <v>264</v>
      </c>
    </row>
    <row r="4577" spans="1:10" hidden="1">
      <c r="A4577" s="4">
        <v>2.0210329280000099E+17</v>
      </c>
      <c r="B4577" s="4">
        <v>1808801486</v>
      </c>
      <c r="C4577" s="4" t="s">
        <v>4113</v>
      </c>
      <c r="D4577" s="4">
        <v>29280</v>
      </c>
      <c r="E4577" s="4">
        <v>20210311</v>
      </c>
      <c r="F4577" s="4">
        <v>20210311</v>
      </c>
      <c r="G4577" s="4">
        <v>20240311</v>
      </c>
      <c r="H4577" s="4" t="s">
        <v>497</v>
      </c>
      <c r="J4577" s="4" t="s">
        <v>533</v>
      </c>
    </row>
    <row r="4578" spans="1:10" hidden="1">
      <c r="A4578" s="4">
        <v>2.0210332099000099E+17</v>
      </c>
      <c r="B4578" s="4">
        <v>3558601897</v>
      </c>
      <c r="C4578" s="4" t="s">
        <v>4112</v>
      </c>
      <c r="D4578" s="4">
        <v>32099</v>
      </c>
      <c r="E4578" s="4">
        <v>20210311</v>
      </c>
      <c r="F4578" s="4">
        <v>20210311</v>
      </c>
      <c r="G4578" s="4">
        <v>20240311</v>
      </c>
      <c r="H4578" s="4" t="s">
        <v>4111</v>
      </c>
      <c r="I4578" s="4" t="s">
        <v>1813</v>
      </c>
      <c r="J4578" s="4" t="s">
        <v>162</v>
      </c>
    </row>
    <row r="4579" spans="1:10" hidden="1">
      <c r="A4579" s="4">
        <v>2.0210327302000099E+17</v>
      </c>
      <c r="B4579" s="4">
        <v>3778801004</v>
      </c>
      <c r="C4579" s="4" t="s">
        <v>4110</v>
      </c>
      <c r="D4579" s="4">
        <v>27302</v>
      </c>
      <c r="E4579" s="4">
        <v>20210311</v>
      </c>
      <c r="F4579" s="4">
        <v>20210311</v>
      </c>
      <c r="G4579" s="4">
        <v>20240311</v>
      </c>
      <c r="H4579" s="4" t="s">
        <v>4109</v>
      </c>
      <c r="I4579" s="4" t="s">
        <v>4108</v>
      </c>
      <c r="J4579" s="4" t="s">
        <v>2148</v>
      </c>
    </row>
    <row r="4580" spans="1:10" hidden="1">
      <c r="A4580" s="4">
        <v>2.0210320202000099E+17</v>
      </c>
      <c r="B4580" s="4">
        <v>8538101061</v>
      </c>
      <c r="C4580" s="4" t="s">
        <v>4107</v>
      </c>
      <c r="D4580" s="4">
        <v>20202</v>
      </c>
      <c r="E4580" s="4">
        <v>20210311</v>
      </c>
      <c r="F4580" s="4">
        <v>20210311</v>
      </c>
      <c r="G4580" s="4">
        <v>20240311</v>
      </c>
      <c r="H4580" s="4" t="s">
        <v>4106</v>
      </c>
      <c r="J4580" s="4" t="s">
        <v>224</v>
      </c>
    </row>
    <row r="4581" spans="1:10" hidden="1">
      <c r="A4581" s="4">
        <v>2.0210370209000099E+17</v>
      </c>
      <c r="B4581" s="4">
        <v>5028641006</v>
      </c>
      <c r="C4581" s="4" t="s">
        <v>4105</v>
      </c>
      <c r="D4581" s="4">
        <v>70209</v>
      </c>
      <c r="E4581" s="4">
        <v>20210311</v>
      </c>
      <c r="F4581" s="4">
        <v>20210311</v>
      </c>
      <c r="G4581" s="4">
        <v>20240311</v>
      </c>
      <c r="H4581" s="4" t="s">
        <v>4104</v>
      </c>
      <c r="I4581" s="4" t="s">
        <v>4103</v>
      </c>
      <c r="J4581" s="4" t="s">
        <v>242</v>
      </c>
    </row>
    <row r="4582" spans="1:10" hidden="1">
      <c r="A4582" s="4">
        <v>2.0210331312000099E+17</v>
      </c>
      <c r="B4582" s="4">
        <v>3168800091</v>
      </c>
      <c r="C4582" s="4" t="s">
        <v>4102</v>
      </c>
      <c r="D4582" s="4">
        <v>31312</v>
      </c>
      <c r="E4582" s="4">
        <v>20210311</v>
      </c>
      <c r="F4582" s="4">
        <v>20210311</v>
      </c>
      <c r="G4582" s="4">
        <v>20220526</v>
      </c>
      <c r="H4582" s="4" t="s">
        <v>4101</v>
      </c>
      <c r="J4582" s="4" t="s">
        <v>748</v>
      </c>
    </row>
    <row r="4583" spans="1:10" hidden="1">
      <c r="A4583" s="4">
        <v>2.0210363991000099E+17</v>
      </c>
      <c r="B4583" s="4">
        <v>7788702058</v>
      </c>
      <c r="C4583" s="4" t="s">
        <v>4100</v>
      </c>
      <c r="D4583" s="4">
        <v>63991</v>
      </c>
      <c r="E4583" s="4">
        <v>20210311</v>
      </c>
      <c r="F4583" s="4">
        <v>20210311</v>
      </c>
      <c r="G4583" s="4">
        <v>20240311</v>
      </c>
      <c r="H4583" s="4" t="s">
        <v>4099</v>
      </c>
      <c r="I4583" s="4" t="s">
        <v>4098</v>
      </c>
      <c r="J4583" s="4" t="s">
        <v>395</v>
      </c>
    </row>
    <row r="4584" spans="1:10" hidden="1">
      <c r="A4584" s="4">
        <v>2.0210358221000099E+17</v>
      </c>
      <c r="B4584" s="4">
        <v>3718101064</v>
      </c>
      <c r="C4584" s="4" t="s">
        <v>4097</v>
      </c>
      <c r="D4584" s="4">
        <v>58221</v>
      </c>
      <c r="E4584" s="4">
        <v>20210311</v>
      </c>
      <c r="F4584" s="4">
        <v>20210311</v>
      </c>
      <c r="G4584" s="4">
        <v>20240311</v>
      </c>
      <c r="H4584" s="4" t="s">
        <v>4096</v>
      </c>
      <c r="I4584" s="4" t="s">
        <v>4095</v>
      </c>
      <c r="J4584" s="4" t="s">
        <v>228</v>
      </c>
    </row>
    <row r="4585" spans="1:10" hidden="1">
      <c r="A4585" s="4">
        <v>2.0210328519000099E+17</v>
      </c>
      <c r="B4585" s="4">
        <v>1448800967</v>
      </c>
      <c r="C4585" s="4" t="s">
        <v>4093</v>
      </c>
      <c r="D4585" s="4">
        <v>28519</v>
      </c>
      <c r="E4585" s="4">
        <v>20210311</v>
      </c>
      <c r="F4585" s="4">
        <v>20210311</v>
      </c>
      <c r="G4585" s="4">
        <v>20240311</v>
      </c>
      <c r="H4585" s="4" t="s">
        <v>4094</v>
      </c>
      <c r="I4585" s="4" t="s">
        <v>4093</v>
      </c>
      <c r="J4585" s="4" t="s">
        <v>1412</v>
      </c>
    </row>
    <row r="4586" spans="1:10" hidden="1">
      <c r="A4586" s="4">
        <v>2.0210372122000099E+17</v>
      </c>
      <c r="B4586" s="4">
        <v>8248801062</v>
      </c>
      <c r="C4586" s="4" t="s">
        <v>4092</v>
      </c>
      <c r="D4586" s="4">
        <v>72122</v>
      </c>
      <c r="E4586" s="4">
        <v>20210311</v>
      </c>
      <c r="F4586" s="4">
        <v>20210311</v>
      </c>
      <c r="G4586" s="4">
        <v>20240311</v>
      </c>
      <c r="H4586" s="4" t="s">
        <v>4091</v>
      </c>
      <c r="I4586" s="4" t="s">
        <v>1156</v>
      </c>
      <c r="J4586" s="4" t="s">
        <v>2484</v>
      </c>
    </row>
    <row r="4587" spans="1:10" hidden="1">
      <c r="A4587" s="4">
        <v>2.0210326129000099E+17</v>
      </c>
      <c r="B4587" s="4">
        <v>4958800337</v>
      </c>
      <c r="C4587" s="4" t="s">
        <v>4090</v>
      </c>
      <c r="D4587" s="4">
        <v>26129</v>
      </c>
      <c r="E4587" s="4">
        <v>20210311</v>
      </c>
      <c r="F4587" s="4">
        <v>20210311</v>
      </c>
      <c r="G4587" s="4">
        <v>20230425</v>
      </c>
      <c r="H4587" s="4" t="s">
        <v>4089</v>
      </c>
      <c r="J4587" s="4" t="s">
        <v>403</v>
      </c>
    </row>
    <row r="4588" spans="1:10" hidden="1">
      <c r="A4588" s="4">
        <v>2.0210358222000099E+17</v>
      </c>
      <c r="B4588" s="4">
        <v>2018801497</v>
      </c>
      <c r="C4588" s="4" t="s">
        <v>4088</v>
      </c>
      <c r="D4588" s="4">
        <v>58222</v>
      </c>
      <c r="E4588" s="4">
        <v>20210311</v>
      </c>
      <c r="F4588" s="4">
        <v>20210311</v>
      </c>
      <c r="G4588" s="4">
        <v>20240311</v>
      </c>
      <c r="H4588" s="4" t="s">
        <v>4087</v>
      </c>
      <c r="I4588" s="4" t="s">
        <v>91</v>
      </c>
      <c r="J4588" s="4" t="s">
        <v>94</v>
      </c>
    </row>
    <row r="4589" spans="1:10" hidden="1">
      <c r="A4589" s="4">
        <v>2.0210324113000099E+17</v>
      </c>
      <c r="B4589" s="4">
        <v>6778601875</v>
      </c>
      <c r="C4589" s="4" t="s">
        <v>4086</v>
      </c>
      <c r="D4589" s="4">
        <v>24113</v>
      </c>
      <c r="E4589" s="4">
        <v>20210311</v>
      </c>
      <c r="F4589" s="4">
        <v>20210311</v>
      </c>
      <c r="G4589" s="4">
        <v>20240311</v>
      </c>
      <c r="H4589" s="4" t="s">
        <v>4085</v>
      </c>
      <c r="I4589" s="4" t="s">
        <v>4084</v>
      </c>
      <c r="J4589" s="4" t="s">
        <v>4083</v>
      </c>
    </row>
    <row r="4590" spans="1:10" hidden="1">
      <c r="A4590" s="4">
        <v>2.0210358222000099E+17</v>
      </c>
      <c r="B4590" s="4">
        <v>8728701045</v>
      </c>
      <c r="C4590" s="4" t="s">
        <v>4082</v>
      </c>
      <c r="D4590" s="4">
        <v>58222</v>
      </c>
      <c r="E4590" s="4">
        <v>20210311</v>
      </c>
      <c r="F4590" s="4">
        <v>20210311</v>
      </c>
      <c r="G4590" s="4">
        <v>20240311</v>
      </c>
      <c r="H4590" s="4" t="s">
        <v>4081</v>
      </c>
      <c r="I4590" s="4" t="s">
        <v>4080</v>
      </c>
      <c r="J4590" s="4" t="s">
        <v>94</v>
      </c>
    </row>
    <row r="4591" spans="1:10" hidden="1">
      <c r="A4591" s="4">
        <v>2.0210329131000099E+17</v>
      </c>
      <c r="B4591" s="4">
        <v>3458601643</v>
      </c>
      <c r="C4591" s="4" t="s">
        <v>4079</v>
      </c>
      <c r="D4591" s="4">
        <v>29131</v>
      </c>
      <c r="E4591" s="4">
        <v>20210311</v>
      </c>
      <c r="F4591" s="4">
        <v>20210311</v>
      </c>
      <c r="G4591" s="4">
        <v>20240311</v>
      </c>
      <c r="H4591" s="4" t="s">
        <v>929</v>
      </c>
      <c r="I4591" s="4" t="s">
        <v>4078</v>
      </c>
      <c r="J4591" s="4" t="s">
        <v>4077</v>
      </c>
    </row>
    <row r="4592" spans="1:10" hidden="1">
      <c r="A4592" s="4">
        <v>2.0210346732000099E+17</v>
      </c>
      <c r="B4592" s="4">
        <v>8663500493</v>
      </c>
      <c r="C4592" s="4" t="s">
        <v>4076</v>
      </c>
      <c r="D4592" s="4">
        <v>46732</v>
      </c>
      <c r="E4592" s="4">
        <v>20210311</v>
      </c>
      <c r="F4592" s="4">
        <v>20210311</v>
      </c>
      <c r="G4592" s="4">
        <v>20240311</v>
      </c>
      <c r="H4592" s="4" t="s">
        <v>4075</v>
      </c>
      <c r="J4592" s="4" t="s">
        <v>4074</v>
      </c>
    </row>
    <row r="4593" spans="1:10" hidden="1">
      <c r="A4593" s="4">
        <v>2.0210358222000099E+17</v>
      </c>
      <c r="B4593" s="4">
        <v>3663500805</v>
      </c>
      <c r="C4593" s="4" t="s">
        <v>4073</v>
      </c>
      <c r="D4593" s="4">
        <v>58222</v>
      </c>
      <c r="E4593" s="4">
        <v>20210311</v>
      </c>
      <c r="F4593" s="4">
        <v>20210311</v>
      </c>
      <c r="G4593" s="4">
        <v>20240311</v>
      </c>
      <c r="H4593" s="4" t="s">
        <v>4072</v>
      </c>
      <c r="I4593" s="4" t="s">
        <v>4071</v>
      </c>
      <c r="J4593" s="4" t="s">
        <v>94</v>
      </c>
    </row>
    <row r="4594" spans="1:10" hidden="1">
      <c r="A4594" s="4">
        <v>2.0210373203000099E+17</v>
      </c>
      <c r="B4594" s="4">
        <v>1052234340</v>
      </c>
      <c r="C4594" s="4" t="s">
        <v>4070</v>
      </c>
      <c r="D4594" s="4">
        <v>73203</v>
      </c>
      <c r="E4594" s="4">
        <v>20210311</v>
      </c>
      <c r="F4594" s="4">
        <v>20210311</v>
      </c>
      <c r="G4594" s="4">
        <v>20211226</v>
      </c>
      <c r="H4594" s="4" t="s">
        <v>4069</v>
      </c>
      <c r="I4594" s="4" t="s">
        <v>4068</v>
      </c>
      <c r="J4594" s="4" t="s">
        <v>260</v>
      </c>
    </row>
    <row r="4595" spans="1:10" hidden="1">
      <c r="A4595" s="4">
        <v>2.0210316299000099E+17</v>
      </c>
      <c r="B4595" s="4">
        <v>4484200162</v>
      </c>
      <c r="C4595" s="4" t="s">
        <v>4066</v>
      </c>
      <c r="D4595" s="4">
        <v>16299</v>
      </c>
      <c r="E4595" s="4">
        <v>20210311</v>
      </c>
      <c r="F4595" s="4">
        <v>20210311</v>
      </c>
      <c r="G4595" s="4">
        <v>20230610</v>
      </c>
      <c r="H4595" s="4" t="s">
        <v>4067</v>
      </c>
      <c r="I4595" s="4" t="s">
        <v>4066</v>
      </c>
      <c r="J4595" s="4" t="s">
        <v>1863</v>
      </c>
    </row>
    <row r="4596" spans="1:10" hidden="1">
      <c r="A4596" s="4">
        <v>2.0210325924000099E+17</v>
      </c>
      <c r="B4596" s="4">
        <v>1026000222</v>
      </c>
      <c r="C4596" s="4" t="s">
        <v>4065</v>
      </c>
      <c r="D4596" s="4">
        <v>25924</v>
      </c>
      <c r="E4596" s="4">
        <v>20210311</v>
      </c>
      <c r="F4596" s="4">
        <v>20210311</v>
      </c>
      <c r="G4596" s="4">
        <v>20240311</v>
      </c>
      <c r="H4596" s="4" t="s">
        <v>4064</v>
      </c>
      <c r="J4596" s="4" t="s">
        <v>757</v>
      </c>
    </row>
    <row r="4597" spans="1:10" hidden="1">
      <c r="A4597" s="4">
        <v>2.0210325119000099E+17</v>
      </c>
      <c r="B4597" s="4">
        <v>6562400930</v>
      </c>
      <c r="C4597" s="4" t="s">
        <v>4063</v>
      </c>
      <c r="D4597" s="4">
        <v>25119</v>
      </c>
      <c r="E4597" s="4">
        <v>20210311</v>
      </c>
      <c r="F4597" s="4">
        <v>20210311</v>
      </c>
      <c r="G4597" s="4">
        <v>20240311</v>
      </c>
      <c r="H4597" s="4" t="s">
        <v>4062</v>
      </c>
      <c r="I4597" s="4" t="s">
        <v>4061</v>
      </c>
      <c r="J4597" s="4" t="s">
        <v>679</v>
      </c>
    </row>
    <row r="4598" spans="1:10" hidden="1">
      <c r="A4598" s="4">
        <v>2.0210330310000099E+17</v>
      </c>
      <c r="B4598" s="4">
        <v>1213493193</v>
      </c>
      <c r="C4598" s="4" t="s">
        <v>4060</v>
      </c>
      <c r="D4598" s="4">
        <v>30310</v>
      </c>
      <c r="E4598" s="4">
        <v>20210311</v>
      </c>
      <c r="F4598" s="4">
        <v>20210311</v>
      </c>
      <c r="G4598" s="4">
        <v>20240311</v>
      </c>
      <c r="H4598" s="4" t="s">
        <v>4059</v>
      </c>
      <c r="J4598" s="4" t="s">
        <v>4058</v>
      </c>
    </row>
    <row r="4599" spans="1:10" hidden="1">
      <c r="A4599" s="4">
        <v>2.0210373203000099E+17</v>
      </c>
      <c r="B4599" s="4">
        <v>5340300616</v>
      </c>
      <c r="C4599" s="4" t="s">
        <v>4057</v>
      </c>
      <c r="D4599" s="4">
        <v>73203</v>
      </c>
      <c r="E4599" s="4">
        <v>20210311</v>
      </c>
      <c r="F4599" s="4">
        <v>20210311</v>
      </c>
      <c r="G4599" s="4">
        <v>20231115</v>
      </c>
      <c r="H4599" s="4" t="s">
        <v>4056</v>
      </c>
      <c r="I4599" s="4" t="s">
        <v>4055</v>
      </c>
      <c r="J4599" s="4" t="s">
        <v>260</v>
      </c>
    </row>
    <row r="4600" spans="1:10" hidden="1">
      <c r="A4600" s="4">
        <v>2.0210366202000099E+17</v>
      </c>
      <c r="B4600" s="4">
        <v>8028701482</v>
      </c>
      <c r="C4600" s="4" t="s">
        <v>4054</v>
      </c>
      <c r="D4600" s="4">
        <v>66202</v>
      </c>
      <c r="E4600" s="4">
        <v>20210311</v>
      </c>
      <c r="F4600" s="4">
        <v>20210311</v>
      </c>
      <c r="G4600" s="4">
        <v>20240311</v>
      </c>
      <c r="H4600" s="4" t="s">
        <v>4053</v>
      </c>
      <c r="I4600" s="4" t="s">
        <v>4052</v>
      </c>
      <c r="J4600" s="4" t="s">
        <v>4051</v>
      </c>
    </row>
    <row r="4601" spans="1:10" hidden="1">
      <c r="A4601" s="4">
        <v>2.0210362010000099E+17</v>
      </c>
      <c r="B4601" s="4">
        <v>1642301132</v>
      </c>
      <c r="C4601" s="4" t="s">
        <v>4050</v>
      </c>
      <c r="D4601" s="4">
        <v>62010</v>
      </c>
      <c r="E4601" s="4">
        <v>20210311</v>
      </c>
      <c r="F4601" s="4">
        <v>20210311</v>
      </c>
      <c r="G4601" s="4">
        <v>20240311</v>
      </c>
      <c r="H4601" s="4" t="s">
        <v>318</v>
      </c>
      <c r="I4601" s="4" t="s">
        <v>4049</v>
      </c>
      <c r="J4601" s="4" t="s">
        <v>118</v>
      </c>
    </row>
    <row r="4602" spans="1:10" hidden="1">
      <c r="A4602" s="4">
        <v>2.0210359111000099E+17</v>
      </c>
      <c r="B4602" s="4">
        <v>4093800272</v>
      </c>
      <c r="C4602" s="4" t="s">
        <v>4048</v>
      </c>
      <c r="D4602" s="4">
        <v>59111</v>
      </c>
      <c r="E4602" s="4">
        <v>20210311</v>
      </c>
      <c r="F4602" s="4">
        <v>20210311</v>
      </c>
      <c r="G4602" s="4">
        <v>20230902</v>
      </c>
      <c r="H4602" s="4" t="s">
        <v>4047</v>
      </c>
      <c r="I4602" s="4" t="s">
        <v>4046</v>
      </c>
      <c r="J4602" s="4" t="s">
        <v>1857</v>
      </c>
    </row>
    <row r="4603" spans="1:10" hidden="1">
      <c r="A4603" s="4">
        <v>2.0210326329000099E+17</v>
      </c>
      <c r="B4603" s="4">
        <v>2278701963</v>
      </c>
      <c r="C4603" s="4" t="s">
        <v>4045</v>
      </c>
      <c r="D4603" s="4">
        <v>26329</v>
      </c>
      <c r="E4603" s="4">
        <v>20210311</v>
      </c>
      <c r="F4603" s="4">
        <v>20210311</v>
      </c>
      <c r="G4603" s="4">
        <v>20240311</v>
      </c>
      <c r="H4603" s="4" t="s">
        <v>497</v>
      </c>
      <c r="J4603" s="4" t="s">
        <v>565</v>
      </c>
    </row>
    <row r="4604" spans="1:10" hidden="1">
      <c r="A4604" s="4">
        <v>2.0210333309000099E+17</v>
      </c>
      <c r="B4604" s="4">
        <v>7170201815</v>
      </c>
      <c r="C4604" s="4" t="s">
        <v>4044</v>
      </c>
      <c r="D4604" s="4">
        <v>33309</v>
      </c>
      <c r="E4604" s="4">
        <v>20210311</v>
      </c>
      <c r="F4604" s="4">
        <v>20210311</v>
      </c>
      <c r="G4604" s="4">
        <v>20240311</v>
      </c>
      <c r="H4604" s="4" t="s">
        <v>4043</v>
      </c>
      <c r="I4604" s="4" t="s">
        <v>4042</v>
      </c>
      <c r="J4604" s="4" t="s">
        <v>238</v>
      </c>
    </row>
    <row r="4605" spans="1:10" hidden="1">
      <c r="A4605" s="4">
        <v>2.0210342411000099E+17</v>
      </c>
      <c r="B4605" s="4">
        <v>3878602030</v>
      </c>
      <c r="C4605" s="4" t="s">
        <v>2213</v>
      </c>
      <c r="D4605" s="4">
        <v>42411</v>
      </c>
      <c r="E4605" s="4">
        <v>20210311</v>
      </c>
      <c r="F4605" s="4">
        <v>20210311</v>
      </c>
      <c r="G4605" s="4">
        <v>20240311</v>
      </c>
      <c r="H4605" s="4" t="s">
        <v>2212</v>
      </c>
      <c r="J4605" s="4" t="s">
        <v>2211</v>
      </c>
    </row>
    <row r="4606" spans="1:10" hidden="1">
      <c r="A4606" s="4">
        <v>2.0210329169000099E+17</v>
      </c>
      <c r="B4606" s="4">
        <v>5648601472</v>
      </c>
      <c r="C4606" s="4" t="s">
        <v>4041</v>
      </c>
      <c r="D4606" s="4">
        <v>29169</v>
      </c>
      <c r="E4606" s="4">
        <v>20210311</v>
      </c>
      <c r="F4606" s="4">
        <v>20210311</v>
      </c>
      <c r="G4606" s="4">
        <v>20240311</v>
      </c>
      <c r="H4606" s="4" t="s">
        <v>4040</v>
      </c>
      <c r="J4606" s="4" t="s">
        <v>1734</v>
      </c>
    </row>
    <row r="4607" spans="1:10" hidden="1">
      <c r="A4607" s="4">
        <v>2.0210362021000099E+17</v>
      </c>
      <c r="B4607" s="4">
        <v>8718800851</v>
      </c>
      <c r="C4607" s="4" t="s">
        <v>4039</v>
      </c>
      <c r="D4607" s="4">
        <v>62021</v>
      </c>
      <c r="E4607" s="4">
        <v>20210311</v>
      </c>
      <c r="F4607" s="4">
        <v>20210311</v>
      </c>
      <c r="G4607" s="4">
        <v>20240311</v>
      </c>
      <c r="H4607" s="4" t="s">
        <v>4038</v>
      </c>
      <c r="I4607" s="4" t="s">
        <v>4037</v>
      </c>
      <c r="J4607" s="4" t="s">
        <v>1505</v>
      </c>
    </row>
    <row r="4608" spans="1:10">
      <c r="A4608" s="4">
        <v>2.0210446453000198E+17</v>
      </c>
      <c r="B4608" s="4">
        <v>3376400281</v>
      </c>
      <c r="C4608" s="4" t="s">
        <v>6809</v>
      </c>
      <c r="D4608" s="4">
        <v>46453</v>
      </c>
      <c r="E4608" s="4">
        <v>20210419</v>
      </c>
      <c r="F4608" s="4">
        <v>20210419</v>
      </c>
      <c r="G4608" s="4">
        <v>20240419</v>
      </c>
      <c r="H4608" s="4" t="s">
        <v>6808</v>
      </c>
      <c r="I4608" s="4" t="s">
        <v>6807</v>
      </c>
      <c r="J4608" s="4" t="s">
        <v>816</v>
      </c>
    </row>
    <row r="4609" spans="1:10" hidden="1">
      <c r="A4609" s="4">
        <v>2.0210347519000099E+17</v>
      </c>
      <c r="B4609" s="4">
        <v>7578800934</v>
      </c>
      <c r="C4609" s="4" t="s">
        <v>4033</v>
      </c>
      <c r="D4609" s="4">
        <v>47519</v>
      </c>
      <c r="E4609" s="4">
        <v>20210311</v>
      </c>
      <c r="F4609" s="4">
        <v>20210311</v>
      </c>
      <c r="G4609" s="4">
        <v>20240311</v>
      </c>
      <c r="H4609" s="4" t="s">
        <v>4032</v>
      </c>
      <c r="J4609" s="4" t="s">
        <v>4031</v>
      </c>
    </row>
    <row r="4610" spans="1:10">
      <c r="A4610" s="4">
        <v>2.0210446453000198E+17</v>
      </c>
      <c r="B4610" s="4">
        <v>4614300522</v>
      </c>
      <c r="C4610" s="4" t="s">
        <v>7312</v>
      </c>
      <c r="D4610" s="4">
        <v>46453</v>
      </c>
      <c r="E4610" s="4">
        <v>20210422</v>
      </c>
      <c r="F4610" s="4">
        <v>20210422</v>
      </c>
      <c r="G4610" s="4">
        <v>20240422</v>
      </c>
      <c r="H4610" s="4" t="s">
        <v>7311</v>
      </c>
      <c r="I4610" s="4" t="s">
        <v>7310</v>
      </c>
      <c r="J4610" s="4" t="s">
        <v>816</v>
      </c>
    </row>
    <row r="4611" spans="1:10" hidden="1">
      <c r="A4611" s="4">
        <v>2.0210346499000099E+17</v>
      </c>
      <c r="B4611" s="4">
        <v>7694800120</v>
      </c>
      <c r="C4611" s="4" t="s">
        <v>4028</v>
      </c>
      <c r="D4611" s="4">
        <v>46499</v>
      </c>
      <c r="E4611" s="4">
        <v>20210311</v>
      </c>
      <c r="F4611" s="4">
        <v>20210311</v>
      </c>
      <c r="G4611" s="4">
        <v>20230421</v>
      </c>
      <c r="H4611" s="4" t="s">
        <v>4027</v>
      </c>
      <c r="I4611" s="4" t="s">
        <v>1801</v>
      </c>
      <c r="J4611" s="4" t="s">
        <v>184</v>
      </c>
    </row>
    <row r="4612" spans="1:10" hidden="1">
      <c r="A4612" s="4">
        <v>2.0210346452000099E+17</v>
      </c>
      <c r="B4612" s="4">
        <v>7761800344</v>
      </c>
      <c r="C4612" s="4" t="s">
        <v>4026</v>
      </c>
      <c r="D4612" s="4">
        <v>46452</v>
      </c>
      <c r="E4612" s="4">
        <v>20210311</v>
      </c>
      <c r="F4612" s="4">
        <v>20210311</v>
      </c>
      <c r="G4612" s="4">
        <v>20230228</v>
      </c>
      <c r="H4612" s="4" t="s">
        <v>4025</v>
      </c>
      <c r="I4612" s="4" t="s">
        <v>4024</v>
      </c>
      <c r="J4612" s="4" t="s">
        <v>516</v>
      </c>
    </row>
    <row r="4613" spans="1:10" hidden="1">
      <c r="A4613" s="4">
        <v>2.0210328429000099E+17</v>
      </c>
      <c r="B4613" s="4">
        <v>5788801188</v>
      </c>
      <c r="C4613" s="4" t="s">
        <v>4023</v>
      </c>
      <c r="D4613" s="4">
        <v>28429</v>
      </c>
      <c r="E4613" s="4">
        <v>20210311</v>
      </c>
      <c r="F4613" s="4">
        <v>20210311</v>
      </c>
      <c r="G4613" s="4">
        <v>20240311</v>
      </c>
      <c r="H4613" s="4" t="s">
        <v>4022</v>
      </c>
      <c r="J4613" s="4" t="s">
        <v>765</v>
      </c>
    </row>
    <row r="4614" spans="1:10" hidden="1">
      <c r="A4614" s="4">
        <v>2.0210342321000099E+17</v>
      </c>
      <c r="B4614" s="4">
        <v>3964600699</v>
      </c>
      <c r="C4614" s="4" t="s">
        <v>4021</v>
      </c>
      <c r="D4614" s="4">
        <v>42321</v>
      </c>
      <c r="E4614" s="4">
        <v>20210311</v>
      </c>
      <c r="F4614" s="4">
        <v>20210311</v>
      </c>
      <c r="G4614" s="4">
        <v>20240311</v>
      </c>
      <c r="H4614" s="4" t="s">
        <v>825</v>
      </c>
      <c r="I4614" s="4" t="s">
        <v>4020</v>
      </c>
      <c r="J4614" s="4" t="s">
        <v>698</v>
      </c>
    </row>
    <row r="4615" spans="1:10" hidden="1">
      <c r="A4615" s="4">
        <v>2.0210314499000099E+17</v>
      </c>
      <c r="B4615" s="4">
        <v>6508701974</v>
      </c>
      <c r="C4615" s="4" t="s">
        <v>4019</v>
      </c>
      <c r="D4615" s="4">
        <v>14499</v>
      </c>
      <c r="E4615" s="4">
        <v>20210311</v>
      </c>
      <c r="F4615" s="4">
        <v>20210311</v>
      </c>
      <c r="G4615" s="4">
        <v>20240311</v>
      </c>
      <c r="H4615" s="4" t="s">
        <v>4018</v>
      </c>
      <c r="J4615" s="4" t="s">
        <v>502</v>
      </c>
    </row>
    <row r="4616" spans="1:10" hidden="1">
      <c r="A4616" s="4">
        <v>2.0210342420000099E+17</v>
      </c>
      <c r="B4616" s="4">
        <v>3778600243</v>
      </c>
      <c r="C4616" s="4" t="s">
        <v>4017</v>
      </c>
      <c r="D4616" s="4">
        <v>42420</v>
      </c>
      <c r="E4616" s="4">
        <v>20210311</v>
      </c>
      <c r="F4616" s="4">
        <v>20210311</v>
      </c>
      <c r="G4616" s="4">
        <v>20221113</v>
      </c>
      <c r="H4616" s="4" t="s">
        <v>4016</v>
      </c>
      <c r="J4616" s="4" t="s">
        <v>1649</v>
      </c>
    </row>
    <row r="4617" spans="1:10" hidden="1">
      <c r="A4617" s="4">
        <v>2.0210329299000099E+17</v>
      </c>
      <c r="B4617" s="4">
        <v>3128668682</v>
      </c>
      <c r="C4617" s="4" t="s">
        <v>4015</v>
      </c>
      <c r="D4617" s="4">
        <v>29299</v>
      </c>
      <c r="E4617" s="4">
        <v>20210311</v>
      </c>
      <c r="F4617" s="4">
        <v>20210311</v>
      </c>
      <c r="G4617" s="4">
        <v>20210722</v>
      </c>
      <c r="H4617" s="4" t="s">
        <v>4014</v>
      </c>
      <c r="J4617" s="4" t="s">
        <v>137</v>
      </c>
    </row>
    <row r="4618" spans="1:10" hidden="1">
      <c r="A4618" s="4">
        <v>2.0210328511000099E+17</v>
      </c>
      <c r="B4618" s="4">
        <v>3908601740</v>
      </c>
      <c r="C4618" s="4" t="s">
        <v>4013</v>
      </c>
      <c r="D4618" s="4">
        <v>28511</v>
      </c>
      <c r="E4618" s="4">
        <v>20210311</v>
      </c>
      <c r="F4618" s="4">
        <v>20210311</v>
      </c>
      <c r="G4618" s="4">
        <v>20240311</v>
      </c>
      <c r="H4618" s="4" t="s">
        <v>4012</v>
      </c>
      <c r="I4618" s="4" t="s">
        <v>4011</v>
      </c>
      <c r="J4618" s="4" t="s">
        <v>928</v>
      </c>
    </row>
    <row r="4619" spans="1:10" hidden="1">
      <c r="A4619" s="4">
        <v>2.0210313999000099E+17</v>
      </c>
      <c r="B4619" s="4">
        <v>6288101655</v>
      </c>
      <c r="C4619" s="4" t="s">
        <v>4010</v>
      </c>
      <c r="D4619" s="4">
        <v>13999</v>
      </c>
      <c r="E4619" s="4">
        <v>20210311</v>
      </c>
      <c r="F4619" s="4">
        <v>20210311</v>
      </c>
      <c r="G4619" s="4">
        <v>20240311</v>
      </c>
      <c r="H4619" s="4" t="s">
        <v>4009</v>
      </c>
      <c r="I4619" s="4" t="s">
        <v>4008</v>
      </c>
      <c r="J4619" s="4" t="s">
        <v>130</v>
      </c>
    </row>
    <row r="4620" spans="1:10">
      <c r="A4620" s="4">
        <v>2.0210718129000602E+17</v>
      </c>
      <c r="B4620" s="4">
        <v>4050620936</v>
      </c>
      <c r="C4620" s="4" t="s">
        <v>14559</v>
      </c>
      <c r="D4620" s="4">
        <v>18129</v>
      </c>
      <c r="E4620" s="4">
        <v>20210707</v>
      </c>
      <c r="F4620" s="4">
        <v>20210707</v>
      </c>
      <c r="G4620" s="4">
        <v>20240707</v>
      </c>
      <c r="H4620" s="4" t="s">
        <v>770</v>
      </c>
      <c r="I4620" s="4" t="s">
        <v>14558</v>
      </c>
      <c r="J4620" s="4" t="s">
        <v>2546</v>
      </c>
    </row>
    <row r="4621" spans="1:10" hidden="1">
      <c r="A4621" s="4">
        <v>2.0210325112000099E+17</v>
      </c>
      <c r="B4621" s="4">
        <v>6528801190</v>
      </c>
      <c r="C4621" s="4" t="s">
        <v>4005</v>
      </c>
      <c r="D4621" s="4">
        <v>25112</v>
      </c>
      <c r="E4621" s="4">
        <v>20210311</v>
      </c>
      <c r="F4621" s="4">
        <v>20210311</v>
      </c>
      <c r="G4621" s="4">
        <v>20240311</v>
      </c>
      <c r="H4621" s="4" t="s">
        <v>4004</v>
      </c>
      <c r="I4621" s="4" t="s">
        <v>4003</v>
      </c>
      <c r="J4621" s="4" t="s">
        <v>320</v>
      </c>
    </row>
    <row r="4622" spans="1:10" hidden="1">
      <c r="A4622" s="4">
        <v>2.0210328410000099E+17</v>
      </c>
      <c r="B4622" s="4">
        <v>7658101269</v>
      </c>
      <c r="C4622" s="4" t="s">
        <v>4002</v>
      </c>
      <c r="D4622" s="4">
        <v>28410</v>
      </c>
      <c r="E4622" s="4">
        <v>20210311</v>
      </c>
      <c r="F4622" s="4">
        <v>20210311</v>
      </c>
      <c r="G4622" s="4">
        <v>20240311</v>
      </c>
      <c r="H4622" s="4" t="s">
        <v>4001</v>
      </c>
      <c r="I4622" s="4" t="s">
        <v>4000</v>
      </c>
      <c r="J4622" s="4" t="s">
        <v>2199</v>
      </c>
    </row>
    <row r="4623" spans="1:10" hidden="1">
      <c r="A4623" s="4">
        <v>2.0210328422000099E+17</v>
      </c>
      <c r="B4623" s="4">
        <v>2868800728</v>
      </c>
      <c r="C4623" s="4" t="s">
        <v>3999</v>
      </c>
      <c r="D4623" s="4">
        <v>28422</v>
      </c>
      <c r="E4623" s="4">
        <v>20210311</v>
      </c>
      <c r="F4623" s="4">
        <v>20210311</v>
      </c>
      <c r="G4623" s="4">
        <v>20240311</v>
      </c>
      <c r="H4623" s="4" t="s">
        <v>3538</v>
      </c>
      <c r="I4623" s="4" t="s">
        <v>3998</v>
      </c>
      <c r="J4623" s="4" t="s">
        <v>188</v>
      </c>
    </row>
    <row r="4624" spans="1:10" hidden="1">
      <c r="A4624" s="4">
        <v>2.0210328422000099E+17</v>
      </c>
      <c r="B4624" s="4">
        <v>1578801341</v>
      </c>
      <c r="C4624" s="4" t="s">
        <v>3997</v>
      </c>
      <c r="D4624" s="4">
        <v>28422</v>
      </c>
      <c r="E4624" s="4">
        <v>20210311</v>
      </c>
      <c r="F4624" s="4">
        <v>20210311</v>
      </c>
      <c r="G4624" s="4">
        <v>20240311</v>
      </c>
      <c r="H4624" s="4" t="s">
        <v>3996</v>
      </c>
      <c r="I4624" s="4" t="s">
        <v>149</v>
      </c>
      <c r="J4624" s="4" t="s">
        <v>188</v>
      </c>
    </row>
    <row r="4625" spans="1:10" hidden="1">
      <c r="A4625" s="4">
        <v>2.0210313229000099E+17</v>
      </c>
      <c r="B4625" s="4">
        <v>1518601581</v>
      </c>
      <c r="C4625" s="4" t="s">
        <v>3995</v>
      </c>
      <c r="D4625" s="4">
        <v>13229</v>
      </c>
      <c r="E4625" s="4">
        <v>20210311</v>
      </c>
      <c r="F4625" s="4">
        <v>20210311</v>
      </c>
      <c r="G4625" s="4">
        <v>20240311</v>
      </c>
      <c r="H4625" s="4" t="s">
        <v>3994</v>
      </c>
      <c r="J4625" s="4" t="s">
        <v>115</v>
      </c>
    </row>
    <row r="4626" spans="1:10" hidden="1">
      <c r="A4626" s="4">
        <v>2.0210320411000099E+17</v>
      </c>
      <c r="B4626" s="4">
        <v>5848101146</v>
      </c>
      <c r="C4626" s="4" t="s">
        <v>3993</v>
      </c>
      <c r="D4626" s="4">
        <v>20411</v>
      </c>
      <c r="E4626" s="4">
        <v>20210311</v>
      </c>
      <c r="F4626" s="4">
        <v>20210311</v>
      </c>
      <c r="G4626" s="4">
        <v>20240311</v>
      </c>
      <c r="H4626" s="4" t="s">
        <v>3992</v>
      </c>
      <c r="I4626" s="4" t="s">
        <v>3991</v>
      </c>
      <c r="J4626" s="4" t="s">
        <v>694</v>
      </c>
    </row>
    <row r="4627" spans="1:10" hidden="1">
      <c r="A4627" s="4">
        <v>2.0210331114000099E+17</v>
      </c>
      <c r="B4627" s="4">
        <v>7478701924</v>
      </c>
      <c r="C4627" s="4" t="s">
        <v>3990</v>
      </c>
      <c r="D4627" s="4">
        <v>31114</v>
      </c>
      <c r="E4627" s="4">
        <v>20210311</v>
      </c>
      <c r="F4627" s="4">
        <v>20210311</v>
      </c>
      <c r="G4627" s="4">
        <v>20240311</v>
      </c>
      <c r="H4627" s="4" t="s">
        <v>3989</v>
      </c>
      <c r="J4627" s="4" t="s">
        <v>1070</v>
      </c>
    </row>
    <row r="4628" spans="1:10" hidden="1">
      <c r="A4628" s="4">
        <v>2.0210363991000099E+17</v>
      </c>
      <c r="B4628" s="4">
        <v>8938101716</v>
      </c>
      <c r="C4628" s="4" t="s">
        <v>3988</v>
      </c>
      <c r="D4628" s="4">
        <v>63991</v>
      </c>
      <c r="E4628" s="4">
        <v>20210311</v>
      </c>
      <c r="F4628" s="4">
        <v>20210311</v>
      </c>
      <c r="G4628" s="4">
        <v>20240311</v>
      </c>
      <c r="H4628" s="4" t="s">
        <v>431</v>
      </c>
      <c r="I4628" s="4" t="s">
        <v>3987</v>
      </c>
      <c r="J4628" s="4" t="s">
        <v>395</v>
      </c>
    </row>
    <row r="4629" spans="1:10" hidden="1">
      <c r="A4629" s="4">
        <v>2.0210323324000099E+17</v>
      </c>
      <c r="B4629" s="4">
        <v>2348109210</v>
      </c>
      <c r="C4629" s="4" t="s">
        <v>3986</v>
      </c>
      <c r="D4629" s="4">
        <v>23324</v>
      </c>
      <c r="E4629" s="4">
        <v>20210311</v>
      </c>
      <c r="F4629" s="4">
        <v>20210311</v>
      </c>
      <c r="G4629" s="4">
        <v>20230805</v>
      </c>
      <c r="H4629" s="4" t="s">
        <v>3985</v>
      </c>
      <c r="I4629" s="4" t="s">
        <v>3984</v>
      </c>
      <c r="J4629" s="4" t="s">
        <v>3323</v>
      </c>
    </row>
    <row r="4630" spans="1:10" hidden="1">
      <c r="A4630" s="4">
        <v>2.0210342411000099E+17</v>
      </c>
      <c r="B4630" s="4">
        <v>2878101323</v>
      </c>
      <c r="C4630" s="4" t="s">
        <v>3983</v>
      </c>
      <c r="D4630" s="4">
        <v>42411</v>
      </c>
      <c r="E4630" s="4">
        <v>20210311</v>
      </c>
      <c r="F4630" s="4">
        <v>20210311</v>
      </c>
      <c r="G4630" s="4">
        <v>20240311</v>
      </c>
      <c r="H4630" s="4" t="s">
        <v>3982</v>
      </c>
      <c r="J4630" s="4" t="s">
        <v>2211</v>
      </c>
    </row>
    <row r="4631" spans="1:10" hidden="1">
      <c r="A4631" s="4">
        <v>2.0210341226000099E+17</v>
      </c>
      <c r="B4631" s="4">
        <v>7798801480</v>
      </c>
      <c r="C4631" s="4" t="s">
        <v>3981</v>
      </c>
      <c r="D4631" s="4">
        <v>41226</v>
      </c>
      <c r="E4631" s="4">
        <v>20210311</v>
      </c>
      <c r="F4631" s="4">
        <v>20210311</v>
      </c>
      <c r="G4631" s="4">
        <v>20240311</v>
      </c>
      <c r="H4631" s="4" t="s">
        <v>3980</v>
      </c>
      <c r="J4631" s="4" t="s">
        <v>1063</v>
      </c>
    </row>
    <row r="4632" spans="1:10" hidden="1">
      <c r="A4632" s="4">
        <v>2.0210342492000099E+17</v>
      </c>
      <c r="B4632" s="4">
        <v>6818101831</v>
      </c>
      <c r="C4632" s="4" t="s">
        <v>3979</v>
      </c>
      <c r="D4632" s="4">
        <v>42492</v>
      </c>
      <c r="E4632" s="4">
        <v>20210311</v>
      </c>
      <c r="F4632" s="4">
        <v>20210311</v>
      </c>
      <c r="G4632" s="4">
        <v>20240311</v>
      </c>
      <c r="H4632" s="4" t="s">
        <v>3978</v>
      </c>
      <c r="J4632" s="4" t="s">
        <v>3977</v>
      </c>
    </row>
    <row r="4633" spans="1:10" hidden="1">
      <c r="A4633" s="4">
        <v>2.0210313229000099E+17</v>
      </c>
      <c r="B4633" s="4">
        <v>1658102041</v>
      </c>
      <c r="C4633" s="4" t="s">
        <v>3976</v>
      </c>
      <c r="D4633" s="4">
        <v>13229</v>
      </c>
      <c r="E4633" s="4">
        <v>20210311</v>
      </c>
      <c r="F4633" s="4">
        <v>20210311</v>
      </c>
      <c r="G4633" s="4">
        <v>20240311</v>
      </c>
      <c r="H4633" s="4" t="s">
        <v>3975</v>
      </c>
      <c r="I4633" s="4" t="s">
        <v>3974</v>
      </c>
      <c r="J4633" s="4" t="s">
        <v>115</v>
      </c>
    </row>
    <row r="4634" spans="1:10" hidden="1">
      <c r="A4634" s="4">
        <v>2.0210346800000099E+17</v>
      </c>
      <c r="B4634" s="4">
        <v>8878600997</v>
      </c>
      <c r="C4634" s="4" t="s">
        <v>3973</v>
      </c>
      <c r="D4634" s="4">
        <v>46800</v>
      </c>
      <c r="E4634" s="4">
        <v>20210311</v>
      </c>
      <c r="F4634" s="4">
        <v>20210311</v>
      </c>
      <c r="G4634" s="4">
        <v>20240311</v>
      </c>
      <c r="H4634" s="4" t="s">
        <v>3972</v>
      </c>
      <c r="I4634" s="4" t="s">
        <v>3971</v>
      </c>
      <c r="J4634" s="4" t="s">
        <v>979</v>
      </c>
    </row>
    <row r="4635" spans="1:10" hidden="1">
      <c r="A4635" s="4">
        <v>2.0210329271000099E+17</v>
      </c>
      <c r="B4635" s="4">
        <v>5868600978</v>
      </c>
      <c r="C4635" s="4" t="s">
        <v>3970</v>
      </c>
      <c r="D4635" s="4">
        <v>29271</v>
      </c>
      <c r="E4635" s="4">
        <v>20210311</v>
      </c>
      <c r="F4635" s="4">
        <v>20210311</v>
      </c>
      <c r="G4635" s="4">
        <v>20240311</v>
      </c>
      <c r="H4635" s="4" t="s">
        <v>1332</v>
      </c>
      <c r="I4635" s="4" t="s">
        <v>3969</v>
      </c>
      <c r="J4635" s="4" t="s">
        <v>285</v>
      </c>
    </row>
    <row r="4636" spans="1:10" hidden="1">
      <c r="A4636" s="4">
        <v>2.0210370129000099E+17</v>
      </c>
      <c r="B4636" s="4">
        <v>4798102071</v>
      </c>
      <c r="C4636" s="4" t="s">
        <v>3968</v>
      </c>
      <c r="D4636" s="4">
        <v>70129</v>
      </c>
      <c r="E4636" s="4">
        <v>20210311</v>
      </c>
      <c r="F4636" s="4">
        <v>20210311</v>
      </c>
      <c r="G4636" s="4">
        <v>20240311</v>
      </c>
      <c r="H4636" s="4" t="s">
        <v>3967</v>
      </c>
      <c r="I4636" s="4" t="s">
        <v>3966</v>
      </c>
      <c r="J4636" s="4" t="s">
        <v>937</v>
      </c>
    </row>
    <row r="4637" spans="1:10" hidden="1">
      <c r="A4637" s="4">
        <v>2.0210329299000099E+17</v>
      </c>
      <c r="B4637" s="4">
        <v>7528601249</v>
      </c>
      <c r="C4637" s="4" t="s">
        <v>3965</v>
      </c>
      <c r="D4637" s="4">
        <v>29299</v>
      </c>
      <c r="E4637" s="4">
        <v>20210311</v>
      </c>
      <c r="F4637" s="4">
        <v>20210311</v>
      </c>
      <c r="G4637" s="4">
        <v>20240311</v>
      </c>
      <c r="H4637" s="4" t="s">
        <v>3964</v>
      </c>
      <c r="J4637" s="4" t="s">
        <v>137</v>
      </c>
    </row>
    <row r="4638" spans="1:10" hidden="1">
      <c r="A4638" s="4">
        <v>2.0210329223000099E+17</v>
      </c>
      <c r="B4638" s="4">
        <v>2208899463</v>
      </c>
      <c r="C4638" s="4" t="s">
        <v>3963</v>
      </c>
      <c r="D4638" s="4">
        <v>29223</v>
      </c>
      <c r="E4638" s="4">
        <v>20210311</v>
      </c>
      <c r="F4638" s="4">
        <v>20210311</v>
      </c>
      <c r="G4638" s="4">
        <v>20240311</v>
      </c>
      <c r="H4638" s="4" t="s">
        <v>3962</v>
      </c>
      <c r="I4638" s="4" t="s">
        <v>3961</v>
      </c>
      <c r="J4638" s="4" t="s">
        <v>599</v>
      </c>
    </row>
    <row r="4639" spans="1:10" hidden="1">
      <c r="A4639" s="4">
        <v>2.0210325111000099E+17</v>
      </c>
      <c r="B4639" s="4">
        <v>4788700897</v>
      </c>
      <c r="C4639" s="4" t="s">
        <v>3960</v>
      </c>
      <c r="D4639" s="4">
        <v>25111</v>
      </c>
      <c r="E4639" s="4">
        <v>20210311</v>
      </c>
      <c r="F4639" s="4">
        <v>20210311</v>
      </c>
      <c r="G4639" s="4">
        <v>20240311</v>
      </c>
      <c r="H4639" s="4" t="s">
        <v>3959</v>
      </c>
      <c r="I4639" s="4" t="s">
        <v>3958</v>
      </c>
      <c r="J4639" s="4" t="s">
        <v>82</v>
      </c>
    </row>
    <row r="4640" spans="1:10" hidden="1">
      <c r="A4640" s="4">
        <v>2.0210371310000099E+17</v>
      </c>
      <c r="B4640" s="4">
        <v>6628701230</v>
      </c>
      <c r="C4640" s="4" t="s">
        <v>3957</v>
      </c>
      <c r="D4640" s="4">
        <v>71310</v>
      </c>
      <c r="E4640" s="4">
        <v>20210311</v>
      </c>
      <c r="F4640" s="4">
        <v>20210311</v>
      </c>
      <c r="G4640" s="4">
        <v>20240311</v>
      </c>
      <c r="H4640" s="4" t="s">
        <v>797</v>
      </c>
      <c r="I4640" s="4" t="s">
        <v>3956</v>
      </c>
      <c r="J4640" s="4" t="s">
        <v>426</v>
      </c>
    </row>
    <row r="4641" spans="1:10" hidden="1">
      <c r="A4641" s="4">
        <v>2.0210358222000099E+17</v>
      </c>
      <c r="B4641" s="4">
        <v>7958701146</v>
      </c>
      <c r="C4641" s="4" t="s">
        <v>3955</v>
      </c>
      <c r="D4641" s="4">
        <v>58222</v>
      </c>
      <c r="E4641" s="4">
        <v>20210311</v>
      </c>
      <c r="F4641" s="4">
        <v>20210311</v>
      </c>
      <c r="G4641" s="4">
        <v>20240311</v>
      </c>
      <c r="H4641" s="4" t="s">
        <v>1912</v>
      </c>
      <c r="I4641" s="4" t="s">
        <v>1322</v>
      </c>
      <c r="J4641" s="4" t="s">
        <v>94</v>
      </c>
    </row>
    <row r="4642" spans="1:10" hidden="1">
      <c r="A4642" s="4">
        <v>2.0210342311000099E+17</v>
      </c>
      <c r="B4642" s="4">
        <v>1538701060</v>
      </c>
      <c r="C4642" s="4" t="s">
        <v>3954</v>
      </c>
      <c r="D4642" s="4">
        <v>42311</v>
      </c>
      <c r="E4642" s="4">
        <v>20210311</v>
      </c>
      <c r="F4642" s="4">
        <v>20210311</v>
      </c>
      <c r="G4642" s="4">
        <v>20240311</v>
      </c>
      <c r="H4642" s="4" t="s">
        <v>3953</v>
      </c>
      <c r="I4642" s="4" t="s">
        <v>3952</v>
      </c>
      <c r="J4642" s="4" t="s">
        <v>718</v>
      </c>
    </row>
    <row r="4643" spans="1:10" hidden="1">
      <c r="A4643" s="4">
        <v>2.0210332011000099E+17</v>
      </c>
      <c r="B4643" s="4">
        <v>1288711709</v>
      </c>
      <c r="C4643" s="4" t="s">
        <v>3951</v>
      </c>
      <c r="D4643" s="4">
        <v>32011</v>
      </c>
      <c r="E4643" s="4">
        <v>20210311</v>
      </c>
      <c r="F4643" s="4">
        <v>20210311</v>
      </c>
      <c r="G4643" s="4">
        <v>20210716</v>
      </c>
      <c r="H4643" s="4" t="s">
        <v>3950</v>
      </c>
      <c r="I4643" s="4" t="s">
        <v>591</v>
      </c>
      <c r="J4643" s="4" t="s">
        <v>3949</v>
      </c>
    </row>
    <row r="4644" spans="1:10" hidden="1">
      <c r="A4644" s="4">
        <v>2.0210324290000099E+17</v>
      </c>
      <c r="B4644" s="4">
        <v>5358100937</v>
      </c>
      <c r="C4644" s="4" t="s">
        <v>3948</v>
      </c>
      <c r="D4644" s="4">
        <v>24290</v>
      </c>
      <c r="E4644" s="4">
        <v>20210311</v>
      </c>
      <c r="F4644" s="4">
        <v>20210311</v>
      </c>
      <c r="G4644" s="4">
        <v>20240311</v>
      </c>
      <c r="H4644" s="4" t="s">
        <v>2513</v>
      </c>
      <c r="I4644" s="4" t="s">
        <v>3947</v>
      </c>
      <c r="J4644" s="4" t="s">
        <v>325</v>
      </c>
    </row>
    <row r="4645" spans="1:10" hidden="1">
      <c r="A4645" s="4">
        <v>2.0210328111000099E+17</v>
      </c>
      <c r="B4645" s="4">
        <v>8858701338</v>
      </c>
      <c r="C4645" s="4" t="s">
        <v>3946</v>
      </c>
      <c r="D4645" s="4">
        <v>28111</v>
      </c>
      <c r="E4645" s="4">
        <v>20210311</v>
      </c>
      <c r="F4645" s="4">
        <v>20210311</v>
      </c>
      <c r="G4645" s="4">
        <v>20240311</v>
      </c>
      <c r="H4645" s="4" t="s">
        <v>3945</v>
      </c>
      <c r="I4645" s="4" t="s">
        <v>3944</v>
      </c>
      <c r="J4645" s="4" t="s">
        <v>1614</v>
      </c>
    </row>
    <row r="4646" spans="1:10" hidden="1">
      <c r="A4646" s="4">
        <v>2.0210370111000099E+17</v>
      </c>
      <c r="B4646" s="4">
        <v>5808602022</v>
      </c>
      <c r="C4646" s="4" t="s">
        <v>3943</v>
      </c>
      <c r="D4646" s="4">
        <v>70111</v>
      </c>
      <c r="E4646" s="4">
        <v>20210311</v>
      </c>
      <c r="F4646" s="4">
        <v>20210311</v>
      </c>
      <c r="G4646" s="4">
        <v>20240311</v>
      </c>
      <c r="H4646" s="4" t="s">
        <v>3942</v>
      </c>
      <c r="I4646" s="4" t="s">
        <v>1156</v>
      </c>
      <c r="J4646" s="4" t="s">
        <v>399</v>
      </c>
    </row>
    <row r="4647" spans="1:10" hidden="1">
      <c r="A4647" s="4">
        <v>2.0210333409000099E+17</v>
      </c>
      <c r="B4647" s="4">
        <v>8508101382</v>
      </c>
      <c r="C4647" s="4" t="s">
        <v>3941</v>
      </c>
      <c r="D4647" s="4">
        <v>33409</v>
      </c>
      <c r="E4647" s="4">
        <v>20210311</v>
      </c>
      <c r="F4647" s="4">
        <v>20210311</v>
      </c>
      <c r="G4647" s="4">
        <v>20240311</v>
      </c>
      <c r="H4647" s="4" t="s">
        <v>3940</v>
      </c>
      <c r="I4647" s="4" t="s">
        <v>805</v>
      </c>
      <c r="J4647" s="4" t="s">
        <v>3939</v>
      </c>
    </row>
    <row r="4648" spans="1:10" hidden="1">
      <c r="A4648" s="4">
        <v>2.0210362021000099E+17</v>
      </c>
      <c r="B4648" s="4">
        <v>8818601834</v>
      </c>
      <c r="C4648" s="4" t="s">
        <v>3938</v>
      </c>
      <c r="D4648" s="4">
        <v>62021</v>
      </c>
      <c r="E4648" s="4">
        <v>20210311</v>
      </c>
      <c r="F4648" s="4">
        <v>20210311</v>
      </c>
      <c r="G4648" s="4">
        <v>20240311</v>
      </c>
      <c r="H4648" s="4" t="s">
        <v>3937</v>
      </c>
      <c r="J4648" s="4" t="s">
        <v>1505</v>
      </c>
    </row>
    <row r="4649" spans="1:10" hidden="1">
      <c r="A4649" s="4">
        <v>2.0210358221000099E+17</v>
      </c>
      <c r="B4649" s="4">
        <v>5648101628</v>
      </c>
      <c r="C4649" s="4" t="s">
        <v>3936</v>
      </c>
      <c r="D4649" s="4">
        <v>58221</v>
      </c>
      <c r="E4649" s="4">
        <v>20210311</v>
      </c>
      <c r="F4649" s="4">
        <v>20210311</v>
      </c>
      <c r="G4649" s="4">
        <v>20240311</v>
      </c>
      <c r="H4649" s="4" t="s">
        <v>3935</v>
      </c>
      <c r="I4649" s="4" t="s">
        <v>3934</v>
      </c>
      <c r="J4649" s="4" t="s">
        <v>228</v>
      </c>
    </row>
    <row r="4650" spans="1:10" hidden="1">
      <c r="A4650" s="4">
        <v>2.0210322249000099E+17</v>
      </c>
      <c r="B4650" s="4">
        <v>3688701148</v>
      </c>
      <c r="C4650" s="4" t="s">
        <v>3932</v>
      </c>
      <c r="D4650" s="4">
        <v>22249</v>
      </c>
      <c r="E4650" s="4">
        <v>20210311</v>
      </c>
      <c r="F4650" s="4">
        <v>20210311</v>
      </c>
      <c r="G4650" s="4">
        <v>20240311</v>
      </c>
      <c r="H4650" s="4" t="s">
        <v>3933</v>
      </c>
      <c r="I4650" s="4" t="s">
        <v>3932</v>
      </c>
      <c r="J4650" s="4" t="s">
        <v>3931</v>
      </c>
    </row>
    <row r="4651" spans="1:10" hidden="1">
      <c r="A4651" s="4">
        <v>2.0210328123000099E+17</v>
      </c>
      <c r="B4651" s="4">
        <v>5778101401</v>
      </c>
      <c r="C4651" s="4" t="s">
        <v>3930</v>
      </c>
      <c r="D4651" s="4">
        <v>28123</v>
      </c>
      <c r="E4651" s="4">
        <v>20210311</v>
      </c>
      <c r="F4651" s="4">
        <v>20210311</v>
      </c>
      <c r="G4651" s="4">
        <v>20240311</v>
      </c>
      <c r="H4651" s="4" t="s">
        <v>3929</v>
      </c>
      <c r="J4651" s="4" t="s">
        <v>640</v>
      </c>
    </row>
    <row r="4652" spans="1:10" hidden="1">
      <c r="A4652" s="4">
        <v>2.0210342311000099E+17</v>
      </c>
      <c r="B4652" s="4">
        <v>4538102161</v>
      </c>
      <c r="C4652" s="4" t="s">
        <v>3928</v>
      </c>
      <c r="D4652" s="4">
        <v>42311</v>
      </c>
      <c r="E4652" s="4">
        <v>20210311</v>
      </c>
      <c r="F4652" s="4">
        <v>20210311</v>
      </c>
      <c r="G4652" s="4">
        <v>20240311</v>
      </c>
      <c r="H4652" s="4" t="s">
        <v>2891</v>
      </c>
      <c r="J4652" s="4" t="s">
        <v>718</v>
      </c>
    </row>
    <row r="4653" spans="1:10" hidden="1">
      <c r="A4653" s="4">
        <v>2.0210329280000099E+17</v>
      </c>
      <c r="B4653" s="4">
        <v>3638701653</v>
      </c>
      <c r="C4653" s="4" t="s">
        <v>3927</v>
      </c>
      <c r="D4653" s="4">
        <v>29280</v>
      </c>
      <c r="E4653" s="4">
        <v>20210311</v>
      </c>
      <c r="F4653" s="4">
        <v>20210311</v>
      </c>
      <c r="G4653" s="4">
        <v>20240311</v>
      </c>
      <c r="H4653" s="4" t="s">
        <v>3926</v>
      </c>
      <c r="I4653" s="4" t="s">
        <v>657</v>
      </c>
      <c r="J4653" s="4" t="s">
        <v>533</v>
      </c>
    </row>
    <row r="4654" spans="1:10" hidden="1">
      <c r="A4654" s="4">
        <v>2.0210346522000099E+17</v>
      </c>
      <c r="B4654" s="4">
        <v>7098801628</v>
      </c>
      <c r="C4654" s="4" t="s">
        <v>3925</v>
      </c>
      <c r="D4654" s="4">
        <v>46522</v>
      </c>
      <c r="E4654" s="4">
        <v>20210311</v>
      </c>
      <c r="F4654" s="4">
        <v>20210311</v>
      </c>
      <c r="G4654" s="4">
        <v>20240311</v>
      </c>
      <c r="H4654" s="4" t="s">
        <v>3924</v>
      </c>
      <c r="I4654" s="4" t="s">
        <v>3923</v>
      </c>
      <c r="J4654" s="4" t="s">
        <v>3922</v>
      </c>
    </row>
    <row r="4655" spans="1:10" hidden="1">
      <c r="A4655" s="4">
        <v>2.0210313229000099E+17</v>
      </c>
      <c r="B4655" s="4">
        <v>3850201660</v>
      </c>
      <c r="C4655" s="4" t="s">
        <v>3921</v>
      </c>
      <c r="D4655" s="4">
        <v>13229</v>
      </c>
      <c r="E4655" s="4">
        <v>20210311</v>
      </c>
      <c r="F4655" s="4">
        <v>20210311</v>
      </c>
      <c r="G4655" s="4">
        <v>20240311</v>
      </c>
      <c r="H4655" s="4" t="s">
        <v>3920</v>
      </c>
      <c r="J4655" s="4" t="s">
        <v>115</v>
      </c>
    </row>
    <row r="4656" spans="1:10" hidden="1">
      <c r="A4656" s="4">
        <v>2.0210346452000099E+17</v>
      </c>
      <c r="B4656" s="4">
        <v>6872001139</v>
      </c>
      <c r="C4656" s="4" t="s">
        <v>3919</v>
      </c>
      <c r="D4656" s="4">
        <v>46452</v>
      </c>
      <c r="E4656" s="4">
        <v>20210311</v>
      </c>
      <c r="F4656" s="4">
        <v>20210311</v>
      </c>
      <c r="G4656" s="4">
        <v>20240311</v>
      </c>
      <c r="H4656" s="4" t="s">
        <v>3918</v>
      </c>
      <c r="I4656" s="4" t="s">
        <v>938</v>
      </c>
      <c r="J4656" s="4" t="s">
        <v>516</v>
      </c>
    </row>
    <row r="4657" spans="1:10" hidden="1">
      <c r="A4657" s="4">
        <v>2.0210311112000099E+17</v>
      </c>
      <c r="B4657" s="4">
        <v>1808601196</v>
      </c>
      <c r="C4657" s="4" t="s">
        <v>3917</v>
      </c>
      <c r="D4657" s="4">
        <v>11112</v>
      </c>
      <c r="E4657" s="4">
        <v>20210311</v>
      </c>
      <c r="F4657" s="4">
        <v>20210311</v>
      </c>
      <c r="G4657" s="4">
        <v>20240311</v>
      </c>
      <c r="H4657" s="4" t="s">
        <v>3916</v>
      </c>
      <c r="I4657" s="4" t="s">
        <v>149</v>
      </c>
      <c r="J4657" s="4" t="s">
        <v>3915</v>
      </c>
    </row>
    <row r="4658" spans="1:10" hidden="1">
      <c r="A4658" s="4">
        <v>2.0210347912000099E+17</v>
      </c>
      <c r="B4658" s="4">
        <v>1331124666</v>
      </c>
      <c r="C4658" s="4" t="s">
        <v>3914</v>
      </c>
      <c r="D4658" s="4">
        <v>47912</v>
      </c>
      <c r="E4658" s="4">
        <v>20210311</v>
      </c>
      <c r="F4658" s="4">
        <v>20210311</v>
      </c>
      <c r="G4658" s="4">
        <v>20240311</v>
      </c>
      <c r="H4658" s="4" t="s">
        <v>3913</v>
      </c>
      <c r="J4658" s="4" t="s">
        <v>78</v>
      </c>
    </row>
    <row r="4659" spans="1:10" hidden="1">
      <c r="A4659" s="4">
        <v>2.0210320111000099E+17</v>
      </c>
      <c r="B4659" s="4">
        <v>8958101600</v>
      </c>
      <c r="C4659" s="4" t="s">
        <v>3912</v>
      </c>
      <c r="D4659" s="4">
        <v>20111</v>
      </c>
      <c r="E4659" s="4">
        <v>20210311</v>
      </c>
      <c r="F4659" s="4">
        <v>20210311</v>
      </c>
      <c r="G4659" s="4">
        <v>20240311</v>
      </c>
      <c r="H4659" s="4" t="s">
        <v>950</v>
      </c>
      <c r="I4659" s="4" t="s">
        <v>3911</v>
      </c>
      <c r="J4659" s="4" t="s">
        <v>3910</v>
      </c>
    </row>
    <row r="4660" spans="1:10" hidden="1">
      <c r="A4660" s="4">
        <v>2.0210342311000099E+17</v>
      </c>
      <c r="B4660" s="4">
        <v>1778101730</v>
      </c>
      <c r="C4660" s="4" t="s">
        <v>3909</v>
      </c>
      <c r="D4660" s="4">
        <v>42311</v>
      </c>
      <c r="E4660" s="4">
        <v>20210311</v>
      </c>
      <c r="F4660" s="4">
        <v>20210311</v>
      </c>
      <c r="G4660" s="4">
        <v>20240311</v>
      </c>
      <c r="H4660" s="4" t="s">
        <v>3908</v>
      </c>
      <c r="I4660" s="4" t="s">
        <v>3907</v>
      </c>
      <c r="J4660" s="4" t="s">
        <v>718</v>
      </c>
    </row>
    <row r="4661" spans="1:10" hidden="1">
      <c r="A4661" s="4">
        <v>2.0210373202000099E+17</v>
      </c>
      <c r="B4661" s="4">
        <v>1126000461</v>
      </c>
      <c r="C4661" s="4" t="s">
        <v>3906</v>
      </c>
      <c r="D4661" s="4">
        <v>73202</v>
      </c>
      <c r="E4661" s="4">
        <v>20210311</v>
      </c>
      <c r="F4661" s="4">
        <v>20210311</v>
      </c>
      <c r="G4661" s="4">
        <v>20240311</v>
      </c>
      <c r="H4661" s="4" t="s">
        <v>3905</v>
      </c>
      <c r="I4661" s="4" t="s">
        <v>3904</v>
      </c>
      <c r="J4661" s="4" t="s">
        <v>605</v>
      </c>
    </row>
    <row r="4662" spans="1:10" hidden="1">
      <c r="A4662" s="4">
        <v>2.0210363999000099E+17</v>
      </c>
      <c r="B4662" s="4">
        <v>4478701849</v>
      </c>
      <c r="C4662" s="4" t="s">
        <v>3903</v>
      </c>
      <c r="D4662" s="4">
        <v>63999</v>
      </c>
      <c r="E4662" s="4">
        <v>20210310</v>
      </c>
      <c r="F4662" s="4">
        <v>20210310</v>
      </c>
      <c r="G4662" s="4">
        <v>20240310</v>
      </c>
      <c r="H4662" s="4" t="s">
        <v>3902</v>
      </c>
      <c r="I4662" s="4" t="s">
        <v>149</v>
      </c>
      <c r="J4662" s="4" t="s">
        <v>643</v>
      </c>
    </row>
    <row r="4663" spans="1:10" hidden="1">
      <c r="A4663" s="4">
        <v>2.0210331312000099E+17</v>
      </c>
      <c r="B4663" s="4">
        <v>3828701391</v>
      </c>
      <c r="C4663" s="4" t="s">
        <v>3901</v>
      </c>
      <c r="D4663" s="4">
        <v>31312</v>
      </c>
      <c r="E4663" s="4">
        <v>20210310</v>
      </c>
      <c r="F4663" s="4">
        <v>20210310</v>
      </c>
      <c r="G4663" s="4">
        <v>20240310</v>
      </c>
      <c r="H4663" s="4" t="s">
        <v>1074</v>
      </c>
      <c r="I4663" s="4" t="s">
        <v>3900</v>
      </c>
      <c r="J4663" s="4" t="s">
        <v>748</v>
      </c>
    </row>
    <row r="4664" spans="1:10" hidden="1">
      <c r="A4664" s="4">
        <v>2.0210329175000099E+17</v>
      </c>
      <c r="B4664" s="4">
        <v>1918701932</v>
      </c>
      <c r="C4664" s="4" t="s">
        <v>3899</v>
      </c>
      <c r="D4664" s="4">
        <v>29175</v>
      </c>
      <c r="E4664" s="4">
        <v>20210310</v>
      </c>
      <c r="F4664" s="4">
        <v>20210310</v>
      </c>
      <c r="G4664" s="4">
        <v>20240310</v>
      </c>
      <c r="H4664" s="4" t="s">
        <v>3898</v>
      </c>
      <c r="I4664" s="4" t="s">
        <v>3897</v>
      </c>
      <c r="J4664" s="4" t="s">
        <v>232</v>
      </c>
    </row>
    <row r="4665" spans="1:10" hidden="1">
      <c r="A4665" s="4">
        <v>2.0210329210000099E+17</v>
      </c>
      <c r="B4665" s="4">
        <v>4928801884</v>
      </c>
      <c r="C4665" s="4" t="s">
        <v>3896</v>
      </c>
      <c r="D4665" s="4">
        <v>29210</v>
      </c>
      <c r="E4665" s="4">
        <v>20210310</v>
      </c>
      <c r="F4665" s="4">
        <v>20210310</v>
      </c>
      <c r="G4665" s="4">
        <v>20240310</v>
      </c>
      <c r="H4665" s="4" t="s">
        <v>3198</v>
      </c>
      <c r="I4665" s="4" t="s">
        <v>3895</v>
      </c>
      <c r="J4665" s="4" t="s">
        <v>1274</v>
      </c>
    </row>
    <row r="4666" spans="1:10" hidden="1">
      <c r="A4666" s="4">
        <v>2.0210321300000099E+17</v>
      </c>
      <c r="B4666" s="4">
        <v>6678800330</v>
      </c>
      <c r="C4666" s="4" t="s">
        <v>3894</v>
      </c>
      <c r="D4666" s="4">
        <v>21300</v>
      </c>
      <c r="E4666" s="4">
        <v>20210310</v>
      </c>
      <c r="F4666" s="4">
        <v>20210310</v>
      </c>
      <c r="G4666" s="4">
        <v>20230426</v>
      </c>
      <c r="H4666" s="4" t="s">
        <v>3893</v>
      </c>
      <c r="I4666" s="4" t="s">
        <v>149</v>
      </c>
      <c r="J4666" s="4" t="s">
        <v>530</v>
      </c>
    </row>
    <row r="4667" spans="1:10" hidden="1">
      <c r="A4667" s="4">
        <v>2.0210326310000099E+17</v>
      </c>
      <c r="B4667" s="4">
        <v>5928100925</v>
      </c>
      <c r="C4667" s="4" t="s">
        <v>3892</v>
      </c>
      <c r="D4667" s="4">
        <v>26310</v>
      </c>
      <c r="E4667" s="4">
        <v>20210310</v>
      </c>
      <c r="F4667" s="4">
        <v>20210310</v>
      </c>
      <c r="G4667" s="4">
        <v>20240310</v>
      </c>
      <c r="H4667" s="4" t="s">
        <v>3891</v>
      </c>
      <c r="I4667" s="4" t="s">
        <v>91</v>
      </c>
      <c r="J4667" s="4" t="s">
        <v>372</v>
      </c>
    </row>
    <row r="4668" spans="1:10" hidden="1">
      <c r="A4668" s="4">
        <v>2.0210327192000099E+17</v>
      </c>
      <c r="B4668" s="4">
        <v>3238700428</v>
      </c>
      <c r="C4668" s="4" t="s">
        <v>3890</v>
      </c>
      <c r="D4668" s="4">
        <v>27192</v>
      </c>
      <c r="E4668" s="4">
        <v>20210310</v>
      </c>
      <c r="F4668" s="4">
        <v>20210310</v>
      </c>
      <c r="G4668" s="4">
        <v>20231123</v>
      </c>
      <c r="H4668" s="4" t="s">
        <v>3889</v>
      </c>
      <c r="I4668" s="4" t="s">
        <v>3888</v>
      </c>
      <c r="J4668" s="4" t="s">
        <v>1033</v>
      </c>
    </row>
    <row r="4669" spans="1:10" hidden="1">
      <c r="A4669" s="4">
        <v>2.0210325994000099E+17</v>
      </c>
      <c r="B4669" s="4">
        <v>8628701602</v>
      </c>
      <c r="C4669" s="4" t="s">
        <v>3887</v>
      </c>
      <c r="D4669" s="4">
        <v>25994</v>
      </c>
      <c r="E4669" s="4">
        <v>20210310</v>
      </c>
      <c r="F4669" s="4">
        <v>20210310</v>
      </c>
      <c r="G4669" s="4">
        <v>20240310</v>
      </c>
      <c r="H4669" s="4" t="s">
        <v>3886</v>
      </c>
      <c r="J4669" s="4" t="s">
        <v>847</v>
      </c>
    </row>
    <row r="4670" spans="1:10" hidden="1">
      <c r="A4670" s="4">
        <v>2.0210310797000099E+17</v>
      </c>
      <c r="B4670" s="4">
        <v>5548100831</v>
      </c>
      <c r="C4670" s="4" t="s">
        <v>3885</v>
      </c>
      <c r="D4670" s="4">
        <v>10797</v>
      </c>
      <c r="E4670" s="4">
        <v>20210310</v>
      </c>
      <c r="F4670" s="4">
        <v>20210310</v>
      </c>
      <c r="G4670" s="4">
        <v>20240310</v>
      </c>
      <c r="H4670" s="4" t="s">
        <v>2986</v>
      </c>
      <c r="I4670" s="4" t="s">
        <v>3884</v>
      </c>
      <c r="J4670" s="4" t="s">
        <v>1108</v>
      </c>
    </row>
    <row r="4671" spans="1:10" hidden="1">
      <c r="A4671" s="4">
        <v>2.0210325111000099E+17</v>
      </c>
      <c r="B4671" s="4">
        <v>8418701755</v>
      </c>
      <c r="C4671" s="4" t="s">
        <v>3883</v>
      </c>
      <c r="D4671" s="4">
        <v>25111</v>
      </c>
      <c r="E4671" s="4">
        <v>20210310</v>
      </c>
      <c r="F4671" s="4">
        <v>20210310</v>
      </c>
      <c r="G4671" s="4">
        <v>20240310</v>
      </c>
      <c r="H4671" s="4" t="s">
        <v>2341</v>
      </c>
      <c r="I4671" s="4" t="s">
        <v>3882</v>
      </c>
      <c r="J4671" s="4" t="s">
        <v>82</v>
      </c>
    </row>
    <row r="4672" spans="1:10" hidden="1">
      <c r="A4672" s="4">
        <v>2.0210362010000099E+17</v>
      </c>
      <c r="B4672" s="4">
        <v>2928100573</v>
      </c>
      <c r="C4672" s="4" t="s">
        <v>3881</v>
      </c>
      <c r="D4672" s="4">
        <v>62010</v>
      </c>
      <c r="E4672" s="4">
        <v>20210310</v>
      </c>
      <c r="F4672" s="4">
        <v>20210310</v>
      </c>
      <c r="G4672" s="4">
        <v>20230613</v>
      </c>
      <c r="H4672" s="4" t="s">
        <v>3880</v>
      </c>
      <c r="I4672" s="4" t="s">
        <v>3879</v>
      </c>
      <c r="J4672" s="4" t="s">
        <v>118</v>
      </c>
    </row>
    <row r="4673" spans="1:10" hidden="1">
      <c r="A4673" s="4">
        <v>2.0210370119000099E+17</v>
      </c>
      <c r="B4673" s="4">
        <v>4378801631</v>
      </c>
      <c r="C4673" s="4" t="s">
        <v>3878</v>
      </c>
      <c r="D4673" s="4">
        <v>70119</v>
      </c>
      <c r="E4673" s="4">
        <v>20210310</v>
      </c>
      <c r="F4673" s="4">
        <v>20210310</v>
      </c>
      <c r="G4673" s="4">
        <v>20240310</v>
      </c>
      <c r="H4673" s="4" t="s">
        <v>1835</v>
      </c>
      <c r="J4673" s="4" t="s">
        <v>2978</v>
      </c>
    </row>
    <row r="4674" spans="1:10" hidden="1">
      <c r="A4674" s="4">
        <v>2.0210325944000099E+17</v>
      </c>
      <c r="B4674" s="4">
        <v>6738800602</v>
      </c>
      <c r="C4674" s="4" t="s">
        <v>3877</v>
      </c>
      <c r="D4674" s="4">
        <v>25944</v>
      </c>
      <c r="E4674" s="4">
        <v>20210310</v>
      </c>
      <c r="F4674" s="4">
        <v>20210310</v>
      </c>
      <c r="G4674" s="4">
        <v>20240224</v>
      </c>
      <c r="H4674" s="4" t="s">
        <v>3876</v>
      </c>
      <c r="I4674" s="4">
        <v>0</v>
      </c>
      <c r="J4674" s="4" t="s">
        <v>1334</v>
      </c>
    </row>
    <row r="4675" spans="1:10" hidden="1">
      <c r="A4675" s="4">
        <v>2.0210373201000099E+17</v>
      </c>
      <c r="B4675" s="4">
        <v>2028165573</v>
      </c>
      <c r="C4675" s="4" t="s">
        <v>3875</v>
      </c>
      <c r="D4675" s="4">
        <v>73201</v>
      </c>
      <c r="E4675" s="4">
        <v>20210310</v>
      </c>
      <c r="F4675" s="4">
        <v>20210310</v>
      </c>
      <c r="G4675" s="4">
        <v>20240308</v>
      </c>
      <c r="H4675" s="4" t="s">
        <v>1520</v>
      </c>
      <c r="I4675" s="4" t="s">
        <v>3874</v>
      </c>
      <c r="J4675" s="4" t="s">
        <v>569</v>
      </c>
    </row>
    <row r="4676" spans="1:10" hidden="1">
      <c r="A4676" s="4">
        <v>2.0210359113000099E+17</v>
      </c>
      <c r="B4676" s="4">
        <v>4502100966</v>
      </c>
      <c r="C4676" s="4" t="s">
        <v>3873</v>
      </c>
      <c r="D4676" s="4">
        <v>59113</v>
      </c>
      <c r="E4676" s="4">
        <v>20210310</v>
      </c>
      <c r="F4676" s="4">
        <v>20210310</v>
      </c>
      <c r="G4676" s="4">
        <v>20240310</v>
      </c>
      <c r="H4676" s="4" t="s">
        <v>3872</v>
      </c>
      <c r="I4676" s="4" t="s">
        <v>149</v>
      </c>
      <c r="J4676" s="4" t="s">
        <v>3651</v>
      </c>
    </row>
    <row r="4677" spans="1:10" hidden="1">
      <c r="A4677" s="4">
        <v>2.0210363991000099E+17</v>
      </c>
      <c r="B4677" s="4">
        <v>5776100291</v>
      </c>
      <c r="C4677" s="4" t="s">
        <v>3871</v>
      </c>
      <c r="D4677" s="4">
        <v>63991</v>
      </c>
      <c r="E4677" s="4">
        <v>20210310</v>
      </c>
      <c r="F4677" s="4">
        <v>20210310</v>
      </c>
      <c r="G4677" s="4">
        <v>20240310</v>
      </c>
      <c r="H4677" s="4" t="s">
        <v>645</v>
      </c>
      <c r="I4677" s="4" t="s">
        <v>3870</v>
      </c>
      <c r="J4677" s="4" t="s">
        <v>395</v>
      </c>
    </row>
    <row r="4678" spans="1:10" hidden="1">
      <c r="A4678" s="4">
        <v>2.0210390191000099E+17</v>
      </c>
      <c r="B4678" s="4">
        <v>5854000808</v>
      </c>
      <c r="C4678" s="4" t="s">
        <v>3869</v>
      </c>
      <c r="D4678" s="4">
        <v>90191</v>
      </c>
      <c r="E4678" s="4">
        <v>20210310</v>
      </c>
      <c r="F4678" s="4">
        <v>20210310</v>
      </c>
      <c r="G4678" s="4">
        <v>20240310</v>
      </c>
      <c r="H4678" s="4" t="s">
        <v>3868</v>
      </c>
      <c r="I4678" s="4" t="s">
        <v>3867</v>
      </c>
      <c r="J4678" s="4" t="s">
        <v>3866</v>
      </c>
    </row>
    <row r="4679" spans="1:10" hidden="1">
      <c r="A4679" s="4">
        <v>2.0210374220000099E+17</v>
      </c>
      <c r="B4679" s="4">
        <v>6878102027</v>
      </c>
      <c r="C4679" s="4" t="s">
        <v>3865</v>
      </c>
      <c r="D4679" s="4">
        <v>74220</v>
      </c>
      <c r="E4679" s="4">
        <v>20210310</v>
      </c>
      <c r="F4679" s="4">
        <v>20210310</v>
      </c>
      <c r="G4679" s="4">
        <v>20240310</v>
      </c>
      <c r="H4679" s="4" t="s">
        <v>3864</v>
      </c>
      <c r="I4679" s="4" t="s">
        <v>3098</v>
      </c>
      <c r="J4679" s="4" t="s">
        <v>2988</v>
      </c>
    </row>
    <row r="4680" spans="1:10" hidden="1">
      <c r="A4680" s="4">
        <v>2.0210320493000099E+17</v>
      </c>
      <c r="B4680" s="4">
        <v>8262000943</v>
      </c>
      <c r="C4680" s="4" t="s">
        <v>3863</v>
      </c>
      <c r="D4680" s="4">
        <v>20493</v>
      </c>
      <c r="E4680" s="4">
        <v>20210310</v>
      </c>
      <c r="F4680" s="4">
        <v>20210310</v>
      </c>
      <c r="G4680" s="4">
        <v>20240310</v>
      </c>
      <c r="H4680" s="4" t="s">
        <v>3862</v>
      </c>
      <c r="I4680" s="4" t="s">
        <v>3861</v>
      </c>
      <c r="J4680" s="4" t="s">
        <v>472</v>
      </c>
    </row>
    <row r="4681" spans="1:10" hidden="1">
      <c r="A4681" s="4">
        <v>2.0210330399000099E+17</v>
      </c>
      <c r="B4681" s="4">
        <v>4768100813</v>
      </c>
      <c r="C4681" s="4" t="s">
        <v>3860</v>
      </c>
      <c r="D4681" s="4">
        <v>30399</v>
      </c>
      <c r="E4681" s="4">
        <v>20210310</v>
      </c>
      <c r="F4681" s="4">
        <v>20210310</v>
      </c>
      <c r="G4681" s="4">
        <v>20230920</v>
      </c>
      <c r="H4681" s="4" t="s">
        <v>3859</v>
      </c>
      <c r="J4681" s="4" t="s">
        <v>1763</v>
      </c>
    </row>
    <row r="4682" spans="1:10" hidden="1">
      <c r="A4682" s="4">
        <v>2.0210328422000099E+17</v>
      </c>
      <c r="B4682" s="4">
        <v>1568200196</v>
      </c>
      <c r="C4682" s="4" t="s">
        <v>3858</v>
      </c>
      <c r="D4682" s="4">
        <v>28422</v>
      </c>
      <c r="E4682" s="4">
        <v>20210310</v>
      </c>
      <c r="F4682" s="4">
        <v>20210310</v>
      </c>
      <c r="G4682" s="4">
        <v>20231005</v>
      </c>
      <c r="H4682" s="4" t="s">
        <v>521</v>
      </c>
      <c r="I4682" s="4" t="s">
        <v>3857</v>
      </c>
      <c r="J4682" s="4" t="s">
        <v>188</v>
      </c>
    </row>
    <row r="4683" spans="1:10" hidden="1">
      <c r="A4683" s="4">
        <v>2.0210329210000099E+17</v>
      </c>
      <c r="B4683" s="4">
        <v>5878800674</v>
      </c>
      <c r="C4683" s="4" t="s">
        <v>3856</v>
      </c>
      <c r="D4683" s="4">
        <v>29210</v>
      </c>
      <c r="E4683" s="4">
        <v>20210310</v>
      </c>
      <c r="F4683" s="4">
        <v>20210310</v>
      </c>
      <c r="G4683" s="4">
        <v>20240202</v>
      </c>
      <c r="H4683" s="4" t="s">
        <v>3855</v>
      </c>
      <c r="I4683" s="4" t="s">
        <v>3854</v>
      </c>
      <c r="J4683" s="4" t="s">
        <v>1274</v>
      </c>
    </row>
    <row r="4684" spans="1:10" hidden="1">
      <c r="A4684" s="4">
        <v>2.0210346209000099E+17</v>
      </c>
      <c r="B4684" s="4">
        <v>1549900863</v>
      </c>
      <c r="C4684" s="4" t="s">
        <v>3853</v>
      </c>
      <c r="D4684" s="4">
        <v>46209</v>
      </c>
      <c r="E4684" s="4">
        <v>20210310</v>
      </c>
      <c r="F4684" s="4">
        <v>20210310</v>
      </c>
      <c r="G4684" s="4">
        <v>20240310</v>
      </c>
      <c r="H4684" s="4" t="s">
        <v>3852</v>
      </c>
      <c r="I4684" s="4" t="s">
        <v>947</v>
      </c>
      <c r="J4684" s="4" t="s">
        <v>3851</v>
      </c>
    </row>
    <row r="4685" spans="1:10" hidden="1">
      <c r="A4685" s="4">
        <v>2.0210325119000099E+17</v>
      </c>
      <c r="B4685" s="4">
        <v>2878701330</v>
      </c>
      <c r="C4685" s="4" t="s">
        <v>3850</v>
      </c>
      <c r="D4685" s="4">
        <v>25119</v>
      </c>
      <c r="E4685" s="4">
        <v>20210310</v>
      </c>
      <c r="F4685" s="4">
        <v>20210310</v>
      </c>
      <c r="G4685" s="4">
        <v>20240310</v>
      </c>
      <c r="H4685" s="4" t="s">
        <v>3849</v>
      </c>
      <c r="J4685" s="4" t="s">
        <v>679</v>
      </c>
    </row>
    <row r="4686" spans="1:10" hidden="1">
      <c r="A4686" s="4">
        <v>2.0210329199000099E+17</v>
      </c>
      <c r="B4686" s="4">
        <v>8731300131</v>
      </c>
      <c r="C4686" s="4" t="s">
        <v>3848</v>
      </c>
      <c r="D4686" s="4">
        <v>29199</v>
      </c>
      <c r="E4686" s="4">
        <v>20210310</v>
      </c>
      <c r="F4686" s="4">
        <v>20210310</v>
      </c>
      <c r="G4686" s="4">
        <v>20220710</v>
      </c>
      <c r="H4686" s="4" t="s">
        <v>3847</v>
      </c>
      <c r="J4686" s="4" t="s">
        <v>166</v>
      </c>
    </row>
    <row r="4687" spans="1:10" hidden="1">
      <c r="A4687" s="4">
        <v>2.0210362010000099E+17</v>
      </c>
      <c r="B4687" s="4">
        <v>3468102048</v>
      </c>
      <c r="C4687" s="4" t="s">
        <v>3846</v>
      </c>
      <c r="D4687" s="4">
        <v>62010</v>
      </c>
      <c r="E4687" s="4">
        <v>20210310</v>
      </c>
      <c r="F4687" s="4">
        <v>20210310</v>
      </c>
      <c r="G4687" s="4">
        <v>20240310</v>
      </c>
      <c r="H4687" s="4" t="s">
        <v>3845</v>
      </c>
      <c r="I4687" s="4" t="s">
        <v>3844</v>
      </c>
      <c r="J4687" s="4" t="s">
        <v>118</v>
      </c>
    </row>
    <row r="4688" spans="1:10" hidden="1">
      <c r="A4688" s="4">
        <v>2.0210373909000099E+17</v>
      </c>
      <c r="B4688" s="4">
        <v>8552100929</v>
      </c>
      <c r="C4688" s="4" t="s">
        <v>3843</v>
      </c>
      <c r="D4688" s="4">
        <v>73909</v>
      </c>
      <c r="E4688" s="4">
        <v>20210310</v>
      </c>
      <c r="F4688" s="4">
        <v>20210310</v>
      </c>
      <c r="G4688" s="4">
        <v>20240310</v>
      </c>
      <c r="H4688" s="4" t="s">
        <v>3842</v>
      </c>
      <c r="I4688" s="4" t="s">
        <v>3841</v>
      </c>
      <c r="J4688" s="4" t="s">
        <v>293</v>
      </c>
    </row>
    <row r="4689" spans="1:10" hidden="1">
      <c r="A4689" s="4">
        <v>2.0210313229000099E+17</v>
      </c>
      <c r="B4689" s="4">
        <v>7208601937</v>
      </c>
      <c r="C4689" s="4" t="s">
        <v>3840</v>
      </c>
      <c r="D4689" s="4">
        <v>13229</v>
      </c>
      <c r="E4689" s="4">
        <v>20210310</v>
      </c>
      <c r="F4689" s="4">
        <v>20210310</v>
      </c>
      <c r="G4689" s="4">
        <v>20240310</v>
      </c>
      <c r="H4689" s="4" t="s">
        <v>3839</v>
      </c>
      <c r="J4689" s="4" t="s">
        <v>115</v>
      </c>
    </row>
    <row r="4690" spans="1:10" hidden="1">
      <c r="A4690" s="4">
        <v>2.0210358222000099E+17</v>
      </c>
      <c r="B4690" s="4">
        <v>2191063011</v>
      </c>
      <c r="C4690" s="4" t="s">
        <v>3838</v>
      </c>
      <c r="D4690" s="4">
        <v>58222</v>
      </c>
      <c r="E4690" s="4">
        <v>20210310</v>
      </c>
      <c r="F4690" s="4">
        <v>20210310</v>
      </c>
      <c r="G4690" s="4">
        <v>20240310</v>
      </c>
      <c r="H4690" s="4" t="s">
        <v>1081</v>
      </c>
      <c r="I4690" s="4" t="s">
        <v>3837</v>
      </c>
      <c r="J4690" s="4" t="s">
        <v>94</v>
      </c>
    </row>
    <row r="4691" spans="1:10" hidden="1">
      <c r="A4691" s="4">
        <v>2.0210385669000099E+17</v>
      </c>
      <c r="B4691" s="4">
        <v>6258101879</v>
      </c>
      <c r="C4691" s="4" t="s">
        <v>3836</v>
      </c>
      <c r="D4691" s="4">
        <v>85669</v>
      </c>
      <c r="E4691" s="4">
        <v>20210310</v>
      </c>
      <c r="F4691" s="4">
        <v>20210310</v>
      </c>
      <c r="G4691" s="4">
        <v>20240310</v>
      </c>
      <c r="H4691" s="4" t="s">
        <v>3835</v>
      </c>
      <c r="I4691" s="4" t="s">
        <v>3834</v>
      </c>
      <c r="J4691" s="4" t="s">
        <v>3833</v>
      </c>
    </row>
    <row r="4692" spans="1:10" hidden="1">
      <c r="A4692" s="4">
        <v>2.0210358222000099E+17</v>
      </c>
      <c r="B4692" s="4">
        <v>4308701332</v>
      </c>
      <c r="C4692" s="4" t="s">
        <v>3832</v>
      </c>
      <c r="D4692" s="4">
        <v>58222</v>
      </c>
      <c r="E4692" s="4">
        <v>20210310</v>
      </c>
      <c r="F4692" s="4">
        <v>20210310</v>
      </c>
      <c r="G4692" s="4">
        <v>20240310</v>
      </c>
      <c r="H4692" s="4" t="s">
        <v>3831</v>
      </c>
      <c r="I4692" s="4" t="s">
        <v>3830</v>
      </c>
      <c r="J4692" s="4" t="s">
        <v>94</v>
      </c>
    </row>
    <row r="4693" spans="1:10" hidden="1">
      <c r="A4693" s="4">
        <v>2.0210346799000099E+17</v>
      </c>
      <c r="B4693" s="4">
        <v>4041166480</v>
      </c>
      <c r="C4693" s="4" t="s">
        <v>3829</v>
      </c>
      <c r="D4693" s="4">
        <v>46799</v>
      </c>
      <c r="E4693" s="4">
        <v>20210310</v>
      </c>
      <c r="F4693" s="4">
        <v>20210310</v>
      </c>
      <c r="G4693" s="4">
        <v>20240310</v>
      </c>
      <c r="H4693" s="4" t="s">
        <v>1853</v>
      </c>
      <c r="I4693" s="4" t="s">
        <v>3828</v>
      </c>
      <c r="J4693" s="4" t="s">
        <v>2181</v>
      </c>
    </row>
    <row r="4694" spans="1:10" hidden="1">
      <c r="A4694" s="4">
        <v>2.0210346800000099E+17</v>
      </c>
      <c r="B4694" s="4">
        <v>2022251301</v>
      </c>
      <c r="C4694" s="4" t="s">
        <v>3827</v>
      </c>
      <c r="D4694" s="4">
        <v>46800</v>
      </c>
      <c r="E4694" s="4">
        <v>20210310</v>
      </c>
      <c r="F4694" s="4">
        <v>20210310</v>
      </c>
      <c r="G4694" s="4">
        <v>20240310</v>
      </c>
      <c r="H4694" s="4" t="s">
        <v>3826</v>
      </c>
      <c r="I4694" s="4" t="s">
        <v>3825</v>
      </c>
      <c r="J4694" s="4" t="s">
        <v>979</v>
      </c>
    </row>
    <row r="4695" spans="1:10" hidden="1">
      <c r="A4695" s="4">
        <v>2.0210358222000099E+17</v>
      </c>
      <c r="B4695" s="4">
        <v>5230401835</v>
      </c>
      <c r="C4695" s="4" t="s">
        <v>3824</v>
      </c>
      <c r="D4695" s="4">
        <v>58222</v>
      </c>
      <c r="E4695" s="4">
        <v>20210310</v>
      </c>
      <c r="F4695" s="4">
        <v>20210310</v>
      </c>
      <c r="G4695" s="4">
        <v>20240310</v>
      </c>
      <c r="H4695" s="4" t="s">
        <v>3823</v>
      </c>
      <c r="I4695" s="4" t="s">
        <v>3822</v>
      </c>
      <c r="J4695" s="4" t="s">
        <v>94</v>
      </c>
    </row>
    <row r="4696" spans="1:10" hidden="1">
      <c r="A4696" s="4">
        <v>2.0210370129000099E+17</v>
      </c>
      <c r="B4696" s="4">
        <v>4288701004</v>
      </c>
      <c r="C4696" s="4" t="s">
        <v>3821</v>
      </c>
      <c r="D4696" s="4">
        <v>70129</v>
      </c>
      <c r="E4696" s="4">
        <v>20210310</v>
      </c>
      <c r="F4696" s="4">
        <v>20210310</v>
      </c>
      <c r="G4696" s="4">
        <v>20240310</v>
      </c>
      <c r="H4696" s="4" t="s">
        <v>3820</v>
      </c>
      <c r="I4696" s="4" t="s">
        <v>3819</v>
      </c>
      <c r="J4696" s="4" t="s">
        <v>937</v>
      </c>
    </row>
    <row r="4697" spans="1:10" hidden="1">
      <c r="A4697" s="4">
        <v>2.0210320129000099E+17</v>
      </c>
      <c r="B4697" s="4">
        <v>2858601360</v>
      </c>
      <c r="C4697" s="4" t="s">
        <v>3818</v>
      </c>
      <c r="D4697" s="4">
        <v>20129</v>
      </c>
      <c r="E4697" s="4">
        <v>20210310</v>
      </c>
      <c r="F4697" s="4">
        <v>20210310</v>
      </c>
      <c r="G4697" s="4">
        <v>20240310</v>
      </c>
      <c r="H4697" s="4" t="s">
        <v>3817</v>
      </c>
      <c r="I4697" s="4">
        <v>811</v>
      </c>
      <c r="J4697" s="4" t="s">
        <v>1770</v>
      </c>
    </row>
    <row r="4698" spans="1:10" hidden="1">
      <c r="A4698" s="4">
        <v>2.0210347912000099E+17</v>
      </c>
      <c r="B4698" s="4">
        <v>6851901137</v>
      </c>
      <c r="C4698" s="4" t="s">
        <v>3816</v>
      </c>
      <c r="D4698" s="4">
        <v>47912</v>
      </c>
      <c r="E4698" s="4">
        <v>20210310</v>
      </c>
      <c r="F4698" s="4">
        <v>20210310</v>
      </c>
      <c r="G4698" s="4">
        <v>20240310</v>
      </c>
      <c r="H4698" s="4" t="s">
        <v>3815</v>
      </c>
      <c r="I4698" s="4" t="s">
        <v>3814</v>
      </c>
      <c r="J4698" s="4" t="s">
        <v>78</v>
      </c>
    </row>
    <row r="4699" spans="1:10" hidden="1">
      <c r="A4699" s="4">
        <v>2.0210326299000099E+17</v>
      </c>
      <c r="B4699" s="4">
        <v>6068701259</v>
      </c>
      <c r="C4699" s="4" t="s">
        <v>3813</v>
      </c>
      <c r="D4699" s="4">
        <v>26299</v>
      </c>
      <c r="E4699" s="4">
        <v>20210310</v>
      </c>
      <c r="F4699" s="4">
        <v>20210310</v>
      </c>
      <c r="G4699" s="4">
        <v>20240310</v>
      </c>
      <c r="H4699" s="4" t="s">
        <v>3812</v>
      </c>
      <c r="I4699" s="4" t="s">
        <v>3811</v>
      </c>
      <c r="J4699" s="4" t="s">
        <v>339</v>
      </c>
    </row>
    <row r="4700" spans="1:10" hidden="1">
      <c r="A4700" s="4">
        <v>2.0210362010000099E+17</v>
      </c>
      <c r="B4700" s="4">
        <v>6318801738</v>
      </c>
      <c r="C4700" s="4" t="s">
        <v>3810</v>
      </c>
      <c r="D4700" s="4">
        <v>62010</v>
      </c>
      <c r="E4700" s="4">
        <v>20210310</v>
      </c>
      <c r="F4700" s="4">
        <v>20210310</v>
      </c>
      <c r="G4700" s="4">
        <v>20240310</v>
      </c>
      <c r="H4700" s="4" t="s">
        <v>797</v>
      </c>
      <c r="I4700" s="4" t="s">
        <v>3809</v>
      </c>
      <c r="J4700" s="4" t="s">
        <v>118</v>
      </c>
    </row>
    <row r="4701" spans="1:10" hidden="1">
      <c r="A4701" s="4">
        <v>2.0210328422000099E+17</v>
      </c>
      <c r="B4701" s="4">
        <v>1411900981</v>
      </c>
      <c r="C4701" s="4" t="s">
        <v>3808</v>
      </c>
      <c r="D4701" s="4">
        <v>28422</v>
      </c>
      <c r="E4701" s="4">
        <v>20210310</v>
      </c>
      <c r="F4701" s="4">
        <v>20210310</v>
      </c>
      <c r="G4701" s="4">
        <v>20240310</v>
      </c>
      <c r="H4701" s="4" t="s">
        <v>3807</v>
      </c>
      <c r="I4701" s="4" t="s">
        <v>3806</v>
      </c>
      <c r="J4701" s="4" t="s">
        <v>188</v>
      </c>
    </row>
    <row r="4702" spans="1:10" hidden="1">
      <c r="A4702" s="4">
        <v>2.0210326295000099E+17</v>
      </c>
      <c r="B4702" s="4">
        <v>4640301752</v>
      </c>
      <c r="C4702" s="4" t="s">
        <v>3805</v>
      </c>
      <c r="D4702" s="4">
        <v>26295</v>
      </c>
      <c r="E4702" s="4">
        <v>20210310</v>
      </c>
      <c r="F4702" s="4">
        <v>20210310</v>
      </c>
      <c r="G4702" s="4">
        <v>20240310</v>
      </c>
      <c r="H4702" s="4" t="s">
        <v>3804</v>
      </c>
      <c r="J4702" s="4" t="s">
        <v>174</v>
      </c>
    </row>
    <row r="4703" spans="1:10" hidden="1">
      <c r="A4703" s="4">
        <v>2.0210310802000099E+17</v>
      </c>
      <c r="B4703" s="4">
        <v>6974800451</v>
      </c>
      <c r="C4703" s="4" t="s">
        <v>3803</v>
      </c>
      <c r="D4703" s="4">
        <v>10802</v>
      </c>
      <c r="E4703" s="4">
        <v>20210310</v>
      </c>
      <c r="F4703" s="4">
        <v>20210310</v>
      </c>
      <c r="G4703" s="4">
        <v>20240310</v>
      </c>
      <c r="H4703" s="4" t="s">
        <v>3802</v>
      </c>
      <c r="I4703" s="4" t="s">
        <v>3801</v>
      </c>
      <c r="J4703" s="4" t="s">
        <v>973</v>
      </c>
    </row>
    <row r="4704" spans="1:10" hidden="1">
      <c r="A4704" s="4">
        <v>2.0210328111000099E+17</v>
      </c>
      <c r="B4704" s="4">
        <v>1398700162</v>
      </c>
      <c r="C4704" s="4" t="s">
        <v>3800</v>
      </c>
      <c r="D4704" s="4">
        <v>28111</v>
      </c>
      <c r="E4704" s="4">
        <v>20210310</v>
      </c>
      <c r="F4704" s="4">
        <v>20210310</v>
      </c>
      <c r="G4704" s="4">
        <v>20220630</v>
      </c>
      <c r="H4704" s="4" t="s">
        <v>3799</v>
      </c>
      <c r="I4704" s="4" t="s">
        <v>3798</v>
      </c>
      <c r="J4704" s="4" t="s">
        <v>1614</v>
      </c>
    </row>
    <row r="4705" spans="1:10" hidden="1">
      <c r="A4705" s="4">
        <v>2.0210325999000099E+17</v>
      </c>
      <c r="B4705" s="4">
        <v>6388101841</v>
      </c>
      <c r="C4705" s="4" t="s">
        <v>3797</v>
      </c>
      <c r="D4705" s="4">
        <v>25999</v>
      </c>
      <c r="E4705" s="4">
        <v>20210310</v>
      </c>
      <c r="F4705" s="4">
        <v>20210310</v>
      </c>
      <c r="G4705" s="4">
        <v>20240310</v>
      </c>
      <c r="H4705" s="4" t="s">
        <v>825</v>
      </c>
      <c r="I4705" s="4" t="s">
        <v>3796</v>
      </c>
      <c r="J4705" s="4" t="s">
        <v>301</v>
      </c>
    </row>
    <row r="4706" spans="1:10" hidden="1">
      <c r="A4706" s="4">
        <v>2.0210317211000099E+17</v>
      </c>
      <c r="B4706" s="4">
        <v>2050616341</v>
      </c>
      <c r="C4706" s="4" t="s">
        <v>3795</v>
      </c>
      <c r="D4706" s="4">
        <v>17211</v>
      </c>
      <c r="E4706" s="4">
        <v>20210310</v>
      </c>
      <c r="F4706" s="4">
        <v>20210310</v>
      </c>
      <c r="G4706" s="4">
        <v>20240310</v>
      </c>
      <c r="H4706" s="4" t="s">
        <v>3794</v>
      </c>
      <c r="I4706" s="4" t="s">
        <v>3793</v>
      </c>
      <c r="J4706" s="4" t="s">
        <v>3792</v>
      </c>
    </row>
    <row r="4707" spans="1:10" hidden="1">
      <c r="A4707" s="4">
        <v>2.0210347911000099E+17</v>
      </c>
      <c r="B4707" s="4">
        <v>8918601243</v>
      </c>
      <c r="C4707" s="4" t="s">
        <v>3791</v>
      </c>
      <c r="D4707" s="4">
        <v>47911</v>
      </c>
      <c r="E4707" s="4">
        <v>20210310</v>
      </c>
      <c r="F4707" s="4">
        <v>20210310</v>
      </c>
      <c r="G4707" s="4">
        <v>20240310</v>
      </c>
      <c r="H4707" s="4" t="s">
        <v>3790</v>
      </c>
      <c r="I4707" s="4">
        <v>1</v>
      </c>
      <c r="J4707" s="4" t="s">
        <v>440</v>
      </c>
    </row>
    <row r="4708" spans="1:10" hidden="1">
      <c r="A4708" s="4">
        <v>2.0210329199000099E+17</v>
      </c>
      <c r="B4708" s="4">
        <v>6448702022</v>
      </c>
      <c r="C4708" s="4" t="s">
        <v>3789</v>
      </c>
      <c r="D4708" s="4">
        <v>29199</v>
      </c>
      <c r="E4708" s="4">
        <v>20210310</v>
      </c>
      <c r="F4708" s="4">
        <v>20210310</v>
      </c>
      <c r="G4708" s="4">
        <v>20240310</v>
      </c>
      <c r="H4708" s="4" t="s">
        <v>3788</v>
      </c>
      <c r="I4708" s="4" t="s">
        <v>591</v>
      </c>
      <c r="J4708" s="4" t="s">
        <v>166</v>
      </c>
    </row>
    <row r="4709" spans="1:10" hidden="1">
      <c r="A4709" s="4">
        <v>2.0210320499000099E+17</v>
      </c>
      <c r="B4709" s="4">
        <v>2478700482</v>
      </c>
      <c r="C4709" s="4" t="s">
        <v>3787</v>
      </c>
      <c r="D4709" s="4">
        <v>20499</v>
      </c>
      <c r="E4709" s="4">
        <v>20210310</v>
      </c>
      <c r="F4709" s="4">
        <v>20210310</v>
      </c>
      <c r="G4709" s="4">
        <v>20231026</v>
      </c>
      <c r="H4709" s="4" t="s">
        <v>3786</v>
      </c>
      <c r="I4709" s="4" t="s">
        <v>197</v>
      </c>
      <c r="J4709" s="4" t="s">
        <v>406</v>
      </c>
    </row>
    <row r="4710" spans="1:10" hidden="1">
      <c r="A4710" s="4">
        <v>2.0210359111000099E+17</v>
      </c>
      <c r="B4710" s="4">
        <v>2978601494</v>
      </c>
      <c r="C4710" s="4" t="s">
        <v>3785</v>
      </c>
      <c r="D4710" s="4">
        <v>59111</v>
      </c>
      <c r="E4710" s="4">
        <v>20210310</v>
      </c>
      <c r="F4710" s="4">
        <v>20210310</v>
      </c>
      <c r="G4710" s="4">
        <v>20240310</v>
      </c>
      <c r="H4710" s="4" t="s">
        <v>1853</v>
      </c>
      <c r="I4710" s="4" t="s">
        <v>3784</v>
      </c>
      <c r="J4710" s="4" t="s">
        <v>1857</v>
      </c>
    </row>
    <row r="4711" spans="1:10" hidden="1">
      <c r="A4711" s="4">
        <v>2.0210313229000099E+17</v>
      </c>
      <c r="B4711" s="4">
        <v>5668101890</v>
      </c>
      <c r="C4711" s="4" t="s">
        <v>3783</v>
      </c>
      <c r="D4711" s="4">
        <v>13229</v>
      </c>
      <c r="E4711" s="4">
        <v>20210310</v>
      </c>
      <c r="F4711" s="4">
        <v>20210310</v>
      </c>
      <c r="G4711" s="4">
        <v>20240310</v>
      </c>
      <c r="H4711" s="4" t="s">
        <v>3782</v>
      </c>
      <c r="J4711" s="4" t="s">
        <v>115</v>
      </c>
    </row>
    <row r="4712" spans="1:10" hidden="1">
      <c r="A4712" s="4">
        <v>2.0210358222000099E+17</v>
      </c>
      <c r="B4712" s="4">
        <v>8658601676</v>
      </c>
      <c r="C4712" s="4" t="s">
        <v>3781</v>
      </c>
      <c r="D4712" s="4">
        <v>58222</v>
      </c>
      <c r="E4712" s="4">
        <v>20210310</v>
      </c>
      <c r="F4712" s="4">
        <v>20210310</v>
      </c>
      <c r="G4712" s="4">
        <v>20240310</v>
      </c>
      <c r="H4712" s="4" t="s">
        <v>3780</v>
      </c>
      <c r="I4712" s="4" t="s">
        <v>3779</v>
      </c>
      <c r="J4712" s="4" t="s">
        <v>94</v>
      </c>
    </row>
    <row r="4713" spans="1:10" hidden="1">
      <c r="A4713" s="4">
        <v>2.0210328903000099E+17</v>
      </c>
      <c r="B4713" s="4">
        <v>1218801153</v>
      </c>
      <c r="C4713" s="4" t="s">
        <v>3778</v>
      </c>
      <c r="D4713" s="4">
        <v>28903</v>
      </c>
      <c r="E4713" s="4">
        <v>20210310</v>
      </c>
      <c r="F4713" s="4">
        <v>20210310</v>
      </c>
      <c r="G4713" s="4">
        <v>20240310</v>
      </c>
      <c r="H4713" s="4" t="s">
        <v>3777</v>
      </c>
      <c r="I4713" s="4" t="s">
        <v>591</v>
      </c>
      <c r="J4713" s="4" t="s">
        <v>460</v>
      </c>
    </row>
    <row r="4714" spans="1:10" hidden="1">
      <c r="A4714" s="4">
        <v>2.0210324221000099E+17</v>
      </c>
      <c r="B4714" s="4">
        <v>7488101129</v>
      </c>
      <c r="C4714" s="4" t="s">
        <v>3776</v>
      </c>
      <c r="D4714" s="4">
        <v>24221</v>
      </c>
      <c r="E4714" s="4">
        <v>20210310</v>
      </c>
      <c r="F4714" s="4">
        <v>20210310</v>
      </c>
      <c r="G4714" s="4">
        <v>20240310</v>
      </c>
      <c r="H4714" s="4" t="s">
        <v>3775</v>
      </c>
      <c r="J4714" s="4" t="s">
        <v>3774</v>
      </c>
    </row>
    <row r="4715" spans="1:10" hidden="1">
      <c r="A4715" s="4">
        <v>2.0210358222000099E+17</v>
      </c>
      <c r="B4715" s="4">
        <v>8778102085</v>
      </c>
      <c r="C4715" s="4" t="s">
        <v>3773</v>
      </c>
      <c r="D4715" s="4">
        <v>58222</v>
      </c>
      <c r="E4715" s="4">
        <v>20210310</v>
      </c>
      <c r="F4715" s="4">
        <v>20210310</v>
      </c>
      <c r="G4715" s="4">
        <v>20240310</v>
      </c>
      <c r="H4715" s="4" t="s">
        <v>3772</v>
      </c>
      <c r="I4715" s="4" t="s">
        <v>3771</v>
      </c>
      <c r="J4715" s="4" t="s">
        <v>94</v>
      </c>
    </row>
    <row r="4716" spans="1:10" hidden="1">
      <c r="A4716" s="4">
        <v>2.0210328909000099E+17</v>
      </c>
      <c r="B4716" s="4">
        <v>8448801917</v>
      </c>
      <c r="C4716" s="4" t="s">
        <v>3770</v>
      </c>
      <c r="D4716" s="4">
        <v>28909</v>
      </c>
      <c r="E4716" s="4">
        <v>20210310</v>
      </c>
      <c r="F4716" s="4">
        <v>20210310</v>
      </c>
      <c r="G4716" s="4">
        <v>20240310</v>
      </c>
      <c r="H4716" s="4" t="s">
        <v>3769</v>
      </c>
      <c r="I4716" s="4" t="s">
        <v>3768</v>
      </c>
      <c r="J4716" s="4" t="s">
        <v>253</v>
      </c>
    </row>
    <row r="4717" spans="1:10" hidden="1">
      <c r="A4717" s="4">
        <v>2.0210362010000099E+17</v>
      </c>
      <c r="B4717" s="4">
        <v>2618701279</v>
      </c>
      <c r="C4717" s="4" t="s">
        <v>3767</v>
      </c>
      <c r="D4717" s="4">
        <v>62010</v>
      </c>
      <c r="E4717" s="4">
        <v>20210310</v>
      </c>
      <c r="F4717" s="4">
        <v>20210310</v>
      </c>
      <c r="G4717" s="4">
        <v>20240310</v>
      </c>
      <c r="H4717" s="4" t="s">
        <v>3766</v>
      </c>
      <c r="I4717" s="4" t="s">
        <v>3765</v>
      </c>
      <c r="J4717" s="4" t="s">
        <v>118</v>
      </c>
    </row>
    <row r="4718" spans="1:10" hidden="1">
      <c r="A4718" s="4">
        <v>2.0210346203000099E+17</v>
      </c>
      <c r="B4718" s="4">
        <v>6768601853</v>
      </c>
      <c r="C4718" s="4" t="s">
        <v>3764</v>
      </c>
      <c r="D4718" s="4">
        <v>46203</v>
      </c>
      <c r="E4718" s="4">
        <v>20210310</v>
      </c>
      <c r="F4718" s="4">
        <v>20210310</v>
      </c>
      <c r="G4718" s="4">
        <v>20240310</v>
      </c>
      <c r="H4718" s="4" t="s">
        <v>3763</v>
      </c>
      <c r="I4718" s="4" t="s">
        <v>1537</v>
      </c>
      <c r="J4718" s="4" t="s">
        <v>3762</v>
      </c>
    </row>
    <row r="4719" spans="1:10" hidden="1">
      <c r="A4719" s="4">
        <v>2.0210370113000099E+17</v>
      </c>
      <c r="B4719" s="4">
        <v>3658801641</v>
      </c>
      <c r="C4719" s="4" t="s">
        <v>3761</v>
      </c>
      <c r="D4719" s="4">
        <v>70113</v>
      </c>
      <c r="E4719" s="4">
        <v>20210310</v>
      </c>
      <c r="F4719" s="4">
        <v>20210310</v>
      </c>
      <c r="G4719" s="4">
        <v>20240310</v>
      </c>
      <c r="H4719" s="4" t="s">
        <v>2124</v>
      </c>
      <c r="I4719" s="4" t="s">
        <v>3760</v>
      </c>
      <c r="J4719" s="4" t="s">
        <v>1173</v>
      </c>
    </row>
    <row r="4720" spans="1:10" hidden="1">
      <c r="A4720" s="4">
        <v>2.0210358222000099E+17</v>
      </c>
      <c r="B4720" s="4">
        <v>6478101980</v>
      </c>
      <c r="C4720" s="4" t="s">
        <v>3759</v>
      </c>
      <c r="D4720" s="4">
        <v>58222</v>
      </c>
      <c r="E4720" s="4">
        <v>20210310</v>
      </c>
      <c r="F4720" s="4">
        <v>20210310</v>
      </c>
      <c r="G4720" s="4">
        <v>20240310</v>
      </c>
      <c r="H4720" s="4" t="s">
        <v>3758</v>
      </c>
      <c r="I4720" s="4" t="s">
        <v>3757</v>
      </c>
      <c r="J4720" s="4" t="s">
        <v>94</v>
      </c>
    </row>
    <row r="4721" spans="1:10" hidden="1">
      <c r="A4721" s="4">
        <v>2.0210358222000099E+17</v>
      </c>
      <c r="B4721" s="4">
        <v>6238601131</v>
      </c>
      <c r="C4721" s="4" t="s">
        <v>3756</v>
      </c>
      <c r="D4721" s="4">
        <v>58222</v>
      </c>
      <c r="E4721" s="4">
        <v>20210310</v>
      </c>
      <c r="F4721" s="4">
        <v>20210310</v>
      </c>
      <c r="G4721" s="4">
        <v>20240310</v>
      </c>
      <c r="H4721" s="4" t="s">
        <v>3755</v>
      </c>
      <c r="I4721" s="4" t="s">
        <v>3754</v>
      </c>
      <c r="J4721" s="4" t="s">
        <v>94</v>
      </c>
    </row>
    <row r="4722" spans="1:10" hidden="1">
      <c r="A4722" s="4">
        <v>2.0210327199000099E+17</v>
      </c>
      <c r="B4722" s="4">
        <v>3488101588</v>
      </c>
      <c r="C4722" s="4" t="s">
        <v>3753</v>
      </c>
      <c r="D4722" s="4">
        <v>27199</v>
      </c>
      <c r="E4722" s="4">
        <v>20210310</v>
      </c>
      <c r="F4722" s="4">
        <v>20210310</v>
      </c>
      <c r="G4722" s="4">
        <v>20240310</v>
      </c>
      <c r="H4722" s="4" t="s">
        <v>3752</v>
      </c>
      <c r="I4722" s="4" t="s">
        <v>149</v>
      </c>
      <c r="J4722" s="4" t="s">
        <v>418</v>
      </c>
    </row>
    <row r="4723" spans="1:10" hidden="1">
      <c r="A4723" s="4">
        <v>2.0210358222000099E+17</v>
      </c>
      <c r="B4723" s="4">
        <v>2878101866</v>
      </c>
      <c r="C4723" s="4" t="s">
        <v>3751</v>
      </c>
      <c r="D4723" s="4">
        <v>58222</v>
      </c>
      <c r="E4723" s="4">
        <v>20210310</v>
      </c>
      <c r="F4723" s="4">
        <v>20210310</v>
      </c>
      <c r="G4723" s="4">
        <v>20240310</v>
      </c>
      <c r="H4723" s="4" t="s">
        <v>1867</v>
      </c>
      <c r="I4723" s="4" t="s">
        <v>3750</v>
      </c>
      <c r="J4723" s="4" t="s">
        <v>94</v>
      </c>
    </row>
    <row r="4724" spans="1:10" hidden="1">
      <c r="A4724" s="4">
        <v>2.0210329271000099E+17</v>
      </c>
      <c r="B4724" s="4">
        <v>3928101834</v>
      </c>
      <c r="C4724" s="4" t="s">
        <v>3749</v>
      </c>
      <c r="D4724" s="4">
        <v>29271</v>
      </c>
      <c r="E4724" s="4">
        <v>20210310</v>
      </c>
      <c r="F4724" s="4">
        <v>20210310</v>
      </c>
      <c r="G4724" s="4">
        <v>20240310</v>
      </c>
      <c r="H4724" s="4" t="s">
        <v>274</v>
      </c>
      <c r="I4724" s="4" t="s">
        <v>3748</v>
      </c>
      <c r="J4724" s="4" t="s">
        <v>285</v>
      </c>
    </row>
    <row r="4725" spans="1:10" hidden="1">
      <c r="A4725" s="4">
        <v>2.0210358222000099E+17</v>
      </c>
      <c r="B4725" s="4">
        <v>4258101605</v>
      </c>
      <c r="C4725" s="4" t="s">
        <v>3747</v>
      </c>
      <c r="D4725" s="4">
        <v>58222</v>
      </c>
      <c r="E4725" s="4">
        <v>20210310</v>
      </c>
      <c r="F4725" s="4">
        <v>20210310</v>
      </c>
      <c r="G4725" s="4">
        <v>20240310</v>
      </c>
      <c r="H4725" s="4" t="s">
        <v>3746</v>
      </c>
      <c r="I4725" s="4" t="s">
        <v>1866</v>
      </c>
      <c r="J4725" s="4" t="s">
        <v>94</v>
      </c>
    </row>
    <row r="4726" spans="1:10" hidden="1">
      <c r="A4726" s="4">
        <v>2.0210332029000099E+17</v>
      </c>
      <c r="B4726" s="4">
        <v>5108801407</v>
      </c>
      <c r="C4726" s="4" t="s">
        <v>3745</v>
      </c>
      <c r="D4726" s="4">
        <v>32029</v>
      </c>
      <c r="E4726" s="4">
        <v>20210310</v>
      </c>
      <c r="F4726" s="4">
        <v>20210310</v>
      </c>
      <c r="G4726" s="4">
        <v>20240310</v>
      </c>
      <c r="H4726" s="4" t="s">
        <v>3744</v>
      </c>
      <c r="J4726" s="4" t="s">
        <v>637</v>
      </c>
    </row>
    <row r="4727" spans="1:10" hidden="1">
      <c r="A4727" s="4">
        <v>2.0210358222000099E+17</v>
      </c>
      <c r="B4727" s="4">
        <v>5048801566</v>
      </c>
      <c r="C4727" s="4" t="s">
        <v>3743</v>
      </c>
      <c r="D4727" s="4">
        <v>58222</v>
      </c>
      <c r="E4727" s="4">
        <v>20210310</v>
      </c>
      <c r="F4727" s="4">
        <v>20210310</v>
      </c>
      <c r="G4727" s="4">
        <v>20240310</v>
      </c>
      <c r="H4727" s="4" t="s">
        <v>3742</v>
      </c>
      <c r="I4727" s="4" t="s">
        <v>3741</v>
      </c>
      <c r="J4727" s="4" t="s">
        <v>94</v>
      </c>
    </row>
    <row r="4728" spans="1:10" hidden="1">
      <c r="A4728" s="4">
        <v>2.0210331991000099E+17</v>
      </c>
      <c r="B4728" s="4">
        <v>7678601445</v>
      </c>
      <c r="C4728" s="4" t="s">
        <v>3740</v>
      </c>
      <c r="D4728" s="4">
        <v>31991</v>
      </c>
      <c r="E4728" s="4">
        <v>20210310</v>
      </c>
      <c r="F4728" s="4">
        <v>20210310</v>
      </c>
      <c r="G4728" s="4">
        <v>20240310</v>
      </c>
      <c r="H4728" s="4" t="s">
        <v>3739</v>
      </c>
      <c r="I4728" s="4" t="s">
        <v>3738</v>
      </c>
      <c r="J4728" s="4" t="s">
        <v>625</v>
      </c>
    </row>
    <row r="4729" spans="1:10" hidden="1">
      <c r="A4729" s="4">
        <v>2.0210362021000099E+17</v>
      </c>
      <c r="B4729" s="4">
        <v>1508600779</v>
      </c>
      <c r="C4729" s="4" t="s">
        <v>3737</v>
      </c>
      <c r="D4729" s="4">
        <v>62021</v>
      </c>
      <c r="E4729" s="4">
        <v>20210310</v>
      </c>
      <c r="F4729" s="4">
        <v>20210310</v>
      </c>
      <c r="G4729" s="4">
        <v>20240310</v>
      </c>
      <c r="H4729" s="4" t="s">
        <v>315</v>
      </c>
      <c r="I4729" s="4" t="s">
        <v>3736</v>
      </c>
      <c r="J4729" s="4" t="s">
        <v>1505</v>
      </c>
    </row>
    <row r="4730" spans="1:10" hidden="1">
      <c r="A4730" s="4">
        <v>2.0210358221000099E+17</v>
      </c>
      <c r="B4730" s="4">
        <v>1468101828</v>
      </c>
      <c r="C4730" s="4" t="s">
        <v>3735</v>
      </c>
      <c r="D4730" s="4">
        <v>58221</v>
      </c>
      <c r="E4730" s="4">
        <v>20210310</v>
      </c>
      <c r="F4730" s="4">
        <v>20210310</v>
      </c>
      <c r="G4730" s="4">
        <v>20240310</v>
      </c>
      <c r="H4730" s="4" t="s">
        <v>3734</v>
      </c>
      <c r="I4730" s="4" t="s">
        <v>3733</v>
      </c>
      <c r="J4730" s="4" t="s">
        <v>228</v>
      </c>
    </row>
    <row r="4731" spans="1:10" hidden="1">
      <c r="A4731" s="4">
        <v>2.0210346499000099E+17</v>
      </c>
      <c r="B4731" s="4">
        <v>3598800894</v>
      </c>
      <c r="C4731" s="4" t="s">
        <v>3732</v>
      </c>
      <c r="D4731" s="4">
        <v>46499</v>
      </c>
      <c r="E4731" s="4">
        <v>20210310</v>
      </c>
      <c r="F4731" s="4">
        <v>20210310</v>
      </c>
      <c r="G4731" s="4">
        <v>20240310</v>
      </c>
      <c r="H4731" s="4" t="s">
        <v>3731</v>
      </c>
      <c r="I4731" s="4" t="s">
        <v>3730</v>
      </c>
      <c r="J4731" s="4" t="s">
        <v>184</v>
      </c>
    </row>
    <row r="4732" spans="1:10" hidden="1">
      <c r="A4732" s="4">
        <v>2.0210328429000099E+17</v>
      </c>
      <c r="B4732" s="4">
        <v>8098701955</v>
      </c>
      <c r="C4732" s="4" t="s">
        <v>3729</v>
      </c>
      <c r="D4732" s="4">
        <v>28429</v>
      </c>
      <c r="E4732" s="4">
        <v>20210310</v>
      </c>
      <c r="F4732" s="4">
        <v>20210310</v>
      </c>
      <c r="G4732" s="4">
        <v>20240310</v>
      </c>
      <c r="H4732" s="4" t="s">
        <v>3728</v>
      </c>
      <c r="I4732" s="4" t="s">
        <v>3727</v>
      </c>
      <c r="J4732" s="4" t="s">
        <v>765</v>
      </c>
    </row>
    <row r="4733" spans="1:10" hidden="1">
      <c r="A4733" s="4">
        <v>2.0210358221000099E+17</v>
      </c>
      <c r="B4733" s="4">
        <v>7458800528</v>
      </c>
      <c r="C4733" s="4" t="s">
        <v>3726</v>
      </c>
      <c r="D4733" s="4">
        <v>58221</v>
      </c>
      <c r="E4733" s="4">
        <v>20210310</v>
      </c>
      <c r="F4733" s="4">
        <v>20210310</v>
      </c>
      <c r="G4733" s="4">
        <v>20240310</v>
      </c>
      <c r="H4733" s="4" t="s">
        <v>3725</v>
      </c>
      <c r="I4733" s="4" t="s">
        <v>91</v>
      </c>
      <c r="J4733" s="4" t="s">
        <v>228</v>
      </c>
    </row>
    <row r="4734" spans="1:10" hidden="1">
      <c r="A4734" s="4">
        <v>2.0210321102000099E+17</v>
      </c>
      <c r="B4734" s="4">
        <v>5878801479</v>
      </c>
      <c r="C4734" s="4" t="s">
        <v>3724</v>
      </c>
      <c r="D4734" s="4">
        <v>21102</v>
      </c>
      <c r="E4734" s="4">
        <v>20210310</v>
      </c>
      <c r="F4734" s="4">
        <v>20210310</v>
      </c>
      <c r="G4734" s="4">
        <v>20240310</v>
      </c>
      <c r="H4734" s="4" t="s">
        <v>3723</v>
      </c>
      <c r="I4734" s="4" t="s">
        <v>3722</v>
      </c>
      <c r="J4734" s="4" t="s">
        <v>3721</v>
      </c>
    </row>
    <row r="4735" spans="1:10" hidden="1">
      <c r="A4735" s="4">
        <v>2.0210328909000099E+17</v>
      </c>
      <c r="B4735" s="4">
        <v>1818102169</v>
      </c>
      <c r="C4735" s="4" t="s">
        <v>3720</v>
      </c>
      <c r="D4735" s="4">
        <v>28909</v>
      </c>
      <c r="E4735" s="4">
        <v>20210310</v>
      </c>
      <c r="F4735" s="4">
        <v>20210310</v>
      </c>
      <c r="G4735" s="4">
        <v>20240310</v>
      </c>
      <c r="H4735" s="4" t="s">
        <v>3719</v>
      </c>
      <c r="I4735" s="4" t="s">
        <v>3718</v>
      </c>
      <c r="J4735" s="4" t="s">
        <v>253</v>
      </c>
    </row>
    <row r="4736" spans="1:10" hidden="1">
      <c r="A4736" s="4">
        <v>2.0210362010000099E+17</v>
      </c>
      <c r="B4736" s="4">
        <v>7128801847</v>
      </c>
      <c r="C4736" s="4" t="s">
        <v>3717</v>
      </c>
      <c r="D4736" s="4">
        <v>62010</v>
      </c>
      <c r="E4736" s="4">
        <v>20210310</v>
      </c>
      <c r="F4736" s="4">
        <v>20210310</v>
      </c>
      <c r="G4736" s="4">
        <v>20240310</v>
      </c>
      <c r="H4736" s="4" t="s">
        <v>3716</v>
      </c>
      <c r="I4736" s="4" t="s">
        <v>149</v>
      </c>
      <c r="J4736" s="4" t="s">
        <v>118</v>
      </c>
    </row>
    <row r="4737" spans="1:10" hidden="1">
      <c r="A4737" s="4">
        <v>2.0210330399000099E+17</v>
      </c>
      <c r="B4737" s="4">
        <v>2620601481</v>
      </c>
      <c r="C4737" s="4" t="s">
        <v>3715</v>
      </c>
      <c r="D4737" s="4">
        <v>30399</v>
      </c>
      <c r="E4737" s="4">
        <v>20210310</v>
      </c>
      <c r="F4737" s="4">
        <v>20210310</v>
      </c>
      <c r="G4737" s="4">
        <v>20240310</v>
      </c>
      <c r="H4737" s="4" t="s">
        <v>1692</v>
      </c>
      <c r="I4737" s="4" t="s">
        <v>3714</v>
      </c>
      <c r="J4737" s="4" t="s">
        <v>1763</v>
      </c>
    </row>
    <row r="4738" spans="1:10" hidden="1">
      <c r="A4738" s="4">
        <v>2.0210346593000099E+17</v>
      </c>
      <c r="B4738" s="4">
        <v>7882500855</v>
      </c>
      <c r="C4738" s="4" t="s">
        <v>3713</v>
      </c>
      <c r="D4738" s="4">
        <v>46593</v>
      </c>
      <c r="E4738" s="4">
        <v>20210310</v>
      </c>
      <c r="F4738" s="4">
        <v>20210310</v>
      </c>
      <c r="G4738" s="4">
        <v>20240310</v>
      </c>
      <c r="H4738" s="4" t="s">
        <v>3712</v>
      </c>
      <c r="J4738" s="4" t="s">
        <v>1469</v>
      </c>
    </row>
    <row r="4739" spans="1:10" hidden="1">
      <c r="A4739" s="4">
        <v>2.0210346109000099E+17</v>
      </c>
      <c r="B4739" s="4">
        <v>7320301198</v>
      </c>
      <c r="C4739" s="4" t="s">
        <v>3711</v>
      </c>
      <c r="D4739" s="4">
        <v>46109</v>
      </c>
      <c r="E4739" s="4">
        <v>20210310</v>
      </c>
      <c r="F4739" s="4">
        <v>20210310</v>
      </c>
      <c r="G4739" s="4">
        <v>20240310</v>
      </c>
      <c r="H4739" s="4" t="s">
        <v>3710</v>
      </c>
      <c r="J4739" s="4" t="s">
        <v>133</v>
      </c>
    </row>
    <row r="4740" spans="1:10" hidden="1">
      <c r="A4740" s="4">
        <v>2.0210332029000099E+17</v>
      </c>
      <c r="B4740" s="4">
        <v>3885300186</v>
      </c>
      <c r="C4740" s="4" t="s">
        <v>3709</v>
      </c>
      <c r="D4740" s="4">
        <v>32029</v>
      </c>
      <c r="E4740" s="4">
        <v>20210310</v>
      </c>
      <c r="F4740" s="4">
        <v>20210310</v>
      </c>
      <c r="G4740" s="4">
        <v>20240206</v>
      </c>
      <c r="H4740" s="4" t="s">
        <v>3708</v>
      </c>
      <c r="I4740" s="4" t="s">
        <v>3707</v>
      </c>
      <c r="J4740" s="4" t="s">
        <v>637</v>
      </c>
    </row>
    <row r="4741" spans="1:10" hidden="1">
      <c r="A4741" s="4">
        <v>2.0210326299000099E+17</v>
      </c>
      <c r="B4741" s="4">
        <v>1398166352</v>
      </c>
      <c r="C4741" s="4" t="s">
        <v>3706</v>
      </c>
      <c r="D4741" s="4">
        <v>26299</v>
      </c>
      <c r="E4741" s="4">
        <v>20210310</v>
      </c>
      <c r="F4741" s="4">
        <v>20210310</v>
      </c>
      <c r="G4741" s="4">
        <v>20240310</v>
      </c>
      <c r="H4741" s="4" t="s">
        <v>2568</v>
      </c>
      <c r="J4741" s="4" t="s">
        <v>339</v>
      </c>
    </row>
    <row r="4742" spans="1:10" hidden="1">
      <c r="A4742" s="4">
        <v>2.0210333110000099E+17</v>
      </c>
      <c r="B4742" s="4">
        <v>4338801959</v>
      </c>
      <c r="C4742" s="4" t="s">
        <v>3705</v>
      </c>
      <c r="D4742" s="4">
        <v>33110</v>
      </c>
      <c r="E4742" s="4">
        <v>20210309</v>
      </c>
      <c r="F4742" s="4">
        <v>20210309</v>
      </c>
      <c r="G4742" s="4">
        <v>20240309</v>
      </c>
      <c r="H4742" s="4" t="s">
        <v>3704</v>
      </c>
      <c r="I4742" s="4" t="s">
        <v>591</v>
      </c>
      <c r="J4742" s="4" t="s">
        <v>3703</v>
      </c>
    </row>
    <row r="4743" spans="1:10" hidden="1">
      <c r="A4743" s="4">
        <v>2.0210326410000099E+17</v>
      </c>
      <c r="B4743" s="4">
        <v>4848101910</v>
      </c>
      <c r="C4743" s="4" t="s">
        <v>3702</v>
      </c>
      <c r="D4743" s="4">
        <v>26410</v>
      </c>
      <c r="E4743" s="4">
        <v>20210309</v>
      </c>
      <c r="F4743" s="4">
        <v>20210309</v>
      </c>
      <c r="G4743" s="4">
        <v>20240309</v>
      </c>
      <c r="H4743" s="4" t="s">
        <v>2379</v>
      </c>
      <c r="I4743" s="4" t="s">
        <v>3701</v>
      </c>
      <c r="J4743" s="4" t="s">
        <v>1102</v>
      </c>
    </row>
    <row r="4744" spans="1:10" hidden="1">
      <c r="A4744" s="4">
        <v>2.0210326429000099E+17</v>
      </c>
      <c r="B4744" s="4">
        <v>3668700745</v>
      </c>
      <c r="C4744" s="4" t="s">
        <v>3700</v>
      </c>
      <c r="D4744" s="4">
        <v>26429</v>
      </c>
      <c r="E4744" s="4">
        <v>20210309</v>
      </c>
      <c r="F4744" s="4">
        <v>20210309</v>
      </c>
      <c r="G4744" s="4">
        <v>20240213</v>
      </c>
      <c r="H4744" s="4" t="s">
        <v>3699</v>
      </c>
      <c r="J4744" s="4" t="s">
        <v>422</v>
      </c>
    </row>
    <row r="4745" spans="1:10" hidden="1">
      <c r="A4745" s="4">
        <v>2.0210326299000099E+17</v>
      </c>
      <c r="B4745" s="4">
        <v>1498701509</v>
      </c>
      <c r="C4745" s="4" t="s">
        <v>3698</v>
      </c>
      <c r="D4745" s="4">
        <v>26299</v>
      </c>
      <c r="E4745" s="4">
        <v>20210309</v>
      </c>
      <c r="F4745" s="4">
        <v>20210309</v>
      </c>
      <c r="G4745" s="4">
        <v>20240309</v>
      </c>
      <c r="H4745" s="4" t="s">
        <v>3697</v>
      </c>
      <c r="J4745" s="4" t="s">
        <v>339</v>
      </c>
    </row>
    <row r="4746" spans="1:10" hidden="1">
      <c r="A4746" s="4">
        <v>2.0210320499000099E+17</v>
      </c>
      <c r="B4746" s="4">
        <v>4308601238</v>
      </c>
      <c r="C4746" s="4" t="s">
        <v>3696</v>
      </c>
      <c r="D4746" s="4">
        <v>20499</v>
      </c>
      <c r="E4746" s="4">
        <v>20210309</v>
      </c>
      <c r="F4746" s="4">
        <v>20210309</v>
      </c>
      <c r="G4746" s="4">
        <v>20240309</v>
      </c>
      <c r="H4746" s="4" t="s">
        <v>3538</v>
      </c>
      <c r="I4746" s="4" t="s">
        <v>3695</v>
      </c>
      <c r="J4746" s="4" t="s">
        <v>406</v>
      </c>
    </row>
    <row r="4747" spans="1:10" hidden="1">
      <c r="A4747" s="4">
        <v>2.0210329171000099E+17</v>
      </c>
      <c r="B4747" s="4">
        <v>5808801634</v>
      </c>
      <c r="C4747" s="4" t="s">
        <v>3694</v>
      </c>
      <c r="D4747" s="4">
        <v>29171</v>
      </c>
      <c r="E4747" s="4">
        <v>20210309</v>
      </c>
      <c r="F4747" s="4">
        <v>20210309</v>
      </c>
      <c r="G4747" s="4">
        <v>20240309</v>
      </c>
      <c r="H4747" s="4" t="s">
        <v>3693</v>
      </c>
      <c r="I4747" s="4">
        <v>112</v>
      </c>
      <c r="J4747" s="4" t="s">
        <v>2082</v>
      </c>
    </row>
    <row r="4748" spans="1:10" hidden="1">
      <c r="A4748" s="4">
        <v>2.0210331312000099E+17</v>
      </c>
      <c r="B4748" s="4">
        <v>8017100193</v>
      </c>
      <c r="C4748" s="4" t="s">
        <v>3692</v>
      </c>
      <c r="D4748" s="4">
        <v>31312</v>
      </c>
      <c r="E4748" s="4">
        <v>20210309</v>
      </c>
      <c r="F4748" s="4">
        <v>20210309</v>
      </c>
      <c r="G4748" s="4">
        <v>20240309</v>
      </c>
      <c r="H4748" s="4" t="s">
        <v>3691</v>
      </c>
      <c r="I4748" s="4" t="s">
        <v>91</v>
      </c>
      <c r="J4748" s="4" t="s">
        <v>748</v>
      </c>
    </row>
    <row r="4749" spans="1:10" hidden="1">
      <c r="A4749" s="4">
        <v>2.0210333999000099E+17</v>
      </c>
      <c r="B4749" s="4">
        <v>8573900255</v>
      </c>
      <c r="C4749" s="4" t="s">
        <v>3690</v>
      </c>
      <c r="D4749" s="4">
        <v>33999</v>
      </c>
      <c r="E4749" s="4">
        <v>20210309</v>
      </c>
      <c r="F4749" s="4">
        <v>20210309</v>
      </c>
      <c r="G4749" s="4">
        <v>20240309</v>
      </c>
      <c r="H4749" s="4" t="s">
        <v>3689</v>
      </c>
      <c r="I4749" s="4" t="s">
        <v>3688</v>
      </c>
      <c r="J4749" s="4" t="s">
        <v>780</v>
      </c>
    </row>
    <row r="4750" spans="1:10" hidden="1">
      <c r="A4750" s="4">
        <v>2.0210325994000099E+17</v>
      </c>
      <c r="B4750" s="4">
        <v>4450601354</v>
      </c>
      <c r="C4750" s="4" t="s">
        <v>3687</v>
      </c>
      <c r="D4750" s="4">
        <v>25994</v>
      </c>
      <c r="E4750" s="4">
        <v>20210309</v>
      </c>
      <c r="F4750" s="4">
        <v>20210309</v>
      </c>
      <c r="G4750" s="4">
        <v>20240309</v>
      </c>
      <c r="H4750" s="4" t="s">
        <v>3686</v>
      </c>
      <c r="J4750" s="4" t="s">
        <v>847</v>
      </c>
    </row>
    <row r="4751" spans="1:10" hidden="1">
      <c r="A4751" s="4">
        <v>2.0210347911000099E+17</v>
      </c>
      <c r="B4751" s="4">
        <v>4667800271</v>
      </c>
      <c r="C4751" s="4" t="s">
        <v>3685</v>
      </c>
      <c r="D4751" s="4">
        <v>47911</v>
      </c>
      <c r="E4751" s="4">
        <v>20210309</v>
      </c>
      <c r="F4751" s="4">
        <v>20210309</v>
      </c>
      <c r="G4751" s="4">
        <v>20240309</v>
      </c>
      <c r="H4751" s="4" t="s">
        <v>3684</v>
      </c>
      <c r="I4751" s="4" t="s">
        <v>3683</v>
      </c>
      <c r="J4751" s="4" t="s">
        <v>440</v>
      </c>
    </row>
    <row r="4752" spans="1:10" hidden="1">
      <c r="A4752" s="4">
        <v>2.0210373203000099E+17</v>
      </c>
      <c r="B4752" s="4">
        <v>1297900307</v>
      </c>
      <c r="C4752" s="4" t="s">
        <v>3682</v>
      </c>
      <c r="D4752" s="4">
        <v>73203</v>
      </c>
      <c r="E4752" s="4">
        <v>20210309</v>
      </c>
      <c r="F4752" s="4">
        <v>20210309</v>
      </c>
      <c r="G4752" s="4">
        <v>20240309</v>
      </c>
      <c r="H4752" s="4" t="s">
        <v>3681</v>
      </c>
      <c r="I4752" s="4" t="s">
        <v>3680</v>
      </c>
      <c r="J4752" s="4" t="s">
        <v>260</v>
      </c>
    </row>
    <row r="4753" spans="1:10" hidden="1">
      <c r="A4753" s="4">
        <v>2.0210342500000099E+17</v>
      </c>
      <c r="B4753" s="4">
        <v>2508100394</v>
      </c>
      <c r="C4753" s="4" t="s">
        <v>3679</v>
      </c>
      <c r="D4753" s="4">
        <v>42500</v>
      </c>
      <c r="E4753" s="4">
        <v>20210309</v>
      </c>
      <c r="F4753" s="4">
        <v>20210309</v>
      </c>
      <c r="G4753" s="4">
        <v>20230203</v>
      </c>
      <c r="H4753" s="4" t="s">
        <v>3678</v>
      </c>
      <c r="I4753" s="4" t="s">
        <v>91</v>
      </c>
      <c r="J4753" s="4" t="s">
        <v>740</v>
      </c>
    </row>
    <row r="4754" spans="1:10" hidden="1">
      <c r="A4754" s="4">
        <v>2.0210320423000099E+17</v>
      </c>
      <c r="B4754" s="4">
        <v>4458601720</v>
      </c>
      <c r="C4754" s="4" t="s">
        <v>3677</v>
      </c>
      <c r="D4754" s="4">
        <v>20423</v>
      </c>
      <c r="E4754" s="4">
        <v>20210309</v>
      </c>
      <c r="F4754" s="4">
        <v>20210309</v>
      </c>
      <c r="G4754" s="4">
        <v>20240309</v>
      </c>
      <c r="H4754" s="4" t="s">
        <v>3676</v>
      </c>
      <c r="I4754" s="4" t="s">
        <v>3675</v>
      </c>
      <c r="J4754" s="4" t="s">
        <v>368</v>
      </c>
    </row>
    <row r="4755" spans="1:10" hidden="1">
      <c r="A4755" s="4">
        <v>2.0210370113000099E+17</v>
      </c>
      <c r="B4755" s="4">
        <v>3268701450</v>
      </c>
      <c r="C4755" s="4" t="s">
        <v>3674</v>
      </c>
      <c r="D4755" s="4">
        <v>70113</v>
      </c>
      <c r="E4755" s="4">
        <v>20210309</v>
      </c>
      <c r="F4755" s="4">
        <v>20210309</v>
      </c>
      <c r="G4755" s="4">
        <v>20240309</v>
      </c>
      <c r="H4755" s="4" t="s">
        <v>3673</v>
      </c>
      <c r="I4755" s="4" t="s">
        <v>3672</v>
      </c>
      <c r="J4755" s="4" t="s">
        <v>1173</v>
      </c>
    </row>
    <row r="4756" spans="1:10" hidden="1">
      <c r="A4756" s="4">
        <v>2.0210313999000099E+17</v>
      </c>
      <c r="B4756" s="4">
        <v>6128801625</v>
      </c>
      <c r="C4756" s="4" t="s">
        <v>3671</v>
      </c>
      <c r="D4756" s="4">
        <v>13999</v>
      </c>
      <c r="E4756" s="4">
        <v>20210309</v>
      </c>
      <c r="F4756" s="4">
        <v>20210309</v>
      </c>
      <c r="G4756" s="4">
        <v>20240309</v>
      </c>
      <c r="H4756" s="4" t="s">
        <v>784</v>
      </c>
      <c r="I4756" s="4" t="s">
        <v>3670</v>
      </c>
      <c r="J4756" s="4" t="s">
        <v>130</v>
      </c>
    </row>
    <row r="4757" spans="1:10" hidden="1">
      <c r="A4757" s="4">
        <v>2.0210320202000099E+17</v>
      </c>
      <c r="B4757" s="4">
        <v>1954300611</v>
      </c>
      <c r="C4757" s="4" t="s">
        <v>3669</v>
      </c>
      <c r="D4757" s="4">
        <v>20202</v>
      </c>
      <c r="E4757" s="4">
        <v>20210309</v>
      </c>
      <c r="F4757" s="4">
        <v>20210309</v>
      </c>
      <c r="G4757" s="4">
        <v>20240309</v>
      </c>
      <c r="H4757" s="4" t="s">
        <v>3668</v>
      </c>
      <c r="I4757" s="4" t="s">
        <v>3667</v>
      </c>
      <c r="J4757" s="4" t="s">
        <v>224</v>
      </c>
    </row>
    <row r="4758" spans="1:10" hidden="1">
      <c r="A4758" s="4">
        <v>2.0210370113000099E+17</v>
      </c>
      <c r="B4758" s="4">
        <v>4548601364</v>
      </c>
      <c r="C4758" s="4" t="s">
        <v>3666</v>
      </c>
      <c r="D4758" s="4">
        <v>70113</v>
      </c>
      <c r="E4758" s="4">
        <v>20210309</v>
      </c>
      <c r="F4758" s="4">
        <v>20210309</v>
      </c>
      <c r="G4758" s="4">
        <v>20240309</v>
      </c>
      <c r="H4758" s="4" t="s">
        <v>2510</v>
      </c>
      <c r="I4758" s="4" t="s">
        <v>3665</v>
      </c>
      <c r="J4758" s="4" t="s">
        <v>1173</v>
      </c>
    </row>
    <row r="4759" spans="1:10" hidden="1">
      <c r="A4759" s="4">
        <v>2.0210346800000099E+17</v>
      </c>
      <c r="B4759" s="4">
        <v>1740601656</v>
      </c>
      <c r="C4759" s="4" t="s">
        <v>3664</v>
      </c>
      <c r="D4759" s="4">
        <v>46800</v>
      </c>
      <c r="E4759" s="4">
        <v>20210309</v>
      </c>
      <c r="F4759" s="4">
        <v>20210309</v>
      </c>
      <c r="G4759" s="4">
        <v>20240309</v>
      </c>
      <c r="H4759" s="4" t="s">
        <v>3663</v>
      </c>
      <c r="I4759" s="4" t="s">
        <v>3662</v>
      </c>
      <c r="J4759" s="4" t="s">
        <v>979</v>
      </c>
    </row>
    <row r="4760" spans="1:10" hidden="1">
      <c r="A4760" s="4">
        <v>2.0210358222000099E+17</v>
      </c>
      <c r="B4760" s="4">
        <v>2638701940</v>
      </c>
      <c r="C4760" s="4" t="s">
        <v>3661</v>
      </c>
      <c r="D4760" s="4">
        <v>58222</v>
      </c>
      <c r="E4760" s="4">
        <v>20210309</v>
      </c>
      <c r="F4760" s="4">
        <v>20210309</v>
      </c>
      <c r="G4760" s="4">
        <v>20240309</v>
      </c>
      <c r="H4760" s="4" t="s">
        <v>2619</v>
      </c>
      <c r="I4760" s="4" t="s">
        <v>3660</v>
      </c>
      <c r="J4760" s="4" t="s">
        <v>94</v>
      </c>
    </row>
    <row r="4761" spans="1:10" hidden="1">
      <c r="A4761" s="4">
        <v>2.0210332029000099E+17</v>
      </c>
      <c r="B4761" s="4">
        <v>4652400182</v>
      </c>
      <c r="C4761" s="4" t="s">
        <v>3658</v>
      </c>
      <c r="D4761" s="4">
        <v>32029</v>
      </c>
      <c r="E4761" s="4">
        <v>20210309</v>
      </c>
      <c r="F4761" s="4">
        <v>20210309</v>
      </c>
      <c r="G4761" s="4">
        <v>20221201</v>
      </c>
      <c r="H4761" s="4" t="s">
        <v>3659</v>
      </c>
      <c r="I4761" s="4" t="s">
        <v>3658</v>
      </c>
      <c r="J4761" s="4" t="s">
        <v>637</v>
      </c>
    </row>
    <row r="4762" spans="1:10" hidden="1">
      <c r="A4762" s="4">
        <v>2.0210327112000099E+17</v>
      </c>
      <c r="B4762" s="4">
        <v>4518801603</v>
      </c>
      <c r="C4762" s="4" t="s">
        <v>3657</v>
      </c>
      <c r="D4762" s="4">
        <v>27112</v>
      </c>
      <c r="E4762" s="4">
        <v>20210309</v>
      </c>
      <c r="F4762" s="4">
        <v>20210309</v>
      </c>
      <c r="G4762" s="4">
        <v>20240309</v>
      </c>
      <c r="H4762" s="4" t="s">
        <v>3656</v>
      </c>
      <c r="I4762" s="4" t="s">
        <v>3655</v>
      </c>
      <c r="J4762" s="4" t="s">
        <v>1254</v>
      </c>
    </row>
    <row r="4763" spans="1:10" hidden="1">
      <c r="A4763" s="4">
        <v>2.0210358222000099E+17</v>
      </c>
      <c r="B4763" s="4">
        <v>6698601874</v>
      </c>
      <c r="C4763" s="4" t="s">
        <v>3654</v>
      </c>
      <c r="D4763" s="4">
        <v>58222</v>
      </c>
      <c r="E4763" s="4">
        <v>20210309</v>
      </c>
      <c r="F4763" s="4">
        <v>20210309</v>
      </c>
      <c r="G4763" s="4">
        <v>20240309</v>
      </c>
      <c r="H4763" s="4" t="s">
        <v>1132</v>
      </c>
      <c r="J4763" s="4" t="s">
        <v>94</v>
      </c>
    </row>
    <row r="4764" spans="1:10" hidden="1">
      <c r="A4764" s="4">
        <v>2.0210359113000099E+17</v>
      </c>
      <c r="B4764" s="4">
        <v>5023593292</v>
      </c>
      <c r="C4764" s="4" t="s">
        <v>3653</v>
      </c>
      <c r="D4764" s="4">
        <v>59113</v>
      </c>
      <c r="E4764" s="4">
        <v>20210309</v>
      </c>
      <c r="F4764" s="4">
        <v>20210309</v>
      </c>
      <c r="G4764" s="4">
        <v>20240309</v>
      </c>
      <c r="H4764" s="4" t="s">
        <v>3652</v>
      </c>
      <c r="I4764" s="4" t="s">
        <v>91</v>
      </c>
      <c r="J4764" s="4" t="s">
        <v>3651</v>
      </c>
    </row>
    <row r="4765" spans="1:10" hidden="1">
      <c r="A4765" s="4">
        <v>2.0210391199000099E+17</v>
      </c>
      <c r="B4765" s="4">
        <v>1198708817</v>
      </c>
      <c r="C4765" s="4" t="s">
        <v>3650</v>
      </c>
      <c r="D4765" s="4">
        <v>91199</v>
      </c>
      <c r="E4765" s="4">
        <v>20210309</v>
      </c>
      <c r="F4765" s="4">
        <v>20210309</v>
      </c>
      <c r="G4765" s="4">
        <v>20240309</v>
      </c>
      <c r="H4765" s="4" t="s">
        <v>3649</v>
      </c>
      <c r="I4765" s="4" t="s">
        <v>175</v>
      </c>
      <c r="J4765" s="4" t="s">
        <v>3648</v>
      </c>
    </row>
    <row r="4766" spans="1:10" hidden="1">
      <c r="A4766" s="4">
        <v>2.0210373903000099E+17</v>
      </c>
      <c r="B4766" s="4">
        <v>3178701456</v>
      </c>
      <c r="C4766" s="4" t="s">
        <v>3647</v>
      </c>
      <c r="D4766" s="4">
        <v>73903</v>
      </c>
      <c r="E4766" s="4">
        <v>20210309</v>
      </c>
      <c r="F4766" s="4">
        <v>20210309</v>
      </c>
      <c r="G4766" s="4">
        <v>20240309</v>
      </c>
      <c r="H4766" s="4" t="s">
        <v>3646</v>
      </c>
      <c r="I4766" s="4" t="s">
        <v>233</v>
      </c>
      <c r="J4766" s="4" t="s">
        <v>3645</v>
      </c>
    </row>
    <row r="4767" spans="1:10" hidden="1">
      <c r="A4767" s="4">
        <v>2.0210347912000099E+17</v>
      </c>
      <c r="B4767" s="4">
        <v>6168701523</v>
      </c>
      <c r="C4767" s="4" t="s">
        <v>3644</v>
      </c>
      <c r="D4767" s="4">
        <v>47912</v>
      </c>
      <c r="E4767" s="4">
        <v>20210309</v>
      </c>
      <c r="F4767" s="4">
        <v>20210309</v>
      </c>
      <c r="G4767" s="4">
        <v>20240309</v>
      </c>
      <c r="H4767" s="4" t="s">
        <v>3643</v>
      </c>
      <c r="I4767" s="4" t="s">
        <v>3642</v>
      </c>
      <c r="J4767" s="4" t="s">
        <v>78</v>
      </c>
    </row>
    <row r="4768" spans="1:10" hidden="1">
      <c r="A4768" s="4">
        <v>2.0210362010000099E+17</v>
      </c>
      <c r="B4768" s="4">
        <v>6688601866</v>
      </c>
      <c r="C4768" s="4" t="s">
        <v>3641</v>
      </c>
      <c r="D4768" s="4">
        <v>62010</v>
      </c>
      <c r="E4768" s="4">
        <v>20210309</v>
      </c>
      <c r="F4768" s="4">
        <v>20210309</v>
      </c>
      <c r="G4768" s="4">
        <v>20240309</v>
      </c>
      <c r="H4768" s="4" t="s">
        <v>3640</v>
      </c>
      <c r="I4768" s="4" t="s">
        <v>938</v>
      </c>
      <c r="J4768" s="4" t="s">
        <v>118</v>
      </c>
    </row>
    <row r="4769" spans="1:10" hidden="1">
      <c r="A4769" s="4">
        <v>2.0210327213000099E+17</v>
      </c>
      <c r="B4769" s="4">
        <v>1958601790</v>
      </c>
      <c r="C4769" s="4" t="s">
        <v>3639</v>
      </c>
      <c r="D4769" s="4">
        <v>27213</v>
      </c>
      <c r="E4769" s="4">
        <v>20210309</v>
      </c>
      <c r="F4769" s="4">
        <v>20210309</v>
      </c>
      <c r="G4769" s="4">
        <v>20240309</v>
      </c>
      <c r="H4769" s="4" t="s">
        <v>3638</v>
      </c>
      <c r="I4769" s="4" t="s">
        <v>3637</v>
      </c>
      <c r="J4769" s="4" t="s">
        <v>264</v>
      </c>
    </row>
    <row r="4770" spans="1:10" hidden="1">
      <c r="A4770" s="4">
        <v>2.0210370121000099E+17</v>
      </c>
      <c r="B4770" s="4">
        <v>3658102113</v>
      </c>
      <c r="C4770" s="4" t="s">
        <v>3636</v>
      </c>
      <c r="D4770" s="4">
        <v>70121</v>
      </c>
      <c r="E4770" s="4">
        <v>20210309</v>
      </c>
      <c r="F4770" s="4">
        <v>20210309</v>
      </c>
      <c r="G4770" s="4">
        <v>20240309</v>
      </c>
      <c r="H4770" s="4" t="s">
        <v>3635</v>
      </c>
      <c r="I4770" s="4" t="s">
        <v>3634</v>
      </c>
      <c r="J4770" s="4" t="s">
        <v>1267</v>
      </c>
    </row>
    <row r="4771" spans="1:10" hidden="1">
      <c r="A4771" s="4">
        <v>2.0210342321000099E+17</v>
      </c>
      <c r="B4771" s="4">
        <v>4298100229</v>
      </c>
      <c r="C4771" s="4" t="s">
        <v>3633</v>
      </c>
      <c r="D4771" s="4">
        <v>42321</v>
      </c>
      <c r="E4771" s="4">
        <v>20210309</v>
      </c>
      <c r="F4771" s="4">
        <v>20210309</v>
      </c>
      <c r="G4771" s="4">
        <v>20220821</v>
      </c>
      <c r="H4771" s="4" t="s">
        <v>483</v>
      </c>
      <c r="I4771" s="4" t="s">
        <v>3632</v>
      </c>
      <c r="J4771" s="4" t="s">
        <v>698</v>
      </c>
    </row>
    <row r="4772" spans="1:10" hidden="1">
      <c r="A4772" s="4">
        <v>2.0210358222000099E+17</v>
      </c>
      <c r="B4772" s="4">
        <v>1258633065</v>
      </c>
      <c r="C4772" s="4" t="s">
        <v>3631</v>
      </c>
      <c r="D4772" s="4">
        <v>58222</v>
      </c>
      <c r="E4772" s="4">
        <v>20210309</v>
      </c>
      <c r="F4772" s="4">
        <v>20210309</v>
      </c>
      <c r="G4772" s="4">
        <v>20240309</v>
      </c>
      <c r="H4772" s="4" t="s">
        <v>3630</v>
      </c>
      <c r="I4772" s="4" t="s">
        <v>3629</v>
      </c>
      <c r="J4772" s="4" t="s">
        <v>94</v>
      </c>
    </row>
    <row r="4773" spans="1:10" hidden="1">
      <c r="A4773" s="4">
        <v>2.0210362010000099E+17</v>
      </c>
      <c r="B4773" s="4">
        <v>5068193516</v>
      </c>
      <c r="C4773" s="4" t="s">
        <v>3628</v>
      </c>
      <c r="D4773" s="4">
        <v>62010</v>
      </c>
      <c r="E4773" s="4">
        <v>20210309</v>
      </c>
      <c r="F4773" s="4">
        <v>20210309</v>
      </c>
      <c r="G4773" s="4">
        <v>20240309</v>
      </c>
      <c r="H4773" s="4" t="s">
        <v>3627</v>
      </c>
      <c r="J4773" s="4" t="s">
        <v>118</v>
      </c>
    </row>
    <row r="4774" spans="1:10" hidden="1">
      <c r="A4774" s="4">
        <v>2.0210358222000099E+17</v>
      </c>
      <c r="B4774" s="4">
        <v>1058811493</v>
      </c>
      <c r="C4774" s="4" t="s">
        <v>3626</v>
      </c>
      <c r="D4774" s="4">
        <v>58222</v>
      </c>
      <c r="E4774" s="4">
        <v>20210309</v>
      </c>
      <c r="F4774" s="4">
        <v>20210309</v>
      </c>
      <c r="G4774" s="4">
        <v>20211121</v>
      </c>
      <c r="H4774" s="4" t="s">
        <v>3367</v>
      </c>
      <c r="I4774" s="4" t="s">
        <v>3625</v>
      </c>
      <c r="J4774" s="4" t="s">
        <v>94</v>
      </c>
    </row>
    <row r="4775" spans="1:10" hidden="1">
      <c r="A4775" s="4">
        <v>2.0210342135000099E+17</v>
      </c>
      <c r="B4775" s="4">
        <v>5778800584</v>
      </c>
      <c r="C4775" s="4" t="s">
        <v>3624</v>
      </c>
      <c r="D4775" s="4">
        <v>42135</v>
      </c>
      <c r="E4775" s="4">
        <v>20210309</v>
      </c>
      <c r="F4775" s="4">
        <v>20210309</v>
      </c>
      <c r="G4775" s="4">
        <v>20231129</v>
      </c>
      <c r="H4775" s="4" t="s">
        <v>3623</v>
      </c>
      <c r="I4775" s="4" t="s">
        <v>3622</v>
      </c>
      <c r="J4775" s="4" t="s">
        <v>3621</v>
      </c>
    </row>
    <row r="4776" spans="1:10" hidden="1">
      <c r="A4776" s="4">
        <v>2.0210329175000099E+17</v>
      </c>
      <c r="B4776" s="4">
        <v>5438101257</v>
      </c>
      <c r="C4776" s="4" t="s">
        <v>3620</v>
      </c>
      <c r="D4776" s="4">
        <v>29175</v>
      </c>
      <c r="E4776" s="4">
        <v>20210309</v>
      </c>
      <c r="F4776" s="4">
        <v>20210309</v>
      </c>
      <c r="G4776" s="4">
        <v>20240309</v>
      </c>
      <c r="H4776" s="4" t="s">
        <v>3619</v>
      </c>
      <c r="J4776" s="4" t="s">
        <v>232</v>
      </c>
    </row>
    <row r="4777" spans="1:10" hidden="1">
      <c r="A4777" s="4">
        <v>2.0210328519000099E+17</v>
      </c>
      <c r="B4777" s="4">
        <v>6818601743</v>
      </c>
      <c r="C4777" s="4" t="s">
        <v>3618</v>
      </c>
      <c r="D4777" s="4">
        <v>28519</v>
      </c>
      <c r="E4777" s="4">
        <v>20210309</v>
      </c>
      <c r="F4777" s="4">
        <v>20210309</v>
      </c>
      <c r="G4777" s="4">
        <v>20240309</v>
      </c>
      <c r="H4777" s="4" t="s">
        <v>3617</v>
      </c>
      <c r="J4777" s="4" t="s">
        <v>1412</v>
      </c>
    </row>
    <row r="4778" spans="1:10" hidden="1">
      <c r="A4778" s="4">
        <v>2.0210328429000099E+17</v>
      </c>
      <c r="B4778" s="4">
        <v>8698700870</v>
      </c>
      <c r="C4778" s="4" t="s">
        <v>3616</v>
      </c>
      <c r="D4778" s="4">
        <v>28429</v>
      </c>
      <c r="E4778" s="4">
        <v>20210309</v>
      </c>
      <c r="F4778" s="4">
        <v>20210309</v>
      </c>
      <c r="G4778" s="4">
        <v>20240309</v>
      </c>
      <c r="H4778" s="4" t="s">
        <v>3615</v>
      </c>
      <c r="I4778" s="4" t="s">
        <v>3614</v>
      </c>
      <c r="J4778" s="4" t="s">
        <v>765</v>
      </c>
    </row>
    <row r="4779" spans="1:10" hidden="1">
      <c r="A4779" s="4">
        <v>2.0210329173000099E+17</v>
      </c>
      <c r="B4779" s="4">
        <v>7818601801</v>
      </c>
      <c r="C4779" s="4" t="s">
        <v>3613</v>
      </c>
      <c r="D4779" s="4">
        <v>29173</v>
      </c>
      <c r="E4779" s="4">
        <v>20210309</v>
      </c>
      <c r="F4779" s="4">
        <v>20210309</v>
      </c>
      <c r="G4779" s="4">
        <v>20240309</v>
      </c>
      <c r="H4779" s="4" t="s">
        <v>1520</v>
      </c>
      <c r="I4779" s="4" t="s">
        <v>1519</v>
      </c>
      <c r="J4779" s="4" t="s">
        <v>297</v>
      </c>
    </row>
    <row r="4780" spans="1:10" hidden="1">
      <c r="A4780" s="4">
        <v>2.0210362021000099E+17</v>
      </c>
      <c r="B4780" s="4">
        <v>1448134003</v>
      </c>
      <c r="C4780" s="4" t="s">
        <v>3612</v>
      </c>
      <c r="D4780" s="4">
        <v>62021</v>
      </c>
      <c r="E4780" s="4">
        <v>20210309</v>
      </c>
      <c r="F4780" s="4">
        <v>20210309</v>
      </c>
      <c r="G4780" s="4">
        <v>20220102</v>
      </c>
      <c r="H4780" s="4" t="s">
        <v>3611</v>
      </c>
      <c r="I4780" s="4" t="s">
        <v>3610</v>
      </c>
      <c r="J4780" s="4" t="s">
        <v>1505</v>
      </c>
    </row>
    <row r="4781" spans="1:10" hidden="1">
      <c r="A4781" s="4">
        <v>2.0210321300000099E+17</v>
      </c>
      <c r="B4781" s="4">
        <v>3088701578</v>
      </c>
      <c r="C4781" s="4" t="s">
        <v>3609</v>
      </c>
      <c r="D4781" s="4">
        <v>21300</v>
      </c>
      <c r="E4781" s="4">
        <v>20210309</v>
      </c>
      <c r="F4781" s="4">
        <v>20210309</v>
      </c>
      <c r="G4781" s="4">
        <v>20240309</v>
      </c>
      <c r="H4781" s="4" t="s">
        <v>3608</v>
      </c>
      <c r="I4781" s="4" t="s">
        <v>3607</v>
      </c>
      <c r="J4781" s="4" t="s">
        <v>530</v>
      </c>
    </row>
    <row r="4782" spans="1:10" hidden="1">
      <c r="A4782" s="4">
        <v>2.0210358222000099E+17</v>
      </c>
      <c r="B4782" s="4">
        <v>3248801539</v>
      </c>
      <c r="C4782" s="4" t="s">
        <v>3606</v>
      </c>
      <c r="D4782" s="4">
        <v>58222</v>
      </c>
      <c r="E4782" s="4">
        <v>20210309</v>
      </c>
      <c r="F4782" s="4">
        <v>20210309</v>
      </c>
      <c r="G4782" s="4">
        <v>20240309</v>
      </c>
      <c r="H4782" s="4" t="s">
        <v>3605</v>
      </c>
      <c r="I4782" s="4" t="s">
        <v>3604</v>
      </c>
      <c r="J4782" s="4" t="s">
        <v>94</v>
      </c>
    </row>
    <row r="4783" spans="1:10" hidden="1">
      <c r="A4783" s="4">
        <v>2.0210330201000099E+17</v>
      </c>
      <c r="B4783" s="4">
        <v>1578802049</v>
      </c>
      <c r="C4783" s="4" t="s">
        <v>3603</v>
      </c>
      <c r="D4783" s="4">
        <v>30201</v>
      </c>
      <c r="E4783" s="4">
        <v>20210309</v>
      </c>
      <c r="F4783" s="4">
        <v>20210309</v>
      </c>
      <c r="G4783" s="4">
        <v>20240309</v>
      </c>
      <c r="H4783" s="4" t="s">
        <v>3602</v>
      </c>
      <c r="J4783" s="4" t="s">
        <v>1218</v>
      </c>
    </row>
    <row r="4784" spans="1:10" hidden="1">
      <c r="A4784" s="4">
        <v>2.0210363120000099E+17</v>
      </c>
      <c r="B4784" s="4">
        <v>2208896563</v>
      </c>
      <c r="C4784" s="4" t="s">
        <v>3601</v>
      </c>
      <c r="D4784" s="4">
        <v>63120</v>
      </c>
      <c r="E4784" s="4">
        <v>20210309</v>
      </c>
      <c r="F4784" s="4">
        <v>20210309</v>
      </c>
      <c r="G4784" s="4">
        <v>20220130</v>
      </c>
      <c r="H4784" s="4" t="s">
        <v>3600</v>
      </c>
      <c r="I4784" s="4" t="s">
        <v>3599</v>
      </c>
      <c r="J4784" s="4" t="s">
        <v>632</v>
      </c>
    </row>
    <row r="4785" spans="1:10" hidden="1">
      <c r="A4785" s="4">
        <v>2.0210375992000099E+17</v>
      </c>
      <c r="B4785" s="4">
        <v>7113400589</v>
      </c>
      <c r="C4785" s="4" t="s">
        <v>3598</v>
      </c>
      <c r="D4785" s="4">
        <v>75992</v>
      </c>
      <c r="E4785" s="4">
        <v>20210309</v>
      </c>
      <c r="F4785" s="4">
        <v>20210309</v>
      </c>
      <c r="G4785" s="4">
        <v>20240309</v>
      </c>
      <c r="H4785" s="4" t="s">
        <v>3597</v>
      </c>
      <c r="I4785" s="4" t="s">
        <v>3596</v>
      </c>
      <c r="J4785" s="4" t="s">
        <v>111</v>
      </c>
    </row>
    <row r="4786" spans="1:10" hidden="1">
      <c r="A4786" s="4">
        <v>2.0210362010000099E+17</v>
      </c>
      <c r="B4786" s="4">
        <v>7148700401</v>
      </c>
      <c r="C4786" s="4" t="s">
        <v>3595</v>
      </c>
      <c r="D4786" s="4">
        <v>62010</v>
      </c>
      <c r="E4786" s="4">
        <v>20210309</v>
      </c>
      <c r="F4786" s="4">
        <v>20210309</v>
      </c>
      <c r="G4786" s="4">
        <v>20230603</v>
      </c>
      <c r="H4786" s="4" t="s">
        <v>3594</v>
      </c>
      <c r="I4786" s="4" t="s">
        <v>3119</v>
      </c>
      <c r="J4786" s="4" t="s">
        <v>118</v>
      </c>
    </row>
    <row r="4787" spans="1:10" hidden="1">
      <c r="A4787" s="4">
        <v>2.0210313409000099E+17</v>
      </c>
      <c r="B4787" s="4">
        <v>6198600109</v>
      </c>
      <c r="C4787" s="4" t="s">
        <v>3593</v>
      </c>
      <c r="D4787" s="4">
        <v>13409</v>
      </c>
      <c r="E4787" s="4">
        <v>20210309</v>
      </c>
      <c r="F4787" s="4">
        <v>20210309</v>
      </c>
      <c r="G4787" s="4">
        <v>20220601</v>
      </c>
      <c r="H4787" s="4" t="s">
        <v>3592</v>
      </c>
      <c r="J4787" s="4" t="s">
        <v>3591</v>
      </c>
    </row>
    <row r="4788" spans="1:10" hidden="1">
      <c r="A4788" s="4">
        <v>2.0210362010000099E+17</v>
      </c>
      <c r="B4788" s="4">
        <v>7788702188</v>
      </c>
      <c r="C4788" s="4" t="s">
        <v>3590</v>
      </c>
      <c r="D4788" s="4">
        <v>62010</v>
      </c>
      <c r="E4788" s="4">
        <v>20210308</v>
      </c>
      <c r="F4788" s="4">
        <v>20210308</v>
      </c>
      <c r="G4788" s="4">
        <v>20240308</v>
      </c>
      <c r="H4788" s="4" t="s">
        <v>3589</v>
      </c>
      <c r="I4788" s="4" t="s">
        <v>3588</v>
      </c>
      <c r="J4788" s="4" t="s">
        <v>118</v>
      </c>
    </row>
    <row r="4789" spans="1:10" hidden="1">
      <c r="A4789" s="4">
        <v>2.0210313992000099E+17</v>
      </c>
      <c r="B4789" s="4">
        <v>1488601912</v>
      </c>
      <c r="C4789" s="4" t="s">
        <v>3587</v>
      </c>
      <c r="D4789" s="4">
        <v>13992</v>
      </c>
      <c r="E4789" s="4">
        <v>20210308</v>
      </c>
      <c r="F4789" s="4">
        <v>20210308</v>
      </c>
      <c r="G4789" s="4">
        <v>20240308</v>
      </c>
      <c r="H4789" s="4" t="s">
        <v>3586</v>
      </c>
      <c r="I4789" s="4" t="s">
        <v>3585</v>
      </c>
      <c r="J4789" s="4" t="s">
        <v>2982</v>
      </c>
    </row>
    <row r="4790" spans="1:10" hidden="1">
      <c r="A4790" s="4">
        <v>2.0210363111000099E+17</v>
      </c>
      <c r="B4790" s="4">
        <v>3248800919</v>
      </c>
      <c r="C4790" s="4" t="s">
        <v>3584</v>
      </c>
      <c r="D4790" s="4">
        <v>63111</v>
      </c>
      <c r="E4790" s="4">
        <v>20210308</v>
      </c>
      <c r="F4790" s="4">
        <v>20210308</v>
      </c>
      <c r="G4790" s="4">
        <v>20240308</v>
      </c>
      <c r="H4790" s="4" t="s">
        <v>3583</v>
      </c>
      <c r="I4790" s="4" t="s">
        <v>185</v>
      </c>
      <c r="J4790" s="4" t="s">
        <v>915</v>
      </c>
    </row>
    <row r="4791" spans="1:10" hidden="1">
      <c r="A4791" s="4">
        <v>2.0210328422000099E+17</v>
      </c>
      <c r="B4791" s="4">
        <v>4868700199</v>
      </c>
      <c r="C4791" s="4" t="s">
        <v>3582</v>
      </c>
      <c r="D4791" s="4">
        <v>28422</v>
      </c>
      <c r="E4791" s="4">
        <v>20210308</v>
      </c>
      <c r="F4791" s="4">
        <v>20210308</v>
      </c>
      <c r="G4791" s="4">
        <v>20221116</v>
      </c>
      <c r="H4791" s="4" t="s">
        <v>3581</v>
      </c>
      <c r="I4791" s="4" t="s">
        <v>3580</v>
      </c>
      <c r="J4791" s="4" t="s">
        <v>188</v>
      </c>
    </row>
    <row r="4792" spans="1:10" hidden="1">
      <c r="A4792" s="4">
        <v>2.0210358222000099E+17</v>
      </c>
      <c r="B4792" s="4">
        <v>5828601465</v>
      </c>
      <c r="C4792" s="4" t="s">
        <v>3579</v>
      </c>
      <c r="D4792" s="4">
        <v>58222</v>
      </c>
      <c r="E4792" s="4">
        <v>20210308</v>
      </c>
      <c r="F4792" s="4">
        <v>20210308</v>
      </c>
      <c r="G4792" s="4">
        <v>20240308</v>
      </c>
      <c r="H4792" s="4" t="s">
        <v>3578</v>
      </c>
      <c r="I4792" s="4" t="s">
        <v>3577</v>
      </c>
      <c r="J4792" s="4" t="s">
        <v>94</v>
      </c>
    </row>
    <row r="4793" spans="1:10" hidden="1">
      <c r="A4793" s="4">
        <v>2.0210342134000099E+17</v>
      </c>
      <c r="B4793" s="4">
        <v>4918701735</v>
      </c>
      <c r="C4793" s="4" t="s">
        <v>3576</v>
      </c>
      <c r="D4793" s="4">
        <v>42134</v>
      </c>
      <c r="E4793" s="4">
        <v>20210308</v>
      </c>
      <c r="F4793" s="4">
        <v>20210308</v>
      </c>
      <c r="G4793" s="4">
        <v>20240308</v>
      </c>
      <c r="H4793" s="4" t="s">
        <v>3575</v>
      </c>
      <c r="I4793" s="4" t="s">
        <v>3574</v>
      </c>
      <c r="J4793" s="4" t="s">
        <v>3573</v>
      </c>
    </row>
    <row r="4794" spans="1:10" hidden="1">
      <c r="A4794" s="4">
        <v>2.0210370129000099E+17</v>
      </c>
      <c r="B4794" s="4">
        <v>5908701857</v>
      </c>
      <c r="C4794" s="4" t="s">
        <v>3572</v>
      </c>
      <c r="D4794" s="4">
        <v>70129</v>
      </c>
      <c r="E4794" s="4">
        <v>20210308</v>
      </c>
      <c r="F4794" s="4">
        <v>20210308</v>
      </c>
      <c r="G4794" s="4">
        <v>20240308</v>
      </c>
      <c r="H4794" s="4" t="s">
        <v>3331</v>
      </c>
      <c r="I4794" s="4" t="s">
        <v>3571</v>
      </c>
      <c r="J4794" s="4" t="s">
        <v>937</v>
      </c>
    </row>
    <row r="4795" spans="1:10" hidden="1">
      <c r="A4795" s="4">
        <v>2.0210328903000099E+17</v>
      </c>
      <c r="B4795" s="4">
        <v>6738700944</v>
      </c>
      <c r="C4795" s="4" t="s">
        <v>3569</v>
      </c>
      <c r="D4795" s="4">
        <v>28903</v>
      </c>
      <c r="E4795" s="4">
        <v>20210308</v>
      </c>
      <c r="F4795" s="4">
        <v>20210308</v>
      </c>
      <c r="G4795" s="4">
        <v>20240308</v>
      </c>
      <c r="H4795" s="4" t="s">
        <v>3570</v>
      </c>
      <c r="I4795" s="4" t="s">
        <v>3569</v>
      </c>
      <c r="J4795" s="4" t="s">
        <v>460</v>
      </c>
    </row>
    <row r="4796" spans="1:10" hidden="1">
      <c r="A4796" s="4">
        <v>2.0210313999000099E+17</v>
      </c>
      <c r="B4796" s="4">
        <v>8118101636</v>
      </c>
      <c r="C4796" s="4" t="s">
        <v>3568</v>
      </c>
      <c r="D4796" s="4">
        <v>13999</v>
      </c>
      <c r="E4796" s="4">
        <v>20210308</v>
      </c>
      <c r="F4796" s="4">
        <v>20210308</v>
      </c>
      <c r="G4796" s="4">
        <v>20240308</v>
      </c>
      <c r="H4796" s="4" t="s">
        <v>3567</v>
      </c>
      <c r="I4796" s="4" t="s">
        <v>3566</v>
      </c>
      <c r="J4796" s="4" t="s">
        <v>130</v>
      </c>
    </row>
    <row r="4797" spans="1:10" hidden="1">
      <c r="A4797" s="4">
        <v>2.0210342420000099E+17</v>
      </c>
      <c r="B4797" s="4">
        <v>8508801339</v>
      </c>
      <c r="C4797" s="4" t="s">
        <v>3565</v>
      </c>
      <c r="D4797" s="4">
        <v>42420</v>
      </c>
      <c r="E4797" s="4">
        <v>20210308</v>
      </c>
      <c r="F4797" s="4">
        <v>20210308</v>
      </c>
      <c r="G4797" s="4">
        <v>20240308</v>
      </c>
      <c r="H4797" s="4" t="s">
        <v>3564</v>
      </c>
      <c r="J4797" s="4" t="s">
        <v>1649</v>
      </c>
    </row>
    <row r="4798" spans="1:10" hidden="1">
      <c r="A4798" s="4">
        <v>2.0210358222000099E+17</v>
      </c>
      <c r="B4798" s="4">
        <v>8608701509</v>
      </c>
      <c r="C4798" s="4" t="s">
        <v>3563</v>
      </c>
      <c r="D4798" s="4">
        <v>58222</v>
      </c>
      <c r="E4798" s="4">
        <v>20210308</v>
      </c>
      <c r="F4798" s="4">
        <v>20210308</v>
      </c>
      <c r="G4798" s="4">
        <v>20240308</v>
      </c>
      <c r="H4798" s="4" t="s">
        <v>3562</v>
      </c>
      <c r="I4798" s="4" t="s">
        <v>3561</v>
      </c>
      <c r="J4798" s="4" t="s">
        <v>94</v>
      </c>
    </row>
    <row r="4799" spans="1:10" hidden="1">
      <c r="A4799" s="4">
        <v>2.0210359111000099E+17</v>
      </c>
      <c r="B4799" s="4">
        <v>6923100822</v>
      </c>
      <c r="C4799" s="4" t="s">
        <v>3560</v>
      </c>
      <c r="D4799" s="4">
        <v>59111</v>
      </c>
      <c r="E4799" s="4">
        <v>20210308</v>
      </c>
      <c r="F4799" s="4">
        <v>20210308</v>
      </c>
      <c r="G4799" s="4">
        <v>20240308</v>
      </c>
      <c r="H4799" s="4" t="s">
        <v>3559</v>
      </c>
      <c r="I4799" s="4" t="s">
        <v>3558</v>
      </c>
      <c r="J4799" s="4" t="s">
        <v>1857</v>
      </c>
    </row>
    <row r="4800" spans="1:10" hidden="1">
      <c r="A4800" s="4">
        <v>2.0210370129000099E+17</v>
      </c>
      <c r="B4800" s="4">
        <v>1958601747</v>
      </c>
      <c r="C4800" s="4" t="s">
        <v>3557</v>
      </c>
      <c r="D4800" s="4">
        <v>70129</v>
      </c>
      <c r="E4800" s="4">
        <v>20210308</v>
      </c>
      <c r="F4800" s="4">
        <v>20210308</v>
      </c>
      <c r="G4800" s="4">
        <v>20240308</v>
      </c>
      <c r="H4800" s="4" t="s">
        <v>1196</v>
      </c>
      <c r="I4800" s="4" t="s">
        <v>3556</v>
      </c>
      <c r="J4800" s="4" t="s">
        <v>937</v>
      </c>
    </row>
    <row r="4801" spans="1:10" hidden="1">
      <c r="A4801" s="4">
        <v>2.0210325933000099E+17</v>
      </c>
      <c r="B4801" s="4">
        <v>5388601959</v>
      </c>
      <c r="C4801" s="4" t="s">
        <v>3555</v>
      </c>
      <c r="D4801" s="4">
        <v>25933</v>
      </c>
      <c r="E4801" s="4">
        <v>20210308</v>
      </c>
      <c r="F4801" s="4">
        <v>20210308</v>
      </c>
      <c r="G4801" s="4">
        <v>20240308</v>
      </c>
      <c r="H4801" s="4" t="s">
        <v>3554</v>
      </c>
      <c r="I4801" s="4" t="s">
        <v>3492</v>
      </c>
      <c r="J4801" s="4" t="s">
        <v>3553</v>
      </c>
    </row>
    <row r="4802" spans="1:10" hidden="1">
      <c r="A4802" s="4">
        <v>2.0210362021000099E+17</v>
      </c>
      <c r="B4802" s="4">
        <v>6688601740</v>
      </c>
      <c r="C4802" s="4" t="s">
        <v>3552</v>
      </c>
      <c r="D4802" s="4">
        <v>62021</v>
      </c>
      <c r="E4802" s="4">
        <v>20210308</v>
      </c>
      <c r="F4802" s="4">
        <v>20210308</v>
      </c>
      <c r="G4802" s="4">
        <v>20240308</v>
      </c>
      <c r="H4802" s="4" t="s">
        <v>3551</v>
      </c>
      <c r="I4802" s="4" t="s">
        <v>3550</v>
      </c>
      <c r="J4802" s="4" t="s">
        <v>1505</v>
      </c>
    </row>
    <row r="4803" spans="1:10" hidden="1">
      <c r="A4803" s="4">
        <v>2.0210331322000099E+17</v>
      </c>
      <c r="B4803" s="4">
        <v>5128124052</v>
      </c>
      <c r="C4803" s="4" t="s">
        <v>3549</v>
      </c>
      <c r="D4803" s="4">
        <v>31322</v>
      </c>
      <c r="E4803" s="4">
        <v>20210308</v>
      </c>
      <c r="F4803" s="4">
        <v>20210308</v>
      </c>
      <c r="G4803" s="4">
        <v>20230524</v>
      </c>
      <c r="H4803" s="4" t="s">
        <v>3548</v>
      </c>
      <c r="I4803" s="4" t="s">
        <v>3547</v>
      </c>
      <c r="J4803" s="4" t="s">
        <v>3546</v>
      </c>
    </row>
    <row r="4804" spans="1:10" hidden="1">
      <c r="A4804" s="4">
        <v>2.0210324290000099E+17</v>
      </c>
      <c r="B4804" s="4">
        <v>1723300773</v>
      </c>
      <c r="C4804" s="4" t="s">
        <v>3545</v>
      </c>
      <c r="D4804" s="4">
        <v>24290</v>
      </c>
      <c r="E4804" s="4">
        <v>20210308</v>
      </c>
      <c r="F4804" s="4">
        <v>20210308</v>
      </c>
      <c r="G4804" s="4">
        <v>20240308</v>
      </c>
      <c r="H4804" s="4" t="s">
        <v>3544</v>
      </c>
      <c r="J4804" s="4" t="s">
        <v>325</v>
      </c>
    </row>
    <row r="4805" spans="1:10" hidden="1">
      <c r="A4805" s="4">
        <v>2.0210328909000099E+17</v>
      </c>
      <c r="B4805" s="4">
        <v>6273900294</v>
      </c>
      <c r="C4805" s="4" t="s">
        <v>3543</v>
      </c>
      <c r="D4805" s="4">
        <v>28909</v>
      </c>
      <c r="E4805" s="4">
        <v>20210308</v>
      </c>
      <c r="F4805" s="4">
        <v>20210308</v>
      </c>
      <c r="G4805" s="4">
        <v>20240308</v>
      </c>
      <c r="H4805" s="4" t="s">
        <v>3198</v>
      </c>
      <c r="I4805" s="4" t="s">
        <v>3542</v>
      </c>
      <c r="J4805" s="4" t="s">
        <v>253</v>
      </c>
    </row>
    <row r="4806" spans="1:10" hidden="1">
      <c r="A4806" s="4">
        <v>2.0210346739000099E+17</v>
      </c>
      <c r="B4806" s="4">
        <v>4170985971</v>
      </c>
      <c r="C4806" s="4" t="s">
        <v>3541</v>
      </c>
      <c r="D4806" s="4">
        <v>46739</v>
      </c>
      <c r="E4806" s="4">
        <v>20210308</v>
      </c>
      <c r="F4806" s="4">
        <v>20210308</v>
      </c>
      <c r="G4806" s="4">
        <v>20220205</v>
      </c>
      <c r="H4806" s="4" t="s">
        <v>3540</v>
      </c>
      <c r="J4806" s="4" t="s">
        <v>2551</v>
      </c>
    </row>
    <row r="4807" spans="1:10" hidden="1">
      <c r="A4807" s="4">
        <v>2.0210329280000099E+17</v>
      </c>
      <c r="B4807" s="4">
        <v>5448800624</v>
      </c>
      <c r="C4807" s="4" t="s">
        <v>3539</v>
      </c>
      <c r="D4807" s="4">
        <v>29280</v>
      </c>
      <c r="E4807" s="4">
        <v>20210308</v>
      </c>
      <c r="F4807" s="4">
        <v>20210308</v>
      </c>
      <c r="G4807" s="4">
        <v>20231229</v>
      </c>
      <c r="H4807" s="4" t="s">
        <v>3538</v>
      </c>
      <c r="I4807" s="4" t="s">
        <v>3537</v>
      </c>
      <c r="J4807" s="4" t="s">
        <v>533</v>
      </c>
    </row>
    <row r="4808" spans="1:10" hidden="1">
      <c r="A4808" s="4">
        <v>2.0210320313000099E+17</v>
      </c>
      <c r="B4808" s="4">
        <v>8080400907</v>
      </c>
      <c r="C4808" s="4" t="s">
        <v>3536</v>
      </c>
      <c r="D4808" s="4">
        <v>20313</v>
      </c>
      <c r="E4808" s="4">
        <v>20210308</v>
      </c>
      <c r="F4808" s="4">
        <v>20210308</v>
      </c>
      <c r="G4808" s="4">
        <v>20240308</v>
      </c>
      <c r="H4808" s="4" t="s">
        <v>3535</v>
      </c>
      <c r="I4808" s="4" t="s">
        <v>3534</v>
      </c>
      <c r="J4808" s="4" t="s">
        <v>3533</v>
      </c>
    </row>
    <row r="4809" spans="1:10" hidden="1">
      <c r="A4809" s="4">
        <v>2.0210358221000099E+17</v>
      </c>
      <c r="B4809" s="4">
        <v>2981600928</v>
      </c>
      <c r="C4809" s="4" t="s">
        <v>3532</v>
      </c>
      <c r="D4809" s="4">
        <v>58221</v>
      </c>
      <c r="E4809" s="4">
        <v>20210308</v>
      </c>
      <c r="F4809" s="4">
        <v>20210308</v>
      </c>
      <c r="G4809" s="4">
        <v>20240308</v>
      </c>
      <c r="H4809" s="4" t="s">
        <v>3531</v>
      </c>
      <c r="I4809" s="4" t="s">
        <v>3530</v>
      </c>
      <c r="J4809" s="4" t="s">
        <v>228</v>
      </c>
    </row>
    <row r="4810" spans="1:10" hidden="1">
      <c r="A4810" s="4">
        <v>2.0210358222000099E+17</v>
      </c>
      <c r="B4810" s="4">
        <v>4248801391</v>
      </c>
      <c r="C4810" s="4" t="s">
        <v>3529</v>
      </c>
      <c r="D4810" s="4">
        <v>58222</v>
      </c>
      <c r="E4810" s="4">
        <v>20210308</v>
      </c>
      <c r="F4810" s="4">
        <v>20210308</v>
      </c>
      <c r="G4810" s="4">
        <v>20240308</v>
      </c>
      <c r="H4810" s="4" t="s">
        <v>3528</v>
      </c>
      <c r="I4810" s="4" t="s">
        <v>159</v>
      </c>
      <c r="J4810" s="4" t="s">
        <v>94</v>
      </c>
    </row>
    <row r="4811" spans="1:10" hidden="1">
      <c r="A4811" s="4">
        <v>2.0210370130000099E+17</v>
      </c>
      <c r="B4811" s="4">
        <v>5474100477</v>
      </c>
      <c r="C4811" s="4" t="s">
        <v>3527</v>
      </c>
      <c r="D4811" s="4">
        <v>70130</v>
      </c>
      <c r="E4811" s="4">
        <v>20210308</v>
      </c>
      <c r="F4811" s="4">
        <v>20210308</v>
      </c>
      <c r="G4811" s="4">
        <v>20240308</v>
      </c>
      <c r="H4811" s="4" t="s">
        <v>3526</v>
      </c>
      <c r="I4811" s="4" t="s">
        <v>3525</v>
      </c>
      <c r="J4811" s="4" t="s">
        <v>170</v>
      </c>
    </row>
    <row r="4812" spans="1:10" hidden="1">
      <c r="A4812" s="4">
        <v>2.0210375919000099E+17</v>
      </c>
      <c r="B4812" s="4">
        <v>7685500561</v>
      </c>
      <c r="C4812" s="4" t="s">
        <v>3524</v>
      </c>
      <c r="D4812" s="4">
        <v>75919</v>
      </c>
      <c r="E4812" s="4">
        <v>20210308</v>
      </c>
      <c r="F4812" s="4">
        <v>20210308</v>
      </c>
      <c r="G4812" s="4">
        <v>20240308</v>
      </c>
      <c r="H4812" s="4" t="s">
        <v>3523</v>
      </c>
      <c r="I4812" s="4" t="s">
        <v>3522</v>
      </c>
      <c r="J4812" s="4" t="s">
        <v>3521</v>
      </c>
    </row>
    <row r="4813" spans="1:10" hidden="1">
      <c r="A4813" s="4">
        <v>2.0210347852000099E+17</v>
      </c>
      <c r="B4813" s="4">
        <v>7061101442</v>
      </c>
      <c r="C4813" s="4" t="s">
        <v>3520</v>
      </c>
      <c r="D4813" s="4">
        <v>47852</v>
      </c>
      <c r="E4813" s="4">
        <v>20210308</v>
      </c>
      <c r="F4813" s="4">
        <v>20210308</v>
      </c>
      <c r="G4813" s="4">
        <v>20240308</v>
      </c>
      <c r="H4813" s="4" t="s">
        <v>3519</v>
      </c>
      <c r="I4813" s="4" t="s">
        <v>3518</v>
      </c>
      <c r="J4813" s="4" t="s">
        <v>3517</v>
      </c>
    </row>
    <row r="4814" spans="1:10" hidden="1">
      <c r="A4814" s="4">
        <v>2.0210315219000099E+17</v>
      </c>
      <c r="B4814" s="4">
        <v>2131545761</v>
      </c>
      <c r="C4814" s="4" t="s">
        <v>3516</v>
      </c>
      <c r="D4814" s="4">
        <v>15219</v>
      </c>
      <c r="E4814" s="4">
        <v>20210308</v>
      </c>
      <c r="F4814" s="4">
        <v>20210308</v>
      </c>
      <c r="G4814" s="4">
        <v>20240308</v>
      </c>
      <c r="H4814" s="4" t="s">
        <v>3515</v>
      </c>
      <c r="I4814" s="4" t="s">
        <v>3514</v>
      </c>
      <c r="J4814" s="4" t="s">
        <v>675</v>
      </c>
    </row>
    <row r="4815" spans="1:10" hidden="1">
      <c r="A4815" s="4">
        <v>2.0210331113000099E+17</v>
      </c>
      <c r="B4815" s="4">
        <v>8762800565</v>
      </c>
      <c r="C4815" s="4" t="s">
        <v>3513</v>
      </c>
      <c r="D4815" s="4">
        <v>31113</v>
      </c>
      <c r="E4815" s="4">
        <v>20210308</v>
      </c>
      <c r="F4815" s="4">
        <v>20210308</v>
      </c>
      <c r="G4815" s="4">
        <v>20240308</v>
      </c>
      <c r="H4815" s="4" t="s">
        <v>3512</v>
      </c>
      <c r="I4815" s="4" t="s">
        <v>3511</v>
      </c>
      <c r="J4815" s="4" t="s">
        <v>2707</v>
      </c>
    </row>
    <row r="4816" spans="1:10" hidden="1">
      <c r="A4816" s="4">
        <v>2.0210341226000099E+17</v>
      </c>
      <c r="B4816" s="4">
        <v>4073700717</v>
      </c>
      <c r="C4816" s="4" t="s">
        <v>3509</v>
      </c>
      <c r="D4816" s="4">
        <v>41226</v>
      </c>
      <c r="E4816" s="4">
        <v>20210308</v>
      </c>
      <c r="F4816" s="4">
        <v>20210308</v>
      </c>
      <c r="G4816" s="4">
        <v>20240308</v>
      </c>
      <c r="H4816" s="4" t="s">
        <v>3510</v>
      </c>
      <c r="I4816" s="4" t="s">
        <v>3509</v>
      </c>
      <c r="J4816" s="4" t="s">
        <v>1063</v>
      </c>
    </row>
    <row r="4817" spans="1:10" hidden="1">
      <c r="A4817" s="4">
        <v>2.0210358222000099E+17</v>
      </c>
      <c r="B4817" s="4">
        <v>2168600778</v>
      </c>
      <c r="C4817" s="4" t="s">
        <v>3508</v>
      </c>
      <c r="D4817" s="4">
        <v>58222</v>
      </c>
      <c r="E4817" s="4">
        <v>20210308</v>
      </c>
      <c r="F4817" s="4">
        <v>20210308</v>
      </c>
      <c r="G4817" s="4">
        <v>20240308</v>
      </c>
      <c r="H4817" s="4" t="s">
        <v>3507</v>
      </c>
      <c r="I4817" s="4" t="s">
        <v>3506</v>
      </c>
      <c r="J4817" s="4" t="s">
        <v>94</v>
      </c>
    </row>
    <row r="4818" spans="1:10" hidden="1">
      <c r="A4818" s="4">
        <v>2.0210320499000099E+17</v>
      </c>
      <c r="B4818" s="4">
        <v>4878701681</v>
      </c>
      <c r="C4818" s="4" t="s">
        <v>3505</v>
      </c>
      <c r="D4818" s="4">
        <v>20499</v>
      </c>
      <c r="E4818" s="4">
        <v>20210308</v>
      </c>
      <c r="F4818" s="4">
        <v>20210308</v>
      </c>
      <c r="G4818" s="4">
        <v>20240308</v>
      </c>
      <c r="H4818" s="4" t="s">
        <v>3504</v>
      </c>
      <c r="J4818" s="4" t="s">
        <v>406</v>
      </c>
    </row>
    <row r="4819" spans="1:10" hidden="1">
      <c r="A4819" s="4">
        <v>2.0210358113000099E+17</v>
      </c>
      <c r="B4819" s="4">
        <v>3081692690</v>
      </c>
      <c r="C4819" s="4" t="s">
        <v>3503</v>
      </c>
      <c r="D4819" s="4">
        <v>58113</v>
      </c>
      <c r="E4819" s="4">
        <v>20210308</v>
      </c>
      <c r="F4819" s="4">
        <v>20210308</v>
      </c>
      <c r="G4819" s="4">
        <v>20240308</v>
      </c>
      <c r="H4819" s="4" t="s">
        <v>3502</v>
      </c>
      <c r="I4819" s="4" t="s">
        <v>3501</v>
      </c>
      <c r="J4819" s="4" t="s">
        <v>512</v>
      </c>
    </row>
    <row r="4820" spans="1:10" hidden="1">
      <c r="A4820" s="4">
        <v>2.0210358222000099E+17</v>
      </c>
      <c r="B4820" s="4">
        <v>7778601743</v>
      </c>
      <c r="C4820" s="4" t="s">
        <v>3500</v>
      </c>
      <c r="D4820" s="4">
        <v>58222</v>
      </c>
      <c r="E4820" s="4">
        <v>20210308</v>
      </c>
      <c r="F4820" s="4">
        <v>20210308</v>
      </c>
      <c r="G4820" s="4">
        <v>20240308</v>
      </c>
      <c r="H4820" s="4" t="s">
        <v>366</v>
      </c>
      <c r="I4820" s="4" t="s">
        <v>762</v>
      </c>
      <c r="J4820" s="4" t="s">
        <v>94</v>
      </c>
    </row>
    <row r="4821" spans="1:10" hidden="1">
      <c r="A4821" s="4">
        <v>2.0210313229000099E+17</v>
      </c>
      <c r="B4821" s="4">
        <v>6178627058</v>
      </c>
      <c r="C4821" s="4" t="s">
        <v>3499</v>
      </c>
      <c r="D4821" s="4">
        <v>13229</v>
      </c>
      <c r="E4821" s="4">
        <v>20210308</v>
      </c>
      <c r="F4821" s="4">
        <v>20210308</v>
      </c>
      <c r="G4821" s="4">
        <v>20220715</v>
      </c>
      <c r="H4821" s="4" t="s">
        <v>3498</v>
      </c>
      <c r="J4821" s="4" t="s">
        <v>115</v>
      </c>
    </row>
    <row r="4822" spans="1:10" hidden="1">
      <c r="A4822" s="4">
        <v>2.0210310112000099E+17</v>
      </c>
      <c r="B4822" s="4">
        <v>5328600495</v>
      </c>
      <c r="C4822" s="4" t="s">
        <v>3496</v>
      </c>
      <c r="D4822" s="4">
        <v>10112</v>
      </c>
      <c r="E4822" s="4">
        <v>20210308</v>
      </c>
      <c r="F4822" s="4">
        <v>20210308</v>
      </c>
      <c r="G4822" s="4">
        <v>20231115</v>
      </c>
      <c r="H4822" s="4" t="s">
        <v>3497</v>
      </c>
      <c r="I4822" s="4" t="s">
        <v>3496</v>
      </c>
      <c r="J4822" s="4" t="s">
        <v>3495</v>
      </c>
    </row>
    <row r="4823" spans="1:10" hidden="1">
      <c r="A4823" s="4">
        <v>2.0210342411000099E+17</v>
      </c>
      <c r="B4823" s="4">
        <v>5318801312</v>
      </c>
      <c r="C4823" s="4" t="s">
        <v>3494</v>
      </c>
      <c r="D4823" s="4">
        <v>42411</v>
      </c>
      <c r="E4823" s="4">
        <v>20210308</v>
      </c>
      <c r="F4823" s="4">
        <v>20210308</v>
      </c>
      <c r="G4823" s="4">
        <v>20240308</v>
      </c>
      <c r="H4823" s="4" t="s">
        <v>3493</v>
      </c>
      <c r="I4823" s="4" t="s">
        <v>3492</v>
      </c>
      <c r="J4823" s="4" t="s">
        <v>2211</v>
      </c>
    </row>
    <row r="4824" spans="1:10" hidden="1">
      <c r="A4824" s="4">
        <v>2.0210320423000099E+17</v>
      </c>
      <c r="B4824" s="4">
        <v>6148106383</v>
      </c>
      <c r="C4824" s="4" t="s">
        <v>3491</v>
      </c>
      <c r="D4824" s="4">
        <v>20423</v>
      </c>
      <c r="E4824" s="4">
        <v>20210308</v>
      </c>
      <c r="F4824" s="4">
        <v>20210308</v>
      </c>
      <c r="G4824" s="4">
        <v>20240308</v>
      </c>
      <c r="H4824" s="4" t="s">
        <v>2745</v>
      </c>
      <c r="I4824" s="4" t="s">
        <v>3490</v>
      </c>
      <c r="J4824" s="4" t="s">
        <v>368</v>
      </c>
    </row>
    <row r="4825" spans="1:10" hidden="1">
      <c r="A4825" s="4">
        <v>2.0210320423000099E+17</v>
      </c>
      <c r="B4825" s="4">
        <v>3728700681</v>
      </c>
      <c r="C4825" s="4" t="s">
        <v>3489</v>
      </c>
      <c r="D4825" s="4">
        <v>20423</v>
      </c>
      <c r="E4825" s="4">
        <v>20210308</v>
      </c>
      <c r="F4825" s="4">
        <v>20210308</v>
      </c>
      <c r="G4825" s="4">
        <v>20231018</v>
      </c>
      <c r="H4825" s="4" t="s">
        <v>194</v>
      </c>
      <c r="I4825" s="4" t="s">
        <v>3488</v>
      </c>
      <c r="J4825" s="4" t="s">
        <v>368</v>
      </c>
    </row>
    <row r="4826" spans="1:10" hidden="1">
      <c r="A4826" s="4">
        <v>2.0210320423000099E+17</v>
      </c>
      <c r="B4826" s="4">
        <v>7718801943</v>
      </c>
      <c r="C4826" s="4" t="s">
        <v>3487</v>
      </c>
      <c r="D4826" s="4">
        <v>20423</v>
      </c>
      <c r="E4826" s="4">
        <v>20210308</v>
      </c>
      <c r="F4826" s="4">
        <v>20210308</v>
      </c>
      <c r="G4826" s="4">
        <v>20240308</v>
      </c>
      <c r="H4826" s="4" t="s">
        <v>3486</v>
      </c>
      <c r="I4826" s="4" t="s">
        <v>3485</v>
      </c>
      <c r="J4826" s="4" t="s">
        <v>368</v>
      </c>
    </row>
    <row r="4827" spans="1:10" hidden="1">
      <c r="A4827" s="4">
        <v>2.0210358222000099E+17</v>
      </c>
      <c r="B4827" s="4">
        <v>2458701618</v>
      </c>
      <c r="C4827" s="4" t="s">
        <v>3484</v>
      </c>
      <c r="D4827" s="4">
        <v>58222</v>
      </c>
      <c r="E4827" s="4">
        <v>20210308</v>
      </c>
      <c r="F4827" s="4">
        <v>20210308</v>
      </c>
      <c r="G4827" s="4">
        <v>20240308</v>
      </c>
      <c r="H4827" s="4" t="s">
        <v>3483</v>
      </c>
      <c r="I4827" s="4" t="s">
        <v>3482</v>
      </c>
      <c r="J4827" s="4" t="s">
        <v>94</v>
      </c>
    </row>
    <row r="4828" spans="1:10" hidden="1">
      <c r="A4828" s="4">
        <v>2.0210358221000099E+17</v>
      </c>
      <c r="B4828" s="4">
        <v>1238649071</v>
      </c>
      <c r="C4828" s="4" t="s">
        <v>3481</v>
      </c>
      <c r="D4828" s="4">
        <v>58221</v>
      </c>
      <c r="E4828" s="4">
        <v>20210308</v>
      </c>
      <c r="F4828" s="4">
        <v>20210308</v>
      </c>
      <c r="G4828" s="4">
        <v>20240308</v>
      </c>
      <c r="H4828" s="4" t="s">
        <v>3480</v>
      </c>
      <c r="I4828" s="4" t="s">
        <v>185</v>
      </c>
      <c r="J4828" s="4" t="s">
        <v>228</v>
      </c>
    </row>
    <row r="4829" spans="1:10" hidden="1">
      <c r="A4829" s="4">
        <v>2.0210327213000099E+17</v>
      </c>
      <c r="B4829" s="4">
        <v>6018701671</v>
      </c>
      <c r="C4829" s="4" t="s">
        <v>3479</v>
      </c>
      <c r="D4829" s="4">
        <v>27213</v>
      </c>
      <c r="E4829" s="4">
        <v>20210308</v>
      </c>
      <c r="F4829" s="4">
        <v>20210308</v>
      </c>
      <c r="G4829" s="4">
        <v>20240308</v>
      </c>
      <c r="H4829" s="4" t="s">
        <v>3478</v>
      </c>
      <c r="I4829" s="4" t="s">
        <v>3477</v>
      </c>
      <c r="J4829" s="4" t="s">
        <v>264</v>
      </c>
    </row>
    <row r="4830" spans="1:10" hidden="1">
      <c r="A4830" s="4">
        <v>2.0210362090000099E+17</v>
      </c>
      <c r="B4830" s="4">
        <v>5528800187</v>
      </c>
      <c r="C4830" s="4" t="s">
        <v>3476</v>
      </c>
      <c r="D4830" s="4">
        <v>62090</v>
      </c>
      <c r="E4830" s="4">
        <v>20210308</v>
      </c>
      <c r="F4830" s="4">
        <v>20210308</v>
      </c>
      <c r="G4830" s="4">
        <v>20220910</v>
      </c>
      <c r="H4830" s="4" t="s">
        <v>713</v>
      </c>
      <c r="I4830" s="4" t="s">
        <v>3475</v>
      </c>
      <c r="J4830" s="4" t="s">
        <v>2030</v>
      </c>
    </row>
    <row r="4831" spans="1:10" hidden="1">
      <c r="A4831" s="4">
        <v>2.0210329169000099E+17</v>
      </c>
      <c r="B4831" s="4">
        <v>7068100349</v>
      </c>
      <c r="C4831" s="4" t="s">
        <v>3474</v>
      </c>
      <c r="D4831" s="4">
        <v>29169</v>
      </c>
      <c r="E4831" s="4">
        <v>20210308</v>
      </c>
      <c r="F4831" s="4">
        <v>20210308</v>
      </c>
      <c r="G4831" s="4">
        <v>20230524</v>
      </c>
      <c r="H4831" s="4" t="s">
        <v>3473</v>
      </c>
      <c r="I4831" s="4" t="s">
        <v>3472</v>
      </c>
      <c r="J4831" s="4" t="s">
        <v>1734</v>
      </c>
    </row>
    <row r="4832" spans="1:10" hidden="1">
      <c r="A4832" s="4">
        <v>2.0210328903000099E+17</v>
      </c>
      <c r="B4832" s="4">
        <v>7928601441</v>
      </c>
      <c r="C4832" s="4" t="s">
        <v>3471</v>
      </c>
      <c r="D4832" s="4">
        <v>28903</v>
      </c>
      <c r="E4832" s="4">
        <v>20210308</v>
      </c>
      <c r="F4832" s="4">
        <v>20210308</v>
      </c>
      <c r="G4832" s="4">
        <v>20240308</v>
      </c>
      <c r="H4832" s="4" t="s">
        <v>3470</v>
      </c>
      <c r="I4832" s="4" t="s">
        <v>91</v>
      </c>
      <c r="J4832" s="4" t="s">
        <v>460</v>
      </c>
    </row>
    <row r="4833" spans="1:10" hidden="1">
      <c r="A4833" s="4">
        <v>2.0210316102000099E+17</v>
      </c>
      <c r="B4833" s="4">
        <v>3218800832</v>
      </c>
      <c r="C4833" s="4" t="s">
        <v>3469</v>
      </c>
      <c r="D4833" s="4">
        <v>16102</v>
      </c>
      <c r="E4833" s="4">
        <v>20210308</v>
      </c>
      <c r="F4833" s="4">
        <v>20210308</v>
      </c>
      <c r="G4833" s="4">
        <v>20240308</v>
      </c>
      <c r="H4833" s="4" t="s">
        <v>3468</v>
      </c>
      <c r="J4833" s="4" t="s">
        <v>451</v>
      </c>
    </row>
    <row r="4834" spans="1:10" hidden="1">
      <c r="A4834" s="4">
        <v>2.0210358222000099E+17</v>
      </c>
      <c r="B4834" s="4">
        <v>1318802090</v>
      </c>
      <c r="C4834" s="4" t="s">
        <v>3467</v>
      </c>
      <c r="D4834" s="4">
        <v>58222</v>
      </c>
      <c r="E4834" s="4">
        <v>20210308</v>
      </c>
      <c r="F4834" s="4">
        <v>20210308</v>
      </c>
      <c r="G4834" s="4">
        <v>20240308</v>
      </c>
      <c r="H4834" s="4" t="s">
        <v>3466</v>
      </c>
      <c r="I4834" s="4" t="s">
        <v>3465</v>
      </c>
      <c r="J4834" s="4" t="s">
        <v>94</v>
      </c>
    </row>
    <row r="4835" spans="1:10" hidden="1">
      <c r="A4835" s="4">
        <v>2.0210372111000099E+17</v>
      </c>
      <c r="B4835" s="4">
        <v>6908801760</v>
      </c>
      <c r="C4835" s="4" t="s">
        <v>3464</v>
      </c>
      <c r="D4835" s="4">
        <v>72111</v>
      </c>
      <c r="E4835" s="4">
        <v>20210308</v>
      </c>
      <c r="F4835" s="4">
        <v>20210308</v>
      </c>
      <c r="G4835" s="4">
        <v>20240308</v>
      </c>
      <c r="H4835" s="4" t="s">
        <v>3463</v>
      </c>
      <c r="I4835" s="4" t="s">
        <v>3462</v>
      </c>
      <c r="J4835" s="4" t="s">
        <v>3461</v>
      </c>
    </row>
    <row r="4836" spans="1:10" hidden="1">
      <c r="A4836" s="4">
        <v>2.0210329175000099E+17</v>
      </c>
      <c r="B4836" s="4">
        <v>8908701437</v>
      </c>
      <c r="C4836" s="4" t="s">
        <v>3460</v>
      </c>
      <c r="D4836" s="4">
        <v>29175</v>
      </c>
      <c r="E4836" s="4">
        <v>20210308</v>
      </c>
      <c r="F4836" s="4">
        <v>20210308</v>
      </c>
      <c r="G4836" s="4">
        <v>20240308</v>
      </c>
      <c r="H4836" s="4" t="s">
        <v>1392</v>
      </c>
      <c r="I4836" s="4" t="s">
        <v>3459</v>
      </c>
      <c r="J4836" s="4" t="s">
        <v>232</v>
      </c>
    </row>
    <row r="4837" spans="1:10">
      <c r="A4837" s="4">
        <v>2.021015819E+17</v>
      </c>
      <c r="B4837" s="4">
        <v>7350600447</v>
      </c>
      <c r="C4837" s="4" t="s">
        <v>771</v>
      </c>
      <c r="D4837" s="4">
        <v>58190</v>
      </c>
      <c r="E4837" s="4">
        <v>20210127</v>
      </c>
      <c r="F4837" s="4">
        <v>20210127</v>
      </c>
      <c r="G4837" s="4">
        <v>20230803</v>
      </c>
      <c r="H4837" s="4" t="s">
        <v>770</v>
      </c>
      <c r="I4837" s="4" t="s">
        <v>769</v>
      </c>
      <c r="J4837" s="4" t="s">
        <v>196</v>
      </c>
    </row>
    <row r="4838" spans="1:10" hidden="1">
      <c r="A4838" s="4">
        <v>2.0210325924000099E+17</v>
      </c>
      <c r="B4838" s="4">
        <v>1748800968</v>
      </c>
      <c r="C4838" s="4" t="s">
        <v>3456</v>
      </c>
      <c r="D4838" s="4">
        <v>25924</v>
      </c>
      <c r="E4838" s="4">
        <v>20210308</v>
      </c>
      <c r="F4838" s="4">
        <v>20210308</v>
      </c>
      <c r="G4838" s="4">
        <v>20240308</v>
      </c>
      <c r="H4838" s="4" t="s">
        <v>3455</v>
      </c>
      <c r="J4838" s="4" t="s">
        <v>757</v>
      </c>
    </row>
    <row r="4839" spans="1:10" hidden="1">
      <c r="A4839" s="4">
        <v>2.0210328119000099E+17</v>
      </c>
      <c r="B4839" s="4">
        <v>5448800172</v>
      </c>
      <c r="C4839" s="4" t="s">
        <v>3454</v>
      </c>
      <c r="D4839" s="4">
        <v>28119</v>
      </c>
      <c r="E4839" s="4">
        <v>20210308</v>
      </c>
      <c r="F4839" s="4">
        <v>20210308</v>
      </c>
      <c r="G4839" s="4">
        <v>20220923</v>
      </c>
      <c r="H4839" s="4" t="s">
        <v>3453</v>
      </c>
      <c r="I4839" s="4" t="s">
        <v>3452</v>
      </c>
      <c r="J4839" s="4" t="s">
        <v>1816</v>
      </c>
    </row>
    <row r="4840" spans="1:10" hidden="1">
      <c r="A4840" s="4">
        <v>2.0210326519000099E+17</v>
      </c>
      <c r="B4840" s="4">
        <v>2678701582</v>
      </c>
      <c r="C4840" s="4" t="s">
        <v>3451</v>
      </c>
      <c r="D4840" s="4">
        <v>26519</v>
      </c>
      <c r="E4840" s="4">
        <v>20210308</v>
      </c>
      <c r="F4840" s="4">
        <v>20210308</v>
      </c>
      <c r="G4840" s="4">
        <v>20240308</v>
      </c>
      <c r="H4840" s="4" t="s">
        <v>3450</v>
      </c>
      <c r="I4840" s="4" t="s">
        <v>2525</v>
      </c>
      <c r="J4840" s="4" t="s">
        <v>668</v>
      </c>
    </row>
    <row r="4841" spans="1:10" hidden="1">
      <c r="A4841" s="4">
        <v>2.0210373202000099E+17</v>
      </c>
      <c r="B4841" s="4">
        <v>1348728845</v>
      </c>
      <c r="C4841" s="4" t="s">
        <v>3449</v>
      </c>
      <c r="D4841" s="4">
        <v>73202</v>
      </c>
      <c r="E4841" s="4">
        <v>20210308</v>
      </c>
      <c r="F4841" s="4">
        <v>20210308</v>
      </c>
      <c r="G4841" s="4">
        <v>20210721</v>
      </c>
      <c r="H4841" s="4" t="s">
        <v>3448</v>
      </c>
      <c r="I4841" s="4" t="s">
        <v>3447</v>
      </c>
      <c r="J4841" s="4" t="s">
        <v>605</v>
      </c>
    </row>
    <row r="4842" spans="1:10" hidden="1">
      <c r="A4842" s="4">
        <v>2.0210329199000099E+17</v>
      </c>
      <c r="B4842" s="4">
        <v>1818701463</v>
      </c>
      <c r="C4842" s="4" t="s">
        <v>3446</v>
      </c>
      <c r="D4842" s="4">
        <v>29199</v>
      </c>
      <c r="E4842" s="4">
        <v>20210308</v>
      </c>
      <c r="F4842" s="4">
        <v>20210308</v>
      </c>
      <c r="G4842" s="4">
        <v>20230629</v>
      </c>
      <c r="H4842" s="4" t="s">
        <v>3445</v>
      </c>
      <c r="I4842" s="4" t="s">
        <v>197</v>
      </c>
      <c r="J4842" s="4" t="s">
        <v>166</v>
      </c>
    </row>
    <row r="4843" spans="1:10" hidden="1">
      <c r="A4843" s="4">
        <v>2.0210358222000099E+17</v>
      </c>
      <c r="B4843" s="4">
        <v>1578701553</v>
      </c>
      <c r="C4843" s="4" t="s">
        <v>3444</v>
      </c>
      <c r="D4843" s="4">
        <v>58222</v>
      </c>
      <c r="E4843" s="4">
        <v>20210308</v>
      </c>
      <c r="F4843" s="4">
        <v>20210308</v>
      </c>
      <c r="G4843" s="4">
        <v>20240308</v>
      </c>
      <c r="H4843" s="4" t="s">
        <v>3443</v>
      </c>
      <c r="I4843" s="4" t="s">
        <v>3442</v>
      </c>
      <c r="J4843" s="4" t="s">
        <v>94</v>
      </c>
    </row>
    <row r="4844" spans="1:10" hidden="1">
      <c r="A4844" s="4">
        <v>2.0210373909000099E+17</v>
      </c>
      <c r="B4844" s="4">
        <v>7548602190</v>
      </c>
      <c r="C4844" s="4" t="s">
        <v>3441</v>
      </c>
      <c r="D4844" s="4">
        <v>73909</v>
      </c>
      <c r="E4844" s="4">
        <v>20210308</v>
      </c>
      <c r="F4844" s="4">
        <v>20210308</v>
      </c>
      <c r="G4844" s="4">
        <v>20240308</v>
      </c>
      <c r="H4844" s="4" t="s">
        <v>3440</v>
      </c>
      <c r="I4844" s="4" t="s">
        <v>3439</v>
      </c>
      <c r="J4844" s="4" t="s">
        <v>293</v>
      </c>
    </row>
    <row r="4845" spans="1:10" hidden="1">
      <c r="A4845" s="4">
        <v>2.0210371400000099E+17</v>
      </c>
      <c r="B4845" s="4">
        <v>4568101517</v>
      </c>
      <c r="C4845" s="4" t="s">
        <v>3438</v>
      </c>
      <c r="D4845" s="4">
        <v>71400</v>
      </c>
      <c r="E4845" s="4">
        <v>20210308</v>
      </c>
      <c r="F4845" s="4">
        <v>20210308</v>
      </c>
      <c r="G4845" s="4">
        <v>20240308</v>
      </c>
      <c r="H4845" s="4" t="s">
        <v>3437</v>
      </c>
      <c r="I4845" s="4" t="s">
        <v>3436</v>
      </c>
      <c r="J4845" s="4" t="s">
        <v>1629</v>
      </c>
    </row>
    <row r="4846" spans="1:10" hidden="1">
      <c r="A4846" s="4">
        <v>2.0210358222000099E+17</v>
      </c>
      <c r="B4846" s="4">
        <v>7628701471</v>
      </c>
      <c r="C4846" s="4" t="s">
        <v>3435</v>
      </c>
      <c r="D4846" s="4">
        <v>58222</v>
      </c>
      <c r="E4846" s="4">
        <v>20210308</v>
      </c>
      <c r="F4846" s="4">
        <v>20210308</v>
      </c>
      <c r="G4846" s="4">
        <v>20240308</v>
      </c>
      <c r="H4846" s="4" t="s">
        <v>3434</v>
      </c>
      <c r="I4846" s="4" t="s">
        <v>3433</v>
      </c>
      <c r="J4846" s="4" t="s">
        <v>94</v>
      </c>
    </row>
    <row r="4847" spans="1:10" hidden="1">
      <c r="A4847" s="4">
        <v>2.0210329193000099E+17</v>
      </c>
      <c r="B4847" s="4">
        <v>5928800846</v>
      </c>
      <c r="C4847" s="4" t="s">
        <v>3432</v>
      </c>
      <c r="D4847" s="4">
        <v>29193</v>
      </c>
      <c r="E4847" s="4">
        <v>20210308</v>
      </c>
      <c r="F4847" s="4">
        <v>20210308</v>
      </c>
      <c r="G4847" s="4">
        <v>20240308</v>
      </c>
      <c r="H4847" s="4" t="s">
        <v>1706</v>
      </c>
      <c r="I4847" s="4" t="s">
        <v>3431</v>
      </c>
      <c r="J4847" s="4" t="s">
        <v>721</v>
      </c>
    </row>
    <row r="4848" spans="1:10" hidden="1">
      <c r="A4848" s="4">
        <v>2.0210363991000099E+17</v>
      </c>
      <c r="B4848" s="4">
        <v>7818801407</v>
      </c>
      <c r="C4848" s="4" t="s">
        <v>3430</v>
      </c>
      <c r="D4848" s="4">
        <v>63991</v>
      </c>
      <c r="E4848" s="4">
        <v>20210308</v>
      </c>
      <c r="F4848" s="4">
        <v>20210308</v>
      </c>
      <c r="G4848" s="4">
        <v>20240308</v>
      </c>
      <c r="H4848" s="4" t="s">
        <v>318</v>
      </c>
      <c r="I4848" s="4" t="s">
        <v>3429</v>
      </c>
      <c r="J4848" s="4" t="s">
        <v>395</v>
      </c>
    </row>
    <row r="4849" spans="1:10" hidden="1">
      <c r="A4849" s="4">
        <v>2.0210328520000099E+17</v>
      </c>
      <c r="B4849" s="4">
        <v>1348732387</v>
      </c>
      <c r="C4849" s="4" t="s">
        <v>3428</v>
      </c>
      <c r="D4849" s="4">
        <v>28520</v>
      </c>
      <c r="E4849" s="4">
        <v>20210308</v>
      </c>
      <c r="F4849" s="4">
        <v>20210308</v>
      </c>
      <c r="G4849" s="4">
        <v>20211008</v>
      </c>
      <c r="H4849" s="4" t="s">
        <v>3427</v>
      </c>
      <c r="I4849" s="4" t="s">
        <v>3426</v>
      </c>
      <c r="J4849" s="4" t="s">
        <v>3425</v>
      </c>
    </row>
    <row r="4850" spans="1:10" hidden="1">
      <c r="A4850" s="4">
        <v>2.0210370119000099E+17</v>
      </c>
      <c r="B4850" s="4">
        <v>2838101980</v>
      </c>
      <c r="C4850" s="4" t="s">
        <v>3424</v>
      </c>
      <c r="D4850" s="4">
        <v>70119</v>
      </c>
      <c r="E4850" s="4">
        <v>20210308</v>
      </c>
      <c r="F4850" s="4">
        <v>20210308</v>
      </c>
      <c r="G4850" s="4">
        <v>20240308</v>
      </c>
      <c r="H4850" s="4" t="s">
        <v>3423</v>
      </c>
      <c r="I4850" s="4" t="s">
        <v>3422</v>
      </c>
      <c r="J4850" s="4" t="s">
        <v>2978</v>
      </c>
    </row>
    <row r="4851" spans="1:10" hidden="1">
      <c r="A4851" s="4">
        <v>2.0210327199000099E+17</v>
      </c>
      <c r="B4851" s="4">
        <v>2458601853</v>
      </c>
      <c r="C4851" s="4" t="s">
        <v>3421</v>
      </c>
      <c r="D4851" s="4">
        <v>27199</v>
      </c>
      <c r="E4851" s="4">
        <v>20210308</v>
      </c>
      <c r="F4851" s="4">
        <v>20210308</v>
      </c>
      <c r="G4851" s="4">
        <v>20240308</v>
      </c>
      <c r="H4851" s="4" t="s">
        <v>3420</v>
      </c>
      <c r="I4851" s="4" t="s">
        <v>3419</v>
      </c>
      <c r="J4851" s="4" t="s">
        <v>418</v>
      </c>
    </row>
    <row r="4852" spans="1:10" hidden="1">
      <c r="A4852" s="4">
        <v>2.0210329223000099E+17</v>
      </c>
      <c r="B4852" s="4">
        <v>8168102381</v>
      </c>
      <c r="C4852" s="4" t="s">
        <v>3418</v>
      </c>
      <c r="D4852" s="4">
        <v>29223</v>
      </c>
      <c r="E4852" s="4">
        <v>20210308</v>
      </c>
      <c r="F4852" s="4">
        <v>20210308</v>
      </c>
      <c r="G4852" s="4">
        <v>20240308</v>
      </c>
      <c r="H4852" s="4" t="s">
        <v>1398</v>
      </c>
      <c r="I4852" s="4" t="s">
        <v>3417</v>
      </c>
      <c r="J4852" s="4" t="s">
        <v>599</v>
      </c>
    </row>
    <row r="4853" spans="1:10" hidden="1">
      <c r="A4853" s="4">
        <v>2.0210324290000099E+17</v>
      </c>
      <c r="B4853" s="4">
        <v>3768102016</v>
      </c>
      <c r="C4853" s="4" t="s">
        <v>3416</v>
      </c>
      <c r="D4853" s="4">
        <v>24290</v>
      </c>
      <c r="E4853" s="4">
        <v>20210308</v>
      </c>
      <c r="F4853" s="4">
        <v>20210308</v>
      </c>
      <c r="G4853" s="4">
        <v>20240308</v>
      </c>
      <c r="H4853" s="4" t="s">
        <v>206</v>
      </c>
      <c r="I4853" s="4" t="s">
        <v>3415</v>
      </c>
      <c r="J4853" s="4" t="s">
        <v>325</v>
      </c>
    </row>
    <row r="4854" spans="1:10" hidden="1">
      <c r="A4854" s="4">
        <v>2.0210313300000099E+17</v>
      </c>
      <c r="B4854" s="4">
        <v>4478100343</v>
      </c>
      <c r="C4854" s="4" t="s">
        <v>3414</v>
      </c>
      <c r="D4854" s="4">
        <v>13300</v>
      </c>
      <c r="E4854" s="4">
        <v>20210308</v>
      </c>
      <c r="F4854" s="4">
        <v>20210308</v>
      </c>
      <c r="G4854" s="4">
        <v>20230407</v>
      </c>
      <c r="H4854" s="4" t="s">
        <v>3413</v>
      </c>
      <c r="I4854" s="4" t="s">
        <v>3412</v>
      </c>
      <c r="J4854" s="4" t="s">
        <v>3411</v>
      </c>
    </row>
    <row r="4855" spans="1:10" hidden="1">
      <c r="A4855" s="4">
        <v>2.0210373909000099E+17</v>
      </c>
      <c r="B4855" s="4">
        <v>2808100264</v>
      </c>
      <c r="C4855" s="4" t="s">
        <v>3410</v>
      </c>
      <c r="D4855" s="4">
        <v>73909</v>
      </c>
      <c r="E4855" s="4">
        <v>20210308</v>
      </c>
      <c r="F4855" s="4">
        <v>20210308</v>
      </c>
      <c r="G4855" s="4">
        <v>20221105</v>
      </c>
      <c r="H4855" s="4" t="s">
        <v>3409</v>
      </c>
      <c r="I4855" s="4" t="s">
        <v>3408</v>
      </c>
      <c r="J4855" s="4" t="s">
        <v>293</v>
      </c>
    </row>
    <row r="4856" spans="1:10" hidden="1">
      <c r="A4856" s="4">
        <v>2.0210358221000099E+17</v>
      </c>
      <c r="B4856" s="4">
        <v>5718601806</v>
      </c>
      <c r="C4856" s="4" t="s">
        <v>3407</v>
      </c>
      <c r="D4856" s="4">
        <v>58221</v>
      </c>
      <c r="E4856" s="4">
        <v>20210308</v>
      </c>
      <c r="F4856" s="4">
        <v>20210308</v>
      </c>
      <c r="G4856" s="4">
        <v>20240308</v>
      </c>
      <c r="H4856" s="4" t="s">
        <v>3406</v>
      </c>
      <c r="J4856" s="4" t="s">
        <v>228</v>
      </c>
    </row>
    <row r="4857" spans="1:10" hidden="1">
      <c r="A4857" s="4">
        <v>2.0210327199000099E+17</v>
      </c>
      <c r="B4857" s="4">
        <v>6495700323</v>
      </c>
      <c r="C4857" s="4" t="s">
        <v>3405</v>
      </c>
      <c r="D4857" s="4">
        <v>27199</v>
      </c>
      <c r="E4857" s="4">
        <v>20210308</v>
      </c>
      <c r="F4857" s="4">
        <v>20210308</v>
      </c>
      <c r="G4857" s="4">
        <v>20240308</v>
      </c>
      <c r="H4857" s="4" t="s">
        <v>1214</v>
      </c>
      <c r="I4857" s="4" t="s">
        <v>3404</v>
      </c>
      <c r="J4857" s="4" t="s">
        <v>418</v>
      </c>
    </row>
    <row r="4858" spans="1:10" hidden="1">
      <c r="A4858" s="4">
        <v>2.0210375210000099E+17</v>
      </c>
      <c r="B4858" s="4">
        <v>5500302028</v>
      </c>
      <c r="C4858" s="4" t="s">
        <v>3403</v>
      </c>
      <c r="D4858" s="4">
        <v>75210</v>
      </c>
      <c r="E4858" s="4">
        <v>20210308</v>
      </c>
      <c r="F4858" s="4">
        <v>20210308</v>
      </c>
      <c r="G4858" s="4">
        <v>20240308</v>
      </c>
      <c r="H4858" s="4" t="s">
        <v>3402</v>
      </c>
      <c r="I4858" s="4" t="s">
        <v>91</v>
      </c>
      <c r="J4858" s="4" t="s">
        <v>155</v>
      </c>
    </row>
    <row r="4859" spans="1:10" hidden="1">
      <c r="A4859" s="4">
        <v>2.0210358222000099E+17</v>
      </c>
      <c r="B4859" s="4">
        <v>5626500375</v>
      </c>
      <c r="C4859" s="4" t="s">
        <v>3401</v>
      </c>
      <c r="D4859" s="4">
        <v>58222</v>
      </c>
      <c r="E4859" s="4">
        <v>20210308</v>
      </c>
      <c r="F4859" s="4">
        <v>20210308</v>
      </c>
      <c r="G4859" s="4">
        <v>20240308</v>
      </c>
      <c r="H4859" s="4" t="s">
        <v>3400</v>
      </c>
      <c r="I4859" s="4" t="s">
        <v>3399</v>
      </c>
      <c r="J4859" s="4" t="s">
        <v>94</v>
      </c>
    </row>
    <row r="4860" spans="1:10" hidden="1">
      <c r="A4860" s="4">
        <v>2.0210327199000099E+17</v>
      </c>
      <c r="B4860" s="4">
        <v>8298101826</v>
      </c>
      <c r="C4860" s="4" t="s">
        <v>3398</v>
      </c>
      <c r="D4860" s="4">
        <v>27199</v>
      </c>
      <c r="E4860" s="4">
        <v>20210308</v>
      </c>
      <c r="F4860" s="4">
        <v>20210308</v>
      </c>
      <c r="G4860" s="4">
        <v>20240308</v>
      </c>
      <c r="H4860" s="4" t="s">
        <v>3397</v>
      </c>
      <c r="I4860" s="4" t="s">
        <v>3396</v>
      </c>
      <c r="J4860" s="4" t="s">
        <v>418</v>
      </c>
    </row>
    <row r="4861" spans="1:10" hidden="1">
      <c r="A4861" s="4">
        <v>2.0210329272000099E+17</v>
      </c>
      <c r="B4861" s="4">
        <v>6848801727</v>
      </c>
      <c r="C4861" s="4" t="s">
        <v>3395</v>
      </c>
      <c r="D4861" s="4">
        <v>29272</v>
      </c>
      <c r="E4861" s="4">
        <v>20210308</v>
      </c>
      <c r="F4861" s="4">
        <v>20210308</v>
      </c>
      <c r="G4861" s="4">
        <v>20240308</v>
      </c>
      <c r="H4861" s="4" t="s">
        <v>1323</v>
      </c>
      <c r="I4861" s="4" t="s">
        <v>3394</v>
      </c>
      <c r="J4861" s="4" t="s">
        <v>1124</v>
      </c>
    </row>
    <row r="4862" spans="1:10" hidden="1">
      <c r="A4862" s="4">
        <v>2.0210371531000099E+17</v>
      </c>
      <c r="B4862" s="4">
        <v>5598101645</v>
      </c>
      <c r="C4862" s="4" t="s">
        <v>3393</v>
      </c>
      <c r="D4862" s="4">
        <v>71531</v>
      </c>
      <c r="E4862" s="4">
        <v>20210308</v>
      </c>
      <c r="F4862" s="4">
        <v>20210308</v>
      </c>
      <c r="G4862" s="4">
        <v>20240308</v>
      </c>
      <c r="H4862" s="4" t="s">
        <v>3392</v>
      </c>
      <c r="I4862" s="4" t="s">
        <v>3391</v>
      </c>
      <c r="J4862" s="4" t="s">
        <v>87</v>
      </c>
    </row>
    <row r="4863" spans="1:10" hidden="1">
      <c r="A4863" s="4">
        <v>2.0210347520000099E+17</v>
      </c>
      <c r="B4863" s="4">
        <v>5960901084</v>
      </c>
      <c r="C4863" s="4" t="s">
        <v>3390</v>
      </c>
      <c r="D4863" s="4">
        <v>47520</v>
      </c>
      <c r="E4863" s="4">
        <v>20210308</v>
      </c>
      <c r="F4863" s="4">
        <v>20210308</v>
      </c>
      <c r="G4863" s="4">
        <v>20240308</v>
      </c>
      <c r="H4863" s="4" t="s">
        <v>3389</v>
      </c>
      <c r="I4863" s="4" t="s">
        <v>3388</v>
      </c>
      <c r="J4863" s="4" t="s">
        <v>3387</v>
      </c>
    </row>
    <row r="4864" spans="1:10" hidden="1">
      <c r="A4864" s="4">
        <v>2.0210359111000099E+17</v>
      </c>
      <c r="B4864" s="4">
        <v>6980500869</v>
      </c>
      <c r="C4864" s="4" t="s">
        <v>3386</v>
      </c>
      <c r="D4864" s="4">
        <v>59111</v>
      </c>
      <c r="E4864" s="4">
        <v>20210308</v>
      </c>
      <c r="F4864" s="4">
        <v>20210308</v>
      </c>
      <c r="G4864" s="4">
        <v>20240308</v>
      </c>
      <c r="H4864" s="4" t="s">
        <v>3385</v>
      </c>
      <c r="I4864" s="4" t="s">
        <v>3384</v>
      </c>
      <c r="J4864" s="4" t="s">
        <v>1857</v>
      </c>
    </row>
    <row r="4865" spans="1:10" hidden="1">
      <c r="A4865" s="4">
        <v>2.0210314300000099E+17</v>
      </c>
      <c r="B4865" s="4">
        <v>6726000361</v>
      </c>
      <c r="C4865" s="4" t="s">
        <v>3383</v>
      </c>
      <c r="D4865" s="4">
        <v>14300</v>
      </c>
      <c r="E4865" s="4">
        <v>20210306</v>
      </c>
      <c r="F4865" s="4">
        <v>20210306</v>
      </c>
      <c r="G4865" s="4">
        <v>20240306</v>
      </c>
      <c r="H4865" s="4" t="s">
        <v>3382</v>
      </c>
      <c r="J4865" s="4" t="s">
        <v>3381</v>
      </c>
    </row>
    <row r="4866" spans="1:10" hidden="1">
      <c r="A4866" s="4">
        <v>2.0210358222000099E+17</v>
      </c>
      <c r="B4866" s="4">
        <v>2288601974</v>
      </c>
      <c r="C4866" s="4" t="s">
        <v>3380</v>
      </c>
      <c r="D4866" s="4">
        <v>58222</v>
      </c>
      <c r="E4866" s="4">
        <v>20210306</v>
      </c>
      <c r="F4866" s="4">
        <v>20210306</v>
      </c>
      <c r="G4866" s="4">
        <v>20240306</v>
      </c>
      <c r="H4866" s="4" t="s">
        <v>3379</v>
      </c>
      <c r="I4866" s="4" t="s">
        <v>3378</v>
      </c>
      <c r="J4866" s="4" t="s">
        <v>94</v>
      </c>
    </row>
    <row r="4867" spans="1:10" hidden="1">
      <c r="A4867" s="4">
        <v>2.0210310791000099E+17</v>
      </c>
      <c r="B4867" s="4">
        <v>3778601728</v>
      </c>
      <c r="C4867" s="4" t="s">
        <v>3377</v>
      </c>
      <c r="D4867" s="4">
        <v>10791</v>
      </c>
      <c r="E4867" s="4">
        <v>20210306</v>
      </c>
      <c r="F4867" s="4">
        <v>20210306</v>
      </c>
      <c r="G4867" s="4">
        <v>20240306</v>
      </c>
      <c r="H4867" s="4" t="s">
        <v>3376</v>
      </c>
      <c r="I4867" s="4" t="s">
        <v>3375</v>
      </c>
      <c r="J4867" s="4" t="s">
        <v>335</v>
      </c>
    </row>
    <row r="4868" spans="1:10" hidden="1">
      <c r="A4868" s="4">
        <v>2.0210341119000099E+17</v>
      </c>
      <c r="B4868" s="4">
        <v>3310901435</v>
      </c>
      <c r="C4868" s="4" t="s">
        <v>3374</v>
      </c>
      <c r="D4868" s="4">
        <v>41119</v>
      </c>
      <c r="E4868" s="4">
        <v>20210306</v>
      </c>
      <c r="F4868" s="4">
        <v>20210306</v>
      </c>
      <c r="G4868" s="4">
        <v>20240306</v>
      </c>
      <c r="H4868" s="4" t="s">
        <v>3373</v>
      </c>
      <c r="I4868" s="4" t="s">
        <v>3372</v>
      </c>
      <c r="J4868" s="4" t="s">
        <v>3371</v>
      </c>
    </row>
    <row r="4869" spans="1:10" hidden="1">
      <c r="A4869" s="4">
        <v>2.0210328119000099E+17</v>
      </c>
      <c r="B4869" s="4">
        <v>5545000216</v>
      </c>
      <c r="C4869" s="4" t="s">
        <v>3370</v>
      </c>
      <c r="D4869" s="4">
        <v>28119</v>
      </c>
      <c r="E4869" s="4">
        <v>20210306</v>
      </c>
      <c r="F4869" s="4">
        <v>20210306</v>
      </c>
      <c r="G4869" s="4">
        <v>20230827</v>
      </c>
      <c r="H4869" s="4" t="s">
        <v>3369</v>
      </c>
      <c r="J4869" s="4" t="s">
        <v>1816</v>
      </c>
    </row>
    <row r="4870" spans="1:10" hidden="1">
      <c r="A4870" s="4">
        <v>2.0210358222000099E+17</v>
      </c>
      <c r="B4870" s="4">
        <v>5608700236</v>
      </c>
      <c r="C4870" s="4" t="s">
        <v>3368</v>
      </c>
      <c r="D4870" s="4">
        <v>58222</v>
      </c>
      <c r="E4870" s="4">
        <v>20210305</v>
      </c>
      <c r="F4870" s="4">
        <v>20210305</v>
      </c>
      <c r="G4870" s="4">
        <v>20230215</v>
      </c>
      <c r="H4870" s="4" t="s">
        <v>3367</v>
      </c>
      <c r="J4870" s="4" t="s">
        <v>94</v>
      </c>
    </row>
    <row r="4871" spans="1:10" hidden="1">
      <c r="A4871" s="4">
        <v>2.0210346432000099E+17</v>
      </c>
      <c r="B4871" s="4">
        <v>4588601819</v>
      </c>
      <c r="C4871" s="4" t="s">
        <v>3366</v>
      </c>
      <c r="D4871" s="4">
        <v>46432</v>
      </c>
      <c r="E4871" s="4">
        <v>20210305</v>
      </c>
      <c r="F4871" s="4">
        <v>20210305</v>
      </c>
      <c r="G4871" s="4">
        <v>20240305</v>
      </c>
      <c r="H4871" s="4" t="s">
        <v>3365</v>
      </c>
      <c r="J4871" s="4" t="s">
        <v>414</v>
      </c>
    </row>
    <row r="4872" spans="1:10" hidden="1">
      <c r="A4872" s="4">
        <v>2.0210310796000099E+17</v>
      </c>
      <c r="B4872" s="4">
        <v>8858101471</v>
      </c>
      <c r="C4872" s="4" t="s">
        <v>3364</v>
      </c>
      <c r="D4872" s="4">
        <v>10796</v>
      </c>
      <c r="E4872" s="4">
        <v>20210305</v>
      </c>
      <c r="F4872" s="4">
        <v>20210305</v>
      </c>
      <c r="G4872" s="4">
        <v>20240305</v>
      </c>
      <c r="H4872" s="4" t="s">
        <v>2193</v>
      </c>
      <c r="I4872" s="4" t="s">
        <v>3363</v>
      </c>
      <c r="J4872" s="4" t="s">
        <v>2898</v>
      </c>
    </row>
    <row r="4873" spans="1:10" hidden="1">
      <c r="A4873" s="4">
        <v>2.0210328123000099E+17</v>
      </c>
      <c r="B4873" s="4">
        <v>4458700640</v>
      </c>
      <c r="C4873" s="4" t="s">
        <v>3362</v>
      </c>
      <c r="D4873" s="4">
        <v>28123</v>
      </c>
      <c r="E4873" s="4">
        <v>20210305</v>
      </c>
      <c r="F4873" s="4">
        <v>20210305</v>
      </c>
      <c r="G4873" s="4">
        <v>20240206</v>
      </c>
      <c r="H4873" s="4" t="s">
        <v>3361</v>
      </c>
      <c r="J4873" s="4" t="s">
        <v>640</v>
      </c>
    </row>
    <row r="4874" spans="1:10" hidden="1">
      <c r="A4874" s="4">
        <v>2.0210326310000099E+17</v>
      </c>
      <c r="B4874" s="4">
        <v>7788200069</v>
      </c>
      <c r="C4874" s="4" t="s">
        <v>3360</v>
      </c>
      <c r="D4874" s="4">
        <v>26310</v>
      </c>
      <c r="E4874" s="4">
        <v>20210305</v>
      </c>
      <c r="F4874" s="4">
        <v>20210305</v>
      </c>
      <c r="G4874" s="4">
        <v>20230226</v>
      </c>
      <c r="H4874" s="4" t="s">
        <v>3359</v>
      </c>
      <c r="J4874" s="4" t="s">
        <v>372</v>
      </c>
    </row>
    <row r="4875" spans="1:10" hidden="1">
      <c r="A4875" s="4">
        <v>2.0210326295000099E+17</v>
      </c>
      <c r="B4875" s="4">
        <v>1678101655</v>
      </c>
      <c r="C4875" s="4" t="s">
        <v>3358</v>
      </c>
      <c r="D4875" s="4">
        <v>26295</v>
      </c>
      <c r="E4875" s="4">
        <v>20210305</v>
      </c>
      <c r="F4875" s="4">
        <v>20210305</v>
      </c>
      <c r="G4875" s="4">
        <v>20240305</v>
      </c>
      <c r="H4875" s="4" t="s">
        <v>3357</v>
      </c>
      <c r="I4875" s="4" t="s">
        <v>3356</v>
      </c>
      <c r="J4875" s="4" t="s">
        <v>174</v>
      </c>
    </row>
    <row r="4876" spans="1:10" hidden="1">
      <c r="A4876" s="4">
        <v>2.0210358222000099E+17</v>
      </c>
      <c r="B4876" s="4">
        <v>4588601478</v>
      </c>
      <c r="C4876" s="4" t="s">
        <v>287</v>
      </c>
      <c r="D4876" s="4">
        <v>58222</v>
      </c>
      <c r="E4876" s="4">
        <v>20210305</v>
      </c>
      <c r="F4876" s="4">
        <v>20210305</v>
      </c>
      <c r="G4876" s="4">
        <v>20240305</v>
      </c>
      <c r="H4876" s="4" t="s">
        <v>350</v>
      </c>
      <c r="I4876" s="4" t="s">
        <v>3355</v>
      </c>
      <c r="J4876" s="4" t="s">
        <v>94</v>
      </c>
    </row>
    <row r="4877" spans="1:10" hidden="1">
      <c r="A4877" s="4">
        <v>2.0210358221000099E+17</v>
      </c>
      <c r="B4877" s="4">
        <v>6018601198</v>
      </c>
      <c r="C4877" s="4" t="s">
        <v>3354</v>
      </c>
      <c r="D4877" s="4">
        <v>58221</v>
      </c>
      <c r="E4877" s="4">
        <v>20210305</v>
      </c>
      <c r="F4877" s="4">
        <v>20210305</v>
      </c>
      <c r="G4877" s="4">
        <v>20240305</v>
      </c>
      <c r="H4877" s="4" t="s">
        <v>2146</v>
      </c>
      <c r="I4877" s="4" t="s">
        <v>3353</v>
      </c>
      <c r="J4877" s="4" t="s">
        <v>228</v>
      </c>
    </row>
    <row r="4878" spans="1:10" hidden="1">
      <c r="A4878" s="4">
        <v>2.0210326519000099E+17</v>
      </c>
      <c r="B4878" s="4">
        <v>8208701495</v>
      </c>
      <c r="C4878" s="4" t="s">
        <v>3352</v>
      </c>
      <c r="D4878" s="4">
        <v>26519</v>
      </c>
      <c r="E4878" s="4">
        <v>20210305</v>
      </c>
      <c r="F4878" s="4">
        <v>20210305</v>
      </c>
      <c r="G4878" s="4">
        <v>20240305</v>
      </c>
      <c r="H4878" s="4" t="s">
        <v>3351</v>
      </c>
      <c r="I4878" s="4" t="s">
        <v>3350</v>
      </c>
      <c r="J4878" s="4" t="s">
        <v>668</v>
      </c>
    </row>
    <row r="4879" spans="1:10" hidden="1">
      <c r="A4879" s="4">
        <v>2.0210325923000099E+17</v>
      </c>
      <c r="B4879" s="4">
        <v>3048701668</v>
      </c>
      <c r="C4879" s="4" t="s">
        <v>3349</v>
      </c>
      <c r="D4879" s="4">
        <v>25923</v>
      </c>
      <c r="E4879" s="4">
        <v>20210305</v>
      </c>
      <c r="F4879" s="4">
        <v>20210305</v>
      </c>
      <c r="G4879" s="4">
        <v>20240305</v>
      </c>
      <c r="H4879" s="4" t="s">
        <v>3348</v>
      </c>
      <c r="I4879" s="4" t="s">
        <v>3347</v>
      </c>
      <c r="J4879" s="4" t="s">
        <v>204</v>
      </c>
    </row>
    <row r="4880" spans="1:10" hidden="1">
      <c r="A4880" s="4">
        <v>2.0210329272000099E+17</v>
      </c>
      <c r="B4880" s="4">
        <v>1898601586</v>
      </c>
      <c r="C4880" s="4" t="s">
        <v>3346</v>
      </c>
      <c r="D4880" s="4">
        <v>29272</v>
      </c>
      <c r="E4880" s="4">
        <v>20210305</v>
      </c>
      <c r="F4880" s="4">
        <v>20210305</v>
      </c>
      <c r="G4880" s="4">
        <v>20240305</v>
      </c>
      <c r="H4880" s="4" t="s">
        <v>3345</v>
      </c>
      <c r="I4880" s="4" t="s">
        <v>3344</v>
      </c>
      <c r="J4880" s="4" t="s">
        <v>1124</v>
      </c>
    </row>
    <row r="4881" spans="1:10" hidden="1">
      <c r="A4881" s="4">
        <v>2.0210358222000099E+17</v>
      </c>
      <c r="B4881" s="4">
        <v>1548701670</v>
      </c>
      <c r="C4881" s="4" t="s">
        <v>3343</v>
      </c>
      <c r="D4881" s="4">
        <v>58222</v>
      </c>
      <c r="E4881" s="4">
        <v>20210305</v>
      </c>
      <c r="F4881" s="4">
        <v>20210305</v>
      </c>
      <c r="G4881" s="4">
        <v>20240305</v>
      </c>
      <c r="H4881" s="4" t="s">
        <v>953</v>
      </c>
      <c r="I4881" s="4" t="s">
        <v>3342</v>
      </c>
      <c r="J4881" s="4" t="s">
        <v>94</v>
      </c>
    </row>
    <row r="4882" spans="1:10" hidden="1">
      <c r="A4882" s="4">
        <v>2.0210358221000099E+17</v>
      </c>
      <c r="B4882" s="4">
        <v>7488701456</v>
      </c>
      <c r="C4882" s="4" t="s">
        <v>3341</v>
      </c>
      <c r="D4882" s="4">
        <v>58221</v>
      </c>
      <c r="E4882" s="4">
        <v>20210305</v>
      </c>
      <c r="F4882" s="4">
        <v>20210305</v>
      </c>
      <c r="G4882" s="4">
        <v>20240305</v>
      </c>
      <c r="H4882" s="4" t="s">
        <v>3340</v>
      </c>
      <c r="I4882" s="4" t="s">
        <v>3339</v>
      </c>
      <c r="J4882" s="4" t="s">
        <v>228</v>
      </c>
    </row>
    <row r="4883" spans="1:10" hidden="1">
      <c r="A4883" s="4">
        <v>2.0210327199000099E+17</v>
      </c>
      <c r="B4883" s="4">
        <v>4228600714</v>
      </c>
      <c r="C4883" s="4" t="s">
        <v>3338</v>
      </c>
      <c r="D4883" s="4">
        <v>27199</v>
      </c>
      <c r="E4883" s="4">
        <v>20210305</v>
      </c>
      <c r="F4883" s="4">
        <v>20210305</v>
      </c>
      <c r="G4883" s="4">
        <v>20240305</v>
      </c>
      <c r="H4883" s="4" t="s">
        <v>1154</v>
      </c>
      <c r="I4883" s="4" t="s">
        <v>3337</v>
      </c>
      <c r="J4883" s="4" t="s">
        <v>418</v>
      </c>
    </row>
    <row r="4884" spans="1:10" hidden="1">
      <c r="A4884" s="4">
        <v>2.0210329250000099E+17</v>
      </c>
      <c r="B4884" s="4">
        <v>5578601718</v>
      </c>
      <c r="C4884" s="4" t="s">
        <v>3336</v>
      </c>
      <c r="D4884" s="4">
        <v>29250</v>
      </c>
      <c r="E4884" s="4">
        <v>20210305</v>
      </c>
      <c r="F4884" s="4">
        <v>20210305</v>
      </c>
      <c r="G4884" s="4">
        <v>20240305</v>
      </c>
      <c r="H4884" s="4" t="s">
        <v>3335</v>
      </c>
      <c r="I4884" s="4" t="s">
        <v>3334</v>
      </c>
      <c r="J4884" s="4" t="s">
        <v>3333</v>
      </c>
    </row>
    <row r="4885" spans="1:10" hidden="1">
      <c r="A4885" s="4">
        <v>2.0210363991000099E+17</v>
      </c>
      <c r="B4885" s="4">
        <v>4758601207</v>
      </c>
      <c r="C4885" s="4" t="s">
        <v>3332</v>
      </c>
      <c r="D4885" s="4">
        <v>63991</v>
      </c>
      <c r="E4885" s="4">
        <v>20210305</v>
      </c>
      <c r="F4885" s="4">
        <v>20210305</v>
      </c>
      <c r="G4885" s="4">
        <v>20240305</v>
      </c>
      <c r="H4885" s="4" t="s">
        <v>3331</v>
      </c>
      <c r="I4885" s="4" t="s">
        <v>3330</v>
      </c>
      <c r="J4885" s="4" t="s">
        <v>395</v>
      </c>
    </row>
    <row r="4886" spans="1:10" hidden="1">
      <c r="A4886" s="4">
        <v>2.0210372129000099E+17</v>
      </c>
      <c r="B4886" s="4">
        <v>5718101117</v>
      </c>
      <c r="C4886" s="4" t="s">
        <v>3329</v>
      </c>
      <c r="D4886" s="4">
        <v>72129</v>
      </c>
      <c r="E4886" s="4">
        <v>20210305</v>
      </c>
      <c r="F4886" s="4">
        <v>20210305</v>
      </c>
      <c r="G4886" s="4">
        <v>20240305</v>
      </c>
      <c r="H4886" s="4" t="s">
        <v>1395</v>
      </c>
      <c r="I4886" s="4" t="s">
        <v>3328</v>
      </c>
      <c r="J4886" s="4" t="s">
        <v>1679</v>
      </c>
    </row>
    <row r="4887" spans="1:10" hidden="1">
      <c r="A4887" s="4">
        <v>2.0210370129000099E+17</v>
      </c>
      <c r="B4887" s="4">
        <v>1998800900</v>
      </c>
      <c r="C4887" s="4" t="s">
        <v>3327</v>
      </c>
      <c r="D4887" s="4">
        <v>70129</v>
      </c>
      <c r="E4887" s="4">
        <v>20210304</v>
      </c>
      <c r="F4887" s="4">
        <v>20210304</v>
      </c>
      <c r="G4887" s="4">
        <v>20240304</v>
      </c>
      <c r="H4887" s="4" t="s">
        <v>2779</v>
      </c>
      <c r="I4887" s="4" t="s">
        <v>3326</v>
      </c>
      <c r="J4887" s="4" t="s">
        <v>937</v>
      </c>
    </row>
    <row r="4888" spans="1:10" hidden="1">
      <c r="A4888" s="4">
        <v>2.0210323324000099E+17</v>
      </c>
      <c r="B4888" s="4">
        <v>3548701891</v>
      </c>
      <c r="C4888" s="4" t="s">
        <v>3325</v>
      </c>
      <c r="D4888" s="4">
        <v>23324</v>
      </c>
      <c r="E4888" s="4">
        <v>20210304</v>
      </c>
      <c r="F4888" s="4">
        <v>20210304</v>
      </c>
      <c r="G4888" s="4">
        <v>20240304</v>
      </c>
      <c r="H4888" s="4" t="s">
        <v>3324</v>
      </c>
      <c r="J4888" s="4" t="s">
        <v>3323</v>
      </c>
    </row>
    <row r="4889" spans="1:10" hidden="1">
      <c r="A4889" s="4">
        <v>2.0210346799000099E+17</v>
      </c>
      <c r="B4889" s="4">
        <v>5148601628</v>
      </c>
      <c r="C4889" s="4" t="s">
        <v>3322</v>
      </c>
      <c r="D4889" s="4">
        <v>46799</v>
      </c>
      <c r="E4889" s="4">
        <v>20210304</v>
      </c>
      <c r="F4889" s="4">
        <v>20210304</v>
      </c>
      <c r="G4889" s="4">
        <v>20240304</v>
      </c>
      <c r="H4889" s="4" t="s">
        <v>3321</v>
      </c>
      <c r="I4889" s="4" t="s">
        <v>3320</v>
      </c>
      <c r="J4889" s="4" t="s">
        <v>2181</v>
      </c>
    </row>
    <row r="4890" spans="1:10" hidden="1">
      <c r="A4890" s="4">
        <v>2.0210331312000099E+17</v>
      </c>
      <c r="B4890" s="4">
        <v>1808701567</v>
      </c>
      <c r="C4890" s="4" t="s">
        <v>3319</v>
      </c>
      <c r="D4890" s="4">
        <v>31312</v>
      </c>
      <c r="E4890" s="4">
        <v>20210304</v>
      </c>
      <c r="F4890" s="4">
        <v>20210304</v>
      </c>
      <c r="G4890" s="4">
        <v>20240304</v>
      </c>
      <c r="H4890" s="4" t="s">
        <v>2108</v>
      </c>
      <c r="I4890" s="4" t="s">
        <v>3318</v>
      </c>
      <c r="J4890" s="4" t="s">
        <v>748</v>
      </c>
    </row>
    <row r="4891" spans="1:10" hidden="1">
      <c r="A4891" s="4">
        <v>2.0210327112000099E+17</v>
      </c>
      <c r="B4891" s="4">
        <v>7638800813</v>
      </c>
      <c r="C4891" s="4" t="s">
        <v>3317</v>
      </c>
      <c r="D4891" s="4">
        <v>27112</v>
      </c>
      <c r="E4891" s="4">
        <v>20210304</v>
      </c>
      <c r="F4891" s="4">
        <v>20210304</v>
      </c>
      <c r="G4891" s="4">
        <v>20240304</v>
      </c>
      <c r="H4891" s="4" t="s">
        <v>3316</v>
      </c>
      <c r="I4891" s="4" t="s">
        <v>1156</v>
      </c>
      <c r="J4891" s="4" t="s">
        <v>1254</v>
      </c>
    </row>
    <row r="4892" spans="1:10" hidden="1">
      <c r="A4892" s="4">
        <v>2.0210338322000099E+17</v>
      </c>
      <c r="B4892" s="4">
        <v>8958100974</v>
      </c>
      <c r="C4892" s="4" t="s">
        <v>3315</v>
      </c>
      <c r="D4892" s="4">
        <v>38322</v>
      </c>
      <c r="E4892" s="4">
        <v>20210304</v>
      </c>
      <c r="F4892" s="4">
        <v>20210304</v>
      </c>
      <c r="G4892" s="4">
        <v>20240304</v>
      </c>
      <c r="H4892" s="4" t="s">
        <v>3314</v>
      </c>
      <c r="J4892" s="4" t="s">
        <v>3313</v>
      </c>
    </row>
    <row r="4893" spans="1:10" hidden="1">
      <c r="A4893" s="4">
        <v>2.0210329171000099E+17</v>
      </c>
      <c r="B4893" s="4">
        <v>2488701989</v>
      </c>
      <c r="C4893" s="4" t="s">
        <v>3312</v>
      </c>
      <c r="D4893" s="4">
        <v>29171</v>
      </c>
      <c r="E4893" s="4">
        <v>20210304</v>
      </c>
      <c r="F4893" s="4">
        <v>20210304</v>
      </c>
      <c r="G4893" s="4">
        <v>20240304</v>
      </c>
      <c r="H4893" s="4" t="s">
        <v>3311</v>
      </c>
      <c r="J4893" s="4" t="s">
        <v>2082</v>
      </c>
    </row>
    <row r="4894" spans="1:10" hidden="1">
      <c r="A4894" s="4">
        <v>2.0210329171000099E+17</v>
      </c>
      <c r="B4894" s="4">
        <v>5398600986</v>
      </c>
      <c r="C4894" s="4" t="s">
        <v>3310</v>
      </c>
      <c r="D4894" s="4">
        <v>29171</v>
      </c>
      <c r="E4894" s="4">
        <v>20210304</v>
      </c>
      <c r="F4894" s="4">
        <v>20210304</v>
      </c>
      <c r="G4894" s="4">
        <v>20240304</v>
      </c>
      <c r="H4894" s="4" t="s">
        <v>3309</v>
      </c>
      <c r="I4894" s="4" t="s">
        <v>3308</v>
      </c>
      <c r="J4894" s="4" t="s">
        <v>2082</v>
      </c>
    </row>
    <row r="4895" spans="1:10" hidden="1">
      <c r="A4895" s="4">
        <v>2.0210372923000099E+17</v>
      </c>
      <c r="B4895" s="4">
        <v>4838600121</v>
      </c>
      <c r="C4895" s="4" t="s">
        <v>3307</v>
      </c>
      <c r="D4895" s="4">
        <v>72923</v>
      </c>
      <c r="E4895" s="4">
        <v>20210304</v>
      </c>
      <c r="F4895" s="4">
        <v>20210304</v>
      </c>
      <c r="G4895" s="4">
        <v>20220609</v>
      </c>
      <c r="H4895" s="4" t="s">
        <v>3306</v>
      </c>
      <c r="I4895" s="4" t="s">
        <v>1156</v>
      </c>
      <c r="J4895" s="4" t="s">
        <v>3305</v>
      </c>
    </row>
    <row r="4896" spans="1:10" hidden="1">
      <c r="A4896" s="4">
        <v>2.0210358221000099E+17</v>
      </c>
      <c r="B4896" s="4">
        <v>3518801322</v>
      </c>
      <c r="C4896" s="4" t="s">
        <v>3304</v>
      </c>
      <c r="D4896" s="4">
        <v>58221</v>
      </c>
      <c r="E4896" s="4">
        <v>20210304</v>
      </c>
      <c r="F4896" s="4">
        <v>20210304</v>
      </c>
      <c r="G4896" s="4">
        <v>20240304</v>
      </c>
      <c r="H4896" s="4" t="s">
        <v>3303</v>
      </c>
      <c r="I4896" s="4" t="s">
        <v>3302</v>
      </c>
      <c r="J4896" s="4" t="s">
        <v>228</v>
      </c>
    </row>
    <row r="4897" spans="1:10" hidden="1">
      <c r="A4897" s="4">
        <v>2.0210329299000099E+17</v>
      </c>
      <c r="B4897" s="4">
        <v>5198700733</v>
      </c>
      <c r="C4897" s="4" t="s">
        <v>3301</v>
      </c>
      <c r="D4897" s="4">
        <v>29299</v>
      </c>
      <c r="E4897" s="4">
        <v>20210304</v>
      </c>
      <c r="F4897" s="4">
        <v>20210304</v>
      </c>
      <c r="G4897" s="4">
        <v>20231121</v>
      </c>
      <c r="H4897" s="4" t="s">
        <v>3300</v>
      </c>
      <c r="J4897" s="4" t="s">
        <v>137</v>
      </c>
    </row>
    <row r="4898" spans="1:10" hidden="1">
      <c r="A4898" s="4">
        <v>2.0210333910000099E+17</v>
      </c>
      <c r="B4898" s="4">
        <v>3618600364</v>
      </c>
      <c r="C4898" s="4" t="s">
        <v>3299</v>
      </c>
      <c r="D4898" s="4">
        <v>33910</v>
      </c>
      <c r="E4898" s="4">
        <v>20210304</v>
      </c>
      <c r="F4898" s="4">
        <v>20210304</v>
      </c>
      <c r="G4898" s="4">
        <v>20230125</v>
      </c>
      <c r="H4898" s="4" t="s">
        <v>3298</v>
      </c>
      <c r="J4898" s="4" t="s">
        <v>310</v>
      </c>
    </row>
    <row r="4899" spans="1:10" hidden="1">
      <c r="A4899" s="4">
        <v>2.0210362010000099E+17</v>
      </c>
      <c r="B4899" s="4">
        <v>1418147095</v>
      </c>
      <c r="C4899" s="4" t="s">
        <v>3297</v>
      </c>
      <c r="D4899" s="4">
        <v>62010</v>
      </c>
      <c r="E4899" s="4">
        <v>20210304</v>
      </c>
      <c r="F4899" s="4">
        <v>20210304</v>
      </c>
      <c r="G4899" s="4">
        <v>20230622</v>
      </c>
      <c r="H4899" s="4" t="s">
        <v>1612</v>
      </c>
      <c r="J4899" s="4" t="s">
        <v>118</v>
      </c>
    </row>
    <row r="4900" spans="1:10" hidden="1">
      <c r="A4900" s="4">
        <v>2.0210310799000099E+17</v>
      </c>
      <c r="B4900" s="4">
        <v>5618701771</v>
      </c>
      <c r="C4900" s="4" t="s">
        <v>3296</v>
      </c>
      <c r="D4900" s="4">
        <v>10799</v>
      </c>
      <c r="E4900" s="4">
        <v>20210304</v>
      </c>
      <c r="F4900" s="4">
        <v>20210304</v>
      </c>
      <c r="G4900" s="4">
        <v>20240304</v>
      </c>
      <c r="H4900" s="4" t="s">
        <v>3295</v>
      </c>
      <c r="I4900" s="4" t="s">
        <v>3294</v>
      </c>
      <c r="J4900" s="4" t="s">
        <v>2973</v>
      </c>
    </row>
    <row r="4901" spans="1:10" hidden="1">
      <c r="A4901" s="4">
        <v>2.0210328903000099E+17</v>
      </c>
      <c r="B4901" s="4">
        <v>8538601917</v>
      </c>
      <c r="C4901" s="4" t="s">
        <v>3293</v>
      </c>
      <c r="D4901" s="4">
        <v>28903</v>
      </c>
      <c r="E4901" s="4">
        <v>20210304</v>
      </c>
      <c r="F4901" s="4">
        <v>20210304</v>
      </c>
      <c r="G4901" s="4">
        <v>20240304</v>
      </c>
      <c r="H4901" s="4" t="s">
        <v>3292</v>
      </c>
      <c r="I4901" s="4" t="s">
        <v>149</v>
      </c>
      <c r="J4901" s="4" t="s">
        <v>460</v>
      </c>
    </row>
    <row r="4902" spans="1:10" hidden="1">
      <c r="A4902" s="4">
        <v>2.0210322232000099E+17</v>
      </c>
      <c r="B4902" s="4">
        <v>1458700283</v>
      </c>
      <c r="C4902" s="4" t="s">
        <v>3291</v>
      </c>
      <c r="D4902" s="4">
        <v>22232</v>
      </c>
      <c r="E4902" s="4">
        <v>20210304</v>
      </c>
      <c r="F4902" s="4">
        <v>20210304</v>
      </c>
      <c r="G4902" s="4">
        <v>20221006</v>
      </c>
      <c r="H4902" s="4" t="s">
        <v>3290</v>
      </c>
      <c r="J4902" s="4" t="s">
        <v>3289</v>
      </c>
    </row>
    <row r="4903" spans="1:10" hidden="1">
      <c r="A4903" s="4">
        <v>2.0210325944000099E+17</v>
      </c>
      <c r="B4903" s="4">
        <v>4778101741</v>
      </c>
      <c r="C4903" s="4" t="s">
        <v>3288</v>
      </c>
      <c r="D4903" s="4">
        <v>25944</v>
      </c>
      <c r="E4903" s="4">
        <v>20210304</v>
      </c>
      <c r="F4903" s="4">
        <v>20210304</v>
      </c>
      <c r="G4903" s="4">
        <v>20240304</v>
      </c>
      <c r="H4903" s="4" t="s">
        <v>3287</v>
      </c>
      <c r="J4903" s="4" t="s">
        <v>1334</v>
      </c>
    </row>
    <row r="4904" spans="1:10" hidden="1">
      <c r="A4904" s="4">
        <v>2.0210374100000099E+17</v>
      </c>
      <c r="B4904" s="4">
        <v>2250924642</v>
      </c>
      <c r="C4904" s="4" t="s">
        <v>3286</v>
      </c>
      <c r="D4904" s="4">
        <v>74100</v>
      </c>
      <c r="E4904" s="4">
        <v>20210304</v>
      </c>
      <c r="F4904" s="4">
        <v>20210304</v>
      </c>
      <c r="G4904" s="4">
        <v>20240304</v>
      </c>
      <c r="H4904" s="4" t="s">
        <v>3285</v>
      </c>
      <c r="J4904" s="4" t="s">
        <v>2207</v>
      </c>
    </row>
    <row r="4905" spans="1:10" hidden="1">
      <c r="A4905" s="4">
        <v>2.0210346442000099E+17</v>
      </c>
      <c r="B4905" s="4">
        <v>4594600476</v>
      </c>
      <c r="C4905" s="4" t="s">
        <v>3284</v>
      </c>
      <c r="D4905" s="4">
        <v>46442</v>
      </c>
      <c r="E4905" s="4">
        <v>20210304</v>
      </c>
      <c r="F4905" s="4">
        <v>20210304</v>
      </c>
      <c r="G4905" s="4">
        <v>20240304</v>
      </c>
      <c r="H4905" s="4" t="s">
        <v>3283</v>
      </c>
      <c r="I4905" s="4" t="s">
        <v>91</v>
      </c>
      <c r="J4905" s="4" t="s">
        <v>3282</v>
      </c>
    </row>
    <row r="4906" spans="1:10" hidden="1">
      <c r="A4906" s="4">
        <v>2.0210328422000099E+17</v>
      </c>
      <c r="B4906" s="4">
        <v>6884200590</v>
      </c>
      <c r="C4906" s="4" t="s">
        <v>3281</v>
      </c>
      <c r="D4906" s="4">
        <v>28422</v>
      </c>
      <c r="E4906" s="4">
        <v>20210304</v>
      </c>
      <c r="F4906" s="4">
        <v>20210304</v>
      </c>
      <c r="G4906" s="4">
        <v>20240304</v>
      </c>
      <c r="H4906" s="4" t="s">
        <v>3280</v>
      </c>
      <c r="J4906" s="4" t="s">
        <v>188</v>
      </c>
    </row>
    <row r="4907" spans="1:10" hidden="1">
      <c r="A4907" s="4">
        <v>2.0210346800000099E+17</v>
      </c>
      <c r="B4907" s="4">
        <v>5670201715</v>
      </c>
      <c r="C4907" s="4" t="s">
        <v>3279</v>
      </c>
      <c r="D4907" s="4">
        <v>46800</v>
      </c>
      <c r="E4907" s="4">
        <v>20210304</v>
      </c>
      <c r="F4907" s="4">
        <v>20210304</v>
      </c>
      <c r="G4907" s="4">
        <v>20240304</v>
      </c>
      <c r="H4907" s="4" t="s">
        <v>3278</v>
      </c>
      <c r="J4907" s="4" t="s">
        <v>979</v>
      </c>
    </row>
    <row r="4908" spans="1:10">
      <c r="A4908" s="4">
        <v>2.0210446453000198E+17</v>
      </c>
      <c r="B4908" s="4">
        <v>8523700936</v>
      </c>
      <c r="C4908" s="4" t="s">
        <v>7157</v>
      </c>
      <c r="D4908" s="4">
        <v>46453</v>
      </c>
      <c r="E4908" s="4">
        <v>20210421</v>
      </c>
      <c r="F4908" s="4">
        <v>20210421</v>
      </c>
      <c r="G4908" s="4">
        <v>20240421</v>
      </c>
      <c r="H4908" s="4" t="s">
        <v>7156</v>
      </c>
      <c r="J4908" s="4" t="s">
        <v>816</v>
      </c>
    </row>
    <row r="4909" spans="1:10" hidden="1">
      <c r="A4909" s="4">
        <v>2.0210387291000099E+17</v>
      </c>
      <c r="B4909" s="4">
        <v>5158272415</v>
      </c>
      <c r="C4909" s="4" t="s">
        <v>3275</v>
      </c>
      <c r="D4909" s="4">
        <v>87291</v>
      </c>
      <c r="E4909" s="4">
        <v>20210304</v>
      </c>
      <c r="F4909" s="4">
        <v>20210304</v>
      </c>
      <c r="G4909" s="4">
        <v>20240304</v>
      </c>
      <c r="H4909" s="4" t="s">
        <v>3274</v>
      </c>
      <c r="I4909" s="4" t="s">
        <v>3273</v>
      </c>
      <c r="J4909" s="4" t="s">
        <v>3272</v>
      </c>
    </row>
    <row r="4910" spans="1:10" hidden="1">
      <c r="A4910" s="4">
        <v>2.0210373203000099E+17</v>
      </c>
      <c r="B4910" s="4">
        <v>6386900383</v>
      </c>
      <c r="C4910" s="4" t="s">
        <v>3271</v>
      </c>
      <c r="D4910" s="4">
        <v>73203</v>
      </c>
      <c r="E4910" s="4">
        <v>20210304</v>
      </c>
      <c r="F4910" s="4">
        <v>20210304</v>
      </c>
      <c r="G4910" s="4">
        <v>20240304</v>
      </c>
      <c r="H4910" s="4" t="s">
        <v>2542</v>
      </c>
      <c r="I4910" s="4" t="s">
        <v>3270</v>
      </c>
      <c r="J4910" s="4" t="s">
        <v>260</v>
      </c>
    </row>
    <row r="4911" spans="1:10" hidden="1">
      <c r="A4911" s="4">
        <v>2.0210324121000099E+17</v>
      </c>
      <c r="B4911" s="4">
        <v>1228701353</v>
      </c>
      <c r="C4911" s="4" t="s">
        <v>3269</v>
      </c>
      <c r="D4911" s="4">
        <v>24121</v>
      </c>
      <c r="E4911" s="4">
        <v>20210304</v>
      </c>
      <c r="F4911" s="4">
        <v>20210304</v>
      </c>
      <c r="G4911" s="4">
        <v>20240304</v>
      </c>
      <c r="H4911" s="4" t="s">
        <v>3268</v>
      </c>
      <c r="J4911" s="4" t="s">
        <v>3267</v>
      </c>
    </row>
    <row r="4912" spans="1:10" hidden="1">
      <c r="A4912" s="4">
        <v>2.0210358222000099E+17</v>
      </c>
      <c r="B4912" s="4">
        <v>5088141843</v>
      </c>
      <c r="C4912" s="4" t="s">
        <v>3266</v>
      </c>
      <c r="D4912" s="4">
        <v>58222</v>
      </c>
      <c r="E4912" s="4">
        <v>20210304</v>
      </c>
      <c r="F4912" s="4">
        <v>20210304</v>
      </c>
      <c r="G4912" s="4">
        <v>20240304</v>
      </c>
      <c r="H4912" s="4" t="s">
        <v>3265</v>
      </c>
      <c r="I4912" s="4" t="s">
        <v>142</v>
      </c>
      <c r="J4912" s="4" t="s">
        <v>94</v>
      </c>
    </row>
    <row r="4913" spans="1:10" hidden="1">
      <c r="A4913" s="4">
        <v>2.0210329294000099E+17</v>
      </c>
      <c r="B4913" s="4">
        <v>4070720133</v>
      </c>
      <c r="C4913" s="4" t="s">
        <v>3264</v>
      </c>
      <c r="D4913" s="4">
        <v>29294</v>
      </c>
      <c r="E4913" s="4">
        <v>20210304</v>
      </c>
      <c r="F4913" s="4">
        <v>20210304</v>
      </c>
      <c r="G4913" s="4">
        <v>20240304</v>
      </c>
      <c r="H4913" s="4" t="s">
        <v>3263</v>
      </c>
      <c r="I4913" s="4" t="s">
        <v>3262</v>
      </c>
      <c r="J4913" s="4" t="s">
        <v>1848</v>
      </c>
    </row>
    <row r="4914" spans="1:10" hidden="1">
      <c r="A4914" s="4">
        <v>2.0210325929000099E+17</v>
      </c>
      <c r="B4914" s="4">
        <v>5552400923</v>
      </c>
      <c r="C4914" s="4" t="s">
        <v>3261</v>
      </c>
      <c r="D4914" s="4">
        <v>25929</v>
      </c>
      <c r="E4914" s="4">
        <v>20210304</v>
      </c>
      <c r="F4914" s="4">
        <v>20210304</v>
      </c>
      <c r="G4914" s="4">
        <v>20240304</v>
      </c>
      <c r="H4914" s="4" t="s">
        <v>3260</v>
      </c>
      <c r="J4914" s="4" t="s">
        <v>701</v>
      </c>
    </row>
    <row r="4915" spans="1:10" hidden="1">
      <c r="A4915" s="4">
        <v>2.0210362021000099E+17</v>
      </c>
      <c r="B4915" s="4">
        <v>2252200751</v>
      </c>
      <c r="C4915" s="4" t="s">
        <v>3259</v>
      </c>
      <c r="D4915" s="4">
        <v>62021</v>
      </c>
      <c r="E4915" s="4">
        <v>20210304</v>
      </c>
      <c r="F4915" s="4">
        <v>20210304</v>
      </c>
      <c r="G4915" s="4">
        <v>20240304</v>
      </c>
      <c r="H4915" s="4" t="s">
        <v>2848</v>
      </c>
      <c r="I4915" s="4" t="s">
        <v>3258</v>
      </c>
      <c r="J4915" s="4" t="s">
        <v>1505</v>
      </c>
    </row>
    <row r="4916" spans="1:10" hidden="1">
      <c r="A4916" s="4">
        <v>2.0210326529000099E+17</v>
      </c>
      <c r="B4916" s="4">
        <v>4560501115</v>
      </c>
      <c r="C4916" s="4" t="s">
        <v>3257</v>
      </c>
      <c r="D4916" s="4">
        <v>26529</v>
      </c>
      <c r="E4916" s="4">
        <v>20210304</v>
      </c>
      <c r="F4916" s="4">
        <v>20210304</v>
      </c>
      <c r="G4916" s="4">
        <v>20240304</v>
      </c>
      <c r="H4916" s="4" t="s">
        <v>3256</v>
      </c>
      <c r="I4916" s="4" t="s">
        <v>3255</v>
      </c>
      <c r="J4916" s="4" t="s">
        <v>1207</v>
      </c>
    </row>
    <row r="4917" spans="1:10" hidden="1">
      <c r="A4917" s="4">
        <v>2.0210329199000099E+17</v>
      </c>
      <c r="B4917" s="4">
        <v>2218150130</v>
      </c>
      <c r="C4917" s="4" t="s">
        <v>3254</v>
      </c>
      <c r="D4917" s="4">
        <v>29199</v>
      </c>
      <c r="E4917" s="4">
        <v>20210304</v>
      </c>
      <c r="F4917" s="4">
        <v>20210304</v>
      </c>
      <c r="G4917" s="4">
        <v>20240304</v>
      </c>
      <c r="H4917" s="4" t="s">
        <v>3253</v>
      </c>
      <c r="J4917" s="4" t="s">
        <v>166</v>
      </c>
    </row>
    <row r="4918" spans="1:10" hidden="1">
      <c r="A4918" s="4">
        <v>2.0210370209000099E+17</v>
      </c>
      <c r="B4918" s="4">
        <v>1574200816</v>
      </c>
      <c r="C4918" s="4" t="s">
        <v>3252</v>
      </c>
      <c r="D4918" s="4">
        <v>70209</v>
      </c>
      <c r="E4918" s="4">
        <v>20210304</v>
      </c>
      <c r="F4918" s="4">
        <v>20210304</v>
      </c>
      <c r="G4918" s="4">
        <v>20240304</v>
      </c>
      <c r="H4918" s="4" t="s">
        <v>3251</v>
      </c>
      <c r="I4918" s="4" t="s">
        <v>3250</v>
      </c>
      <c r="J4918" s="4" t="s">
        <v>242</v>
      </c>
    </row>
    <row r="4919" spans="1:10" hidden="1">
      <c r="A4919" s="4">
        <v>2.0210328511000099E+17</v>
      </c>
      <c r="B4919" s="4">
        <v>8258801648</v>
      </c>
      <c r="C4919" s="4" t="s">
        <v>3249</v>
      </c>
      <c r="D4919" s="4">
        <v>28511</v>
      </c>
      <c r="E4919" s="4">
        <v>20210304</v>
      </c>
      <c r="F4919" s="4">
        <v>20210304</v>
      </c>
      <c r="G4919" s="4">
        <v>20240304</v>
      </c>
      <c r="H4919" s="4" t="s">
        <v>3248</v>
      </c>
      <c r="I4919" s="4" t="s">
        <v>3247</v>
      </c>
      <c r="J4919" s="4" t="s">
        <v>928</v>
      </c>
    </row>
    <row r="4920" spans="1:10" hidden="1">
      <c r="A4920" s="4">
        <v>2.0210358221000099E+17</v>
      </c>
      <c r="B4920" s="4">
        <v>8082001250</v>
      </c>
      <c r="C4920" s="4" t="s">
        <v>3246</v>
      </c>
      <c r="D4920" s="4">
        <v>58221</v>
      </c>
      <c r="E4920" s="4">
        <v>20210304</v>
      </c>
      <c r="F4920" s="4">
        <v>20210304</v>
      </c>
      <c r="G4920" s="4">
        <v>20240304</v>
      </c>
      <c r="H4920" s="4" t="s">
        <v>3245</v>
      </c>
      <c r="I4920" s="4" t="s">
        <v>3244</v>
      </c>
      <c r="J4920" s="4" t="s">
        <v>228</v>
      </c>
    </row>
    <row r="4921" spans="1:10" hidden="1">
      <c r="A4921" s="4">
        <v>2.0210372121000099E+17</v>
      </c>
      <c r="B4921" s="4">
        <v>3548701168</v>
      </c>
      <c r="C4921" s="4" t="s">
        <v>3243</v>
      </c>
      <c r="D4921" s="4">
        <v>72121</v>
      </c>
      <c r="E4921" s="4">
        <v>20210304</v>
      </c>
      <c r="F4921" s="4">
        <v>20210304</v>
      </c>
      <c r="G4921" s="4">
        <v>20240304</v>
      </c>
      <c r="H4921" s="4" t="s">
        <v>2894</v>
      </c>
      <c r="I4921" s="4" t="s">
        <v>3242</v>
      </c>
      <c r="J4921" s="4" t="s">
        <v>2243</v>
      </c>
    </row>
    <row r="4922" spans="1:10" hidden="1">
      <c r="A4922" s="4">
        <v>2.0210373203000099E+17</v>
      </c>
      <c r="B4922" s="4">
        <v>5778801695</v>
      </c>
      <c r="C4922" s="4" t="s">
        <v>3241</v>
      </c>
      <c r="D4922" s="4">
        <v>73203</v>
      </c>
      <c r="E4922" s="4">
        <v>20210304</v>
      </c>
      <c r="F4922" s="4">
        <v>20210304</v>
      </c>
      <c r="G4922" s="4">
        <v>20240304</v>
      </c>
      <c r="H4922" s="4" t="s">
        <v>3240</v>
      </c>
      <c r="I4922" s="4" t="s">
        <v>3239</v>
      </c>
      <c r="J4922" s="4" t="s">
        <v>260</v>
      </c>
    </row>
    <row r="4923" spans="1:10" hidden="1">
      <c r="A4923" s="4">
        <v>2.0210358221000099E+17</v>
      </c>
      <c r="B4923" s="4">
        <v>6288801178</v>
      </c>
      <c r="C4923" s="4" t="s">
        <v>3238</v>
      </c>
      <c r="D4923" s="4">
        <v>58221</v>
      </c>
      <c r="E4923" s="4">
        <v>20210304</v>
      </c>
      <c r="F4923" s="4">
        <v>20210304</v>
      </c>
      <c r="G4923" s="4">
        <v>20240304</v>
      </c>
      <c r="H4923" s="4" t="s">
        <v>1749</v>
      </c>
      <c r="I4923" s="4" t="s">
        <v>3237</v>
      </c>
      <c r="J4923" s="4" t="s">
        <v>228</v>
      </c>
    </row>
    <row r="4924" spans="1:10" hidden="1">
      <c r="A4924" s="4">
        <v>2.0210326129000099E+17</v>
      </c>
      <c r="B4924" s="4">
        <v>8898801389</v>
      </c>
      <c r="C4924" s="4" t="s">
        <v>3236</v>
      </c>
      <c r="D4924" s="4">
        <v>26129</v>
      </c>
      <c r="E4924" s="4">
        <v>20210304</v>
      </c>
      <c r="F4924" s="4">
        <v>20210304</v>
      </c>
      <c r="G4924" s="4">
        <v>20240304</v>
      </c>
      <c r="H4924" s="4" t="s">
        <v>3235</v>
      </c>
      <c r="J4924" s="4" t="s">
        <v>403</v>
      </c>
    </row>
    <row r="4925" spans="1:10" hidden="1">
      <c r="A4925" s="4">
        <v>2.0210329271000099E+17</v>
      </c>
      <c r="B4925" s="4">
        <v>6208601485</v>
      </c>
      <c r="C4925" s="4" t="s">
        <v>3234</v>
      </c>
      <c r="D4925" s="4">
        <v>29271</v>
      </c>
      <c r="E4925" s="4">
        <v>20210304</v>
      </c>
      <c r="F4925" s="4">
        <v>20210304</v>
      </c>
      <c r="G4925" s="4">
        <v>20240304</v>
      </c>
      <c r="H4925" s="4" t="s">
        <v>3233</v>
      </c>
      <c r="I4925" s="4" t="s">
        <v>3232</v>
      </c>
      <c r="J4925" s="4" t="s">
        <v>285</v>
      </c>
    </row>
    <row r="4926" spans="1:10" hidden="1">
      <c r="A4926" s="4">
        <v>2.0210341222000099E+17</v>
      </c>
      <c r="B4926" s="4">
        <v>3158701843</v>
      </c>
      <c r="C4926" s="4" t="s">
        <v>3231</v>
      </c>
      <c r="D4926" s="4">
        <v>41222</v>
      </c>
      <c r="E4926" s="4">
        <v>20210304</v>
      </c>
      <c r="F4926" s="4">
        <v>20210304</v>
      </c>
      <c r="G4926" s="4">
        <v>20240304</v>
      </c>
      <c r="H4926" s="4" t="s">
        <v>3230</v>
      </c>
      <c r="I4926" s="4" t="s">
        <v>142</v>
      </c>
      <c r="J4926" s="4" t="s">
        <v>3229</v>
      </c>
    </row>
    <row r="4927" spans="1:10" hidden="1">
      <c r="A4927" s="4">
        <v>2.0210328422000099E+17</v>
      </c>
      <c r="B4927" s="4">
        <v>7858601574</v>
      </c>
      <c r="C4927" s="4" t="s">
        <v>3228</v>
      </c>
      <c r="D4927" s="4">
        <v>28422</v>
      </c>
      <c r="E4927" s="4">
        <v>20210304</v>
      </c>
      <c r="F4927" s="4">
        <v>20210304</v>
      </c>
      <c r="G4927" s="4">
        <v>20240304</v>
      </c>
      <c r="H4927" s="4" t="s">
        <v>3227</v>
      </c>
      <c r="J4927" s="4" t="s">
        <v>188</v>
      </c>
    </row>
    <row r="4928" spans="1:10" hidden="1">
      <c r="A4928" s="4">
        <v>2.0210370113000099E+17</v>
      </c>
      <c r="B4928" s="4">
        <v>7928101790</v>
      </c>
      <c r="C4928" s="4" t="s">
        <v>3226</v>
      </c>
      <c r="D4928" s="4">
        <v>70113</v>
      </c>
      <c r="E4928" s="4">
        <v>20210304</v>
      </c>
      <c r="F4928" s="4">
        <v>20210304</v>
      </c>
      <c r="G4928" s="4">
        <v>20240304</v>
      </c>
      <c r="H4928" s="4" t="s">
        <v>120</v>
      </c>
      <c r="I4928" s="4" t="s">
        <v>3225</v>
      </c>
      <c r="J4928" s="4" t="s">
        <v>1173</v>
      </c>
    </row>
    <row r="4929" spans="1:10" hidden="1">
      <c r="A4929" s="4">
        <v>2.0210333999000099E+17</v>
      </c>
      <c r="B4929" s="4">
        <v>3016600398</v>
      </c>
      <c r="C4929" s="4" t="s">
        <v>3224</v>
      </c>
      <c r="D4929" s="4">
        <v>33999</v>
      </c>
      <c r="E4929" s="4">
        <v>20210304</v>
      </c>
      <c r="F4929" s="4">
        <v>20210304</v>
      </c>
      <c r="G4929" s="4">
        <v>20240304</v>
      </c>
      <c r="H4929" s="4" t="s">
        <v>3223</v>
      </c>
      <c r="I4929" s="4" t="s">
        <v>3222</v>
      </c>
      <c r="J4929" s="4" t="s">
        <v>780</v>
      </c>
    </row>
    <row r="4930" spans="1:10" hidden="1">
      <c r="A4930" s="4">
        <v>2.0210358222000099E+17</v>
      </c>
      <c r="B4930" s="4">
        <v>4968600656</v>
      </c>
      <c r="C4930" s="4" t="s">
        <v>3221</v>
      </c>
      <c r="D4930" s="4">
        <v>58222</v>
      </c>
      <c r="E4930" s="4">
        <v>20210304</v>
      </c>
      <c r="F4930" s="4">
        <v>20210304</v>
      </c>
      <c r="G4930" s="4">
        <v>20240103</v>
      </c>
      <c r="H4930" s="4" t="s">
        <v>2452</v>
      </c>
      <c r="I4930" s="4" t="s">
        <v>3220</v>
      </c>
      <c r="J4930" s="4" t="s">
        <v>94</v>
      </c>
    </row>
    <row r="4931" spans="1:10" hidden="1">
      <c r="A4931" s="4">
        <v>2.0210342411000099E+17</v>
      </c>
      <c r="B4931" s="4">
        <v>5584200741</v>
      </c>
      <c r="C4931" s="4" t="s">
        <v>3219</v>
      </c>
      <c r="D4931" s="4">
        <v>42411</v>
      </c>
      <c r="E4931" s="4">
        <v>20210304</v>
      </c>
      <c r="F4931" s="4">
        <v>20210304</v>
      </c>
      <c r="G4931" s="4">
        <v>20240304</v>
      </c>
      <c r="H4931" s="4" t="s">
        <v>3218</v>
      </c>
      <c r="J4931" s="4" t="s">
        <v>2211</v>
      </c>
    </row>
    <row r="4932" spans="1:10" hidden="1">
      <c r="A4932" s="4">
        <v>2.0210314199000099E+17</v>
      </c>
      <c r="B4932" s="4">
        <v>5642600523</v>
      </c>
      <c r="C4932" s="4" t="s">
        <v>3217</v>
      </c>
      <c r="D4932" s="4">
        <v>14199</v>
      </c>
      <c r="E4932" s="4">
        <v>20210304</v>
      </c>
      <c r="F4932" s="4">
        <v>20210304</v>
      </c>
      <c r="G4932" s="4">
        <v>20240304</v>
      </c>
      <c r="H4932" s="4" t="s">
        <v>3216</v>
      </c>
      <c r="J4932" s="4" t="s">
        <v>3215</v>
      </c>
    </row>
    <row r="4933" spans="1:10" hidden="1">
      <c r="A4933" s="4">
        <v>2.0210370112000099E+17</v>
      </c>
      <c r="B4933" s="4">
        <v>5303800620</v>
      </c>
      <c r="C4933" s="4" t="s">
        <v>3214</v>
      </c>
      <c r="D4933" s="4">
        <v>70112</v>
      </c>
      <c r="E4933" s="4">
        <v>20210304</v>
      </c>
      <c r="F4933" s="4">
        <v>20210304</v>
      </c>
      <c r="G4933" s="4">
        <v>20240304</v>
      </c>
      <c r="H4933" s="4" t="s">
        <v>3213</v>
      </c>
      <c r="I4933" s="4" t="s">
        <v>938</v>
      </c>
      <c r="J4933" s="4" t="s">
        <v>1975</v>
      </c>
    </row>
    <row r="4934" spans="1:10" hidden="1">
      <c r="A4934" s="4">
        <v>2.0210347311000099E+17</v>
      </c>
      <c r="B4934" s="4">
        <v>2044800526</v>
      </c>
      <c r="C4934" s="4" t="s">
        <v>3212</v>
      </c>
      <c r="D4934" s="4">
        <v>47311</v>
      </c>
      <c r="E4934" s="4">
        <v>20210304</v>
      </c>
      <c r="F4934" s="4">
        <v>20210304</v>
      </c>
      <c r="G4934" s="4">
        <v>20240304</v>
      </c>
      <c r="H4934" s="4" t="s">
        <v>3211</v>
      </c>
      <c r="I4934" s="4" t="s">
        <v>3210</v>
      </c>
      <c r="J4934" s="4" t="s">
        <v>588</v>
      </c>
    </row>
    <row r="4935" spans="1:10" hidden="1">
      <c r="A4935" s="4">
        <v>2.0210373909000099E+17</v>
      </c>
      <c r="B4935" s="4">
        <v>4968101835</v>
      </c>
      <c r="C4935" s="4" t="s">
        <v>3209</v>
      </c>
      <c r="D4935" s="4">
        <v>73909</v>
      </c>
      <c r="E4935" s="4">
        <v>20210304</v>
      </c>
      <c r="F4935" s="4">
        <v>20210304</v>
      </c>
      <c r="G4935" s="4">
        <v>20240304</v>
      </c>
      <c r="H4935" s="4" t="s">
        <v>500</v>
      </c>
      <c r="I4935" s="4" t="s">
        <v>3208</v>
      </c>
      <c r="J4935" s="4" t="s">
        <v>293</v>
      </c>
    </row>
    <row r="4936" spans="1:10" hidden="1">
      <c r="A4936" s="4">
        <v>2.0210371531000099E+17</v>
      </c>
      <c r="B4936" s="4">
        <v>3998100379</v>
      </c>
      <c r="C4936" s="4" t="s">
        <v>3207</v>
      </c>
      <c r="D4936" s="4">
        <v>71531</v>
      </c>
      <c r="E4936" s="4">
        <v>20210304</v>
      </c>
      <c r="F4936" s="4">
        <v>20210304</v>
      </c>
      <c r="G4936" s="4">
        <v>20230309</v>
      </c>
      <c r="H4936" s="4" t="s">
        <v>3206</v>
      </c>
      <c r="I4936" s="4" t="s">
        <v>3205</v>
      </c>
      <c r="J4936" s="4" t="s">
        <v>87</v>
      </c>
    </row>
    <row r="4937" spans="1:10" hidden="1">
      <c r="A4937" s="4">
        <v>2.0210313999000099E+17</v>
      </c>
      <c r="B4937" s="4">
        <v>8918800398</v>
      </c>
      <c r="C4937" s="4" t="s">
        <v>3204</v>
      </c>
      <c r="D4937" s="4">
        <v>13999</v>
      </c>
      <c r="E4937" s="4">
        <v>20210304</v>
      </c>
      <c r="F4937" s="4">
        <v>20210304</v>
      </c>
      <c r="G4937" s="4">
        <v>20231012</v>
      </c>
      <c r="H4937" s="4" t="s">
        <v>3203</v>
      </c>
      <c r="I4937" s="4" t="s">
        <v>3202</v>
      </c>
      <c r="J4937" s="4" t="s">
        <v>130</v>
      </c>
    </row>
    <row r="4938" spans="1:10" hidden="1">
      <c r="A4938" s="4">
        <v>2.0210332099000099E+17</v>
      </c>
      <c r="B4938" s="4">
        <v>7688600473</v>
      </c>
      <c r="C4938" s="4" t="s">
        <v>3201</v>
      </c>
      <c r="D4938" s="4">
        <v>32099</v>
      </c>
      <c r="E4938" s="4">
        <v>20210304</v>
      </c>
      <c r="F4938" s="4">
        <v>20210304</v>
      </c>
      <c r="G4938" s="4">
        <v>20230801</v>
      </c>
      <c r="H4938" s="4" t="s">
        <v>3200</v>
      </c>
      <c r="I4938" s="4" t="s">
        <v>149</v>
      </c>
      <c r="J4938" s="4" t="s">
        <v>162</v>
      </c>
    </row>
    <row r="4939" spans="1:10" hidden="1">
      <c r="A4939" s="4">
        <v>2.0210358222000099E+17</v>
      </c>
      <c r="B4939" s="4">
        <v>2498701643</v>
      </c>
      <c r="C4939" s="4" t="s">
        <v>3199</v>
      </c>
      <c r="D4939" s="4">
        <v>58222</v>
      </c>
      <c r="E4939" s="4">
        <v>20210304</v>
      </c>
      <c r="F4939" s="4">
        <v>20210304</v>
      </c>
      <c r="G4939" s="4">
        <v>20240304</v>
      </c>
      <c r="H4939" s="4" t="s">
        <v>3198</v>
      </c>
      <c r="I4939" s="4" t="s">
        <v>3197</v>
      </c>
      <c r="J4939" s="4" t="s">
        <v>94</v>
      </c>
    </row>
    <row r="4940" spans="1:10" hidden="1">
      <c r="A4940" s="4">
        <v>2.0210326310000099E+17</v>
      </c>
      <c r="B4940" s="4">
        <v>7378102133</v>
      </c>
      <c r="C4940" s="4" t="s">
        <v>3196</v>
      </c>
      <c r="D4940" s="4">
        <v>26310</v>
      </c>
      <c r="E4940" s="4">
        <v>20210304</v>
      </c>
      <c r="F4940" s="4">
        <v>20210304</v>
      </c>
      <c r="G4940" s="4">
        <v>20240304</v>
      </c>
      <c r="H4940" s="4" t="s">
        <v>3195</v>
      </c>
      <c r="I4940" s="4" t="s">
        <v>3194</v>
      </c>
      <c r="J4940" s="4" t="s">
        <v>372</v>
      </c>
    </row>
    <row r="4941" spans="1:10" hidden="1">
      <c r="A4941" s="4">
        <v>2.0210329224000099E+17</v>
      </c>
      <c r="B4941" s="4">
        <v>2448700483</v>
      </c>
      <c r="C4941" s="4" t="s">
        <v>3193</v>
      </c>
      <c r="D4941" s="4">
        <v>29224</v>
      </c>
      <c r="E4941" s="4">
        <v>20210304</v>
      </c>
      <c r="F4941" s="4">
        <v>20210304</v>
      </c>
      <c r="G4941" s="4">
        <v>20231010</v>
      </c>
      <c r="H4941" s="4" t="s">
        <v>3192</v>
      </c>
      <c r="I4941" s="4" t="s">
        <v>3191</v>
      </c>
      <c r="J4941" s="4" t="s">
        <v>3190</v>
      </c>
    </row>
    <row r="4942" spans="1:10" hidden="1">
      <c r="A4942" s="4">
        <v>2.0210358222000099E+17</v>
      </c>
      <c r="B4942" s="4">
        <v>1218801755</v>
      </c>
      <c r="C4942" s="4" t="s">
        <v>3189</v>
      </c>
      <c r="D4942" s="4">
        <v>58222</v>
      </c>
      <c r="E4942" s="4">
        <v>20210304</v>
      </c>
      <c r="F4942" s="4">
        <v>20210304</v>
      </c>
      <c r="G4942" s="4">
        <v>20240304</v>
      </c>
      <c r="H4942" s="4" t="s">
        <v>3188</v>
      </c>
      <c r="I4942" s="4" t="s">
        <v>3187</v>
      </c>
      <c r="J4942" s="4" t="s">
        <v>94</v>
      </c>
    </row>
    <row r="4943" spans="1:10" hidden="1">
      <c r="A4943" s="4">
        <v>2.0210317909000099E+17</v>
      </c>
      <c r="B4943" s="4">
        <v>1518701050</v>
      </c>
      <c r="C4943" s="4" t="s">
        <v>3186</v>
      </c>
      <c r="D4943" s="4">
        <v>17909</v>
      </c>
      <c r="E4943" s="4">
        <v>20210304</v>
      </c>
      <c r="F4943" s="4">
        <v>20210304</v>
      </c>
      <c r="G4943" s="4">
        <v>20240304</v>
      </c>
      <c r="H4943" s="4" t="s">
        <v>3185</v>
      </c>
      <c r="J4943" s="4" t="s">
        <v>1810</v>
      </c>
    </row>
    <row r="4944" spans="1:10" hidden="1">
      <c r="A4944" s="4">
        <v>2.0210328111000099E+17</v>
      </c>
      <c r="B4944" s="4">
        <v>3978701490</v>
      </c>
      <c r="C4944" s="4" t="s">
        <v>3184</v>
      </c>
      <c r="D4944" s="4">
        <v>28111</v>
      </c>
      <c r="E4944" s="4">
        <v>20210304</v>
      </c>
      <c r="F4944" s="4">
        <v>20210304</v>
      </c>
      <c r="G4944" s="4">
        <v>20240304</v>
      </c>
      <c r="H4944" s="4" t="s">
        <v>3183</v>
      </c>
      <c r="I4944" s="4" t="s">
        <v>149</v>
      </c>
      <c r="J4944" s="4" t="s">
        <v>1614</v>
      </c>
    </row>
    <row r="4945" spans="1:10" hidden="1">
      <c r="A4945" s="4">
        <v>2.0210372129000099E+17</v>
      </c>
      <c r="B4945" s="4">
        <v>7408601872</v>
      </c>
      <c r="C4945" s="4" t="s">
        <v>3182</v>
      </c>
      <c r="D4945" s="4">
        <v>72129</v>
      </c>
      <c r="E4945" s="4">
        <v>20210304</v>
      </c>
      <c r="F4945" s="4">
        <v>20210304</v>
      </c>
      <c r="G4945" s="4">
        <v>20240304</v>
      </c>
      <c r="H4945" s="4" t="s">
        <v>3181</v>
      </c>
      <c r="I4945" s="4" t="s">
        <v>3180</v>
      </c>
      <c r="J4945" s="4" t="s">
        <v>1679</v>
      </c>
    </row>
    <row r="4946" spans="1:10" hidden="1">
      <c r="A4946" s="4">
        <v>2.0210338110000099E+17</v>
      </c>
      <c r="B4946" s="4">
        <v>3628800599</v>
      </c>
      <c r="C4946" s="4" t="s">
        <v>3179</v>
      </c>
      <c r="D4946" s="4">
        <v>38110</v>
      </c>
      <c r="E4946" s="4">
        <v>20210304</v>
      </c>
      <c r="F4946" s="4">
        <v>20210304</v>
      </c>
      <c r="G4946" s="4">
        <v>20240105</v>
      </c>
      <c r="H4946" s="4" t="s">
        <v>3178</v>
      </c>
      <c r="J4946" s="4" t="s">
        <v>3177</v>
      </c>
    </row>
    <row r="4947" spans="1:10" hidden="1">
      <c r="A4947" s="4">
        <v>2.0210346499000099E+17</v>
      </c>
      <c r="B4947" s="4">
        <v>3918101786</v>
      </c>
      <c r="C4947" s="4" t="s">
        <v>3176</v>
      </c>
      <c r="D4947" s="4">
        <v>46499</v>
      </c>
      <c r="E4947" s="4">
        <v>20210304</v>
      </c>
      <c r="F4947" s="4">
        <v>20210304</v>
      </c>
      <c r="G4947" s="4">
        <v>20240304</v>
      </c>
      <c r="H4947" s="4" t="s">
        <v>794</v>
      </c>
      <c r="I4947" s="4" t="s">
        <v>3175</v>
      </c>
      <c r="J4947" s="4" t="s">
        <v>184</v>
      </c>
    </row>
    <row r="4948" spans="1:10" hidden="1">
      <c r="A4948" s="4">
        <v>2.0210313999000099E+17</v>
      </c>
      <c r="B4948" s="4">
        <v>6198801515</v>
      </c>
      <c r="C4948" s="4" t="s">
        <v>3174</v>
      </c>
      <c r="D4948" s="4">
        <v>13999</v>
      </c>
      <c r="E4948" s="4">
        <v>20210304</v>
      </c>
      <c r="F4948" s="4">
        <v>20210304</v>
      </c>
      <c r="G4948" s="4">
        <v>20240304</v>
      </c>
      <c r="H4948" s="4" t="s">
        <v>449</v>
      </c>
      <c r="I4948" s="4" t="s">
        <v>3173</v>
      </c>
      <c r="J4948" s="4" t="s">
        <v>130</v>
      </c>
    </row>
    <row r="4949" spans="1:10" hidden="1">
      <c r="A4949" s="4">
        <v>2.0210322199000099E+17</v>
      </c>
      <c r="B4949" s="4">
        <v>7618700839</v>
      </c>
      <c r="C4949" s="4" t="s">
        <v>3172</v>
      </c>
      <c r="D4949" s="4">
        <v>22199</v>
      </c>
      <c r="E4949" s="4">
        <v>20210304</v>
      </c>
      <c r="F4949" s="4">
        <v>20210304</v>
      </c>
      <c r="G4949" s="4">
        <v>20240304</v>
      </c>
      <c r="H4949" s="4" t="s">
        <v>3171</v>
      </c>
      <c r="I4949" s="4" t="s">
        <v>2225</v>
      </c>
      <c r="J4949" s="4" t="s">
        <v>1962</v>
      </c>
    </row>
    <row r="4950" spans="1:10" hidden="1">
      <c r="A4950" s="4">
        <v>2.0210358222000099E+17</v>
      </c>
      <c r="B4950" s="4">
        <v>6348101970</v>
      </c>
      <c r="C4950" s="4" t="s">
        <v>3170</v>
      </c>
      <c r="D4950" s="4">
        <v>58222</v>
      </c>
      <c r="E4950" s="4">
        <v>20210304</v>
      </c>
      <c r="F4950" s="4">
        <v>20210304</v>
      </c>
      <c r="G4950" s="4">
        <v>20240304</v>
      </c>
      <c r="H4950" s="4" t="s">
        <v>3169</v>
      </c>
      <c r="I4950" s="4" t="s">
        <v>3168</v>
      </c>
      <c r="J4950" s="4" t="s">
        <v>94</v>
      </c>
    </row>
    <row r="4951" spans="1:10" hidden="1">
      <c r="A4951" s="4">
        <v>2.0210358222000099E+17</v>
      </c>
      <c r="B4951" s="4">
        <v>1158601644</v>
      </c>
      <c r="C4951" s="4" t="s">
        <v>3167</v>
      </c>
      <c r="D4951" s="4">
        <v>58222</v>
      </c>
      <c r="E4951" s="4">
        <v>20210304</v>
      </c>
      <c r="F4951" s="4">
        <v>20210304</v>
      </c>
      <c r="G4951" s="4">
        <v>20240304</v>
      </c>
      <c r="H4951" s="4" t="s">
        <v>1019</v>
      </c>
      <c r="I4951" s="4" t="s">
        <v>3166</v>
      </c>
      <c r="J4951" s="4" t="s">
        <v>94</v>
      </c>
    </row>
    <row r="4952" spans="1:10" hidden="1">
      <c r="A4952" s="4">
        <v>2.0210362010000099E+17</v>
      </c>
      <c r="B4952" s="4">
        <v>3428701734</v>
      </c>
      <c r="C4952" s="4" t="s">
        <v>3165</v>
      </c>
      <c r="D4952" s="4">
        <v>62010</v>
      </c>
      <c r="E4952" s="4">
        <v>20210304</v>
      </c>
      <c r="F4952" s="4">
        <v>20210304</v>
      </c>
      <c r="G4952" s="4">
        <v>20240304</v>
      </c>
      <c r="H4952" s="4" t="s">
        <v>3164</v>
      </c>
      <c r="I4952" s="4" t="s">
        <v>2274</v>
      </c>
      <c r="J4952" s="4" t="s">
        <v>118</v>
      </c>
    </row>
    <row r="4953" spans="1:10" hidden="1">
      <c r="A4953" s="4">
        <v>2.0210363991000099E+17</v>
      </c>
      <c r="B4953" s="4">
        <v>8818801497</v>
      </c>
      <c r="C4953" s="4" t="s">
        <v>3163</v>
      </c>
      <c r="D4953" s="4">
        <v>63991</v>
      </c>
      <c r="E4953" s="4">
        <v>20210304</v>
      </c>
      <c r="F4953" s="4">
        <v>20210304</v>
      </c>
      <c r="G4953" s="4">
        <v>20240304</v>
      </c>
      <c r="H4953" s="4" t="s">
        <v>3162</v>
      </c>
      <c r="I4953" s="4" t="s">
        <v>91</v>
      </c>
      <c r="J4953" s="4" t="s">
        <v>395</v>
      </c>
    </row>
    <row r="4954" spans="1:10" hidden="1">
      <c r="A4954" s="4">
        <v>2.0210322299000099E+17</v>
      </c>
      <c r="B4954" s="4">
        <v>6318101229</v>
      </c>
      <c r="C4954" s="4" t="s">
        <v>3161</v>
      </c>
      <c r="D4954" s="4">
        <v>22299</v>
      </c>
      <c r="E4954" s="4">
        <v>20210304</v>
      </c>
      <c r="F4954" s="4">
        <v>20210304</v>
      </c>
      <c r="G4954" s="4">
        <v>20240304</v>
      </c>
      <c r="H4954" s="4" t="s">
        <v>3160</v>
      </c>
      <c r="J4954" s="4" t="s">
        <v>384</v>
      </c>
    </row>
    <row r="4955" spans="1:10" hidden="1">
      <c r="A4955" s="4">
        <v>2.0210347912000099E+17</v>
      </c>
      <c r="B4955" s="4">
        <v>5388801458</v>
      </c>
      <c r="C4955" s="4" t="s">
        <v>3159</v>
      </c>
      <c r="D4955" s="4">
        <v>47912</v>
      </c>
      <c r="E4955" s="4">
        <v>20210304</v>
      </c>
      <c r="F4955" s="4">
        <v>20210304</v>
      </c>
      <c r="G4955" s="4">
        <v>20240304</v>
      </c>
      <c r="H4955" s="4" t="s">
        <v>3158</v>
      </c>
      <c r="I4955" s="4" t="s">
        <v>3157</v>
      </c>
      <c r="J4955" s="4" t="s">
        <v>78</v>
      </c>
    </row>
    <row r="4956" spans="1:10" hidden="1">
      <c r="A4956" s="4">
        <v>2.0210326295000099E+17</v>
      </c>
      <c r="B4956" s="4">
        <v>7718700874</v>
      </c>
      <c r="C4956" s="4" t="s">
        <v>3156</v>
      </c>
      <c r="D4956" s="4">
        <v>26295</v>
      </c>
      <c r="E4956" s="4">
        <v>20210304</v>
      </c>
      <c r="F4956" s="4">
        <v>20210304</v>
      </c>
      <c r="G4956" s="4">
        <v>20240304</v>
      </c>
      <c r="H4956" s="4" t="s">
        <v>3155</v>
      </c>
      <c r="I4956" s="4" t="s">
        <v>3154</v>
      </c>
      <c r="J4956" s="4" t="s">
        <v>174</v>
      </c>
    </row>
    <row r="4957" spans="1:10" hidden="1">
      <c r="A4957" s="4">
        <v>2.0210328410000099E+17</v>
      </c>
      <c r="B4957" s="4">
        <v>4078701521</v>
      </c>
      <c r="C4957" s="4" t="s">
        <v>3153</v>
      </c>
      <c r="D4957" s="4">
        <v>28410</v>
      </c>
      <c r="E4957" s="4">
        <v>20210304</v>
      </c>
      <c r="F4957" s="4">
        <v>20210304</v>
      </c>
      <c r="G4957" s="4">
        <v>20240304</v>
      </c>
      <c r="H4957" s="4" t="s">
        <v>3152</v>
      </c>
      <c r="I4957" s="4" t="s">
        <v>3151</v>
      </c>
      <c r="J4957" s="4" t="s">
        <v>2199</v>
      </c>
    </row>
    <row r="4958" spans="1:10" hidden="1">
      <c r="A4958" s="4">
        <v>2.0210324222000099E+17</v>
      </c>
      <c r="B4958" s="4">
        <v>3488601341</v>
      </c>
      <c r="C4958" s="4" t="s">
        <v>3150</v>
      </c>
      <c r="D4958" s="4">
        <v>24222</v>
      </c>
      <c r="E4958" s="4">
        <v>20210304</v>
      </c>
      <c r="F4958" s="4">
        <v>20210304</v>
      </c>
      <c r="G4958" s="4">
        <v>20240304</v>
      </c>
      <c r="H4958" s="4" t="s">
        <v>3149</v>
      </c>
      <c r="I4958" s="4">
        <v>-1</v>
      </c>
      <c r="J4958" s="4" t="s">
        <v>3148</v>
      </c>
    </row>
    <row r="4959" spans="1:10" hidden="1">
      <c r="A4959" s="4">
        <v>2.0210327219000099E+17</v>
      </c>
      <c r="B4959" s="4">
        <v>7658100824</v>
      </c>
      <c r="C4959" s="4" t="s">
        <v>3147</v>
      </c>
      <c r="D4959" s="4">
        <v>27219</v>
      </c>
      <c r="E4959" s="4">
        <v>20210304</v>
      </c>
      <c r="F4959" s="4">
        <v>20210304</v>
      </c>
      <c r="G4959" s="4">
        <v>20240304</v>
      </c>
      <c r="H4959" s="4" t="s">
        <v>3146</v>
      </c>
      <c r="I4959" s="4" t="s">
        <v>142</v>
      </c>
      <c r="J4959" s="4" t="s">
        <v>1454</v>
      </c>
    </row>
    <row r="4960" spans="1:10" hidden="1">
      <c r="A4960" s="4">
        <v>2.0210325929000099E+17</v>
      </c>
      <c r="B4960" s="4">
        <v>5538701300</v>
      </c>
      <c r="C4960" s="4" t="s">
        <v>3145</v>
      </c>
      <c r="D4960" s="4">
        <v>25929</v>
      </c>
      <c r="E4960" s="4">
        <v>20210304</v>
      </c>
      <c r="F4960" s="4">
        <v>20210304</v>
      </c>
      <c r="G4960" s="4">
        <v>20240304</v>
      </c>
      <c r="H4960" s="4" t="s">
        <v>3144</v>
      </c>
      <c r="J4960" s="4" t="s">
        <v>701</v>
      </c>
    </row>
    <row r="4961" spans="1:10" hidden="1">
      <c r="A4961" s="4">
        <v>2.0210358222000099E+17</v>
      </c>
      <c r="B4961" s="4">
        <v>3278801862</v>
      </c>
      <c r="C4961" s="4" t="s">
        <v>3143</v>
      </c>
      <c r="D4961" s="4">
        <v>58222</v>
      </c>
      <c r="E4961" s="4">
        <v>20210304</v>
      </c>
      <c r="F4961" s="4">
        <v>20210304</v>
      </c>
      <c r="G4961" s="4">
        <v>20240304</v>
      </c>
      <c r="H4961" s="4" t="s">
        <v>3142</v>
      </c>
      <c r="I4961" s="4" t="s">
        <v>3141</v>
      </c>
      <c r="J4961" s="4" t="s">
        <v>94</v>
      </c>
    </row>
    <row r="4962" spans="1:10" hidden="1">
      <c r="A4962" s="4">
        <v>2.0210326299000099E+17</v>
      </c>
      <c r="B4962" s="4">
        <v>1118601749</v>
      </c>
      <c r="C4962" s="4" t="s">
        <v>3140</v>
      </c>
      <c r="D4962" s="4">
        <v>26299</v>
      </c>
      <c r="E4962" s="4">
        <v>20210304</v>
      </c>
      <c r="F4962" s="4">
        <v>20210304</v>
      </c>
      <c r="G4962" s="4">
        <v>20240304</v>
      </c>
      <c r="H4962" s="4" t="s">
        <v>3139</v>
      </c>
      <c r="I4962" s="4" t="s">
        <v>149</v>
      </c>
      <c r="J4962" s="4" t="s">
        <v>339</v>
      </c>
    </row>
    <row r="4963" spans="1:10" hidden="1">
      <c r="A4963" s="4">
        <v>2.0210326429000099E+17</v>
      </c>
      <c r="B4963" s="4">
        <v>3138801223</v>
      </c>
      <c r="C4963" s="4" t="s">
        <v>3138</v>
      </c>
      <c r="D4963" s="4">
        <v>26429</v>
      </c>
      <c r="E4963" s="4">
        <v>20210304</v>
      </c>
      <c r="F4963" s="4">
        <v>20210304</v>
      </c>
      <c r="G4963" s="4">
        <v>20240304</v>
      </c>
      <c r="H4963" s="4" t="s">
        <v>3137</v>
      </c>
      <c r="J4963" s="4" t="s">
        <v>422</v>
      </c>
    </row>
    <row r="4964" spans="1:10" hidden="1">
      <c r="A4964" s="4">
        <v>2.0210358222000099E+17</v>
      </c>
      <c r="B4964" s="4">
        <v>3878801845</v>
      </c>
      <c r="C4964" s="4" t="s">
        <v>3136</v>
      </c>
      <c r="D4964" s="4">
        <v>58222</v>
      </c>
      <c r="E4964" s="4">
        <v>20210304</v>
      </c>
      <c r="F4964" s="4">
        <v>20210304</v>
      </c>
      <c r="G4964" s="4">
        <v>20240304</v>
      </c>
      <c r="H4964" s="4" t="s">
        <v>3135</v>
      </c>
      <c r="I4964" s="4" t="s">
        <v>3134</v>
      </c>
      <c r="J4964" s="4" t="s">
        <v>94</v>
      </c>
    </row>
    <row r="4965" spans="1:10" hidden="1">
      <c r="A4965" s="4">
        <v>2.0210320412000099E+17</v>
      </c>
      <c r="B4965" s="4">
        <v>6218616453</v>
      </c>
      <c r="C4965" s="4" t="s">
        <v>3133</v>
      </c>
      <c r="D4965" s="4">
        <v>20412</v>
      </c>
      <c r="E4965" s="4">
        <v>20210304</v>
      </c>
      <c r="F4965" s="4">
        <v>20210304</v>
      </c>
      <c r="G4965" s="4">
        <v>20240304</v>
      </c>
      <c r="H4965" s="4" t="s">
        <v>3132</v>
      </c>
      <c r="I4965" s="4" t="s">
        <v>3131</v>
      </c>
      <c r="J4965" s="4" t="s">
        <v>685</v>
      </c>
    </row>
    <row r="4966" spans="1:10" hidden="1">
      <c r="A4966" s="4">
        <v>2.0210313213000099E+17</v>
      </c>
      <c r="B4966" s="4">
        <v>4698701761</v>
      </c>
      <c r="C4966" s="4" t="s">
        <v>3130</v>
      </c>
      <c r="D4966" s="4">
        <v>13213</v>
      </c>
      <c r="E4966" s="4">
        <v>20210304</v>
      </c>
      <c r="F4966" s="4">
        <v>20210304</v>
      </c>
      <c r="G4966" s="4">
        <v>20240304</v>
      </c>
      <c r="H4966" s="4" t="s">
        <v>3129</v>
      </c>
      <c r="J4966" s="4" t="s">
        <v>1787</v>
      </c>
    </row>
    <row r="4967" spans="1:10" hidden="1">
      <c r="A4967" s="4">
        <v>2.0210329193000099E+17</v>
      </c>
      <c r="B4967" s="4">
        <v>8448601567</v>
      </c>
      <c r="C4967" s="4" t="s">
        <v>3128</v>
      </c>
      <c r="D4967" s="4">
        <v>29193</v>
      </c>
      <c r="E4967" s="4">
        <v>20210304</v>
      </c>
      <c r="F4967" s="4">
        <v>20210304</v>
      </c>
      <c r="G4967" s="4">
        <v>20240304</v>
      </c>
      <c r="H4967" s="4" t="s">
        <v>3127</v>
      </c>
      <c r="J4967" s="4" t="s">
        <v>721</v>
      </c>
    </row>
    <row r="4968" spans="1:10" hidden="1">
      <c r="A4968" s="4">
        <v>2.0210341122000099E+17</v>
      </c>
      <c r="B4968" s="4">
        <v>7838700504</v>
      </c>
      <c r="C4968" s="4" t="s">
        <v>3126</v>
      </c>
      <c r="D4968" s="4">
        <v>41122</v>
      </c>
      <c r="E4968" s="4">
        <v>20210304</v>
      </c>
      <c r="F4968" s="4">
        <v>20210304</v>
      </c>
      <c r="G4968" s="4">
        <v>20230527</v>
      </c>
      <c r="H4968" s="4" t="s">
        <v>3125</v>
      </c>
      <c r="J4968" s="4" t="s">
        <v>1368</v>
      </c>
    </row>
    <row r="4969" spans="1:10" hidden="1">
      <c r="A4969" s="4">
        <v>2.0210376299000099E+17</v>
      </c>
      <c r="B4969" s="4">
        <v>7618701726</v>
      </c>
      <c r="C4969" s="4" t="s">
        <v>3124</v>
      </c>
      <c r="D4969" s="4">
        <v>76299</v>
      </c>
      <c r="E4969" s="4">
        <v>20210304</v>
      </c>
      <c r="F4969" s="4">
        <v>20210304</v>
      </c>
      <c r="G4969" s="4">
        <v>20240304</v>
      </c>
      <c r="H4969" s="4" t="s">
        <v>274</v>
      </c>
      <c r="I4969" s="4" t="s">
        <v>3123</v>
      </c>
      <c r="J4969" s="4" t="s">
        <v>3122</v>
      </c>
    </row>
    <row r="4970" spans="1:10" hidden="1">
      <c r="A4970" s="4">
        <v>2.0210328909000099E+17</v>
      </c>
      <c r="B4970" s="4">
        <v>1918801375</v>
      </c>
      <c r="C4970" s="4" t="s">
        <v>3121</v>
      </c>
      <c r="D4970" s="4">
        <v>28909</v>
      </c>
      <c r="E4970" s="4">
        <v>20210304</v>
      </c>
      <c r="F4970" s="4">
        <v>20210304</v>
      </c>
      <c r="G4970" s="4">
        <v>20240304</v>
      </c>
      <c r="H4970" s="4" t="s">
        <v>3120</v>
      </c>
      <c r="I4970" s="4" t="s">
        <v>3119</v>
      </c>
      <c r="J4970" s="4" t="s">
        <v>253</v>
      </c>
    </row>
    <row r="4971" spans="1:10" hidden="1">
      <c r="A4971" s="4">
        <v>2.0210362010000099E+17</v>
      </c>
      <c r="B4971" s="4">
        <v>7578801592</v>
      </c>
      <c r="C4971" s="4" t="s">
        <v>3118</v>
      </c>
      <c r="D4971" s="4">
        <v>62010</v>
      </c>
      <c r="E4971" s="4">
        <v>20210304</v>
      </c>
      <c r="F4971" s="4">
        <v>20210304</v>
      </c>
      <c r="G4971" s="4">
        <v>20240304</v>
      </c>
      <c r="H4971" s="4" t="s">
        <v>3117</v>
      </c>
      <c r="I4971" s="4" t="s">
        <v>3116</v>
      </c>
      <c r="J4971" s="4" t="s">
        <v>118</v>
      </c>
    </row>
    <row r="4972" spans="1:10" hidden="1">
      <c r="A4972" s="4">
        <v>2.0210375991000099E+17</v>
      </c>
      <c r="B4972" s="4">
        <v>7638600589</v>
      </c>
      <c r="C4972" s="4" t="s">
        <v>3115</v>
      </c>
      <c r="D4972" s="4">
        <v>75991</v>
      </c>
      <c r="E4972" s="4">
        <v>20210304</v>
      </c>
      <c r="F4972" s="4">
        <v>20210304</v>
      </c>
      <c r="G4972" s="4">
        <v>20240110</v>
      </c>
      <c r="H4972" s="4" t="s">
        <v>3114</v>
      </c>
      <c r="I4972" s="4" t="s">
        <v>3113</v>
      </c>
      <c r="J4972" s="4" t="s">
        <v>3112</v>
      </c>
    </row>
    <row r="4973" spans="1:10" hidden="1">
      <c r="A4973" s="4">
        <v>2.0210329299000099E+17</v>
      </c>
      <c r="B4973" s="4">
        <v>6758101914</v>
      </c>
      <c r="C4973" s="4" t="s">
        <v>3111</v>
      </c>
      <c r="D4973" s="4">
        <v>29299</v>
      </c>
      <c r="E4973" s="4">
        <v>20210304</v>
      </c>
      <c r="F4973" s="4">
        <v>20210304</v>
      </c>
      <c r="G4973" s="4">
        <v>20240304</v>
      </c>
      <c r="H4973" s="4" t="s">
        <v>3110</v>
      </c>
      <c r="J4973" s="4" t="s">
        <v>137</v>
      </c>
    </row>
    <row r="4974" spans="1:10" hidden="1">
      <c r="A4974" s="4">
        <v>2.0210385650000099E+17</v>
      </c>
      <c r="B4974" s="4">
        <v>7568801769</v>
      </c>
      <c r="C4974" s="4" t="s">
        <v>3109</v>
      </c>
      <c r="D4974" s="4">
        <v>85650</v>
      </c>
      <c r="E4974" s="4">
        <v>20210304</v>
      </c>
      <c r="F4974" s="4">
        <v>20210304</v>
      </c>
      <c r="G4974" s="4">
        <v>20240304</v>
      </c>
      <c r="H4974" s="4" t="s">
        <v>3108</v>
      </c>
      <c r="I4974" s="4" t="s">
        <v>91</v>
      </c>
      <c r="J4974" s="4" t="s">
        <v>3107</v>
      </c>
    </row>
    <row r="4975" spans="1:10" hidden="1">
      <c r="A4975" s="4">
        <v>2.0210342121000099E+17</v>
      </c>
      <c r="B4975" s="4">
        <v>3188601433</v>
      </c>
      <c r="C4975" s="4" t="s">
        <v>3106</v>
      </c>
      <c r="D4975" s="4">
        <v>42121</v>
      </c>
      <c r="E4975" s="4">
        <v>20210304</v>
      </c>
      <c r="F4975" s="4">
        <v>20210304</v>
      </c>
      <c r="G4975" s="4">
        <v>20240304</v>
      </c>
      <c r="H4975" s="4" t="s">
        <v>3105</v>
      </c>
      <c r="I4975" s="4" t="s">
        <v>3104</v>
      </c>
      <c r="J4975" s="4" t="s">
        <v>3103</v>
      </c>
    </row>
    <row r="4976" spans="1:10" hidden="1">
      <c r="A4976" s="4">
        <v>2.0210325999000099E+17</v>
      </c>
      <c r="B4976" s="4">
        <v>1828601061</v>
      </c>
      <c r="C4976" s="4" t="s">
        <v>3102</v>
      </c>
      <c r="D4976" s="4">
        <v>25999</v>
      </c>
      <c r="E4976" s="4">
        <v>20210304</v>
      </c>
      <c r="F4976" s="4">
        <v>20210304</v>
      </c>
      <c r="G4976" s="4">
        <v>20240304</v>
      </c>
      <c r="H4976" s="4" t="s">
        <v>3101</v>
      </c>
      <c r="J4976" s="4" t="s">
        <v>301</v>
      </c>
    </row>
    <row r="4977" spans="1:10" hidden="1">
      <c r="A4977" s="4">
        <v>2.0210325112000099E+17</v>
      </c>
      <c r="B4977" s="4">
        <v>6218800858</v>
      </c>
      <c r="C4977" s="4" t="s">
        <v>3100</v>
      </c>
      <c r="D4977" s="4">
        <v>25112</v>
      </c>
      <c r="E4977" s="4">
        <v>20210304</v>
      </c>
      <c r="F4977" s="4">
        <v>20210304</v>
      </c>
      <c r="G4977" s="4">
        <v>20240304</v>
      </c>
      <c r="H4977" s="4" t="s">
        <v>3099</v>
      </c>
      <c r="I4977" s="4" t="s">
        <v>3098</v>
      </c>
      <c r="J4977" s="4" t="s">
        <v>320</v>
      </c>
    </row>
    <row r="4978" spans="1:10" hidden="1">
      <c r="A4978" s="4">
        <v>2.0210329171000099E+17</v>
      </c>
      <c r="B4978" s="4">
        <v>5138801032</v>
      </c>
      <c r="C4978" s="4" t="s">
        <v>3097</v>
      </c>
      <c r="D4978" s="4">
        <v>29171</v>
      </c>
      <c r="E4978" s="4">
        <v>20210304</v>
      </c>
      <c r="F4978" s="4">
        <v>20210304</v>
      </c>
      <c r="G4978" s="4">
        <v>20240304</v>
      </c>
      <c r="H4978" s="4" t="s">
        <v>3096</v>
      </c>
      <c r="I4978" s="4" t="s">
        <v>938</v>
      </c>
      <c r="J4978" s="4" t="s">
        <v>2082</v>
      </c>
    </row>
    <row r="4979" spans="1:10" hidden="1">
      <c r="A4979" s="4">
        <v>2.0210327199000099E+17</v>
      </c>
      <c r="B4979" s="4">
        <v>6452100467</v>
      </c>
      <c r="C4979" s="4" t="s">
        <v>3095</v>
      </c>
      <c r="D4979" s="4">
        <v>27199</v>
      </c>
      <c r="E4979" s="4">
        <v>20210304</v>
      </c>
      <c r="F4979" s="4">
        <v>20210304</v>
      </c>
      <c r="G4979" s="4">
        <v>20240304</v>
      </c>
      <c r="H4979" s="4" t="s">
        <v>1478</v>
      </c>
      <c r="I4979" s="4" t="s">
        <v>3094</v>
      </c>
      <c r="J4979" s="4" t="s">
        <v>418</v>
      </c>
    </row>
    <row r="4980" spans="1:10" hidden="1">
      <c r="A4980" s="4">
        <v>2.0210331114000099E+17</v>
      </c>
      <c r="B4980" s="4">
        <v>7578101313</v>
      </c>
      <c r="C4980" s="4" t="s">
        <v>3093</v>
      </c>
      <c r="D4980" s="4">
        <v>31114</v>
      </c>
      <c r="E4980" s="4">
        <v>20210304</v>
      </c>
      <c r="F4980" s="4">
        <v>20210304</v>
      </c>
      <c r="G4980" s="4">
        <v>20240304</v>
      </c>
      <c r="H4980" s="4" t="s">
        <v>3092</v>
      </c>
      <c r="J4980" s="4" t="s">
        <v>1070</v>
      </c>
    </row>
    <row r="4981" spans="1:10" hidden="1">
      <c r="A4981" s="4">
        <v>2.0210342411000099E+17</v>
      </c>
      <c r="B4981" s="4">
        <v>1678101465</v>
      </c>
      <c r="C4981" s="4" t="s">
        <v>3091</v>
      </c>
      <c r="D4981" s="4">
        <v>42411</v>
      </c>
      <c r="E4981" s="4">
        <v>20210304</v>
      </c>
      <c r="F4981" s="4">
        <v>20210304</v>
      </c>
      <c r="G4981" s="4">
        <v>20240304</v>
      </c>
      <c r="H4981" s="4" t="s">
        <v>3090</v>
      </c>
      <c r="J4981" s="4" t="s">
        <v>2211</v>
      </c>
    </row>
    <row r="4982" spans="1:10" hidden="1">
      <c r="A4982" s="4">
        <v>2.0210310802000099E+17</v>
      </c>
      <c r="B4982" s="4">
        <v>3515200270</v>
      </c>
      <c r="C4982" s="4" t="s">
        <v>3089</v>
      </c>
      <c r="D4982" s="4">
        <v>10802</v>
      </c>
      <c r="E4982" s="4">
        <v>20210304</v>
      </c>
      <c r="F4982" s="4">
        <v>20210304</v>
      </c>
      <c r="G4982" s="4">
        <v>20240304</v>
      </c>
      <c r="H4982" s="4" t="s">
        <v>3088</v>
      </c>
      <c r="J4982" s="4" t="s">
        <v>973</v>
      </c>
    </row>
    <row r="4983" spans="1:10" hidden="1">
      <c r="A4983" s="4">
        <v>2.0210325119000099E+17</v>
      </c>
      <c r="B4983" s="4">
        <v>1923900838</v>
      </c>
      <c r="C4983" s="4" t="s">
        <v>3087</v>
      </c>
      <c r="D4983" s="4">
        <v>25119</v>
      </c>
      <c r="E4983" s="4">
        <v>20210304</v>
      </c>
      <c r="F4983" s="4">
        <v>20210304</v>
      </c>
      <c r="G4983" s="4">
        <v>20240304</v>
      </c>
      <c r="H4983" s="4" t="s">
        <v>3086</v>
      </c>
      <c r="J4983" s="4" t="s">
        <v>679</v>
      </c>
    </row>
    <row r="4984" spans="1:10" hidden="1">
      <c r="A4984" s="4">
        <v>2.0210333910000099E+17</v>
      </c>
      <c r="B4984" s="4">
        <v>3610600299</v>
      </c>
      <c r="C4984" s="4" t="s">
        <v>3084</v>
      </c>
      <c r="D4984" s="4">
        <v>33910</v>
      </c>
      <c r="E4984" s="4">
        <v>20210304</v>
      </c>
      <c r="F4984" s="4">
        <v>20210304</v>
      </c>
      <c r="G4984" s="4">
        <v>20230309</v>
      </c>
      <c r="H4984" s="4" t="s">
        <v>3085</v>
      </c>
      <c r="I4984" s="4" t="s">
        <v>3084</v>
      </c>
      <c r="J4984" s="4" t="s">
        <v>310</v>
      </c>
    </row>
    <row r="4985" spans="1:10" hidden="1">
      <c r="A4985" s="4">
        <v>2.0210332099000099E+17</v>
      </c>
      <c r="B4985" s="4">
        <v>3191301524</v>
      </c>
      <c r="C4985" s="4" t="s">
        <v>3083</v>
      </c>
      <c r="D4985" s="4">
        <v>32099</v>
      </c>
      <c r="E4985" s="4">
        <v>20210304</v>
      </c>
      <c r="F4985" s="4">
        <v>20210304</v>
      </c>
      <c r="G4985" s="4">
        <v>20240304</v>
      </c>
      <c r="H4985" s="4" t="s">
        <v>3082</v>
      </c>
      <c r="I4985" s="4" t="s">
        <v>3081</v>
      </c>
      <c r="J4985" s="4" t="s">
        <v>162</v>
      </c>
    </row>
    <row r="4986" spans="1:10" hidden="1">
      <c r="A4986" s="4">
        <v>2.0210362021000099E+17</v>
      </c>
      <c r="B4986" s="4">
        <v>5550102373</v>
      </c>
      <c r="C4986" s="4" t="s">
        <v>3080</v>
      </c>
      <c r="D4986" s="4">
        <v>62021</v>
      </c>
      <c r="E4986" s="4">
        <v>20210304</v>
      </c>
      <c r="F4986" s="4">
        <v>20210304</v>
      </c>
      <c r="G4986" s="4">
        <v>20240304</v>
      </c>
      <c r="H4986" s="4" t="s">
        <v>3079</v>
      </c>
      <c r="J4986" s="4" t="s">
        <v>1505</v>
      </c>
    </row>
    <row r="4987" spans="1:10" hidden="1">
      <c r="A4987" s="4">
        <v>2.0210328422000099E+17</v>
      </c>
      <c r="B4987" s="4">
        <v>4758700845</v>
      </c>
      <c r="C4987" s="4" t="s">
        <v>3078</v>
      </c>
      <c r="D4987" s="4">
        <v>28422</v>
      </c>
      <c r="E4987" s="4">
        <v>20210304</v>
      </c>
      <c r="F4987" s="4">
        <v>20210304</v>
      </c>
      <c r="G4987" s="4">
        <v>20240304</v>
      </c>
      <c r="H4987" s="4" t="s">
        <v>3077</v>
      </c>
      <c r="I4987" s="4" t="s">
        <v>3076</v>
      </c>
      <c r="J4987" s="4" t="s">
        <v>188</v>
      </c>
    </row>
    <row r="4988" spans="1:10" hidden="1">
      <c r="A4988" s="4">
        <v>2.0210326421000099E+17</v>
      </c>
      <c r="B4988" s="4">
        <v>2631501171</v>
      </c>
      <c r="C4988" s="4" t="s">
        <v>3075</v>
      </c>
      <c r="D4988" s="4">
        <v>26421</v>
      </c>
      <c r="E4988" s="4">
        <v>20210304</v>
      </c>
      <c r="F4988" s="4">
        <v>20210304</v>
      </c>
      <c r="G4988" s="4">
        <v>20240304</v>
      </c>
      <c r="H4988" s="4" t="s">
        <v>3074</v>
      </c>
      <c r="I4988" s="4" t="s">
        <v>3073</v>
      </c>
      <c r="J4988" s="4" t="s">
        <v>1767</v>
      </c>
    </row>
    <row r="4989" spans="1:10" hidden="1">
      <c r="A4989" s="4">
        <v>2.0210385709000099E+17</v>
      </c>
      <c r="B4989" s="4">
        <v>8441300832</v>
      </c>
      <c r="C4989" s="4" t="s">
        <v>3072</v>
      </c>
      <c r="D4989" s="4">
        <v>85709</v>
      </c>
      <c r="E4989" s="4">
        <v>20210304</v>
      </c>
      <c r="F4989" s="4">
        <v>20210304</v>
      </c>
      <c r="G4989" s="4">
        <v>20240304</v>
      </c>
      <c r="H4989" s="4" t="s">
        <v>1749</v>
      </c>
      <c r="I4989" s="4" t="s">
        <v>3071</v>
      </c>
      <c r="J4989" s="4" t="s">
        <v>141</v>
      </c>
    </row>
    <row r="4990" spans="1:10" hidden="1">
      <c r="A4990" s="4">
        <v>2.0210342500000099E+17</v>
      </c>
      <c r="B4990" s="4">
        <v>6793400169</v>
      </c>
      <c r="C4990" s="4" t="s">
        <v>3070</v>
      </c>
      <c r="D4990" s="4">
        <v>42500</v>
      </c>
      <c r="E4990" s="4">
        <v>20210304</v>
      </c>
      <c r="F4990" s="4">
        <v>20210304</v>
      </c>
      <c r="G4990" s="4">
        <v>20230420</v>
      </c>
      <c r="H4990" s="4" t="s">
        <v>3069</v>
      </c>
      <c r="I4990" s="4" t="s">
        <v>91</v>
      </c>
      <c r="J4990" s="4" t="s">
        <v>740</v>
      </c>
    </row>
    <row r="4991" spans="1:10" hidden="1">
      <c r="A4991" s="4">
        <v>2.0210358222000099E+17</v>
      </c>
      <c r="B4991" s="4">
        <v>2168143016</v>
      </c>
      <c r="C4991" s="4" t="s">
        <v>3068</v>
      </c>
      <c r="D4991" s="4">
        <v>58222</v>
      </c>
      <c r="E4991" s="4">
        <v>20210303</v>
      </c>
      <c r="F4991" s="4">
        <v>20210303</v>
      </c>
      <c r="G4991" s="4">
        <v>20240303</v>
      </c>
      <c r="H4991" s="4" t="s">
        <v>2769</v>
      </c>
      <c r="I4991" s="4" t="s">
        <v>3067</v>
      </c>
      <c r="J4991" s="4" t="s">
        <v>94</v>
      </c>
    </row>
    <row r="4992" spans="1:10" hidden="1">
      <c r="A4992" s="4">
        <v>2.0210358221000099E+17</v>
      </c>
      <c r="B4992" s="4">
        <v>1778101201</v>
      </c>
      <c r="C4992" s="4" t="s">
        <v>3066</v>
      </c>
      <c r="D4992" s="4">
        <v>58221</v>
      </c>
      <c r="E4992" s="4">
        <v>20210303</v>
      </c>
      <c r="F4992" s="4">
        <v>20210303</v>
      </c>
      <c r="G4992" s="4">
        <v>20240303</v>
      </c>
      <c r="H4992" s="4" t="s">
        <v>2446</v>
      </c>
      <c r="I4992" s="4" t="s">
        <v>3065</v>
      </c>
      <c r="J4992" s="4" t="s">
        <v>228</v>
      </c>
    </row>
    <row r="4993" spans="1:10" hidden="1">
      <c r="A4993" s="4">
        <v>2.0210358222000099E+17</v>
      </c>
      <c r="B4993" s="4">
        <v>4348601278</v>
      </c>
      <c r="C4993" s="4" t="s">
        <v>3064</v>
      </c>
      <c r="D4993" s="4">
        <v>58222</v>
      </c>
      <c r="E4993" s="4">
        <v>20210303</v>
      </c>
      <c r="F4993" s="4">
        <v>20210303</v>
      </c>
      <c r="G4993" s="4">
        <v>20240303</v>
      </c>
      <c r="H4993" s="4" t="s">
        <v>3063</v>
      </c>
      <c r="I4993" s="4">
        <v>301</v>
      </c>
      <c r="J4993" s="4" t="s">
        <v>94</v>
      </c>
    </row>
    <row r="4994" spans="1:10" hidden="1">
      <c r="A4994" s="4">
        <v>2.0210371391000099E+17</v>
      </c>
      <c r="B4994" s="4">
        <v>7787600184</v>
      </c>
      <c r="C4994" s="4" t="s">
        <v>3062</v>
      </c>
      <c r="D4994" s="4">
        <v>71391</v>
      </c>
      <c r="E4994" s="4">
        <v>20210303</v>
      </c>
      <c r="F4994" s="4">
        <v>20210303</v>
      </c>
      <c r="G4994" s="4">
        <v>20240303</v>
      </c>
      <c r="H4994" s="4" t="s">
        <v>3061</v>
      </c>
      <c r="J4994" s="4" t="s">
        <v>1731</v>
      </c>
    </row>
    <row r="4995" spans="1:10" hidden="1">
      <c r="A4995" s="4">
        <v>2.0210310799000099E+17</v>
      </c>
      <c r="B4995" s="4">
        <v>3668101650</v>
      </c>
      <c r="C4995" s="4" t="s">
        <v>3060</v>
      </c>
      <c r="D4995" s="4">
        <v>10799</v>
      </c>
      <c r="E4995" s="4">
        <v>20210303</v>
      </c>
      <c r="F4995" s="4">
        <v>20210303</v>
      </c>
      <c r="G4995" s="4">
        <v>20240303</v>
      </c>
      <c r="H4995" s="4" t="s">
        <v>3059</v>
      </c>
      <c r="J4995" s="4" t="s">
        <v>2973</v>
      </c>
    </row>
    <row r="4996" spans="1:10" hidden="1">
      <c r="A4996" s="4">
        <v>2.0210346539000099E+17</v>
      </c>
      <c r="B4996" s="4">
        <v>5908601020</v>
      </c>
      <c r="C4996" s="4" t="s">
        <v>3058</v>
      </c>
      <c r="D4996" s="4">
        <v>46539</v>
      </c>
      <c r="E4996" s="4">
        <v>20210303</v>
      </c>
      <c r="F4996" s="4">
        <v>20210303</v>
      </c>
      <c r="G4996" s="4">
        <v>20240303</v>
      </c>
      <c r="H4996" s="4" t="s">
        <v>3057</v>
      </c>
      <c r="J4996" s="4" t="s">
        <v>3056</v>
      </c>
    </row>
    <row r="4997" spans="1:10" hidden="1">
      <c r="A4997" s="4">
        <v>2.0210347512000099E+17</v>
      </c>
      <c r="B4997" s="4">
        <v>5661800674</v>
      </c>
      <c r="C4997" s="4" t="s">
        <v>3055</v>
      </c>
      <c r="D4997" s="4">
        <v>47512</v>
      </c>
      <c r="E4997" s="4">
        <v>20210303</v>
      </c>
      <c r="F4997" s="4">
        <v>20210303</v>
      </c>
      <c r="G4997" s="4">
        <v>20240303</v>
      </c>
      <c r="H4997" s="4" t="s">
        <v>3054</v>
      </c>
      <c r="I4997" s="4" t="s">
        <v>3053</v>
      </c>
      <c r="J4997" s="4" t="s">
        <v>3052</v>
      </c>
    </row>
    <row r="4998" spans="1:10" hidden="1">
      <c r="A4998" s="4">
        <v>2.0210313224000099E+17</v>
      </c>
      <c r="B4998" s="4">
        <v>1238648994</v>
      </c>
      <c r="C4998" s="4" t="s">
        <v>3051</v>
      </c>
      <c r="D4998" s="4">
        <v>13224</v>
      </c>
      <c r="E4998" s="4">
        <v>20210303</v>
      </c>
      <c r="F4998" s="4">
        <v>20210303</v>
      </c>
      <c r="G4998" s="4">
        <v>20240303</v>
      </c>
      <c r="H4998" s="4" t="s">
        <v>3050</v>
      </c>
      <c r="J4998" s="4" t="s">
        <v>672</v>
      </c>
    </row>
    <row r="4999" spans="1:10" hidden="1">
      <c r="A4999" s="4">
        <v>2.0210310712000099E+17</v>
      </c>
      <c r="B4999" s="4">
        <v>2498101563</v>
      </c>
      <c r="C4999" s="4" t="s">
        <v>3049</v>
      </c>
      <c r="D4999" s="4">
        <v>10712</v>
      </c>
      <c r="E4999" s="4">
        <v>20210303</v>
      </c>
      <c r="F4999" s="4">
        <v>20210303</v>
      </c>
      <c r="G4999" s="4">
        <v>20240303</v>
      </c>
      <c r="H4999" s="4" t="s">
        <v>3048</v>
      </c>
      <c r="J4999" s="4" t="s">
        <v>3047</v>
      </c>
    </row>
    <row r="5000" spans="1:10" hidden="1">
      <c r="A5000" s="4">
        <v>2.0210362010000099E+17</v>
      </c>
      <c r="B5000" s="4">
        <v>2698701268</v>
      </c>
      <c r="C5000" s="4" t="s">
        <v>3046</v>
      </c>
      <c r="D5000" s="4">
        <v>62010</v>
      </c>
      <c r="E5000" s="4">
        <v>20210303</v>
      </c>
      <c r="F5000" s="4">
        <v>20210303</v>
      </c>
      <c r="G5000" s="4">
        <v>20240303</v>
      </c>
      <c r="H5000" s="4" t="s">
        <v>3045</v>
      </c>
      <c r="J5000" s="4" t="s">
        <v>118</v>
      </c>
    </row>
    <row r="5001" spans="1:10" hidden="1">
      <c r="A5001" s="4">
        <v>2.0210363999000099E+17</v>
      </c>
      <c r="B5001" s="4">
        <v>1530401878</v>
      </c>
      <c r="C5001" s="4" t="s">
        <v>3044</v>
      </c>
      <c r="D5001" s="4">
        <v>63999</v>
      </c>
      <c r="E5001" s="4">
        <v>20210303</v>
      </c>
      <c r="F5001" s="4">
        <v>20210303</v>
      </c>
      <c r="G5001" s="4">
        <v>20240303</v>
      </c>
      <c r="H5001" s="4" t="s">
        <v>1872</v>
      </c>
      <c r="I5001" s="4" t="s">
        <v>3043</v>
      </c>
      <c r="J5001" s="4" t="s">
        <v>643</v>
      </c>
    </row>
    <row r="5002" spans="1:10">
      <c r="A5002" s="4">
        <v>2.0210758190000602E+17</v>
      </c>
      <c r="B5002" s="4">
        <v>6342500752</v>
      </c>
      <c r="C5002" s="4" t="s">
        <v>14281</v>
      </c>
      <c r="D5002" s="4">
        <v>58190</v>
      </c>
      <c r="E5002" s="4">
        <v>20210705</v>
      </c>
      <c r="F5002" s="4">
        <v>20210705</v>
      </c>
      <c r="G5002" s="4">
        <v>20240705</v>
      </c>
      <c r="H5002" s="4" t="s">
        <v>14280</v>
      </c>
      <c r="I5002" s="4" t="s">
        <v>14279</v>
      </c>
      <c r="J5002" s="4" t="s">
        <v>196</v>
      </c>
    </row>
    <row r="5003" spans="1:10" hidden="1">
      <c r="A5003" s="4">
        <v>2.0210326429000099E+17</v>
      </c>
      <c r="B5003" s="4">
        <v>1098801473</v>
      </c>
      <c r="C5003" s="4" t="s">
        <v>3039</v>
      </c>
      <c r="D5003" s="4">
        <v>26429</v>
      </c>
      <c r="E5003" s="4">
        <v>20210302</v>
      </c>
      <c r="F5003" s="4">
        <v>20210302</v>
      </c>
      <c r="G5003" s="4">
        <v>20240302</v>
      </c>
      <c r="H5003" s="4" t="s">
        <v>2650</v>
      </c>
      <c r="I5003" s="4" t="s">
        <v>3038</v>
      </c>
      <c r="J5003" s="4" t="s">
        <v>422</v>
      </c>
    </row>
    <row r="5004" spans="1:10" hidden="1">
      <c r="A5004" s="4">
        <v>2.0210358211000099E+17</v>
      </c>
      <c r="B5004" s="4">
        <v>6588600521</v>
      </c>
      <c r="C5004" s="4" t="s">
        <v>3037</v>
      </c>
      <c r="D5004" s="4">
        <v>58211</v>
      </c>
      <c r="E5004" s="4">
        <v>20210302</v>
      </c>
      <c r="F5004" s="4">
        <v>20210302</v>
      </c>
      <c r="G5004" s="4">
        <v>20240216</v>
      </c>
      <c r="H5004" s="4" t="s">
        <v>2718</v>
      </c>
      <c r="I5004" s="4" t="s">
        <v>3036</v>
      </c>
      <c r="J5004" s="4" t="s">
        <v>887</v>
      </c>
    </row>
    <row r="5005" spans="1:10" hidden="1">
      <c r="A5005" s="4">
        <v>2.0210363999000099E+17</v>
      </c>
      <c r="B5005" s="4">
        <v>7468701620</v>
      </c>
      <c r="C5005" s="4" t="s">
        <v>3035</v>
      </c>
      <c r="D5005" s="4">
        <v>63999</v>
      </c>
      <c r="E5005" s="4">
        <v>20210302</v>
      </c>
      <c r="F5005" s="4">
        <v>20210302</v>
      </c>
      <c r="G5005" s="4">
        <v>20240302</v>
      </c>
      <c r="H5005" s="4" t="s">
        <v>3034</v>
      </c>
      <c r="I5005" s="4" t="s">
        <v>149</v>
      </c>
      <c r="J5005" s="4" t="s">
        <v>643</v>
      </c>
    </row>
    <row r="5006" spans="1:10" hidden="1">
      <c r="A5006" s="4">
        <v>2.0210373909000099E+17</v>
      </c>
      <c r="B5006" s="4">
        <v>4051700090</v>
      </c>
      <c r="C5006" s="4" t="s">
        <v>3033</v>
      </c>
      <c r="D5006" s="4">
        <v>73909</v>
      </c>
      <c r="E5006" s="4">
        <v>20210302</v>
      </c>
      <c r="F5006" s="4">
        <v>20210302</v>
      </c>
      <c r="G5006" s="4">
        <v>20220930</v>
      </c>
      <c r="H5006" s="4" t="s">
        <v>3032</v>
      </c>
      <c r="J5006" s="4" t="s">
        <v>293</v>
      </c>
    </row>
    <row r="5007" spans="1:10" hidden="1">
      <c r="A5007" s="4">
        <v>2.0210320423000099E+17</v>
      </c>
      <c r="B5007" s="4">
        <v>3498601344</v>
      </c>
      <c r="C5007" s="4" t="s">
        <v>3031</v>
      </c>
      <c r="D5007" s="4">
        <v>20423</v>
      </c>
      <c r="E5007" s="4">
        <v>20210302</v>
      </c>
      <c r="F5007" s="4">
        <v>20210302</v>
      </c>
      <c r="G5007" s="4">
        <v>20240302</v>
      </c>
      <c r="H5007" s="4" t="s">
        <v>3030</v>
      </c>
      <c r="I5007" s="4" t="s">
        <v>3029</v>
      </c>
      <c r="J5007" s="4" t="s">
        <v>368</v>
      </c>
    </row>
    <row r="5008" spans="1:10" hidden="1">
      <c r="A5008" s="4">
        <v>2.0210322299000099E+17</v>
      </c>
      <c r="B5008" s="4">
        <v>2051576619</v>
      </c>
      <c r="C5008" s="4" t="s">
        <v>3028</v>
      </c>
      <c r="D5008" s="4">
        <v>22299</v>
      </c>
      <c r="E5008" s="4">
        <v>20210302</v>
      </c>
      <c r="F5008" s="4">
        <v>20210302</v>
      </c>
      <c r="G5008" s="4">
        <v>20240302</v>
      </c>
      <c r="H5008" s="4" t="s">
        <v>3027</v>
      </c>
      <c r="J5008" s="4" t="s">
        <v>384</v>
      </c>
    </row>
    <row r="5009" spans="1:10" hidden="1">
      <c r="A5009" s="4">
        <v>2.0210362010000099E+17</v>
      </c>
      <c r="B5009" s="4">
        <v>5214700593</v>
      </c>
      <c r="C5009" s="4" t="s">
        <v>3026</v>
      </c>
      <c r="D5009" s="4">
        <v>62010</v>
      </c>
      <c r="E5009" s="4">
        <v>20210302</v>
      </c>
      <c r="F5009" s="4">
        <v>20210302</v>
      </c>
      <c r="G5009" s="4">
        <v>20240302</v>
      </c>
      <c r="H5009" s="4" t="s">
        <v>3025</v>
      </c>
      <c r="I5009" s="4" t="s">
        <v>1695</v>
      </c>
      <c r="J5009" s="4" t="s">
        <v>118</v>
      </c>
    </row>
    <row r="5010" spans="1:10" hidden="1">
      <c r="A5010" s="4">
        <v>2.0210323993000099E+17</v>
      </c>
      <c r="B5010" s="4">
        <v>2500901698</v>
      </c>
      <c r="C5010" s="4" t="s">
        <v>3024</v>
      </c>
      <c r="D5010" s="4">
        <v>23993</v>
      </c>
      <c r="E5010" s="4">
        <v>20210302</v>
      </c>
      <c r="F5010" s="4">
        <v>20210302</v>
      </c>
      <c r="G5010" s="4">
        <v>20240302</v>
      </c>
      <c r="H5010" s="4" t="s">
        <v>3023</v>
      </c>
      <c r="I5010" s="4" t="s">
        <v>3022</v>
      </c>
      <c r="J5010" s="4" t="s">
        <v>540</v>
      </c>
    </row>
    <row r="5011" spans="1:10" hidden="1">
      <c r="A5011" s="4">
        <v>2.0210358222000099E+17</v>
      </c>
      <c r="B5011" s="4">
        <v>3918601480</v>
      </c>
      <c r="C5011" s="4" t="s">
        <v>3021</v>
      </c>
      <c r="D5011" s="4">
        <v>58222</v>
      </c>
      <c r="E5011" s="4">
        <v>20210302</v>
      </c>
      <c r="F5011" s="4">
        <v>20210302</v>
      </c>
      <c r="G5011" s="4">
        <v>20240302</v>
      </c>
      <c r="H5011" s="4" t="s">
        <v>3020</v>
      </c>
      <c r="I5011" s="4" t="s">
        <v>3019</v>
      </c>
      <c r="J5011" s="4" t="s">
        <v>94</v>
      </c>
    </row>
    <row r="5012" spans="1:10" hidden="1">
      <c r="A5012" s="4">
        <v>2.0210347440000099E+17</v>
      </c>
      <c r="B5012" s="4">
        <v>4868601717</v>
      </c>
      <c r="C5012" s="4" t="s">
        <v>3018</v>
      </c>
      <c r="D5012" s="4">
        <v>47440</v>
      </c>
      <c r="E5012" s="4">
        <v>20210302</v>
      </c>
      <c r="F5012" s="4">
        <v>20210302</v>
      </c>
      <c r="G5012" s="4">
        <v>20240302</v>
      </c>
      <c r="H5012" s="4" t="s">
        <v>1912</v>
      </c>
      <c r="I5012" s="4" t="s">
        <v>3017</v>
      </c>
      <c r="J5012" s="4" t="s">
        <v>1159</v>
      </c>
    </row>
    <row r="5013" spans="1:10" hidden="1">
      <c r="A5013" s="4">
        <v>2.0210358222000099E+17</v>
      </c>
      <c r="B5013" s="4">
        <v>8848602036</v>
      </c>
      <c r="C5013" s="4" t="s">
        <v>3016</v>
      </c>
      <c r="D5013" s="4">
        <v>58222</v>
      </c>
      <c r="E5013" s="4">
        <v>20210302</v>
      </c>
      <c r="F5013" s="4">
        <v>20210302</v>
      </c>
      <c r="G5013" s="4">
        <v>20240302</v>
      </c>
      <c r="H5013" s="4" t="s">
        <v>3015</v>
      </c>
      <c r="I5013" s="4" t="s">
        <v>3014</v>
      </c>
      <c r="J5013" s="4" t="s">
        <v>94</v>
      </c>
    </row>
    <row r="5014" spans="1:10" hidden="1">
      <c r="A5014" s="4">
        <v>2.0210346510000099E+17</v>
      </c>
      <c r="B5014" s="4">
        <v>2840401226</v>
      </c>
      <c r="C5014" s="4" t="s">
        <v>3013</v>
      </c>
      <c r="D5014" s="4">
        <v>46510</v>
      </c>
      <c r="E5014" s="4">
        <v>20210302</v>
      </c>
      <c r="F5014" s="4">
        <v>20210302</v>
      </c>
      <c r="G5014" s="4">
        <v>20240302</v>
      </c>
      <c r="H5014" s="4" t="s">
        <v>660</v>
      </c>
      <c r="I5014" s="4" t="s">
        <v>3012</v>
      </c>
      <c r="J5014" s="4" t="s">
        <v>126</v>
      </c>
    </row>
    <row r="5015" spans="1:10" hidden="1">
      <c r="A5015" s="4">
        <v>2.0210362010000099E+17</v>
      </c>
      <c r="B5015" s="4">
        <v>2578101356</v>
      </c>
      <c r="C5015" s="4" t="s">
        <v>3011</v>
      </c>
      <c r="D5015" s="4">
        <v>62010</v>
      </c>
      <c r="E5015" s="4">
        <v>20210302</v>
      </c>
      <c r="F5015" s="4">
        <v>20210302</v>
      </c>
      <c r="G5015" s="4">
        <v>20240302</v>
      </c>
      <c r="H5015" s="4" t="s">
        <v>3010</v>
      </c>
      <c r="I5015" s="4" t="s">
        <v>3009</v>
      </c>
      <c r="J5015" s="4" t="s">
        <v>118</v>
      </c>
    </row>
    <row r="5016" spans="1:10" hidden="1">
      <c r="A5016" s="4">
        <v>2.0210370113000099E+17</v>
      </c>
      <c r="B5016" s="4">
        <v>6308100867</v>
      </c>
      <c r="C5016" s="4" t="s">
        <v>3008</v>
      </c>
      <c r="D5016" s="4">
        <v>70113</v>
      </c>
      <c r="E5016" s="4">
        <v>20210302</v>
      </c>
      <c r="F5016" s="4">
        <v>20210302</v>
      </c>
      <c r="G5016" s="4">
        <v>20240302</v>
      </c>
      <c r="H5016" s="4" t="s">
        <v>1752</v>
      </c>
      <c r="I5016" s="4" t="s">
        <v>3007</v>
      </c>
      <c r="J5016" s="4" t="s">
        <v>1173</v>
      </c>
    </row>
    <row r="5017" spans="1:10" hidden="1">
      <c r="A5017" s="4">
        <v>2.0210346595000099E+17</v>
      </c>
      <c r="B5017" s="4">
        <v>2664500289</v>
      </c>
      <c r="C5017" s="4" t="s">
        <v>3006</v>
      </c>
      <c r="D5017" s="4">
        <v>46595</v>
      </c>
      <c r="E5017" s="4">
        <v>20210302</v>
      </c>
      <c r="F5017" s="4">
        <v>20210302</v>
      </c>
      <c r="G5017" s="4">
        <v>20240302</v>
      </c>
      <c r="H5017" s="4" t="s">
        <v>3005</v>
      </c>
      <c r="J5017" s="4" t="s">
        <v>960</v>
      </c>
    </row>
    <row r="5018" spans="1:10" hidden="1">
      <c r="A5018" s="4">
        <v>2.0210358222000099E+17</v>
      </c>
      <c r="B5018" s="4">
        <v>5328701735</v>
      </c>
      <c r="C5018" s="4" t="s">
        <v>3004</v>
      </c>
      <c r="D5018" s="4">
        <v>58222</v>
      </c>
      <c r="E5018" s="4">
        <v>20210302</v>
      </c>
      <c r="F5018" s="4">
        <v>20210302</v>
      </c>
      <c r="G5018" s="4">
        <v>20240302</v>
      </c>
      <c r="H5018" s="4" t="s">
        <v>3003</v>
      </c>
      <c r="I5018" s="4">
        <v>740</v>
      </c>
      <c r="J5018" s="4" t="s">
        <v>94</v>
      </c>
    </row>
    <row r="5019" spans="1:10" hidden="1">
      <c r="A5019" s="4">
        <v>2.0210363120000099E+17</v>
      </c>
      <c r="B5019" s="4">
        <v>3968800103</v>
      </c>
      <c r="C5019" s="4" t="s">
        <v>3002</v>
      </c>
      <c r="D5019" s="4">
        <v>63120</v>
      </c>
      <c r="E5019" s="4">
        <v>20210302</v>
      </c>
      <c r="F5019" s="4">
        <v>20210302</v>
      </c>
      <c r="G5019" s="4">
        <v>20220728</v>
      </c>
      <c r="H5019" s="4" t="s">
        <v>3001</v>
      </c>
      <c r="I5019" s="4" t="s">
        <v>3000</v>
      </c>
      <c r="J5019" s="4" t="s">
        <v>632</v>
      </c>
    </row>
    <row r="5020" spans="1:10" hidden="1">
      <c r="A5020" s="4">
        <v>2.0210328114000099E+17</v>
      </c>
      <c r="B5020" s="4">
        <v>7968701775</v>
      </c>
      <c r="C5020" s="4" t="s">
        <v>2999</v>
      </c>
      <c r="D5020" s="4">
        <v>28114</v>
      </c>
      <c r="E5020" s="4">
        <v>20210302</v>
      </c>
      <c r="F5020" s="4">
        <v>20210302</v>
      </c>
      <c r="G5020" s="4">
        <v>20240302</v>
      </c>
      <c r="H5020" s="4" t="s">
        <v>2998</v>
      </c>
      <c r="I5020" s="4" t="s">
        <v>1702</v>
      </c>
      <c r="J5020" s="4" t="s">
        <v>2367</v>
      </c>
    </row>
    <row r="5021" spans="1:10" hidden="1">
      <c r="A5021" s="4">
        <v>2.0210325932000099E+17</v>
      </c>
      <c r="B5021" s="4">
        <v>2181650102</v>
      </c>
      <c r="C5021" s="4" t="s">
        <v>2996</v>
      </c>
      <c r="D5021" s="4">
        <v>25932</v>
      </c>
      <c r="E5021" s="4">
        <v>20210302</v>
      </c>
      <c r="F5021" s="4">
        <v>20210302</v>
      </c>
      <c r="G5021" s="4">
        <v>20240302</v>
      </c>
      <c r="H5021" s="4" t="s">
        <v>2997</v>
      </c>
      <c r="I5021" s="4" t="s">
        <v>2996</v>
      </c>
      <c r="J5021" s="4" t="s">
        <v>246</v>
      </c>
    </row>
    <row r="5022" spans="1:10" hidden="1">
      <c r="A5022" s="4">
        <v>2.0210328114000099E+17</v>
      </c>
      <c r="B5022" s="4">
        <v>6928701624</v>
      </c>
      <c r="C5022" s="4" t="s">
        <v>2995</v>
      </c>
      <c r="D5022" s="4">
        <v>28114</v>
      </c>
      <c r="E5022" s="4">
        <v>20210302</v>
      </c>
      <c r="F5022" s="4">
        <v>20210302</v>
      </c>
      <c r="G5022" s="4">
        <v>20240302</v>
      </c>
      <c r="H5022" s="4" t="s">
        <v>2994</v>
      </c>
      <c r="I5022" s="4" t="s">
        <v>2993</v>
      </c>
      <c r="J5022" s="4" t="s">
        <v>2367</v>
      </c>
    </row>
    <row r="5023" spans="1:10" hidden="1">
      <c r="A5023" s="4">
        <v>2.0210346800000099E+17</v>
      </c>
      <c r="B5023" s="4">
        <v>8922101102</v>
      </c>
      <c r="C5023" s="4" t="s">
        <v>2992</v>
      </c>
      <c r="D5023" s="4">
        <v>46800</v>
      </c>
      <c r="E5023" s="4">
        <v>20210302</v>
      </c>
      <c r="F5023" s="4">
        <v>20210302</v>
      </c>
      <c r="G5023" s="4">
        <v>20240302</v>
      </c>
      <c r="H5023" s="4" t="s">
        <v>2991</v>
      </c>
      <c r="J5023" s="4" t="s">
        <v>979</v>
      </c>
    </row>
    <row r="5024" spans="1:10" hidden="1">
      <c r="A5024" s="4">
        <v>2.0210374220000099E+17</v>
      </c>
      <c r="B5024" s="4">
        <v>5968600034</v>
      </c>
      <c r="C5024" s="4" t="s">
        <v>2990</v>
      </c>
      <c r="D5024" s="4">
        <v>74220</v>
      </c>
      <c r="E5024" s="4">
        <v>20210302</v>
      </c>
      <c r="F5024" s="4">
        <v>20210302</v>
      </c>
      <c r="G5024" s="4">
        <v>20220226</v>
      </c>
      <c r="H5024" s="4" t="s">
        <v>2989</v>
      </c>
      <c r="I5024" s="4" t="s">
        <v>938</v>
      </c>
      <c r="J5024" s="4" t="s">
        <v>2988</v>
      </c>
    </row>
    <row r="5025" spans="1:10" hidden="1">
      <c r="A5025" s="4">
        <v>2.0210358222000099E+17</v>
      </c>
      <c r="B5025" s="4">
        <v>6138600741</v>
      </c>
      <c r="C5025" s="4" t="s">
        <v>2987</v>
      </c>
      <c r="D5025" s="4">
        <v>58222</v>
      </c>
      <c r="E5025" s="4">
        <v>20210302</v>
      </c>
      <c r="F5025" s="4">
        <v>20210302</v>
      </c>
      <c r="G5025" s="4">
        <v>20240302</v>
      </c>
      <c r="H5025" s="4" t="s">
        <v>2986</v>
      </c>
      <c r="I5025" s="4" t="s">
        <v>2985</v>
      </c>
      <c r="J5025" s="4" t="s">
        <v>94</v>
      </c>
    </row>
    <row r="5026" spans="1:10" hidden="1">
      <c r="A5026" s="4">
        <v>2.0210313992000099E+17</v>
      </c>
      <c r="B5026" s="4">
        <v>7668801771</v>
      </c>
      <c r="C5026" s="4" t="s">
        <v>2984</v>
      </c>
      <c r="D5026" s="4">
        <v>13992</v>
      </c>
      <c r="E5026" s="4">
        <v>20210302</v>
      </c>
      <c r="F5026" s="4">
        <v>20210302</v>
      </c>
      <c r="G5026" s="4">
        <v>20240302</v>
      </c>
      <c r="H5026" s="4" t="s">
        <v>2983</v>
      </c>
      <c r="J5026" s="4" t="s">
        <v>2982</v>
      </c>
    </row>
    <row r="5027" spans="1:10" hidden="1">
      <c r="A5027" s="4">
        <v>2.0210370119000099E+17</v>
      </c>
      <c r="B5027" s="4">
        <v>5328801218</v>
      </c>
      <c r="C5027" s="4" t="s">
        <v>2981</v>
      </c>
      <c r="D5027" s="4">
        <v>70119</v>
      </c>
      <c r="E5027" s="4">
        <v>20210302</v>
      </c>
      <c r="F5027" s="4">
        <v>20210302</v>
      </c>
      <c r="G5027" s="4">
        <v>20240302</v>
      </c>
      <c r="H5027" s="4" t="s">
        <v>2980</v>
      </c>
      <c r="I5027" s="4" t="s">
        <v>2979</v>
      </c>
      <c r="J5027" s="4" t="s">
        <v>2978</v>
      </c>
    </row>
    <row r="5028" spans="1:10" hidden="1">
      <c r="A5028" s="4">
        <v>2.0210372921000099E+17</v>
      </c>
      <c r="B5028" s="4">
        <v>5218101956</v>
      </c>
      <c r="C5028" s="4" t="s">
        <v>2977</v>
      </c>
      <c r="D5028" s="4">
        <v>72921</v>
      </c>
      <c r="E5028" s="4">
        <v>20210302</v>
      </c>
      <c r="F5028" s="4">
        <v>20210302</v>
      </c>
      <c r="G5028" s="4">
        <v>20240302</v>
      </c>
      <c r="H5028" s="4" t="s">
        <v>2976</v>
      </c>
      <c r="I5028" s="4" t="s">
        <v>2429</v>
      </c>
      <c r="J5028" s="4" t="s">
        <v>2880</v>
      </c>
    </row>
    <row r="5029" spans="1:10" hidden="1">
      <c r="A5029" s="4">
        <v>2.0210310799000099E+17</v>
      </c>
      <c r="B5029" s="4">
        <v>2938701000</v>
      </c>
      <c r="C5029" s="4" t="s">
        <v>2975</v>
      </c>
      <c r="D5029" s="4">
        <v>10799</v>
      </c>
      <c r="E5029" s="4">
        <v>20210302</v>
      </c>
      <c r="F5029" s="4">
        <v>20210302</v>
      </c>
      <c r="G5029" s="4">
        <v>20240302</v>
      </c>
      <c r="H5029" s="4" t="s">
        <v>2974</v>
      </c>
      <c r="J5029" s="4" t="s">
        <v>2973</v>
      </c>
    </row>
    <row r="5030" spans="1:10" hidden="1">
      <c r="A5030" s="4">
        <v>2.0210333120000099E+17</v>
      </c>
      <c r="B5030" s="4">
        <v>6658101649</v>
      </c>
      <c r="C5030" s="4" t="s">
        <v>2972</v>
      </c>
      <c r="D5030" s="4">
        <v>33120</v>
      </c>
      <c r="E5030" s="4">
        <v>20210302</v>
      </c>
      <c r="F5030" s="4">
        <v>20210302</v>
      </c>
      <c r="G5030" s="4">
        <v>20240302</v>
      </c>
      <c r="H5030" s="4" t="s">
        <v>2971</v>
      </c>
      <c r="I5030" s="4" t="s">
        <v>2970</v>
      </c>
      <c r="J5030" s="4" t="s">
        <v>145</v>
      </c>
    </row>
    <row r="5031" spans="1:10" hidden="1">
      <c r="A5031" s="4">
        <v>2.0210321300000099E+17</v>
      </c>
      <c r="B5031" s="4">
        <v>3778701235</v>
      </c>
      <c r="C5031" s="4" t="s">
        <v>2969</v>
      </c>
      <c r="D5031" s="4">
        <v>21300</v>
      </c>
      <c r="E5031" s="4">
        <v>20210302</v>
      </c>
      <c r="F5031" s="4">
        <v>20210302</v>
      </c>
      <c r="G5031" s="4">
        <v>20240302</v>
      </c>
      <c r="H5031" s="4" t="s">
        <v>2968</v>
      </c>
      <c r="I5031" s="4" t="s">
        <v>2967</v>
      </c>
      <c r="J5031" s="4" t="s">
        <v>530</v>
      </c>
    </row>
    <row r="5032" spans="1:10" hidden="1">
      <c r="A5032" s="4">
        <v>2.0210320424000099E+17</v>
      </c>
      <c r="B5032" s="4">
        <v>3708101440</v>
      </c>
      <c r="C5032" s="4" t="s">
        <v>2966</v>
      </c>
      <c r="D5032" s="4">
        <v>20424</v>
      </c>
      <c r="E5032" s="4">
        <v>20210302</v>
      </c>
      <c r="F5032" s="4">
        <v>20210302</v>
      </c>
      <c r="G5032" s="4">
        <v>20240302</v>
      </c>
      <c r="H5032" s="4" t="s">
        <v>2965</v>
      </c>
      <c r="J5032" s="4" t="s">
        <v>2964</v>
      </c>
    </row>
    <row r="5033" spans="1:10" hidden="1">
      <c r="A5033" s="4">
        <v>2.0210359120000099E+17</v>
      </c>
      <c r="B5033" s="4">
        <v>5048801080</v>
      </c>
      <c r="C5033" s="4" t="s">
        <v>2963</v>
      </c>
      <c r="D5033" s="4">
        <v>59120</v>
      </c>
      <c r="E5033" s="4">
        <v>20210302</v>
      </c>
      <c r="F5033" s="4">
        <v>20210302</v>
      </c>
      <c r="G5033" s="4">
        <v>20240302</v>
      </c>
      <c r="H5033" s="4" t="s">
        <v>2629</v>
      </c>
      <c r="I5033" s="4" t="s">
        <v>2962</v>
      </c>
      <c r="J5033" s="4" t="s">
        <v>2961</v>
      </c>
    </row>
    <row r="5034" spans="1:10" hidden="1">
      <c r="A5034" s="4">
        <v>2.0210352915000099E+17</v>
      </c>
      <c r="B5034" s="4">
        <v>1748102123</v>
      </c>
      <c r="C5034" s="4" t="s">
        <v>2960</v>
      </c>
      <c r="D5034" s="4">
        <v>52915</v>
      </c>
      <c r="E5034" s="4">
        <v>20210302</v>
      </c>
      <c r="F5034" s="4">
        <v>20210302</v>
      </c>
      <c r="G5034" s="4">
        <v>20240302</v>
      </c>
      <c r="H5034" s="4" t="s">
        <v>2942</v>
      </c>
      <c r="I5034" s="4" t="s">
        <v>2959</v>
      </c>
      <c r="J5034" s="4" t="s">
        <v>2958</v>
      </c>
    </row>
    <row r="5035" spans="1:10" hidden="1">
      <c r="A5035" s="4">
        <v>2.0210328422000099E+17</v>
      </c>
      <c r="B5035" s="4">
        <v>2838801000</v>
      </c>
      <c r="C5035" s="4" t="s">
        <v>2957</v>
      </c>
      <c r="D5035" s="4">
        <v>28422</v>
      </c>
      <c r="E5035" s="4">
        <v>20210302</v>
      </c>
      <c r="F5035" s="4">
        <v>20210302</v>
      </c>
      <c r="G5035" s="4">
        <v>20240302</v>
      </c>
      <c r="H5035" s="4" t="s">
        <v>2956</v>
      </c>
      <c r="I5035" s="4" t="s">
        <v>2955</v>
      </c>
      <c r="J5035" s="4" t="s">
        <v>188</v>
      </c>
    </row>
    <row r="5036" spans="1:10" hidden="1">
      <c r="A5036" s="4">
        <v>2.0210358222000099E+17</v>
      </c>
      <c r="B5036" s="4">
        <v>8868601479</v>
      </c>
      <c r="C5036" s="4" t="s">
        <v>2954</v>
      </c>
      <c r="D5036" s="4">
        <v>58222</v>
      </c>
      <c r="E5036" s="4">
        <v>20210302</v>
      </c>
      <c r="F5036" s="4">
        <v>20210302</v>
      </c>
      <c r="G5036" s="4">
        <v>20240302</v>
      </c>
      <c r="H5036" s="4" t="s">
        <v>597</v>
      </c>
      <c r="I5036" s="4" t="s">
        <v>2953</v>
      </c>
      <c r="J5036" s="4" t="s">
        <v>94</v>
      </c>
    </row>
    <row r="5037" spans="1:10" hidden="1">
      <c r="A5037" s="4">
        <v>2.0210328123000099E+17</v>
      </c>
      <c r="B5037" s="4">
        <v>8958701276</v>
      </c>
      <c r="C5037" s="4" t="s">
        <v>2952</v>
      </c>
      <c r="D5037" s="4">
        <v>28123</v>
      </c>
      <c r="E5037" s="4">
        <v>20210302</v>
      </c>
      <c r="F5037" s="4">
        <v>20210302</v>
      </c>
      <c r="G5037" s="4">
        <v>20240302</v>
      </c>
      <c r="H5037" s="4" t="s">
        <v>2951</v>
      </c>
      <c r="I5037" s="4" t="s">
        <v>2950</v>
      </c>
      <c r="J5037" s="4" t="s">
        <v>640</v>
      </c>
    </row>
    <row r="5038" spans="1:10" hidden="1">
      <c r="A5038" s="4">
        <v>2.0210313229000099E+17</v>
      </c>
      <c r="B5038" s="4">
        <v>4658801811</v>
      </c>
      <c r="C5038" s="4" t="s">
        <v>2949</v>
      </c>
      <c r="D5038" s="4">
        <v>13229</v>
      </c>
      <c r="E5038" s="4">
        <v>20210302</v>
      </c>
      <c r="F5038" s="4">
        <v>20210302</v>
      </c>
      <c r="G5038" s="4">
        <v>20240302</v>
      </c>
      <c r="H5038" s="4" t="s">
        <v>2948</v>
      </c>
      <c r="I5038" s="4" t="s">
        <v>2947</v>
      </c>
      <c r="J5038" s="4" t="s">
        <v>115</v>
      </c>
    </row>
    <row r="5039" spans="1:10" hidden="1">
      <c r="A5039" s="4">
        <v>2.0210370121000099E+17</v>
      </c>
      <c r="B5039" s="4">
        <v>4758800935</v>
      </c>
      <c r="C5039" s="4" t="s">
        <v>2946</v>
      </c>
      <c r="D5039" s="4">
        <v>70121</v>
      </c>
      <c r="E5039" s="4">
        <v>20210302</v>
      </c>
      <c r="F5039" s="4">
        <v>20210302</v>
      </c>
      <c r="G5039" s="4">
        <v>20240302</v>
      </c>
      <c r="H5039" s="4" t="s">
        <v>2945</v>
      </c>
      <c r="I5039" s="4" t="s">
        <v>2944</v>
      </c>
      <c r="J5039" s="4" t="s">
        <v>1267</v>
      </c>
    </row>
    <row r="5040" spans="1:10" hidden="1">
      <c r="A5040" s="4">
        <v>2.0210346329000099E+17</v>
      </c>
      <c r="B5040" s="4">
        <v>5598701841</v>
      </c>
      <c r="C5040" s="4" t="s">
        <v>2943</v>
      </c>
      <c r="D5040" s="4">
        <v>46329</v>
      </c>
      <c r="E5040" s="4">
        <v>20210302</v>
      </c>
      <c r="F5040" s="4">
        <v>20210302</v>
      </c>
      <c r="G5040" s="4">
        <v>20240302</v>
      </c>
      <c r="H5040" s="4" t="s">
        <v>2942</v>
      </c>
      <c r="I5040" s="4" t="s">
        <v>2941</v>
      </c>
      <c r="J5040" s="4" t="s">
        <v>830</v>
      </c>
    </row>
    <row r="5041" spans="1:10" hidden="1">
      <c r="A5041" s="4">
        <v>2.0210324131000099E+17</v>
      </c>
      <c r="B5041" s="4">
        <v>5828800306</v>
      </c>
      <c r="C5041" s="4" t="s">
        <v>2940</v>
      </c>
      <c r="D5041" s="4">
        <v>24131</v>
      </c>
      <c r="E5041" s="4">
        <v>20210302</v>
      </c>
      <c r="F5041" s="4">
        <v>20210302</v>
      </c>
      <c r="G5041" s="4">
        <v>20230111</v>
      </c>
      <c r="H5041" s="4" t="s">
        <v>2939</v>
      </c>
      <c r="J5041" s="4" t="s">
        <v>2938</v>
      </c>
    </row>
    <row r="5042" spans="1:10" hidden="1">
      <c r="A5042" s="4">
        <v>2.0210326329000099E+17</v>
      </c>
      <c r="B5042" s="4">
        <v>2838101700</v>
      </c>
      <c r="C5042" s="4" t="s">
        <v>2937</v>
      </c>
      <c r="D5042" s="4">
        <v>26329</v>
      </c>
      <c r="E5042" s="4">
        <v>20210302</v>
      </c>
      <c r="F5042" s="4">
        <v>20210302</v>
      </c>
      <c r="G5042" s="4">
        <v>20240302</v>
      </c>
      <c r="H5042" s="4" t="s">
        <v>2936</v>
      </c>
      <c r="I5042" s="4" t="s">
        <v>2935</v>
      </c>
      <c r="J5042" s="4" t="s">
        <v>565</v>
      </c>
    </row>
    <row r="5043" spans="1:10" hidden="1">
      <c r="A5043" s="4">
        <v>2.0210396999000099E+17</v>
      </c>
      <c r="B5043" s="4">
        <v>5578700851</v>
      </c>
      <c r="C5043" s="4" t="s">
        <v>2934</v>
      </c>
      <c r="D5043" s="4">
        <v>96999</v>
      </c>
      <c r="E5043" s="4">
        <v>20210302</v>
      </c>
      <c r="F5043" s="4">
        <v>20210302</v>
      </c>
      <c r="G5043" s="4">
        <v>20240302</v>
      </c>
      <c r="H5043" s="4" t="s">
        <v>2933</v>
      </c>
      <c r="I5043" s="4" t="s">
        <v>2932</v>
      </c>
      <c r="J5043" s="4" t="s">
        <v>2931</v>
      </c>
    </row>
    <row r="5044" spans="1:10" hidden="1">
      <c r="A5044" s="4">
        <v>2.0210325929000099E+17</v>
      </c>
      <c r="B5044" s="4">
        <v>2920501753</v>
      </c>
      <c r="C5044" s="4" t="s">
        <v>2930</v>
      </c>
      <c r="D5044" s="4">
        <v>25929</v>
      </c>
      <c r="E5044" s="4">
        <v>20210302</v>
      </c>
      <c r="F5044" s="4">
        <v>20210302</v>
      </c>
      <c r="G5044" s="4">
        <v>20240302</v>
      </c>
      <c r="H5044" s="4" t="s">
        <v>2929</v>
      </c>
      <c r="I5044" s="4" t="s">
        <v>149</v>
      </c>
      <c r="J5044" s="4" t="s">
        <v>701</v>
      </c>
    </row>
    <row r="5045" spans="1:10" hidden="1">
      <c r="A5045" s="4">
        <v>2.0210329210000099E+17</v>
      </c>
      <c r="B5045" s="4">
        <v>1728601327</v>
      </c>
      <c r="C5045" s="4" t="s">
        <v>2928</v>
      </c>
      <c r="D5045" s="4">
        <v>29210</v>
      </c>
      <c r="E5045" s="4">
        <v>20210302</v>
      </c>
      <c r="F5045" s="4">
        <v>20210302</v>
      </c>
      <c r="G5045" s="4">
        <v>20240302</v>
      </c>
      <c r="H5045" s="4" t="s">
        <v>2927</v>
      </c>
      <c r="I5045" s="4" t="s">
        <v>2926</v>
      </c>
      <c r="J5045" s="4" t="s">
        <v>1274</v>
      </c>
    </row>
    <row r="5046" spans="1:10" hidden="1">
      <c r="A5046" s="4">
        <v>2.0210329299000099E+17</v>
      </c>
      <c r="B5046" s="4">
        <v>6400901232</v>
      </c>
      <c r="C5046" s="4" t="s">
        <v>2925</v>
      </c>
      <c r="D5046" s="4">
        <v>29299</v>
      </c>
      <c r="E5046" s="4">
        <v>20210302</v>
      </c>
      <c r="F5046" s="4">
        <v>20210302</v>
      </c>
      <c r="G5046" s="4">
        <v>20240302</v>
      </c>
      <c r="H5046" s="4" t="s">
        <v>2924</v>
      </c>
      <c r="J5046" s="4" t="s">
        <v>137</v>
      </c>
    </row>
    <row r="5047" spans="1:10" hidden="1">
      <c r="A5047" s="4">
        <v>2.0210327213000099E+17</v>
      </c>
      <c r="B5047" s="4">
        <v>6888101055</v>
      </c>
      <c r="C5047" s="4" t="s">
        <v>2923</v>
      </c>
      <c r="D5047" s="4">
        <v>27213</v>
      </c>
      <c r="E5047" s="4">
        <v>20210302</v>
      </c>
      <c r="F5047" s="4">
        <v>20210302</v>
      </c>
      <c r="G5047" s="4">
        <v>20240302</v>
      </c>
      <c r="H5047" s="4" t="s">
        <v>2922</v>
      </c>
      <c r="J5047" s="4" t="s">
        <v>264</v>
      </c>
    </row>
    <row r="5048" spans="1:10" hidden="1">
      <c r="A5048" s="4">
        <v>2.0210346109000099E+17</v>
      </c>
      <c r="B5048" s="4">
        <v>1028701193</v>
      </c>
      <c r="C5048" s="4" t="s">
        <v>2921</v>
      </c>
      <c r="D5048" s="4">
        <v>46109</v>
      </c>
      <c r="E5048" s="4">
        <v>20210302</v>
      </c>
      <c r="F5048" s="4">
        <v>20210302</v>
      </c>
      <c r="G5048" s="4">
        <v>20240302</v>
      </c>
      <c r="H5048" s="4" t="s">
        <v>2920</v>
      </c>
      <c r="I5048" s="4" t="s">
        <v>2919</v>
      </c>
      <c r="J5048" s="4" t="s">
        <v>133</v>
      </c>
    </row>
    <row r="5049" spans="1:10" hidden="1">
      <c r="A5049" s="4">
        <v>2.0210325999000099E+17</v>
      </c>
      <c r="B5049" s="4">
        <v>7511700988</v>
      </c>
      <c r="C5049" s="4" t="s">
        <v>2918</v>
      </c>
      <c r="D5049" s="4">
        <v>25999</v>
      </c>
      <c r="E5049" s="4">
        <v>20210302</v>
      </c>
      <c r="F5049" s="4">
        <v>20210302</v>
      </c>
      <c r="G5049" s="4">
        <v>20240302</v>
      </c>
      <c r="H5049" s="4" t="s">
        <v>2917</v>
      </c>
      <c r="J5049" s="4" t="s">
        <v>301</v>
      </c>
    </row>
    <row r="5050" spans="1:10" hidden="1">
      <c r="A5050" s="4">
        <v>2.0210331201000099E+17</v>
      </c>
      <c r="B5050" s="4">
        <v>3408601181</v>
      </c>
      <c r="C5050" s="4" t="s">
        <v>2916</v>
      </c>
      <c r="D5050" s="4">
        <v>31201</v>
      </c>
      <c r="E5050" s="4">
        <v>20210302</v>
      </c>
      <c r="F5050" s="4">
        <v>20210302</v>
      </c>
      <c r="G5050" s="4">
        <v>20240302</v>
      </c>
      <c r="H5050" s="4" t="s">
        <v>2915</v>
      </c>
      <c r="J5050" s="4" t="s">
        <v>2914</v>
      </c>
    </row>
    <row r="5051" spans="1:10" hidden="1">
      <c r="A5051" s="4">
        <v>2.0210346431000099E+17</v>
      </c>
      <c r="B5051" s="4">
        <v>5283500271</v>
      </c>
      <c r="C5051" s="4" t="s">
        <v>2913</v>
      </c>
      <c r="D5051" s="4">
        <v>46431</v>
      </c>
      <c r="E5051" s="4">
        <v>20210302</v>
      </c>
      <c r="F5051" s="4">
        <v>20210302</v>
      </c>
      <c r="G5051" s="4">
        <v>20240302</v>
      </c>
      <c r="H5051" s="4" t="s">
        <v>2912</v>
      </c>
      <c r="I5051" s="4" t="s">
        <v>149</v>
      </c>
      <c r="J5051" s="4" t="s">
        <v>2911</v>
      </c>
    </row>
    <row r="5052" spans="1:10" hidden="1">
      <c r="A5052" s="4">
        <v>2.0210331312000099E+17</v>
      </c>
      <c r="B5052" s="4">
        <v>4158800893</v>
      </c>
      <c r="C5052" s="4" t="s">
        <v>2910</v>
      </c>
      <c r="D5052" s="4">
        <v>31312</v>
      </c>
      <c r="E5052" s="4">
        <v>20210301</v>
      </c>
      <c r="F5052" s="4">
        <v>20210301</v>
      </c>
      <c r="G5052" s="4">
        <v>20240301</v>
      </c>
      <c r="H5052" s="4" t="s">
        <v>370</v>
      </c>
      <c r="I5052" s="4" t="s">
        <v>2909</v>
      </c>
      <c r="J5052" s="4" t="s">
        <v>748</v>
      </c>
    </row>
    <row r="5053" spans="1:10" hidden="1">
      <c r="A5053" s="4">
        <v>2.0210328429000099E+17</v>
      </c>
      <c r="B5053" s="4">
        <v>2038601617</v>
      </c>
      <c r="C5053" s="4" t="s">
        <v>2908</v>
      </c>
      <c r="D5053" s="4">
        <v>28429</v>
      </c>
      <c r="E5053" s="4">
        <v>20210301</v>
      </c>
      <c r="F5053" s="4">
        <v>20210301</v>
      </c>
      <c r="G5053" s="4">
        <v>20240301</v>
      </c>
      <c r="H5053" s="4" t="s">
        <v>2907</v>
      </c>
      <c r="I5053" s="4" t="s">
        <v>185</v>
      </c>
      <c r="J5053" s="4" t="s">
        <v>765</v>
      </c>
    </row>
    <row r="5054" spans="1:10" hidden="1">
      <c r="A5054" s="4">
        <v>2.0210341226000099E+17</v>
      </c>
      <c r="B5054" s="4">
        <v>8832100531</v>
      </c>
      <c r="C5054" s="4" t="s">
        <v>2906</v>
      </c>
      <c r="D5054" s="4">
        <v>41226</v>
      </c>
      <c r="E5054" s="4">
        <v>20210301</v>
      </c>
      <c r="F5054" s="4">
        <v>20210301</v>
      </c>
      <c r="G5054" s="4">
        <v>20240301</v>
      </c>
      <c r="H5054" s="4" t="s">
        <v>2905</v>
      </c>
      <c r="J5054" s="4" t="s">
        <v>1063</v>
      </c>
    </row>
    <row r="5055" spans="1:10" hidden="1">
      <c r="A5055" s="4">
        <v>2.0210373202000099E+17</v>
      </c>
      <c r="B5055" s="4">
        <v>1428701769</v>
      </c>
      <c r="C5055" s="4" t="s">
        <v>2904</v>
      </c>
      <c r="D5055" s="4">
        <v>73202</v>
      </c>
      <c r="E5055" s="4">
        <v>20210301</v>
      </c>
      <c r="F5055" s="4">
        <v>20210301</v>
      </c>
      <c r="G5055" s="4">
        <v>20240301</v>
      </c>
      <c r="H5055" s="4" t="s">
        <v>2903</v>
      </c>
      <c r="I5055" s="4" t="s">
        <v>2902</v>
      </c>
      <c r="J5055" s="4" t="s">
        <v>605</v>
      </c>
    </row>
    <row r="5056" spans="1:10" hidden="1">
      <c r="A5056" s="4">
        <v>2.0210310796000099E+17</v>
      </c>
      <c r="B5056" s="4">
        <v>7368700298</v>
      </c>
      <c r="C5056" s="4" t="s">
        <v>2901</v>
      </c>
      <c r="D5056" s="4">
        <v>10796</v>
      </c>
      <c r="E5056" s="4">
        <v>20210301</v>
      </c>
      <c r="F5056" s="4">
        <v>20210301</v>
      </c>
      <c r="G5056" s="4">
        <v>20230421</v>
      </c>
      <c r="H5056" s="4" t="s">
        <v>2900</v>
      </c>
      <c r="I5056" s="4" t="s">
        <v>2899</v>
      </c>
      <c r="J5056" s="4" t="s">
        <v>2898</v>
      </c>
    </row>
    <row r="5057" spans="1:10" hidden="1">
      <c r="A5057" s="4">
        <v>2.0210362021000099E+17</v>
      </c>
      <c r="B5057" s="4">
        <v>6648601127</v>
      </c>
      <c r="C5057" s="4" t="s">
        <v>2897</v>
      </c>
      <c r="D5057" s="4">
        <v>62021</v>
      </c>
      <c r="E5057" s="4">
        <v>20210301</v>
      </c>
      <c r="F5057" s="4">
        <v>20210301</v>
      </c>
      <c r="G5057" s="4">
        <v>20240301</v>
      </c>
      <c r="H5057" s="4" t="s">
        <v>2542</v>
      </c>
      <c r="I5057" s="4" t="s">
        <v>2896</v>
      </c>
      <c r="J5057" s="4" t="s">
        <v>1505</v>
      </c>
    </row>
    <row r="5058" spans="1:10" hidden="1">
      <c r="A5058" s="4">
        <v>2.0210370113000099E+17</v>
      </c>
      <c r="B5058" s="4">
        <v>4468101825</v>
      </c>
      <c r="C5058" s="4" t="s">
        <v>2895</v>
      </c>
      <c r="D5058" s="4">
        <v>70113</v>
      </c>
      <c r="E5058" s="4">
        <v>20210301</v>
      </c>
      <c r="F5058" s="4">
        <v>20210301</v>
      </c>
      <c r="G5058" s="4">
        <v>20240301</v>
      </c>
      <c r="H5058" s="4" t="s">
        <v>2894</v>
      </c>
      <c r="I5058" s="4" t="s">
        <v>2893</v>
      </c>
      <c r="J5058" s="4" t="s">
        <v>1173</v>
      </c>
    </row>
    <row r="5059" spans="1:10" hidden="1">
      <c r="A5059" s="4">
        <v>2.0210342311000099E+17</v>
      </c>
      <c r="B5059" s="4">
        <v>8608701004</v>
      </c>
      <c r="C5059" s="4" t="s">
        <v>2892</v>
      </c>
      <c r="D5059" s="4">
        <v>42311</v>
      </c>
      <c r="E5059" s="4">
        <v>20210301</v>
      </c>
      <c r="F5059" s="4">
        <v>20210301</v>
      </c>
      <c r="G5059" s="4">
        <v>20240301</v>
      </c>
      <c r="H5059" s="4" t="s">
        <v>2891</v>
      </c>
      <c r="J5059" s="4" t="s">
        <v>718</v>
      </c>
    </row>
    <row r="5060" spans="1:10" hidden="1">
      <c r="A5060" s="4">
        <v>2.0210363991000099E+17</v>
      </c>
      <c r="B5060" s="4">
        <v>7078701886</v>
      </c>
      <c r="C5060" s="4" t="s">
        <v>2890</v>
      </c>
      <c r="D5060" s="4">
        <v>63991</v>
      </c>
      <c r="E5060" s="4">
        <v>20210301</v>
      </c>
      <c r="F5060" s="4">
        <v>20210301</v>
      </c>
      <c r="G5060" s="4">
        <v>20240301</v>
      </c>
      <c r="H5060" s="4" t="s">
        <v>2889</v>
      </c>
      <c r="I5060" s="4" t="s">
        <v>2888</v>
      </c>
      <c r="J5060" s="4" t="s">
        <v>395</v>
      </c>
    </row>
    <row r="5061" spans="1:10" hidden="1">
      <c r="A5061" s="4">
        <v>2.0210220423000099E+17</v>
      </c>
      <c r="B5061" s="4">
        <v>5045292850</v>
      </c>
      <c r="C5061" s="4" t="s">
        <v>2887</v>
      </c>
      <c r="D5061" s="4">
        <v>20423</v>
      </c>
      <c r="E5061" s="4">
        <v>20210228</v>
      </c>
      <c r="F5061" s="4">
        <v>20210228</v>
      </c>
      <c r="G5061" s="4">
        <v>20240228</v>
      </c>
      <c r="H5061" s="4" t="s">
        <v>2355</v>
      </c>
      <c r="I5061" s="4" t="s">
        <v>2886</v>
      </c>
      <c r="J5061" s="4" t="s">
        <v>368</v>
      </c>
    </row>
    <row r="5062" spans="1:10" hidden="1">
      <c r="A5062" s="4">
        <v>2.0210258222000099E+17</v>
      </c>
      <c r="B5062" s="4">
        <v>4568100804</v>
      </c>
      <c r="C5062" s="4" t="s">
        <v>2885</v>
      </c>
      <c r="D5062" s="4">
        <v>58222</v>
      </c>
      <c r="E5062" s="4">
        <v>20210228</v>
      </c>
      <c r="F5062" s="4">
        <v>20210228</v>
      </c>
      <c r="G5062" s="4">
        <v>20240228</v>
      </c>
      <c r="H5062" s="4" t="s">
        <v>2884</v>
      </c>
      <c r="I5062" s="4" t="s">
        <v>2883</v>
      </c>
      <c r="J5062" s="4" t="s">
        <v>94</v>
      </c>
    </row>
    <row r="5063" spans="1:10" hidden="1">
      <c r="A5063" s="4">
        <v>2.0210272921000099E+17</v>
      </c>
      <c r="B5063" s="4">
        <v>5728101560</v>
      </c>
      <c r="C5063" s="4" t="s">
        <v>2882</v>
      </c>
      <c r="D5063" s="4">
        <v>72921</v>
      </c>
      <c r="E5063" s="4">
        <v>20210228</v>
      </c>
      <c r="F5063" s="4">
        <v>20210228</v>
      </c>
      <c r="G5063" s="4">
        <v>20240228</v>
      </c>
      <c r="H5063" s="4" t="s">
        <v>2881</v>
      </c>
      <c r="J5063" s="4" t="s">
        <v>2880</v>
      </c>
    </row>
    <row r="5064" spans="1:10" hidden="1">
      <c r="A5064" s="4">
        <v>2.0210210742000099E+17</v>
      </c>
      <c r="B5064" s="4">
        <v>5358601547</v>
      </c>
      <c r="C5064" s="4" t="s">
        <v>2879</v>
      </c>
      <c r="D5064" s="4">
        <v>10742</v>
      </c>
      <c r="E5064" s="4">
        <v>20210228</v>
      </c>
      <c r="F5064" s="4">
        <v>20210228</v>
      </c>
      <c r="G5064" s="4">
        <v>20240228</v>
      </c>
      <c r="H5064" s="4" t="s">
        <v>2878</v>
      </c>
      <c r="I5064" s="4" t="s">
        <v>2877</v>
      </c>
      <c r="J5064" s="4" t="s">
        <v>2876</v>
      </c>
    </row>
    <row r="5065" spans="1:10" hidden="1">
      <c r="A5065" s="4">
        <v>2.0210270129000099E+17</v>
      </c>
      <c r="B5065" s="4">
        <v>8128801977</v>
      </c>
      <c r="C5065" s="4" t="s">
        <v>2875</v>
      </c>
      <c r="D5065" s="4">
        <v>70129</v>
      </c>
      <c r="E5065" s="4">
        <v>20210228</v>
      </c>
      <c r="F5065" s="4">
        <v>20210228</v>
      </c>
      <c r="G5065" s="4">
        <v>20240228</v>
      </c>
      <c r="H5065" s="4" t="s">
        <v>2874</v>
      </c>
      <c r="I5065" s="4" t="s">
        <v>2873</v>
      </c>
      <c r="J5065" s="4" t="s">
        <v>937</v>
      </c>
    </row>
    <row r="5066" spans="1:10" hidden="1">
      <c r="A5066" s="4">
        <v>2.0210203211000099E+17</v>
      </c>
      <c r="B5066" s="4">
        <v>8888801917</v>
      </c>
      <c r="C5066" s="4" t="s">
        <v>2872</v>
      </c>
      <c r="D5066" s="4">
        <v>3211</v>
      </c>
      <c r="E5066" s="4">
        <v>20210227</v>
      </c>
      <c r="F5066" s="4">
        <v>20210227</v>
      </c>
      <c r="G5066" s="4">
        <v>20240227</v>
      </c>
      <c r="H5066" s="4" t="s">
        <v>2871</v>
      </c>
      <c r="I5066" s="4" t="s">
        <v>2870</v>
      </c>
      <c r="J5066" s="4" t="s">
        <v>2869</v>
      </c>
    </row>
    <row r="5067" spans="1:10" hidden="1">
      <c r="A5067" s="4">
        <v>2.0210226299000099E+17</v>
      </c>
      <c r="B5067" s="4">
        <v>1023552766</v>
      </c>
      <c r="C5067" s="4" t="s">
        <v>2868</v>
      </c>
      <c r="D5067" s="4">
        <v>26299</v>
      </c>
      <c r="E5067" s="4">
        <v>20210227</v>
      </c>
      <c r="F5067" s="4">
        <v>20210227</v>
      </c>
      <c r="G5067" s="4">
        <v>20240227</v>
      </c>
      <c r="H5067" s="4" t="s">
        <v>2867</v>
      </c>
      <c r="I5067" s="4" t="s">
        <v>149</v>
      </c>
      <c r="J5067" s="4" t="s">
        <v>339</v>
      </c>
    </row>
    <row r="5068" spans="1:10" hidden="1">
      <c r="A5068" s="4">
        <v>2.0210210122000099E+17</v>
      </c>
      <c r="B5068" s="4">
        <v>1738600108</v>
      </c>
      <c r="C5068" s="4" t="s">
        <v>2866</v>
      </c>
      <c r="D5068" s="4">
        <v>10122</v>
      </c>
      <c r="E5068" s="4">
        <v>20210226</v>
      </c>
      <c r="F5068" s="4">
        <v>20210226</v>
      </c>
      <c r="G5068" s="4">
        <v>20220424</v>
      </c>
      <c r="H5068" s="4" t="s">
        <v>2865</v>
      </c>
      <c r="J5068" s="4" t="s">
        <v>1361</v>
      </c>
    </row>
    <row r="5069" spans="1:10" hidden="1">
      <c r="A5069" s="4">
        <v>2.0210225929E+17</v>
      </c>
      <c r="B5069" s="4">
        <v>3928600863</v>
      </c>
      <c r="C5069" s="4" t="s">
        <v>2863</v>
      </c>
      <c r="D5069" s="4">
        <v>25929</v>
      </c>
      <c r="E5069" s="4">
        <v>20210226</v>
      </c>
      <c r="F5069" s="4">
        <v>20210226</v>
      </c>
      <c r="G5069" s="4">
        <v>20240226</v>
      </c>
      <c r="H5069" s="4" t="s">
        <v>2864</v>
      </c>
      <c r="I5069" s="4" t="s">
        <v>2863</v>
      </c>
      <c r="J5069" s="4" t="s">
        <v>701</v>
      </c>
    </row>
    <row r="5070" spans="1:10" hidden="1">
      <c r="A5070" s="4">
        <v>2.0210220423E+17</v>
      </c>
      <c r="B5070" s="4">
        <v>3528601073</v>
      </c>
      <c r="C5070" s="4" t="s">
        <v>2862</v>
      </c>
      <c r="D5070" s="4">
        <v>20423</v>
      </c>
      <c r="E5070" s="4">
        <v>20210226</v>
      </c>
      <c r="F5070" s="4">
        <v>20210226</v>
      </c>
      <c r="G5070" s="4">
        <v>20240226</v>
      </c>
      <c r="H5070" s="4" t="s">
        <v>2861</v>
      </c>
      <c r="J5070" s="4" t="s">
        <v>368</v>
      </c>
    </row>
    <row r="5071" spans="1:10" hidden="1">
      <c r="A5071" s="4">
        <v>2.0210233999000099E+17</v>
      </c>
      <c r="B5071" s="4">
        <v>3818102401</v>
      </c>
      <c r="C5071" s="4" t="s">
        <v>2860</v>
      </c>
      <c r="D5071" s="4">
        <v>33999</v>
      </c>
      <c r="E5071" s="4">
        <v>20210226</v>
      </c>
      <c r="F5071" s="4">
        <v>20210226</v>
      </c>
      <c r="G5071" s="4">
        <v>20240226</v>
      </c>
      <c r="H5071" s="4" t="s">
        <v>1467</v>
      </c>
      <c r="I5071" s="4" t="s">
        <v>2859</v>
      </c>
      <c r="J5071" s="4" t="s">
        <v>780</v>
      </c>
    </row>
    <row r="5072" spans="1:10" hidden="1">
      <c r="A5072" s="4">
        <v>2.0210258222000099E+17</v>
      </c>
      <c r="B5072" s="4">
        <v>6228601365</v>
      </c>
      <c r="C5072" s="4" t="s">
        <v>2858</v>
      </c>
      <c r="D5072" s="4">
        <v>58222</v>
      </c>
      <c r="E5072" s="4">
        <v>20210226</v>
      </c>
      <c r="F5072" s="4">
        <v>20210226</v>
      </c>
      <c r="G5072" s="4">
        <v>20240226</v>
      </c>
      <c r="H5072" s="4" t="s">
        <v>2857</v>
      </c>
      <c r="I5072" s="4" t="s">
        <v>142</v>
      </c>
      <c r="J5072" s="4" t="s">
        <v>94</v>
      </c>
    </row>
    <row r="5073" spans="1:10" hidden="1">
      <c r="A5073" s="4">
        <v>2.0210258222E+17</v>
      </c>
      <c r="B5073" s="4">
        <v>1258631164</v>
      </c>
      <c r="C5073" s="4" t="s">
        <v>2856</v>
      </c>
      <c r="D5073" s="4">
        <v>58222</v>
      </c>
      <c r="E5073" s="4">
        <v>20210226</v>
      </c>
      <c r="F5073" s="4">
        <v>20210226</v>
      </c>
      <c r="G5073" s="4">
        <v>20230121</v>
      </c>
      <c r="H5073" s="4" t="s">
        <v>442</v>
      </c>
      <c r="I5073" s="4" t="s">
        <v>2855</v>
      </c>
      <c r="J5073" s="4" t="s">
        <v>94</v>
      </c>
    </row>
    <row r="5074" spans="1:10" hidden="1">
      <c r="A5074" s="4">
        <v>2.0210258222E+17</v>
      </c>
      <c r="B5074" s="4">
        <v>1608701035</v>
      </c>
      <c r="C5074" s="4" t="s">
        <v>2854</v>
      </c>
      <c r="D5074" s="4">
        <v>58222</v>
      </c>
      <c r="E5074" s="4">
        <v>20210226</v>
      </c>
      <c r="F5074" s="4">
        <v>20210226</v>
      </c>
      <c r="G5074" s="4">
        <v>20240226</v>
      </c>
      <c r="H5074" s="4" t="s">
        <v>1515</v>
      </c>
      <c r="I5074" s="4" t="s">
        <v>2853</v>
      </c>
      <c r="J5074" s="4" t="s">
        <v>94</v>
      </c>
    </row>
    <row r="5075" spans="1:10" hidden="1">
      <c r="A5075" s="4">
        <v>2.0210241111E+17</v>
      </c>
      <c r="B5075" s="4">
        <v>3738600595</v>
      </c>
      <c r="C5075" s="4" t="s">
        <v>2852</v>
      </c>
      <c r="D5075" s="4">
        <v>41111</v>
      </c>
      <c r="E5075" s="4">
        <v>20210226</v>
      </c>
      <c r="F5075" s="4">
        <v>20210226</v>
      </c>
      <c r="G5075" s="4">
        <v>20240201</v>
      </c>
      <c r="H5075" s="4" t="s">
        <v>2851</v>
      </c>
      <c r="J5075" s="4" t="s">
        <v>2850</v>
      </c>
    </row>
    <row r="5076" spans="1:10" hidden="1">
      <c r="A5076" s="4">
        <v>2.0210258222E+17</v>
      </c>
      <c r="B5076" s="4">
        <v>2968700316</v>
      </c>
      <c r="C5076" s="4" t="s">
        <v>2849</v>
      </c>
      <c r="D5076" s="4">
        <v>58222</v>
      </c>
      <c r="E5076" s="4">
        <v>20210226</v>
      </c>
      <c r="F5076" s="4">
        <v>20210226</v>
      </c>
      <c r="G5076" s="4">
        <v>20230421</v>
      </c>
      <c r="H5076" s="4" t="s">
        <v>2848</v>
      </c>
      <c r="I5076" s="4" t="s">
        <v>2847</v>
      </c>
      <c r="J5076" s="4" t="s">
        <v>94</v>
      </c>
    </row>
    <row r="5077" spans="1:10" hidden="1">
      <c r="A5077" s="4">
        <v>2.0210226299E+17</v>
      </c>
      <c r="B5077" s="4">
        <v>4240401523</v>
      </c>
      <c r="C5077" s="4" t="s">
        <v>2846</v>
      </c>
      <c r="D5077" s="4">
        <v>26299</v>
      </c>
      <c r="E5077" s="4">
        <v>20210226</v>
      </c>
      <c r="F5077" s="4">
        <v>20210226</v>
      </c>
      <c r="G5077" s="4">
        <v>20240226</v>
      </c>
      <c r="H5077" s="4" t="s">
        <v>2845</v>
      </c>
      <c r="J5077" s="4" t="s">
        <v>339</v>
      </c>
    </row>
    <row r="5078" spans="1:10" hidden="1">
      <c r="A5078" s="4">
        <v>2.0210210129E+17</v>
      </c>
      <c r="B5078" s="4">
        <v>5088700373</v>
      </c>
      <c r="C5078" s="4" t="s">
        <v>2844</v>
      </c>
      <c r="D5078" s="4">
        <v>10129</v>
      </c>
      <c r="E5078" s="4">
        <v>20210226</v>
      </c>
      <c r="F5078" s="4">
        <v>20210226</v>
      </c>
      <c r="G5078" s="4">
        <v>20230428</v>
      </c>
      <c r="H5078" s="4" t="s">
        <v>2843</v>
      </c>
      <c r="J5078" s="4" t="s">
        <v>2842</v>
      </c>
    </row>
    <row r="5079" spans="1:10" hidden="1">
      <c r="A5079" s="4">
        <v>2.0210258222E+17</v>
      </c>
      <c r="B5079" s="4">
        <v>3870301566</v>
      </c>
      <c r="C5079" s="4" t="s">
        <v>2841</v>
      </c>
      <c r="D5079" s="4">
        <v>58222</v>
      </c>
      <c r="E5079" s="4">
        <v>20210226</v>
      </c>
      <c r="F5079" s="4">
        <v>20210226</v>
      </c>
      <c r="G5079" s="4">
        <v>20240226</v>
      </c>
      <c r="H5079" s="4" t="s">
        <v>2840</v>
      </c>
      <c r="I5079" s="4" t="s">
        <v>2839</v>
      </c>
      <c r="J5079" s="4" t="s">
        <v>94</v>
      </c>
    </row>
    <row r="5080" spans="1:10" hidden="1">
      <c r="A5080" s="4">
        <v>2.021024651E+17</v>
      </c>
      <c r="B5080" s="4">
        <v>6868100647</v>
      </c>
      <c r="C5080" s="4" t="s">
        <v>2838</v>
      </c>
      <c r="D5080" s="4">
        <v>46510</v>
      </c>
      <c r="E5080" s="4">
        <v>20210226</v>
      </c>
      <c r="F5080" s="4">
        <v>20210226</v>
      </c>
      <c r="G5080" s="4">
        <v>20231215</v>
      </c>
      <c r="H5080" s="4" t="s">
        <v>2837</v>
      </c>
      <c r="I5080" s="4" t="s">
        <v>2836</v>
      </c>
      <c r="J5080" s="4" t="s">
        <v>126</v>
      </c>
    </row>
    <row r="5081" spans="1:10" hidden="1">
      <c r="A5081" s="4">
        <v>2.0210229163E+17</v>
      </c>
      <c r="B5081" s="4">
        <v>1648601059</v>
      </c>
      <c r="C5081" s="4" t="s">
        <v>2835</v>
      </c>
      <c r="D5081" s="4">
        <v>29163</v>
      </c>
      <c r="E5081" s="4">
        <v>20210226</v>
      </c>
      <c r="F5081" s="4">
        <v>20210226</v>
      </c>
      <c r="G5081" s="4">
        <v>20240226</v>
      </c>
      <c r="H5081" s="4" t="s">
        <v>2326</v>
      </c>
      <c r="I5081" s="4" t="s">
        <v>2834</v>
      </c>
      <c r="J5081" s="4" t="s">
        <v>313</v>
      </c>
    </row>
    <row r="5082" spans="1:10" hidden="1">
      <c r="A5082" s="4">
        <v>2.021022921E+17</v>
      </c>
      <c r="B5082" s="4">
        <v>6446800339</v>
      </c>
      <c r="C5082" s="4" t="s">
        <v>2833</v>
      </c>
      <c r="D5082" s="4">
        <v>29210</v>
      </c>
      <c r="E5082" s="4">
        <v>20210226</v>
      </c>
      <c r="F5082" s="4">
        <v>20210226</v>
      </c>
      <c r="G5082" s="4">
        <v>20240226</v>
      </c>
      <c r="H5082" s="4" t="s">
        <v>2832</v>
      </c>
      <c r="J5082" s="4" t="s">
        <v>1274</v>
      </c>
    </row>
    <row r="5083" spans="1:10" hidden="1">
      <c r="A5083" s="4">
        <v>2.0210213219E+17</v>
      </c>
      <c r="B5083" s="4">
        <v>7698601460</v>
      </c>
      <c r="C5083" s="4" t="s">
        <v>2831</v>
      </c>
      <c r="D5083" s="4">
        <v>13219</v>
      </c>
      <c r="E5083" s="4">
        <v>20210226</v>
      </c>
      <c r="F5083" s="4">
        <v>20210226</v>
      </c>
      <c r="G5083" s="4">
        <v>20240226</v>
      </c>
      <c r="H5083" s="4" t="s">
        <v>2830</v>
      </c>
      <c r="J5083" s="4" t="s">
        <v>2829</v>
      </c>
    </row>
    <row r="5084" spans="1:10" hidden="1">
      <c r="A5084" s="4">
        <v>2.0210228410000099E+17</v>
      </c>
      <c r="B5084" s="4">
        <v>5131963406</v>
      </c>
      <c r="C5084" s="4" t="s">
        <v>2828</v>
      </c>
      <c r="D5084" s="4">
        <v>28410</v>
      </c>
      <c r="E5084" s="4">
        <v>20210226</v>
      </c>
      <c r="F5084" s="4">
        <v>20210226</v>
      </c>
      <c r="G5084" s="4">
        <v>20220211</v>
      </c>
      <c r="H5084" s="4" t="s">
        <v>2827</v>
      </c>
      <c r="I5084" s="4" t="s">
        <v>2826</v>
      </c>
      <c r="J5084" s="4" t="s">
        <v>2199</v>
      </c>
    </row>
    <row r="5085" spans="1:10" hidden="1">
      <c r="A5085" s="4">
        <v>2.0210210749000099E+17</v>
      </c>
      <c r="B5085" s="4">
        <v>8133000742</v>
      </c>
      <c r="C5085" s="4" t="s">
        <v>2825</v>
      </c>
      <c r="D5085" s="4">
        <v>10749</v>
      </c>
      <c r="E5085" s="4">
        <v>20210226</v>
      </c>
      <c r="F5085" s="4">
        <v>20210226</v>
      </c>
      <c r="G5085" s="4">
        <v>20240226</v>
      </c>
      <c r="H5085" s="4" t="s">
        <v>2824</v>
      </c>
      <c r="I5085" s="4" t="s">
        <v>2823</v>
      </c>
      <c r="J5085" s="4" t="s">
        <v>2822</v>
      </c>
    </row>
    <row r="5086" spans="1:10" hidden="1">
      <c r="A5086" s="4">
        <v>2.0210242201E+17</v>
      </c>
      <c r="B5086" s="4">
        <v>4498801333</v>
      </c>
      <c r="C5086" s="4" t="s">
        <v>2821</v>
      </c>
      <c r="D5086" s="4">
        <v>42201</v>
      </c>
      <c r="E5086" s="4">
        <v>20210226</v>
      </c>
      <c r="F5086" s="4">
        <v>20210226</v>
      </c>
      <c r="G5086" s="4">
        <v>20240226</v>
      </c>
      <c r="H5086" s="4" t="s">
        <v>2820</v>
      </c>
      <c r="I5086" s="4" t="s">
        <v>2819</v>
      </c>
      <c r="J5086" s="4" t="s">
        <v>1710</v>
      </c>
    </row>
    <row r="5087" spans="1:10" hidden="1">
      <c r="A5087" s="4">
        <v>2.021026201E+17</v>
      </c>
      <c r="B5087" s="4">
        <v>4898801156</v>
      </c>
      <c r="C5087" s="4" t="s">
        <v>2818</v>
      </c>
      <c r="D5087" s="4">
        <v>62010</v>
      </c>
      <c r="E5087" s="4">
        <v>20210226</v>
      </c>
      <c r="F5087" s="4">
        <v>20210226</v>
      </c>
      <c r="G5087" s="4">
        <v>20240226</v>
      </c>
      <c r="H5087" s="4" t="s">
        <v>2817</v>
      </c>
      <c r="J5087" s="4" t="s">
        <v>118</v>
      </c>
    </row>
    <row r="5088" spans="1:10" hidden="1">
      <c r="A5088" s="4">
        <v>2.02102213E+17</v>
      </c>
      <c r="B5088" s="4">
        <v>6104021206</v>
      </c>
      <c r="C5088" s="4" t="s">
        <v>2816</v>
      </c>
      <c r="D5088" s="4">
        <v>21300</v>
      </c>
      <c r="E5088" s="4">
        <v>20210226</v>
      </c>
      <c r="F5088" s="4">
        <v>20210226</v>
      </c>
      <c r="G5088" s="4">
        <v>20240226</v>
      </c>
      <c r="H5088" s="4" t="s">
        <v>2815</v>
      </c>
      <c r="J5088" s="4" t="s">
        <v>530</v>
      </c>
    </row>
    <row r="5089" spans="1:10" hidden="1">
      <c r="A5089" s="4">
        <v>2.0210263991000099E+17</v>
      </c>
      <c r="B5089" s="4">
        <v>1228801743</v>
      </c>
      <c r="C5089" s="4" t="s">
        <v>2814</v>
      </c>
      <c r="D5089" s="4">
        <v>63991</v>
      </c>
      <c r="E5089" s="4">
        <v>20210226</v>
      </c>
      <c r="F5089" s="4">
        <v>20210226</v>
      </c>
      <c r="G5089" s="4">
        <v>20240226</v>
      </c>
      <c r="H5089" s="4" t="s">
        <v>2813</v>
      </c>
      <c r="I5089" s="4" t="s">
        <v>591</v>
      </c>
      <c r="J5089" s="4" t="s">
        <v>395</v>
      </c>
    </row>
    <row r="5090" spans="1:10" hidden="1">
      <c r="A5090" s="4">
        <v>2.0210216103E+17</v>
      </c>
      <c r="B5090" s="4">
        <v>5722900258</v>
      </c>
      <c r="C5090" s="4" t="s">
        <v>2812</v>
      </c>
      <c r="D5090" s="4">
        <v>16103</v>
      </c>
      <c r="E5090" s="4">
        <v>20210226</v>
      </c>
      <c r="F5090" s="4">
        <v>20210226</v>
      </c>
      <c r="G5090" s="4">
        <v>20230902</v>
      </c>
      <c r="H5090" s="4" t="s">
        <v>2811</v>
      </c>
      <c r="J5090" s="4" t="s">
        <v>912</v>
      </c>
    </row>
    <row r="5091" spans="1:10" hidden="1">
      <c r="A5091" s="4">
        <v>2.0210228422E+17</v>
      </c>
      <c r="B5091" s="4">
        <v>4844200417</v>
      </c>
      <c r="C5091" s="4" t="s">
        <v>2810</v>
      </c>
      <c r="D5091" s="4">
        <v>28422</v>
      </c>
      <c r="E5091" s="4">
        <v>20210226</v>
      </c>
      <c r="F5091" s="4">
        <v>20210226</v>
      </c>
      <c r="G5091" s="4">
        <v>20240226</v>
      </c>
      <c r="H5091" s="4" t="s">
        <v>2809</v>
      </c>
      <c r="J5091" s="4" t="s">
        <v>188</v>
      </c>
    </row>
    <row r="5092" spans="1:10" hidden="1">
      <c r="A5092" s="4">
        <v>2.0210226212000099E+17</v>
      </c>
      <c r="B5092" s="4">
        <v>2063700851</v>
      </c>
      <c r="C5092" s="4" t="s">
        <v>2808</v>
      </c>
      <c r="D5092" s="4">
        <v>26212</v>
      </c>
      <c r="E5092" s="4">
        <v>20210226</v>
      </c>
      <c r="F5092" s="4">
        <v>20210226</v>
      </c>
      <c r="G5092" s="4">
        <v>20240226</v>
      </c>
      <c r="H5092" s="4" t="s">
        <v>2807</v>
      </c>
      <c r="J5092" s="4" t="s">
        <v>2806</v>
      </c>
    </row>
    <row r="5093" spans="1:10" hidden="1">
      <c r="A5093" s="4">
        <v>2.021027013E+17</v>
      </c>
      <c r="B5093" s="4">
        <v>4661400997</v>
      </c>
      <c r="C5093" s="4" t="s">
        <v>2805</v>
      </c>
      <c r="D5093" s="4">
        <v>70130</v>
      </c>
      <c r="E5093" s="4">
        <v>20210226</v>
      </c>
      <c r="F5093" s="4">
        <v>20210226</v>
      </c>
      <c r="G5093" s="4">
        <v>20240226</v>
      </c>
      <c r="H5093" s="4" t="s">
        <v>2804</v>
      </c>
      <c r="I5093" s="4" t="s">
        <v>2803</v>
      </c>
      <c r="J5093" s="4" t="s">
        <v>170</v>
      </c>
    </row>
    <row r="5094" spans="1:10" hidden="1">
      <c r="A5094" s="4">
        <v>2.0210258222E+17</v>
      </c>
      <c r="B5094" s="4">
        <v>3478101402</v>
      </c>
      <c r="C5094" s="4" t="s">
        <v>2802</v>
      </c>
      <c r="D5094" s="4">
        <v>58222</v>
      </c>
      <c r="E5094" s="4">
        <v>20210226</v>
      </c>
      <c r="F5094" s="4">
        <v>20210226</v>
      </c>
      <c r="G5094" s="4">
        <v>20240226</v>
      </c>
      <c r="H5094" s="4" t="s">
        <v>2801</v>
      </c>
      <c r="I5094" s="4" t="s">
        <v>2800</v>
      </c>
      <c r="J5094" s="4" t="s">
        <v>94</v>
      </c>
    </row>
    <row r="5095" spans="1:10" hidden="1">
      <c r="A5095" s="4">
        <v>2.0210231114E+17</v>
      </c>
      <c r="B5095" s="4">
        <v>3694000486</v>
      </c>
      <c r="C5095" s="4" t="s">
        <v>2799</v>
      </c>
      <c r="D5095" s="4">
        <v>31114</v>
      </c>
      <c r="E5095" s="4">
        <v>20210226</v>
      </c>
      <c r="F5095" s="4">
        <v>20210226</v>
      </c>
      <c r="G5095" s="4">
        <v>20240226</v>
      </c>
      <c r="H5095" s="4" t="s">
        <v>2798</v>
      </c>
      <c r="J5095" s="4" t="s">
        <v>1070</v>
      </c>
    </row>
    <row r="5096" spans="1:10" hidden="1">
      <c r="A5096" s="4">
        <v>2.0210258222000099E+17</v>
      </c>
      <c r="B5096" s="4">
        <v>5678101684</v>
      </c>
      <c r="C5096" s="4" t="s">
        <v>2797</v>
      </c>
      <c r="D5096" s="4">
        <v>58222</v>
      </c>
      <c r="E5096" s="4">
        <v>20210226</v>
      </c>
      <c r="F5096" s="4">
        <v>20210226</v>
      </c>
      <c r="G5096" s="4">
        <v>20240226</v>
      </c>
      <c r="H5096" s="4" t="s">
        <v>2782</v>
      </c>
      <c r="I5096" s="4" t="s">
        <v>2796</v>
      </c>
      <c r="J5096" s="4" t="s">
        <v>94</v>
      </c>
    </row>
    <row r="5097" spans="1:10" hidden="1">
      <c r="A5097" s="4">
        <v>2.0210247912E+17</v>
      </c>
      <c r="B5097" s="4">
        <v>3280901031</v>
      </c>
      <c r="C5097" s="4" t="s">
        <v>2795</v>
      </c>
      <c r="D5097" s="4">
        <v>47912</v>
      </c>
      <c r="E5097" s="4">
        <v>20210226</v>
      </c>
      <c r="F5097" s="4">
        <v>20210226</v>
      </c>
      <c r="G5097" s="4">
        <v>20240226</v>
      </c>
      <c r="H5097" s="4" t="s">
        <v>2794</v>
      </c>
      <c r="I5097" s="4" t="s">
        <v>2793</v>
      </c>
      <c r="J5097" s="4" t="s">
        <v>78</v>
      </c>
    </row>
    <row r="5098" spans="1:10" hidden="1">
      <c r="A5098" s="4">
        <v>2.0210262021000099E+17</v>
      </c>
      <c r="B5098" s="4">
        <v>5078700026</v>
      </c>
      <c r="C5098" s="4" t="s">
        <v>2792</v>
      </c>
      <c r="D5098" s="4">
        <v>62021</v>
      </c>
      <c r="E5098" s="4">
        <v>20210226</v>
      </c>
      <c r="F5098" s="4">
        <v>20210226</v>
      </c>
      <c r="G5098" s="4">
        <v>20220410</v>
      </c>
      <c r="H5098" s="4" t="s">
        <v>2791</v>
      </c>
      <c r="I5098" s="4" t="s">
        <v>2790</v>
      </c>
      <c r="J5098" s="4" t="s">
        <v>1505</v>
      </c>
    </row>
    <row r="5099" spans="1:10" hidden="1">
      <c r="A5099" s="4">
        <v>2.0210258222E+17</v>
      </c>
      <c r="B5099" s="4">
        <v>6568100063</v>
      </c>
      <c r="C5099" s="4" t="s">
        <v>2789</v>
      </c>
      <c r="D5099" s="4">
        <v>58222</v>
      </c>
      <c r="E5099" s="4">
        <v>20210226</v>
      </c>
      <c r="F5099" s="4">
        <v>20210226</v>
      </c>
      <c r="G5099" s="4">
        <v>20220504</v>
      </c>
      <c r="H5099" s="4" t="s">
        <v>2788</v>
      </c>
      <c r="I5099" s="4" t="s">
        <v>657</v>
      </c>
      <c r="J5099" s="4" t="s">
        <v>94</v>
      </c>
    </row>
    <row r="5100" spans="1:10" hidden="1">
      <c r="A5100" s="4">
        <v>2.0210263991E+17</v>
      </c>
      <c r="B5100" s="4">
        <v>8542600727</v>
      </c>
      <c r="C5100" s="4" t="s">
        <v>2787</v>
      </c>
      <c r="D5100" s="4">
        <v>63991</v>
      </c>
      <c r="E5100" s="4">
        <v>20210226</v>
      </c>
      <c r="F5100" s="4">
        <v>20210226</v>
      </c>
      <c r="G5100" s="4">
        <v>20240226</v>
      </c>
      <c r="H5100" s="4" t="s">
        <v>2786</v>
      </c>
      <c r="I5100" s="4">
        <v>201</v>
      </c>
      <c r="J5100" s="4" t="s">
        <v>395</v>
      </c>
    </row>
    <row r="5101" spans="1:10" hidden="1">
      <c r="A5101" s="4">
        <v>2.0210225999E+17</v>
      </c>
      <c r="B5101" s="4">
        <v>2391600685</v>
      </c>
      <c r="C5101" s="4" t="s">
        <v>2785</v>
      </c>
      <c r="D5101" s="4">
        <v>25999</v>
      </c>
      <c r="E5101" s="4">
        <v>20210226</v>
      </c>
      <c r="F5101" s="4">
        <v>20210226</v>
      </c>
      <c r="G5101" s="4">
        <v>20240226</v>
      </c>
      <c r="H5101" s="4" t="s">
        <v>2784</v>
      </c>
      <c r="J5101" s="4" t="s">
        <v>301</v>
      </c>
    </row>
    <row r="5102" spans="1:10" hidden="1">
      <c r="A5102" s="4">
        <v>2.0210228422E+17</v>
      </c>
      <c r="B5102" s="4">
        <v>3514100406</v>
      </c>
      <c r="C5102" s="4" t="s">
        <v>2783</v>
      </c>
      <c r="D5102" s="4">
        <v>28422</v>
      </c>
      <c r="E5102" s="4">
        <v>20210226</v>
      </c>
      <c r="F5102" s="4">
        <v>20210226</v>
      </c>
      <c r="G5102" s="4">
        <v>20240226</v>
      </c>
      <c r="H5102" s="4" t="s">
        <v>2782</v>
      </c>
      <c r="I5102" s="4" t="s">
        <v>2781</v>
      </c>
      <c r="J5102" s="4" t="s">
        <v>188</v>
      </c>
    </row>
    <row r="5103" spans="1:10" hidden="1">
      <c r="A5103" s="4">
        <v>2.0210272122E+17</v>
      </c>
      <c r="B5103" s="4">
        <v>8968601821</v>
      </c>
      <c r="C5103" s="4" t="s">
        <v>2780</v>
      </c>
      <c r="D5103" s="4">
        <v>72122</v>
      </c>
      <c r="E5103" s="4">
        <v>20210226</v>
      </c>
      <c r="F5103" s="4">
        <v>20210226</v>
      </c>
      <c r="G5103" s="4">
        <v>20240226</v>
      </c>
      <c r="H5103" s="4" t="s">
        <v>2779</v>
      </c>
      <c r="I5103" s="4" t="s">
        <v>2778</v>
      </c>
      <c r="J5103" s="4" t="s">
        <v>2484</v>
      </c>
    </row>
    <row r="5104" spans="1:10" hidden="1">
      <c r="A5104" s="4">
        <v>2.0210229175E+17</v>
      </c>
      <c r="B5104" s="4">
        <v>4238101782</v>
      </c>
      <c r="C5104" s="4" t="s">
        <v>2777</v>
      </c>
      <c r="D5104" s="4">
        <v>29175</v>
      </c>
      <c r="E5104" s="4">
        <v>20210226</v>
      </c>
      <c r="F5104" s="4">
        <v>20210226</v>
      </c>
      <c r="G5104" s="4">
        <v>20240226</v>
      </c>
      <c r="H5104" s="4" t="s">
        <v>206</v>
      </c>
      <c r="I5104" s="4" t="s">
        <v>2776</v>
      </c>
      <c r="J5104" s="4" t="s">
        <v>232</v>
      </c>
    </row>
    <row r="5105" spans="1:10" hidden="1">
      <c r="A5105" s="4">
        <v>2.0210228111E+17</v>
      </c>
      <c r="B5105" s="4">
        <v>4718701648</v>
      </c>
      <c r="C5105" s="4" t="s">
        <v>2775</v>
      </c>
      <c r="D5105" s="4">
        <v>28111</v>
      </c>
      <c r="E5105" s="4">
        <v>20210226</v>
      </c>
      <c r="F5105" s="4">
        <v>20210226</v>
      </c>
      <c r="G5105" s="4">
        <v>20240226</v>
      </c>
      <c r="H5105" s="4" t="s">
        <v>2774</v>
      </c>
      <c r="I5105" s="4" t="s">
        <v>185</v>
      </c>
      <c r="J5105" s="4" t="s">
        <v>1614</v>
      </c>
    </row>
    <row r="5106" spans="1:10" hidden="1">
      <c r="A5106" s="4">
        <v>2.0210258222E+17</v>
      </c>
      <c r="B5106" s="4">
        <v>3288701650</v>
      </c>
      <c r="C5106" s="4" t="s">
        <v>2773</v>
      </c>
      <c r="D5106" s="4">
        <v>58222</v>
      </c>
      <c r="E5106" s="4">
        <v>20210226</v>
      </c>
      <c r="F5106" s="4">
        <v>20210226</v>
      </c>
      <c r="G5106" s="4">
        <v>20240226</v>
      </c>
      <c r="H5106" s="4" t="s">
        <v>2772</v>
      </c>
      <c r="I5106" s="4" t="s">
        <v>2771</v>
      </c>
      <c r="J5106" s="4" t="s">
        <v>94</v>
      </c>
    </row>
    <row r="5107" spans="1:10" hidden="1">
      <c r="A5107" s="4">
        <v>2.0210258222000099E+17</v>
      </c>
      <c r="B5107" s="4">
        <v>1648700120</v>
      </c>
      <c r="C5107" s="4" t="s">
        <v>2770</v>
      </c>
      <c r="D5107" s="4">
        <v>58222</v>
      </c>
      <c r="E5107" s="4">
        <v>20210226</v>
      </c>
      <c r="F5107" s="4">
        <v>20210226</v>
      </c>
      <c r="G5107" s="4">
        <v>20220706</v>
      </c>
      <c r="H5107" s="4" t="s">
        <v>2769</v>
      </c>
      <c r="I5107" s="4">
        <v>1103</v>
      </c>
      <c r="J5107" s="4" t="s">
        <v>94</v>
      </c>
    </row>
    <row r="5108" spans="1:10" hidden="1">
      <c r="A5108" s="4">
        <v>2.0210228519E+17</v>
      </c>
      <c r="B5108" s="4">
        <v>6448801224</v>
      </c>
      <c r="C5108" s="4" t="s">
        <v>2768</v>
      </c>
      <c r="D5108" s="4">
        <v>28519</v>
      </c>
      <c r="E5108" s="4">
        <v>20210226</v>
      </c>
      <c r="F5108" s="4">
        <v>20210226</v>
      </c>
      <c r="G5108" s="4">
        <v>20240226</v>
      </c>
      <c r="H5108" s="4" t="s">
        <v>2767</v>
      </c>
      <c r="I5108" s="4" t="s">
        <v>2766</v>
      </c>
      <c r="J5108" s="4" t="s">
        <v>1412</v>
      </c>
    </row>
    <row r="5109" spans="1:10" hidden="1">
      <c r="A5109" s="4">
        <v>2.0210223325E+17</v>
      </c>
      <c r="B5109" s="4">
        <v>3818601014</v>
      </c>
      <c r="C5109" s="4" t="s">
        <v>2765</v>
      </c>
      <c r="D5109" s="4">
        <v>23325</v>
      </c>
      <c r="E5109" s="4">
        <v>20210226</v>
      </c>
      <c r="F5109" s="4">
        <v>20210226</v>
      </c>
      <c r="G5109" s="4">
        <v>20240226</v>
      </c>
      <c r="H5109" s="4" t="s">
        <v>2764</v>
      </c>
      <c r="J5109" s="4" t="s">
        <v>2588</v>
      </c>
    </row>
    <row r="5110" spans="1:10" hidden="1">
      <c r="A5110" s="4">
        <v>2.0210258222E+17</v>
      </c>
      <c r="B5110" s="4">
        <v>4568601550</v>
      </c>
      <c r="C5110" s="4" t="s">
        <v>2763</v>
      </c>
      <c r="D5110" s="4">
        <v>58222</v>
      </c>
      <c r="E5110" s="4">
        <v>20210226</v>
      </c>
      <c r="F5110" s="4">
        <v>20210226</v>
      </c>
      <c r="G5110" s="4">
        <v>20240226</v>
      </c>
      <c r="H5110" s="4" t="s">
        <v>2762</v>
      </c>
      <c r="I5110" s="4" t="s">
        <v>2761</v>
      </c>
      <c r="J5110" s="4" t="s">
        <v>94</v>
      </c>
    </row>
    <row r="5111" spans="1:10" hidden="1">
      <c r="A5111" s="4">
        <v>2.021024242E+17</v>
      </c>
      <c r="B5111" s="4">
        <v>7058101267</v>
      </c>
      <c r="C5111" s="4" t="s">
        <v>2760</v>
      </c>
      <c r="D5111" s="4">
        <v>42420</v>
      </c>
      <c r="E5111" s="4">
        <v>20210226</v>
      </c>
      <c r="F5111" s="4">
        <v>20210226</v>
      </c>
      <c r="G5111" s="4">
        <v>20240226</v>
      </c>
      <c r="H5111" s="4" t="s">
        <v>2759</v>
      </c>
      <c r="J5111" s="4" t="s">
        <v>1649</v>
      </c>
    </row>
    <row r="5112" spans="1:10" hidden="1">
      <c r="A5112" s="4">
        <v>2.0210229194E+17</v>
      </c>
      <c r="B5112" s="4">
        <v>8558101806</v>
      </c>
      <c r="C5112" s="4" t="s">
        <v>2758</v>
      </c>
      <c r="D5112" s="4">
        <v>29194</v>
      </c>
      <c r="E5112" s="4">
        <v>20210226</v>
      </c>
      <c r="F5112" s="4">
        <v>20210226</v>
      </c>
      <c r="G5112" s="4">
        <v>20240226</v>
      </c>
      <c r="H5112" s="4" t="s">
        <v>474</v>
      </c>
      <c r="I5112" s="4" t="s">
        <v>2757</v>
      </c>
      <c r="J5112" s="4" t="s">
        <v>2756</v>
      </c>
    </row>
    <row r="5113" spans="1:10" hidden="1">
      <c r="A5113" s="4">
        <v>2.0210242321000099E+17</v>
      </c>
      <c r="B5113" s="4">
        <v>3948701491</v>
      </c>
      <c r="C5113" s="4" t="s">
        <v>2755</v>
      </c>
      <c r="D5113" s="4">
        <v>42321</v>
      </c>
      <c r="E5113" s="4">
        <v>20210226</v>
      </c>
      <c r="F5113" s="4">
        <v>20210226</v>
      </c>
      <c r="G5113" s="4">
        <v>20240226</v>
      </c>
      <c r="H5113" s="4" t="s">
        <v>2754</v>
      </c>
      <c r="J5113" s="4" t="s">
        <v>698</v>
      </c>
    </row>
    <row r="5114" spans="1:10" hidden="1">
      <c r="A5114" s="4">
        <v>2.0210258222E+17</v>
      </c>
      <c r="B5114" s="4">
        <v>5688601455</v>
      </c>
      <c r="C5114" s="4" t="s">
        <v>2753</v>
      </c>
      <c r="D5114" s="4">
        <v>58222</v>
      </c>
      <c r="E5114" s="4">
        <v>20210226</v>
      </c>
      <c r="F5114" s="4">
        <v>20210226</v>
      </c>
      <c r="G5114" s="4">
        <v>20240226</v>
      </c>
      <c r="H5114" s="4" t="s">
        <v>2752</v>
      </c>
      <c r="I5114" s="4" t="s">
        <v>2751</v>
      </c>
      <c r="J5114" s="4" t="s">
        <v>94</v>
      </c>
    </row>
    <row r="5115" spans="1:10" hidden="1">
      <c r="A5115" s="4">
        <v>2.0210258222000099E+17</v>
      </c>
      <c r="B5115" s="4">
        <v>8608801409</v>
      </c>
      <c r="C5115" s="4" t="s">
        <v>2750</v>
      </c>
      <c r="D5115" s="4">
        <v>58222</v>
      </c>
      <c r="E5115" s="4">
        <v>20210226</v>
      </c>
      <c r="F5115" s="4">
        <v>20210226</v>
      </c>
      <c r="G5115" s="4">
        <v>20240226</v>
      </c>
      <c r="H5115" s="4" t="s">
        <v>2749</v>
      </c>
      <c r="I5115" s="4" t="s">
        <v>1695</v>
      </c>
      <c r="J5115" s="4" t="s">
        <v>94</v>
      </c>
    </row>
    <row r="5116" spans="1:10" hidden="1">
      <c r="A5116" s="4">
        <v>2.0210213999E+17</v>
      </c>
      <c r="B5116" s="4">
        <v>4478100703</v>
      </c>
      <c r="C5116" s="4" t="s">
        <v>2748</v>
      </c>
      <c r="D5116" s="4">
        <v>13999</v>
      </c>
      <c r="E5116" s="4">
        <v>20210226</v>
      </c>
      <c r="F5116" s="4">
        <v>20210226</v>
      </c>
      <c r="G5116" s="4">
        <v>20240210</v>
      </c>
      <c r="H5116" s="4" t="s">
        <v>2747</v>
      </c>
      <c r="J5116" s="4" t="s">
        <v>130</v>
      </c>
    </row>
    <row r="5117" spans="1:10" hidden="1">
      <c r="A5117" s="4">
        <v>2.0210226112E+17</v>
      </c>
      <c r="B5117" s="4">
        <v>8598101905</v>
      </c>
      <c r="C5117" s="4" t="s">
        <v>2746</v>
      </c>
      <c r="D5117" s="4">
        <v>26112</v>
      </c>
      <c r="E5117" s="4">
        <v>20210226</v>
      </c>
      <c r="F5117" s="4">
        <v>20210226</v>
      </c>
      <c r="G5117" s="4">
        <v>20240226</v>
      </c>
      <c r="H5117" s="4" t="s">
        <v>2745</v>
      </c>
      <c r="I5117" s="4" t="s">
        <v>2744</v>
      </c>
      <c r="J5117" s="4" t="s">
        <v>2743</v>
      </c>
    </row>
    <row r="5118" spans="1:10" hidden="1">
      <c r="A5118" s="4">
        <v>2.0210228422E+17</v>
      </c>
      <c r="B5118" s="4">
        <v>8198701758</v>
      </c>
      <c r="C5118" s="4" t="s">
        <v>2742</v>
      </c>
      <c r="D5118" s="4">
        <v>28422</v>
      </c>
      <c r="E5118" s="4">
        <v>20210226</v>
      </c>
      <c r="F5118" s="4">
        <v>20210226</v>
      </c>
      <c r="G5118" s="4">
        <v>20240226</v>
      </c>
      <c r="H5118" s="4" t="s">
        <v>2741</v>
      </c>
      <c r="I5118" s="4" t="s">
        <v>2740</v>
      </c>
      <c r="J5118" s="4" t="s">
        <v>188</v>
      </c>
    </row>
    <row r="5119" spans="1:10" hidden="1">
      <c r="A5119" s="4">
        <v>2.0210271531E+17</v>
      </c>
      <c r="B5119" s="4">
        <v>2328600673</v>
      </c>
      <c r="C5119" s="4" t="s">
        <v>2739</v>
      </c>
      <c r="D5119" s="4">
        <v>71531</v>
      </c>
      <c r="E5119" s="4">
        <v>20210226</v>
      </c>
      <c r="F5119" s="4">
        <v>20210226</v>
      </c>
      <c r="G5119" s="4">
        <v>20231226</v>
      </c>
      <c r="H5119" s="4" t="s">
        <v>2738</v>
      </c>
      <c r="I5119" s="4" t="s">
        <v>2737</v>
      </c>
      <c r="J5119" s="4" t="s">
        <v>87</v>
      </c>
    </row>
    <row r="5120" spans="1:10" hidden="1">
      <c r="A5120" s="4">
        <v>2.0210258222E+17</v>
      </c>
      <c r="B5120" s="4">
        <v>8208601616</v>
      </c>
      <c r="C5120" s="4" t="s">
        <v>2736</v>
      </c>
      <c r="D5120" s="4">
        <v>58222</v>
      </c>
      <c r="E5120" s="4">
        <v>20210226</v>
      </c>
      <c r="F5120" s="4">
        <v>20210226</v>
      </c>
      <c r="G5120" s="4">
        <v>20240226</v>
      </c>
      <c r="H5120" s="4" t="s">
        <v>2735</v>
      </c>
      <c r="I5120" s="4" t="s">
        <v>1695</v>
      </c>
      <c r="J5120" s="4" t="s">
        <v>94</v>
      </c>
    </row>
    <row r="5121" spans="1:10" hidden="1">
      <c r="A5121" s="4">
        <v>2.0210258222E+17</v>
      </c>
      <c r="B5121" s="4">
        <v>5848101753</v>
      </c>
      <c r="C5121" s="4" t="s">
        <v>2734</v>
      </c>
      <c r="D5121" s="4">
        <v>58222</v>
      </c>
      <c r="E5121" s="4">
        <v>20210226</v>
      </c>
      <c r="F5121" s="4">
        <v>20210226</v>
      </c>
      <c r="G5121" s="4">
        <v>20240226</v>
      </c>
      <c r="H5121" s="4" t="s">
        <v>2733</v>
      </c>
      <c r="I5121" s="4" t="s">
        <v>2732</v>
      </c>
      <c r="J5121" s="4" t="s">
        <v>94</v>
      </c>
    </row>
    <row r="5122" spans="1:10" hidden="1">
      <c r="A5122" s="4">
        <v>2.0210225924E+17</v>
      </c>
      <c r="B5122" s="4">
        <v>7068601718</v>
      </c>
      <c r="C5122" s="4" t="s">
        <v>2731</v>
      </c>
      <c r="D5122" s="4">
        <v>25924</v>
      </c>
      <c r="E5122" s="4">
        <v>20210226</v>
      </c>
      <c r="F5122" s="4">
        <v>20210226</v>
      </c>
      <c r="G5122" s="4">
        <v>20240226</v>
      </c>
      <c r="H5122" s="4" t="s">
        <v>2730</v>
      </c>
      <c r="I5122" s="4" t="s">
        <v>2729</v>
      </c>
      <c r="J5122" s="4" t="s">
        <v>757</v>
      </c>
    </row>
    <row r="5123" spans="1:10" hidden="1">
      <c r="A5123" s="4">
        <v>2.0210223325E+17</v>
      </c>
      <c r="B5123" s="4">
        <v>3448701351</v>
      </c>
      <c r="C5123" s="4" t="s">
        <v>2728</v>
      </c>
      <c r="D5123" s="4">
        <v>23325</v>
      </c>
      <c r="E5123" s="4">
        <v>20210226</v>
      </c>
      <c r="F5123" s="4">
        <v>20210226</v>
      </c>
      <c r="G5123" s="4">
        <v>20240226</v>
      </c>
      <c r="H5123" s="4" t="s">
        <v>2727</v>
      </c>
      <c r="J5123" s="4" t="s">
        <v>2588</v>
      </c>
    </row>
    <row r="5124" spans="1:10" hidden="1">
      <c r="A5124" s="4">
        <v>2.0210223325E+17</v>
      </c>
      <c r="B5124" s="4">
        <v>4868801195</v>
      </c>
      <c r="C5124" s="4" t="s">
        <v>2726</v>
      </c>
      <c r="D5124" s="4">
        <v>23325</v>
      </c>
      <c r="E5124" s="4">
        <v>20210226</v>
      </c>
      <c r="F5124" s="4">
        <v>20210226</v>
      </c>
      <c r="G5124" s="4">
        <v>20240226</v>
      </c>
      <c r="H5124" s="4" t="s">
        <v>2725</v>
      </c>
      <c r="J5124" s="4" t="s">
        <v>2588</v>
      </c>
    </row>
    <row r="5125" spans="1:10" hidden="1">
      <c r="A5125" s="4">
        <v>2.0210220422E+17</v>
      </c>
      <c r="B5125" s="4">
        <v>1858700791</v>
      </c>
      <c r="C5125" s="4" t="s">
        <v>2724</v>
      </c>
      <c r="D5125" s="4">
        <v>20422</v>
      </c>
      <c r="E5125" s="4">
        <v>20210226</v>
      </c>
      <c r="F5125" s="4">
        <v>20210226</v>
      </c>
      <c r="G5125" s="4">
        <v>20240226</v>
      </c>
      <c r="H5125" s="4" t="s">
        <v>2723</v>
      </c>
      <c r="I5125" s="4" t="s">
        <v>185</v>
      </c>
      <c r="J5125" s="4" t="s">
        <v>392</v>
      </c>
    </row>
    <row r="5126" spans="1:10" hidden="1">
      <c r="A5126" s="4">
        <v>2.0210258222E+17</v>
      </c>
      <c r="B5126" s="4">
        <v>4528102149</v>
      </c>
      <c r="C5126" s="4" t="s">
        <v>2722</v>
      </c>
      <c r="D5126" s="4">
        <v>58222</v>
      </c>
      <c r="E5126" s="4">
        <v>20210226</v>
      </c>
      <c r="F5126" s="4">
        <v>20210226</v>
      </c>
      <c r="G5126" s="4">
        <v>20240226</v>
      </c>
      <c r="H5126" s="4" t="s">
        <v>2721</v>
      </c>
      <c r="I5126" s="4" t="s">
        <v>2720</v>
      </c>
      <c r="J5126" s="4" t="s">
        <v>94</v>
      </c>
    </row>
    <row r="5127" spans="1:10" hidden="1">
      <c r="A5127" s="4">
        <v>2.0210258221E+17</v>
      </c>
      <c r="B5127" s="4">
        <v>6828701480</v>
      </c>
      <c r="C5127" s="4" t="s">
        <v>2719</v>
      </c>
      <c r="D5127" s="4">
        <v>58221</v>
      </c>
      <c r="E5127" s="4">
        <v>20210226</v>
      </c>
      <c r="F5127" s="4">
        <v>20210226</v>
      </c>
      <c r="G5127" s="4">
        <v>20240226</v>
      </c>
      <c r="H5127" s="4" t="s">
        <v>2718</v>
      </c>
      <c r="I5127" s="4" t="s">
        <v>2717</v>
      </c>
      <c r="J5127" s="4" t="s">
        <v>228</v>
      </c>
    </row>
    <row r="5128" spans="1:10" hidden="1">
      <c r="A5128" s="4">
        <v>2.0210246595E+17</v>
      </c>
      <c r="B5128" s="4">
        <v>5788101078</v>
      </c>
      <c r="C5128" s="4" t="s">
        <v>2716</v>
      </c>
      <c r="D5128" s="4">
        <v>46595</v>
      </c>
      <c r="E5128" s="4">
        <v>20210226</v>
      </c>
      <c r="F5128" s="4">
        <v>20210226</v>
      </c>
      <c r="G5128" s="4">
        <v>20240226</v>
      </c>
      <c r="H5128" s="4" t="s">
        <v>2715</v>
      </c>
      <c r="I5128" s="4" t="s">
        <v>2714</v>
      </c>
      <c r="J5128" s="4" t="s">
        <v>960</v>
      </c>
    </row>
    <row r="5129" spans="1:10" hidden="1">
      <c r="A5129" s="4">
        <v>2.021026209E+17</v>
      </c>
      <c r="B5129" s="4">
        <v>2698601878</v>
      </c>
      <c r="C5129" s="4" t="s">
        <v>2713</v>
      </c>
      <c r="D5129" s="4">
        <v>62090</v>
      </c>
      <c r="E5129" s="4">
        <v>20210226</v>
      </c>
      <c r="F5129" s="4">
        <v>20210226</v>
      </c>
      <c r="G5129" s="4">
        <v>20240226</v>
      </c>
      <c r="H5129" s="4" t="s">
        <v>2712</v>
      </c>
      <c r="I5129" s="4" t="s">
        <v>2711</v>
      </c>
      <c r="J5129" s="4" t="s">
        <v>2030</v>
      </c>
    </row>
    <row r="5130" spans="1:10" hidden="1">
      <c r="A5130" s="4">
        <v>2.0210231113E+17</v>
      </c>
      <c r="B5130" s="4">
        <v>2688601647</v>
      </c>
      <c r="C5130" s="4" t="s">
        <v>2710</v>
      </c>
      <c r="D5130" s="4">
        <v>31113</v>
      </c>
      <c r="E5130" s="4">
        <v>20210226</v>
      </c>
      <c r="F5130" s="4">
        <v>20210226</v>
      </c>
      <c r="G5130" s="4">
        <v>20240226</v>
      </c>
      <c r="H5130" s="4" t="s">
        <v>2709</v>
      </c>
      <c r="I5130" s="4" t="s">
        <v>2708</v>
      </c>
      <c r="J5130" s="4" t="s">
        <v>2707</v>
      </c>
    </row>
    <row r="5131" spans="1:10" hidden="1">
      <c r="A5131" s="4">
        <v>2.0210230122E+17</v>
      </c>
      <c r="B5131" s="4">
        <v>7798800405</v>
      </c>
      <c r="C5131" s="4" t="s">
        <v>2706</v>
      </c>
      <c r="D5131" s="4">
        <v>30122</v>
      </c>
      <c r="E5131" s="4">
        <v>20210226</v>
      </c>
      <c r="F5131" s="4">
        <v>20210226</v>
      </c>
      <c r="G5131" s="4">
        <v>20230412</v>
      </c>
      <c r="H5131" s="4" t="s">
        <v>2705</v>
      </c>
      <c r="I5131" s="4" t="s">
        <v>2704</v>
      </c>
      <c r="J5131" s="4" t="s">
        <v>2503</v>
      </c>
    </row>
    <row r="5132" spans="1:10" hidden="1">
      <c r="A5132" s="4">
        <v>2.0210228422E+17</v>
      </c>
      <c r="B5132" s="4">
        <v>1011597025</v>
      </c>
      <c r="C5132" s="4" t="s">
        <v>2703</v>
      </c>
      <c r="D5132" s="4">
        <v>28422</v>
      </c>
      <c r="E5132" s="4">
        <v>20210226</v>
      </c>
      <c r="F5132" s="4">
        <v>20210226</v>
      </c>
      <c r="G5132" s="4">
        <v>20240226</v>
      </c>
      <c r="H5132" s="4" t="s">
        <v>2702</v>
      </c>
      <c r="I5132" s="4" t="s">
        <v>2701</v>
      </c>
      <c r="J5132" s="4" t="s">
        <v>188</v>
      </c>
    </row>
    <row r="5133" spans="1:10" hidden="1">
      <c r="A5133" s="4">
        <v>2.02102468E+17</v>
      </c>
      <c r="B5133" s="4">
        <v>8221801044</v>
      </c>
      <c r="C5133" s="4" t="s">
        <v>2700</v>
      </c>
      <c r="D5133" s="4">
        <v>46800</v>
      </c>
      <c r="E5133" s="4">
        <v>20210226</v>
      </c>
      <c r="F5133" s="4">
        <v>20210226</v>
      </c>
      <c r="G5133" s="4">
        <v>20240226</v>
      </c>
      <c r="H5133" s="4" t="s">
        <v>2699</v>
      </c>
      <c r="J5133" s="4" t="s">
        <v>979</v>
      </c>
    </row>
    <row r="5134" spans="1:10" hidden="1">
      <c r="A5134" s="4">
        <v>2.0210222299E+17</v>
      </c>
      <c r="B5134" s="4">
        <v>5683000667</v>
      </c>
      <c r="C5134" s="4" t="s">
        <v>2698</v>
      </c>
      <c r="D5134" s="4">
        <v>22299</v>
      </c>
      <c r="E5134" s="4">
        <v>20210226</v>
      </c>
      <c r="F5134" s="4">
        <v>20210226</v>
      </c>
      <c r="G5134" s="4">
        <v>20240226</v>
      </c>
      <c r="H5134" s="4" t="s">
        <v>1692</v>
      </c>
      <c r="I5134" s="4" t="s">
        <v>2697</v>
      </c>
      <c r="J5134" s="4" t="s">
        <v>384</v>
      </c>
    </row>
    <row r="5135" spans="1:10" hidden="1">
      <c r="A5135" s="4">
        <v>2.0210210791000099E+17</v>
      </c>
      <c r="B5135" s="4">
        <v>4162051584</v>
      </c>
      <c r="C5135" s="4" t="s">
        <v>2696</v>
      </c>
      <c r="D5135" s="4">
        <v>10791</v>
      </c>
      <c r="E5135" s="4">
        <v>20210226</v>
      </c>
      <c r="F5135" s="4">
        <v>20210226</v>
      </c>
      <c r="G5135" s="4">
        <v>20240226</v>
      </c>
      <c r="H5135" s="4" t="s">
        <v>1578</v>
      </c>
      <c r="I5135" s="4" t="s">
        <v>2695</v>
      </c>
      <c r="J5135" s="4" t="s">
        <v>335</v>
      </c>
    </row>
    <row r="5136" spans="1:10" hidden="1">
      <c r="A5136" s="4">
        <v>2.0210228123E+17</v>
      </c>
      <c r="B5136" s="4">
        <v>1097700084</v>
      </c>
      <c r="C5136" s="4" t="s">
        <v>2694</v>
      </c>
      <c r="D5136" s="4">
        <v>28123</v>
      </c>
      <c r="E5136" s="4">
        <v>20210226</v>
      </c>
      <c r="F5136" s="4">
        <v>20210226</v>
      </c>
      <c r="G5136" s="4">
        <v>20230601</v>
      </c>
      <c r="H5136" s="4" t="s">
        <v>2693</v>
      </c>
      <c r="I5136" s="4" t="s">
        <v>2692</v>
      </c>
      <c r="J5136" s="4" t="s">
        <v>640</v>
      </c>
    </row>
    <row r="5137" spans="1:10" hidden="1">
      <c r="A5137" s="4">
        <v>2.0210228429E+17</v>
      </c>
      <c r="B5137" s="4">
        <v>3151861675</v>
      </c>
      <c r="C5137" s="4" t="s">
        <v>2691</v>
      </c>
      <c r="D5137" s="4">
        <v>28429</v>
      </c>
      <c r="E5137" s="4">
        <v>20210226</v>
      </c>
      <c r="F5137" s="4">
        <v>20210226</v>
      </c>
      <c r="G5137" s="4">
        <v>20240226</v>
      </c>
      <c r="H5137" s="4" t="s">
        <v>2690</v>
      </c>
      <c r="I5137" s="4" t="s">
        <v>91</v>
      </c>
      <c r="J5137" s="4" t="s">
        <v>765</v>
      </c>
    </row>
    <row r="5138" spans="1:10" hidden="1">
      <c r="A5138" s="4">
        <v>2.0210258222E+17</v>
      </c>
      <c r="B5138" s="4">
        <v>1908601816</v>
      </c>
      <c r="C5138" s="4" t="s">
        <v>2689</v>
      </c>
      <c r="D5138" s="4">
        <v>58222</v>
      </c>
      <c r="E5138" s="4">
        <v>20210225</v>
      </c>
      <c r="F5138" s="4">
        <v>20210225</v>
      </c>
      <c r="G5138" s="4">
        <v>20240225</v>
      </c>
      <c r="H5138" s="4" t="s">
        <v>2688</v>
      </c>
      <c r="I5138" s="4" t="s">
        <v>2687</v>
      </c>
      <c r="J5138" s="4" t="s">
        <v>94</v>
      </c>
    </row>
    <row r="5139" spans="1:10" hidden="1">
      <c r="A5139" s="4">
        <v>2.0210229299E+17</v>
      </c>
      <c r="B5139" s="4">
        <v>7788702062</v>
      </c>
      <c r="C5139" s="4" t="s">
        <v>2686</v>
      </c>
      <c r="D5139" s="4">
        <v>29299</v>
      </c>
      <c r="E5139" s="4">
        <v>20210225</v>
      </c>
      <c r="F5139" s="4">
        <v>20210225</v>
      </c>
      <c r="G5139" s="4">
        <v>20240225</v>
      </c>
      <c r="H5139" s="4" t="s">
        <v>2685</v>
      </c>
      <c r="J5139" s="4" t="s">
        <v>137</v>
      </c>
    </row>
    <row r="5140" spans="1:10" hidden="1">
      <c r="A5140" s="4">
        <v>2.0210229272E+17</v>
      </c>
      <c r="B5140" s="4">
        <v>3028601710</v>
      </c>
      <c r="C5140" s="4" t="s">
        <v>2684</v>
      </c>
      <c r="D5140" s="4">
        <v>29272</v>
      </c>
      <c r="E5140" s="4">
        <v>20210225</v>
      </c>
      <c r="F5140" s="4">
        <v>20210225</v>
      </c>
      <c r="G5140" s="4">
        <v>20240225</v>
      </c>
      <c r="H5140" s="4" t="s">
        <v>2683</v>
      </c>
      <c r="I5140" s="4" t="s">
        <v>91</v>
      </c>
      <c r="J5140" s="4" t="s">
        <v>1124</v>
      </c>
    </row>
    <row r="5141" spans="1:10" hidden="1">
      <c r="A5141" s="4">
        <v>2.0210220411E+17</v>
      </c>
      <c r="B5141" s="4">
        <v>5158801149</v>
      </c>
      <c r="C5141" s="4" t="s">
        <v>2682</v>
      </c>
      <c r="D5141" s="4">
        <v>20411</v>
      </c>
      <c r="E5141" s="4">
        <v>20210225</v>
      </c>
      <c r="F5141" s="4">
        <v>20210225</v>
      </c>
      <c r="G5141" s="4">
        <v>20240225</v>
      </c>
      <c r="H5141" s="4" t="s">
        <v>2681</v>
      </c>
      <c r="I5141" s="4" t="s">
        <v>2680</v>
      </c>
      <c r="J5141" s="4" t="s">
        <v>694</v>
      </c>
    </row>
    <row r="5142" spans="1:10" hidden="1">
      <c r="A5142" s="4">
        <v>2.0210220423E+17</v>
      </c>
      <c r="B5142" s="4">
        <v>7848101367</v>
      </c>
      <c r="C5142" s="4" t="s">
        <v>2679</v>
      </c>
      <c r="D5142" s="4">
        <v>20423</v>
      </c>
      <c r="E5142" s="4">
        <v>20210225</v>
      </c>
      <c r="F5142" s="4">
        <v>20210225</v>
      </c>
      <c r="G5142" s="4">
        <v>20240225</v>
      </c>
      <c r="H5142" s="4" t="s">
        <v>2678</v>
      </c>
      <c r="J5142" s="4" t="s">
        <v>368</v>
      </c>
    </row>
    <row r="5143" spans="1:10" hidden="1">
      <c r="A5143" s="4">
        <v>2.0210262021E+17</v>
      </c>
      <c r="B5143" s="4">
        <v>3168129139</v>
      </c>
      <c r="C5143" s="4" t="s">
        <v>2677</v>
      </c>
      <c r="D5143" s="4">
        <v>62021</v>
      </c>
      <c r="E5143" s="4">
        <v>20210225</v>
      </c>
      <c r="F5143" s="4">
        <v>20210225</v>
      </c>
      <c r="G5143" s="4">
        <v>20240225</v>
      </c>
      <c r="H5143" s="4" t="s">
        <v>1366</v>
      </c>
      <c r="I5143" s="4" t="s">
        <v>2676</v>
      </c>
      <c r="J5143" s="4" t="s">
        <v>1505</v>
      </c>
    </row>
    <row r="5144" spans="1:10" hidden="1">
      <c r="A5144" s="4">
        <v>2.0210217909E+17</v>
      </c>
      <c r="B5144" s="4">
        <v>5913200924</v>
      </c>
      <c r="C5144" s="4" t="s">
        <v>2675</v>
      </c>
      <c r="D5144" s="4">
        <v>17909</v>
      </c>
      <c r="E5144" s="4">
        <v>20210225</v>
      </c>
      <c r="F5144" s="4">
        <v>20210225</v>
      </c>
      <c r="G5144" s="4">
        <v>20240225</v>
      </c>
      <c r="H5144" s="4" t="s">
        <v>2674</v>
      </c>
      <c r="I5144" s="4" t="s">
        <v>2673</v>
      </c>
      <c r="J5144" s="4" t="s">
        <v>1810</v>
      </c>
    </row>
    <row r="5145" spans="1:10" hidden="1">
      <c r="A5145" s="4">
        <v>2.0210228903E+17</v>
      </c>
      <c r="B5145" s="4">
        <v>5548701701</v>
      </c>
      <c r="C5145" s="4" t="s">
        <v>2672</v>
      </c>
      <c r="D5145" s="4">
        <v>28903</v>
      </c>
      <c r="E5145" s="4">
        <v>20210225</v>
      </c>
      <c r="F5145" s="4">
        <v>20210225</v>
      </c>
      <c r="G5145" s="4">
        <v>20240225</v>
      </c>
      <c r="H5145" s="4" t="s">
        <v>2671</v>
      </c>
      <c r="J5145" s="4" t="s">
        <v>460</v>
      </c>
    </row>
    <row r="5146" spans="1:10" hidden="1">
      <c r="A5146" s="4">
        <v>2.0210228429E+17</v>
      </c>
      <c r="B5146" s="4">
        <v>7060801272</v>
      </c>
      <c r="C5146" s="4" t="s">
        <v>2670</v>
      </c>
      <c r="D5146" s="4">
        <v>28429</v>
      </c>
      <c r="E5146" s="4">
        <v>20210225</v>
      </c>
      <c r="F5146" s="4">
        <v>20210225</v>
      </c>
      <c r="G5146" s="4">
        <v>20240225</v>
      </c>
      <c r="H5146" s="4" t="s">
        <v>2669</v>
      </c>
      <c r="I5146" s="4" t="s">
        <v>91</v>
      </c>
      <c r="J5146" s="4" t="s">
        <v>765</v>
      </c>
    </row>
    <row r="5147" spans="1:10" hidden="1">
      <c r="A5147" s="4">
        <v>2.0210227199E+17</v>
      </c>
      <c r="B5147" s="4">
        <v>5118125887</v>
      </c>
      <c r="C5147" s="4" t="s">
        <v>2668</v>
      </c>
      <c r="D5147" s="4">
        <v>27199</v>
      </c>
      <c r="E5147" s="4">
        <v>20210225</v>
      </c>
      <c r="F5147" s="4">
        <v>20210225</v>
      </c>
      <c r="G5147" s="4">
        <v>20240225</v>
      </c>
      <c r="H5147" s="4" t="s">
        <v>2667</v>
      </c>
      <c r="I5147" s="4" t="s">
        <v>2666</v>
      </c>
      <c r="J5147" s="4" t="s">
        <v>418</v>
      </c>
    </row>
    <row r="5148" spans="1:10" hidden="1">
      <c r="A5148" s="4">
        <v>2.0210270129E+17</v>
      </c>
      <c r="B5148" s="4">
        <v>6704400462</v>
      </c>
      <c r="C5148" s="4" t="s">
        <v>2665</v>
      </c>
      <c r="D5148" s="4">
        <v>70129</v>
      </c>
      <c r="E5148" s="4">
        <v>20210225</v>
      </c>
      <c r="F5148" s="4">
        <v>20210225</v>
      </c>
      <c r="G5148" s="4">
        <v>20240225</v>
      </c>
      <c r="H5148" s="4" t="s">
        <v>2664</v>
      </c>
      <c r="I5148" s="4" t="s">
        <v>938</v>
      </c>
      <c r="J5148" s="4" t="s">
        <v>937</v>
      </c>
    </row>
    <row r="5149" spans="1:10" hidden="1">
      <c r="A5149" s="4">
        <v>2.0210233999E+17</v>
      </c>
      <c r="B5149" s="4">
        <v>8511000426</v>
      </c>
      <c r="C5149" s="4" t="s">
        <v>2663</v>
      </c>
      <c r="D5149" s="4">
        <v>33999</v>
      </c>
      <c r="E5149" s="4">
        <v>20210225</v>
      </c>
      <c r="F5149" s="4">
        <v>20210225</v>
      </c>
      <c r="G5149" s="4">
        <v>20231130</v>
      </c>
      <c r="H5149" s="4" t="s">
        <v>2662</v>
      </c>
      <c r="I5149" s="4" t="s">
        <v>2661</v>
      </c>
      <c r="J5149" s="4" t="s">
        <v>780</v>
      </c>
    </row>
    <row r="5150" spans="1:10" hidden="1">
      <c r="A5150" s="4">
        <v>2.0210222199E+17</v>
      </c>
      <c r="B5150" s="4">
        <v>7412900704</v>
      </c>
      <c r="C5150" s="4" t="s">
        <v>2659</v>
      </c>
      <c r="D5150" s="4">
        <v>22199</v>
      </c>
      <c r="E5150" s="4">
        <v>20210225</v>
      </c>
      <c r="F5150" s="4">
        <v>20210225</v>
      </c>
      <c r="G5150" s="4">
        <v>20240225</v>
      </c>
      <c r="H5150" s="4" t="s">
        <v>2660</v>
      </c>
      <c r="I5150" s="4" t="s">
        <v>2659</v>
      </c>
      <c r="J5150" s="4" t="s">
        <v>1962</v>
      </c>
    </row>
    <row r="5151" spans="1:10" hidden="1">
      <c r="A5151" s="4">
        <v>2.0210229199E+17</v>
      </c>
      <c r="B5151" s="4">
        <v>7808601695</v>
      </c>
      <c r="C5151" s="4" t="s">
        <v>2658</v>
      </c>
      <c r="D5151" s="4">
        <v>29199</v>
      </c>
      <c r="E5151" s="4">
        <v>20210225</v>
      </c>
      <c r="F5151" s="4">
        <v>20210225</v>
      </c>
      <c r="G5151" s="4">
        <v>20240225</v>
      </c>
      <c r="H5151" s="4" t="s">
        <v>2657</v>
      </c>
      <c r="I5151" s="4" t="s">
        <v>2656</v>
      </c>
      <c r="J5151" s="4" t="s">
        <v>166</v>
      </c>
    </row>
    <row r="5152" spans="1:10" hidden="1">
      <c r="A5152" s="4">
        <v>2.0210226224E+17</v>
      </c>
      <c r="B5152" s="4">
        <v>2628101950</v>
      </c>
      <c r="C5152" s="4" t="s">
        <v>2655</v>
      </c>
      <c r="D5152" s="4">
        <v>26224</v>
      </c>
      <c r="E5152" s="4">
        <v>20210225</v>
      </c>
      <c r="F5152" s="4">
        <v>20210225</v>
      </c>
      <c r="G5152" s="4">
        <v>20240225</v>
      </c>
      <c r="H5152" s="4" t="s">
        <v>2654</v>
      </c>
      <c r="J5152" s="4" t="s">
        <v>923</v>
      </c>
    </row>
    <row r="5153" spans="1:10" hidden="1">
      <c r="A5153" s="4">
        <v>2.0210225923E+17</v>
      </c>
      <c r="B5153" s="4">
        <v>8382700324</v>
      </c>
      <c r="C5153" s="4" t="s">
        <v>2653</v>
      </c>
      <c r="D5153" s="4">
        <v>25923</v>
      </c>
      <c r="E5153" s="4">
        <v>20210225</v>
      </c>
      <c r="F5153" s="4">
        <v>20210225</v>
      </c>
      <c r="G5153" s="4">
        <v>20230801</v>
      </c>
      <c r="H5153" s="4" t="s">
        <v>2652</v>
      </c>
      <c r="J5153" s="4" t="s">
        <v>204</v>
      </c>
    </row>
    <row r="5154" spans="1:10" hidden="1">
      <c r="A5154" s="4">
        <v>2.0210263999E+17</v>
      </c>
      <c r="B5154" s="4">
        <v>8398801216</v>
      </c>
      <c r="C5154" s="4" t="s">
        <v>2651</v>
      </c>
      <c r="D5154" s="4">
        <v>63999</v>
      </c>
      <c r="E5154" s="4">
        <v>20210225</v>
      </c>
      <c r="F5154" s="4">
        <v>20210225</v>
      </c>
      <c r="G5154" s="4">
        <v>20240225</v>
      </c>
      <c r="H5154" s="4" t="s">
        <v>2650</v>
      </c>
      <c r="I5154" s="4" t="s">
        <v>2649</v>
      </c>
      <c r="J5154" s="4" t="s">
        <v>643</v>
      </c>
    </row>
    <row r="5155" spans="1:10" hidden="1">
      <c r="A5155" s="4">
        <v>2.0210228111E+17</v>
      </c>
      <c r="B5155" s="4">
        <v>5848100303</v>
      </c>
      <c r="C5155" s="4" t="s">
        <v>2648</v>
      </c>
      <c r="D5155" s="4">
        <v>28111</v>
      </c>
      <c r="E5155" s="4">
        <v>20210225</v>
      </c>
      <c r="F5155" s="4">
        <v>20210225</v>
      </c>
      <c r="G5155" s="4">
        <v>20230704</v>
      </c>
      <c r="H5155" s="4" t="s">
        <v>2647</v>
      </c>
      <c r="I5155" s="4" t="s">
        <v>2646</v>
      </c>
      <c r="J5155" s="4" t="s">
        <v>1614</v>
      </c>
    </row>
    <row r="5156" spans="1:10" hidden="1">
      <c r="A5156" s="4">
        <v>2.0210225929E+17</v>
      </c>
      <c r="B5156" s="4">
        <v>5318700451</v>
      </c>
      <c r="C5156" s="4" t="s">
        <v>2645</v>
      </c>
      <c r="D5156" s="4">
        <v>25929</v>
      </c>
      <c r="E5156" s="4">
        <v>20210225</v>
      </c>
      <c r="F5156" s="4">
        <v>20210225</v>
      </c>
      <c r="G5156" s="4">
        <v>20230510</v>
      </c>
      <c r="H5156" s="4" t="s">
        <v>2644</v>
      </c>
      <c r="I5156" s="4" t="s">
        <v>2643</v>
      </c>
      <c r="J5156" s="4" t="s">
        <v>701</v>
      </c>
    </row>
    <row r="5157" spans="1:10" hidden="1">
      <c r="A5157" s="4">
        <v>2.0210220502E+17</v>
      </c>
      <c r="B5157" s="4">
        <v>5938101892</v>
      </c>
      <c r="C5157" s="4" t="s">
        <v>2642</v>
      </c>
      <c r="D5157" s="4">
        <v>20502</v>
      </c>
      <c r="E5157" s="4">
        <v>20210225</v>
      </c>
      <c r="F5157" s="4">
        <v>20210225</v>
      </c>
      <c r="G5157" s="4">
        <v>20240225</v>
      </c>
      <c r="H5157" s="4" t="s">
        <v>2641</v>
      </c>
      <c r="I5157" s="4" t="s">
        <v>91</v>
      </c>
      <c r="J5157" s="4" t="s">
        <v>2640</v>
      </c>
    </row>
    <row r="5158" spans="1:10" hidden="1">
      <c r="A5158" s="4">
        <v>2.0210228909E+17</v>
      </c>
      <c r="B5158" s="4">
        <v>5068193272</v>
      </c>
      <c r="C5158" s="4" t="s">
        <v>2639</v>
      </c>
      <c r="D5158" s="4">
        <v>28909</v>
      </c>
      <c r="E5158" s="4">
        <v>20210225</v>
      </c>
      <c r="F5158" s="4">
        <v>20210225</v>
      </c>
      <c r="G5158" s="4">
        <v>20240225</v>
      </c>
      <c r="H5158" s="4" t="s">
        <v>2638</v>
      </c>
      <c r="J5158" s="4" t="s">
        <v>253</v>
      </c>
    </row>
    <row r="5159" spans="1:10" hidden="1">
      <c r="A5159" s="4">
        <v>2.021022841E+17</v>
      </c>
      <c r="B5159" s="4">
        <v>8658101399</v>
      </c>
      <c r="C5159" s="4" t="s">
        <v>2637</v>
      </c>
      <c r="D5159" s="4">
        <v>28410</v>
      </c>
      <c r="E5159" s="4">
        <v>20210225</v>
      </c>
      <c r="F5159" s="4">
        <v>20210225</v>
      </c>
      <c r="G5159" s="4">
        <v>20240225</v>
      </c>
      <c r="H5159" s="4" t="s">
        <v>1041</v>
      </c>
      <c r="I5159" s="4" t="s">
        <v>2636</v>
      </c>
      <c r="J5159" s="4" t="s">
        <v>2199</v>
      </c>
    </row>
    <row r="5160" spans="1:10" hidden="1">
      <c r="A5160" s="4">
        <v>2.021022912E+17</v>
      </c>
      <c r="B5160" s="4">
        <v>2878600106</v>
      </c>
      <c r="C5160" s="4" t="s">
        <v>2635</v>
      </c>
      <c r="D5160" s="4">
        <v>29120</v>
      </c>
      <c r="E5160" s="4">
        <v>20210225</v>
      </c>
      <c r="F5160" s="4">
        <v>20210225</v>
      </c>
      <c r="G5160" s="4">
        <v>20220722</v>
      </c>
      <c r="H5160" s="4" t="s">
        <v>2634</v>
      </c>
      <c r="I5160" s="4" t="s">
        <v>2633</v>
      </c>
      <c r="J5160" s="4" t="s">
        <v>1188</v>
      </c>
    </row>
    <row r="5161" spans="1:10" hidden="1">
      <c r="A5161" s="4">
        <v>2.0210226429E+17</v>
      </c>
      <c r="B5161" s="4">
        <v>4808800131</v>
      </c>
      <c r="C5161" s="4" t="s">
        <v>2632</v>
      </c>
      <c r="D5161" s="4">
        <v>26429</v>
      </c>
      <c r="E5161" s="4">
        <v>20210225</v>
      </c>
      <c r="F5161" s="4">
        <v>20210225</v>
      </c>
      <c r="G5161" s="4">
        <v>20220624</v>
      </c>
      <c r="H5161" s="4" t="s">
        <v>341</v>
      </c>
      <c r="I5161" s="4" t="s">
        <v>2631</v>
      </c>
      <c r="J5161" s="4" t="s">
        <v>422</v>
      </c>
    </row>
    <row r="5162" spans="1:10" hidden="1">
      <c r="A5162" s="4">
        <v>2.0210258222E+17</v>
      </c>
      <c r="B5162" s="4">
        <v>7658801517</v>
      </c>
      <c r="C5162" s="4" t="s">
        <v>2630</v>
      </c>
      <c r="D5162" s="4">
        <v>58222</v>
      </c>
      <c r="E5162" s="4">
        <v>20210225</v>
      </c>
      <c r="F5162" s="4">
        <v>20210225</v>
      </c>
      <c r="G5162" s="4">
        <v>20240225</v>
      </c>
      <c r="H5162" s="4" t="s">
        <v>2629</v>
      </c>
      <c r="I5162" s="4" t="s">
        <v>2628</v>
      </c>
      <c r="J5162" s="4" t="s">
        <v>94</v>
      </c>
    </row>
    <row r="5163" spans="1:10" hidden="1">
      <c r="A5163" s="4">
        <v>2.0210275992E+17</v>
      </c>
      <c r="B5163" s="4">
        <v>5998600218</v>
      </c>
      <c r="C5163" s="4" t="s">
        <v>2627</v>
      </c>
      <c r="D5163" s="4">
        <v>75992</v>
      </c>
      <c r="E5163" s="4">
        <v>20210225</v>
      </c>
      <c r="F5163" s="4">
        <v>20210225</v>
      </c>
      <c r="G5163" s="4">
        <v>20230104</v>
      </c>
      <c r="H5163" s="4" t="s">
        <v>2626</v>
      </c>
      <c r="I5163" s="4" t="s">
        <v>657</v>
      </c>
      <c r="J5163" s="4" t="s">
        <v>111</v>
      </c>
    </row>
    <row r="5164" spans="1:10" hidden="1">
      <c r="A5164" s="4">
        <v>2.0210220411E+17</v>
      </c>
      <c r="B5164" s="4">
        <v>3978101178</v>
      </c>
      <c r="C5164" s="4" t="s">
        <v>2625</v>
      </c>
      <c r="D5164" s="4">
        <v>20411</v>
      </c>
      <c r="E5164" s="4">
        <v>20210225</v>
      </c>
      <c r="F5164" s="4">
        <v>20210225</v>
      </c>
      <c r="G5164" s="4">
        <v>20240225</v>
      </c>
      <c r="H5164" s="4" t="s">
        <v>2624</v>
      </c>
      <c r="J5164" s="4" t="s">
        <v>694</v>
      </c>
    </row>
    <row r="5165" spans="1:10" hidden="1">
      <c r="A5165" s="4">
        <v>2.0210213225E+17</v>
      </c>
      <c r="B5165" s="4">
        <v>3258700351</v>
      </c>
      <c r="C5165" s="4" t="s">
        <v>2623</v>
      </c>
      <c r="D5165" s="4">
        <v>13225</v>
      </c>
      <c r="E5165" s="4">
        <v>20210225</v>
      </c>
      <c r="F5165" s="4">
        <v>20210225</v>
      </c>
      <c r="G5165" s="4">
        <v>20230519</v>
      </c>
      <c r="H5165" s="4" t="s">
        <v>2622</v>
      </c>
      <c r="I5165" s="4" t="s">
        <v>2621</v>
      </c>
      <c r="J5165" s="4" t="s">
        <v>2307</v>
      </c>
    </row>
    <row r="5166" spans="1:10" hidden="1">
      <c r="A5166" s="4">
        <v>2.021024651E+17</v>
      </c>
      <c r="B5166" s="4">
        <v>7288101294</v>
      </c>
      <c r="C5166" s="4" t="s">
        <v>2620</v>
      </c>
      <c r="D5166" s="4">
        <v>46510</v>
      </c>
      <c r="E5166" s="4">
        <v>20210225</v>
      </c>
      <c r="F5166" s="4">
        <v>20210225</v>
      </c>
      <c r="G5166" s="4">
        <v>20240225</v>
      </c>
      <c r="H5166" s="4" t="s">
        <v>2619</v>
      </c>
      <c r="I5166" s="4" t="s">
        <v>2618</v>
      </c>
      <c r="J5166" s="4" t="s">
        <v>126</v>
      </c>
    </row>
    <row r="5167" spans="1:10" hidden="1">
      <c r="A5167" s="4">
        <v>2.0210258222E+17</v>
      </c>
      <c r="B5167" s="4">
        <v>6928801091</v>
      </c>
      <c r="C5167" s="4" t="s">
        <v>2617</v>
      </c>
      <c r="D5167" s="4">
        <v>58222</v>
      </c>
      <c r="E5167" s="4">
        <v>20210225</v>
      </c>
      <c r="F5167" s="4">
        <v>20210225</v>
      </c>
      <c r="G5167" s="4">
        <v>20240225</v>
      </c>
      <c r="H5167" s="4" t="s">
        <v>1624</v>
      </c>
      <c r="I5167" s="4" t="s">
        <v>2616</v>
      </c>
      <c r="J5167" s="4" t="s">
        <v>94</v>
      </c>
    </row>
    <row r="5168" spans="1:10" hidden="1">
      <c r="A5168" s="4">
        <v>2.0210228429E+17</v>
      </c>
      <c r="B5168" s="4">
        <v>5338100741</v>
      </c>
      <c r="C5168" s="4" t="s">
        <v>2615</v>
      </c>
      <c r="D5168" s="4">
        <v>28429</v>
      </c>
      <c r="E5168" s="4">
        <v>20210225</v>
      </c>
      <c r="F5168" s="4">
        <v>20210225</v>
      </c>
      <c r="G5168" s="4">
        <v>20240225</v>
      </c>
      <c r="H5168" s="4" t="s">
        <v>2614</v>
      </c>
      <c r="I5168" s="4" t="s">
        <v>185</v>
      </c>
      <c r="J5168" s="4" t="s">
        <v>765</v>
      </c>
    </row>
    <row r="5169" spans="1:10" hidden="1">
      <c r="A5169" s="4">
        <v>2.0210258222E+17</v>
      </c>
      <c r="B5169" s="4">
        <v>3830700049</v>
      </c>
      <c r="C5169" s="4" t="s">
        <v>2613</v>
      </c>
      <c r="D5169" s="4">
        <v>58222</v>
      </c>
      <c r="E5169" s="4">
        <v>20210225</v>
      </c>
      <c r="F5169" s="4">
        <v>20210225</v>
      </c>
      <c r="G5169" s="4">
        <v>20220327</v>
      </c>
      <c r="H5169" s="4" t="s">
        <v>2612</v>
      </c>
      <c r="I5169" s="4" t="s">
        <v>2611</v>
      </c>
      <c r="J5169" s="4" t="s">
        <v>94</v>
      </c>
    </row>
    <row r="5170" spans="1:10" hidden="1">
      <c r="A5170" s="4">
        <v>2.0210229133E+17</v>
      </c>
      <c r="B5170" s="4">
        <v>3358100749</v>
      </c>
      <c r="C5170" s="4" t="s">
        <v>2610</v>
      </c>
      <c r="D5170" s="4">
        <v>29133</v>
      </c>
      <c r="E5170" s="4">
        <v>20210225</v>
      </c>
      <c r="F5170" s="4">
        <v>20210225</v>
      </c>
      <c r="G5170" s="4">
        <v>20240225</v>
      </c>
      <c r="H5170" s="4" t="s">
        <v>2609</v>
      </c>
      <c r="J5170" s="4" t="s">
        <v>990</v>
      </c>
    </row>
    <row r="5171" spans="1:10" hidden="1">
      <c r="A5171" s="4">
        <v>2.0210270121E+17</v>
      </c>
      <c r="B5171" s="4">
        <v>3813300533</v>
      </c>
      <c r="C5171" s="4" t="s">
        <v>2608</v>
      </c>
      <c r="D5171" s="4">
        <v>70121</v>
      </c>
      <c r="E5171" s="4">
        <v>20210225</v>
      </c>
      <c r="F5171" s="4">
        <v>20210225</v>
      </c>
      <c r="G5171" s="4">
        <v>20240225</v>
      </c>
      <c r="H5171" s="4" t="s">
        <v>2607</v>
      </c>
      <c r="I5171" s="4" t="s">
        <v>2606</v>
      </c>
      <c r="J5171" s="4" t="s">
        <v>1267</v>
      </c>
    </row>
    <row r="5172" spans="1:10" hidden="1">
      <c r="A5172" s="4">
        <v>2.0210246499E+17</v>
      </c>
      <c r="B5172" s="4">
        <v>4024763297</v>
      </c>
      <c r="C5172" s="4" t="s">
        <v>2605</v>
      </c>
      <c r="D5172" s="4">
        <v>46499</v>
      </c>
      <c r="E5172" s="4">
        <v>20210224</v>
      </c>
      <c r="F5172" s="4">
        <v>20210224</v>
      </c>
      <c r="G5172" s="4">
        <v>20230908</v>
      </c>
      <c r="H5172" s="4" t="s">
        <v>2604</v>
      </c>
      <c r="I5172" s="4" t="s">
        <v>938</v>
      </c>
      <c r="J5172" s="4" t="s">
        <v>184</v>
      </c>
    </row>
    <row r="5173" spans="1:10" hidden="1">
      <c r="A5173" s="4">
        <v>2.0210228429E+17</v>
      </c>
      <c r="B5173" s="4">
        <v>5548800432</v>
      </c>
      <c r="C5173" s="4" t="s">
        <v>2602</v>
      </c>
      <c r="D5173" s="4">
        <v>28429</v>
      </c>
      <c r="E5173" s="4">
        <v>20210224</v>
      </c>
      <c r="F5173" s="4">
        <v>20210224</v>
      </c>
      <c r="G5173" s="4">
        <v>20230922</v>
      </c>
      <c r="H5173" s="4" t="s">
        <v>2603</v>
      </c>
      <c r="I5173" s="4" t="s">
        <v>2602</v>
      </c>
      <c r="J5173" s="4" t="s">
        <v>765</v>
      </c>
    </row>
    <row r="5174" spans="1:10" hidden="1">
      <c r="A5174" s="4">
        <v>2.0210246499E+17</v>
      </c>
      <c r="B5174" s="4">
        <v>6935500312</v>
      </c>
      <c r="C5174" s="4" t="s">
        <v>2601</v>
      </c>
      <c r="D5174" s="4">
        <v>46499</v>
      </c>
      <c r="E5174" s="4">
        <v>20210224</v>
      </c>
      <c r="F5174" s="4">
        <v>20210224</v>
      </c>
      <c r="G5174" s="4">
        <v>20240224</v>
      </c>
      <c r="H5174" s="4" t="s">
        <v>2600</v>
      </c>
      <c r="J5174" s="4" t="s">
        <v>184</v>
      </c>
    </row>
    <row r="5175" spans="1:10" hidden="1">
      <c r="A5175" s="4">
        <v>2.0210228422E+17</v>
      </c>
      <c r="B5175" s="4">
        <v>6627600268</v>
      </c>
      <c r="C5175" s="4" t="s">
        <v>2599</v>
      </c>
      <c r="D5175" s="4">
        <v>28422</v>
      </c>
      <c r="E5175" s="4">
        <v>20210224</v>
      </c>
      <c r="F5175" s="4">
        <v>20210224</v>
      </c>
      <c r="G5175" s="4">
        <v>20240224</v>
      </c>
      <c r="H5175" s="4" t="s">
        <v>2598</v>
      </c>
      <c r="J5175" s="4" t="s">
        <v>188</v>
      </c>
    </row>
    <row r="5176" spans="1:10" hidden="1">
      <c r="A5176" s="4">
        <v>2.0210224199E+17</v>
      </c>
      <c r="B5176" s="4">
        <v>6768101580</v>
      </c>
      <c r="C5176" s="4" t="s">
        <v>2597</v>
      </c>
      <c r="D5176" s="4">
        <v>24199</v>
      </c>
      <c r="E5176" s="4">
        <v>20210224</v>
      </c>
      <c r="F5176" s="4">
        <v>20210224</v>
      </c>
      <c r="G5176" s="4">
        <v>20240224</v>
      </c>
      <c r="H5176" s="4" t="s">
        <v>2596</v>
      </c>
      <c r="J5176" s="4" t="s">
        <v>454</v>
      </c>
    </row>
    <row r="5177" spans="1:10" hidden="1">
      <c r="A5177" s="4">
        <v>2.02102213E+17</v>
      </c>
      <c r="B5177" s="4">
        <v>3138700931</v>
      </c>
      <c r="C5177" s="4" t="s">
        <v>2595</v>
      </c>
      <c r="D5177" s="4">
        <v>21300</v>
      </c>
      <c r="E5177" s="4">
        <v>20210224</v>
      </c>
      <c r="F5177" s="4">
        <v>20210224</v>
      </c>
      <c r="G5177" s="4">
        <v>20240224</v>
      </c>
      <c r="H5177" s="4" t="s">
        <v>2594</v>
      </c>
      <c r="I5177" s="4" t="s">
        <v>1331</v>
      </c>
      <c r="J5177" s="4" t="s">
        <v>530</v>
      </c>
    </row>
    <row r="5178" spans="1:10" hidden="1">
      <c r="A5178" s="4">
        <v>2.0210226295E+17</v>
      </c>
      <c r="B5178" s="4">
        <v>6338101638</v>
      </c>
      <c r="C5178" s="4" t="s">
        <v>2593</v>
      </c>
      <c r="D5178" s="4">
        <v>26295</v>
      </c>
      <c r="E5178" s="4">
        <v>20210224</v>
      </c>
      <c r="F5178" s="4">
        <v>20210224</v>
      </c>
      <c r="G5178" s="4">
        <v>20240224</v>
      </c>
      <c r="H5178" s="4" t="s">
        <v>2592</v>
      </c>
      <c r="I5178" s="4" t="s">
        <v>2591</v>
      </c>
      <c r="J5178" s="4" t="s">
        <v>174</v>
      </c>
    </row>
    <row r="5179" spans="1:10" hidden="1">
      <c r="A5179" s="4">
        <v>2.0210223325E+17</v>
      </c>
      <c r="B5179" s="4">
        <v>3718801141</v>
      </c>
      <c r="C5179" s="4" t="s">
        <v>2590</v>
      </c>
      <c r="D5179" s="4">
        <v>23325</v>
      </c>
      <c r="E5179" s="4">
        <v>20210224</v>
      </c>
      <c r="F5179" s="4">
        <v>20210224</v>
      </c>
      <c r="G5179" s="4">
        <v>20240224</v>
      </c>
      <c r="H5179" s="4" t="s">
        <v>2589</v>
      </c>
      <c r="J5179" s="4" t="s">
        <v>2588</v>
      </c>
    </row>
    <row r="5180" spans="1:10" hidden="1">
      <c r="A5180" s="4">
        <v>2.0210246499E+17</v>
      </c>
      <c r="B5180" s="4">
        <v>3958701359</v>
      </c>
      <c r="C5180" s="4" t="s">
        <v>2587</v>
      </c>
      <c r="D5180" s="4">
        <v>46499</v>
      </c>
      <c r="E5180" s="4">
        <v>20210223</v>
      </c>
      <c r="F5180" s="4">
        <v>20210223</v>
      </c>
      <c r="G5180" s="4">
        <v>20240223</v>
      </c>
      <c r="H5180" s="4" t="s">
        <v>1896</v>
      </c>
      <c r="I5180" s="4" t="s">
        <v>2586</v>
      </c>
      <c r="J5180" s="4" t="s">
        <v>184</v>
      </c>
    </row>
    <row r="5181" spans="1:10" hidden="1">
      <c r="A5181" s="4">
        <v>2.0210223121E+17</v>
      </c>
      <c r="B5181" s="4">
        <v>8898601070</v>
      </c>
      <c r="C5181" s="4" t="s">
        <v>2584</v>
      </c>
      <c r="D5181" s="4">
        <v>23121</v>
      </c>
      <c r="E5181" s="4">
        <v>20210223</v>
      </c>
      <c r="F5181" s="4">
        <v>20210223</v>
      </c>
      <c r="G5181" s="4">
        <v>20240223</v>
      </c>
      <c r="H5181" s="4" t="s">
        <v>2585</v>
      </c>
      <c r="I5181" s="4" t="s">
        <v>2584</v>
      </c>
      <c r="J5181" s="4" t="s">
        <v>2583</v>
      </c>
    </row>
    <row r="5182" spans="1:10" hidden="1">
      <c r="A5182" s="4">
        <v>2.0210226295E+17</v>
      </c>
      <c r="B5182" s="4">
        <v>5708800545</v>
      </c>
      <c r="C5182" s="4" t="s">
        <v>2582</v>
      </c>
      <c r="D5182" s="4">
        <v>26295</v>
      </c>
      <c r="E5182" s="4">
        <v>20210223</v>
      </c>
      <c r="F5182" s="4">
        <v>20210223</v>
      </c>
      <c r="G5182" s="4">
        <v>20240113</v>
      </c>
      <c r="H5182" s="4" t="s">
        <v>2581</v>
      </c>
      <c r="I5182" s="4" t="s">
        <v>2580</v>
      </c>
      <c r="J5182" s="4" t="s">
        <v>174</v>
      </c>
    </row>
    <row r="5183" spans="1:10" hidden="1">
      <c r="A5183" s="4">
        <v>2.0210270113E+17</v>
      </c>
      <c r="B5183" s="4">
        <v>6268801245</v>
      </c>
      <c r="C5183" s="4" t="s">
        <v>2579</v>
      </c>
      <c r="D5183" s="4">
        <v>70113</v>
      </c>
      <c r="E5183" s="4">
        <v>20210223</v>
      </c>
      <c r="F5183" s="4">
        <v>20210223</v>
      </c>
      <c r="G5183" s="4">
        <v>20240223</v>
      </c>
      <c r="H5183" s="4" t="s">
        <v>2578</v>
      </c>
      <c r="I5183" s="4" t="s">
        <v>2577</v>
      </c>
      <c r="J5183" s="4" t="s">
        <v>1173</v>
      </c>
    </row>
    <row r="5184" spans="1:10" hidden="1">
      <c r="A5184" s="4">
        <v>2.0210258222E+17</v>
      </c>
      <c r="B5184" s="4">
        <v>2038166522</v>
      </c>
      <c r="C5184" s="4" t="s">
        <v>2576</v>
      </c>
      <c r="D5184" s="4">
        <v>58222</v>
      </c>
      <c r="E5184" s="4">
        <v>20210223</v>
      </c>
      <c r="F5184" s="4">
        <v>20210223</v>
      </c>
      <c r="G5184" s="4">
        <v>20240223</v>
      </c>
      <c r="H5184" s="4" t="s">
        <v>2575</v>
      </c>
      <c r="J5184" s="4" t="s">
        <v>94</v>
      </c>
    </row>
    <row r="5185" spans="1:10" hidden="1">
      <c r="A5185" s="4">
        <v>2.0210226429E+17</v>
      </c>
      <c r="B5185" s="4">
        <v>3598701805</v>
      </c>
      <c r="C5185" s="4" t="s">
        <v>2574</v>
      </c>
      <c r="D5185" s="4">
        <v>26429</v>
      </c>
      <c r="E5185" s="4">
        <v>20210223</v>
      </c>
      <c r="F5185" s="4">
        <v>20210223</v>
      </c>
      <c r="G5185" s="4">
        <v>20240223</v>
      </c>
      <c r="H5185" s="4" t="s">
        <v>2573</v>
      </c>
      <c r="I5185" s="4" t="s">
        <v>2572</v>
      </c>
      <c r="J5185" s="4" t="s">
        <v>422</v>
      </c>
    </row>
    <row r="5186" spans="1:10" hidden="1">
      <c r="A5186" s="4">
        <v>2.0210241122E+17</v>
      </c>
      <c r="B5186" s="4">
        <v>7978701119</v>
      </c>
      <c r="C5186" s="4" t="s">
        <v>2571</v>
      </c>
      <c r="D5186" s="4">
        <v>41122</v>
      </c>
      <c r="E5186" s="4">
        <v>20210223</v>
      </c>
      <c r="F5186" s="4">
        <v>20210223</v>
      </c>
      <c r="G5186" s="4">
        <v>20240223</v>
      </c>
      <c r="H5186" s="4" t="s">
        <v>2570</v>
      </c>
      <c r="J5186" s="4" t="s">
        <v>1368</v>
      </c>
    </row>
    <row r="5187" spans="1:10" hidden="1">
      <c r="A5187" s="4">
        <v>2.0210228122E+17</v>
      </c>
      <c r="B5187" s="4">
        <v>5918701490</v>
      </c>
      <c r="C5187" s="4" t="s">
        <v>2569</v>
      </c>
      <c r="D5187" s="4">
        <v>28122</v>
      </c>
      <c r="E5187" s="4">
        <v>20210223</v>
      </c>
      <c r="F5187" s="4">
        <v>20210223</v>
      </c>
      <c r="G5187" s="4">
        <v>20240223</v>
      </c>
      <c r="H5187" s="4" t="s">
        <v>2568</v>
      </c>
      <c r="J5187" s="4" t="s">
        <v>837</v>
      </c>
    </row>
    <row r="5188" spans="1:10" hidden="1">
      <c r="A5188" s="4">
        <v>2.0210275992E+17</v>
      </c>
      <c r="B5188" s="4">
        <v>5278601978</v>
      </c>
      <c r="C5188" s="4" t="s">
        <v>2567</v>
      </c>
      <c r="D5188" s="4">
        <v>75992</v>
      </c>
      <c r="E5188" s="4">
        <v>20210223</v>
      </c>
      <c r="F5188" s="4">
        <v>20210223</v>
      </c>
      <c r="G5188" s="4">
        <v>20240223</v>
      </c>
      <c r="H5188" s="4" t="s">
        <v>2566</v>
      </c>
      <c r="I5188" s="4" t="s">
        <v>2565</v>
      </c>
      <c r="J5188" s="4" t="s">
        <v>111</v>
      </c>
    </row>
    <row r="5189" spans="1:10" hidden="1">
      <c r="A5189" s="4">
        <v>2.0210272129E+17</v>
      </c>
      <c r="B5189" s="4">
        <v>8868701234</v>
      </c>
      <c r="C5189" s="4" t="s">
        <v>2564</v>
      </c>
      <c r="D5189" s="4">
        <v>72129</v>
      </c>
      <c r="E5189" s="4">
        <v>20210223</v>
      </c>
      <c r="F5189" s="4">
        <v>20210223</v>
      </c>
      <c r="G5189" s="4">
        <v>20240223</v>
      </c>
      <c r="H5189" s="4" t="s">
        <v>1867</v>
      </c>
      <c r="I5189" s="4" t="s">
        <v>415</v>
      </c>
      <c r="J5189" s="4" t="s">
        <v>1679</v>
      </c>
    </row>
    <row r="5190" spans="1:10" hidden="1">
      <c r="A5190" s="4">
        <v>2.0210247631E+17</v>
      </c>
      <c r="B5190" s="4">
        <v>6261301252</v>
      </c>
      <c r="C5190" s="4" t="s">
        <v>2562</v>
      </c>
      <c r="D5190" s="4">
        <v>47631</v>
      </c>
      <c r="E5190" s="4">
        <v>20210223</v>
      </c>
      <c r="F5190" s="4">
        <v>20210223</v>
      </c>
      <c r="G5190" s="4">
        <v>20240223</v>
      </c>
      <c r="H5190" s="4" t="s">
        <v>2563</v>
      </c>
      <c r="I5190" s="4" t="s">
        <v>2562</v>
      </c>
      <c r="J5190" s="4" t="s">
        <v>2561</v>
      </c>
    </row>
    <row r="5191" spans="1:10" hidden="1">
      <c r="A5191" s="4">
        <v>2.0210201121E+17</v>
      </c>
      <c r="B5191" s="4">
        <v>7798702110</v>
      </c>
      <c r="C5191" s="4" t="s">
        <v>2560</v>
      </c>
      <c r="D5191" s="4">
        <v>1121</v>
      </c>
      <c r="E5191" s="4">
        <v>20210223</v>
      </c>
      <c r="F5191" s="4">
        <v>20210223</v>
      </c>
      <c r="G5191" s="4">
        <v>20240223</v>
      </c>
      <c r="H5191" s="4" t="s">
        <v>2559</v>
      </c>
      <c r="J5191" s="4" t="s">
        <v>2011</v>
      </c>
    </row>
    <row r="5192" spans="1:10" hidden="1">
      <c r="A5192" s="4">
        <v>2.0210210741E+17</v>
      </c>
      <c r="B5192" s="4">
        <v>2588700139</v>
      </c>
      <c r="C5192" s="4" t="s">
        <v>2558</v>
      </c>
      <c r="D5192" s="4">
        <v>10741</v>
      </c>
      <c r="E5192" s="4">
        <v>20210223</v>
      </c>
      <c r="F5192" s="4">
        <v>20210223</v>
      </c>
      <c r="G5192" s="4">
        <v>20220427</v>
      </c>
      <c r="H5192" s="4" t="s">
        <v>2557</v>
      </c>
      <c r="J5192" s="4" t="s">
        <v>2556</v>
      </c>
    </row>
    <row r="5193" spans="1:10" hidden="1">
      <c r="A5193" s="4">
        <v>2.0210223321E+17</v>
      </c>
      <c r="B5193" s="4">
        <v>4248601039</v>
      </c>
      <c r="C5193" s="4" t="s">
        <v>2555</v>
      </c>
      <c r="D5193" s="4">
        <v>23321</v>
      </c>
      <c r="E5193" s="4">
        <v>20210223</v>
      </c>
      <c r="F5193" s="4">
        <v>20210223</v>
      </c>
      <c r="G5193" s="4">
        <v>20240223</v>
      </c>
      <c r="H5193" s="4" t="s">
        <v>274</v>
      </c>
      <c r="I5193" s="4" t="s">
        <v>2554</v>
      </c>
      <c r="J5193" s="4" t="s">
        <v>1337</v>
      </c>
    </row>
    <row r="5194" spans="1:10" hidden="1">
      <c r="A5194" s="4">
        <v>2.0210246739E+17</v>
      </c>
      <c r="B5194" s="4">
        <v>1068714045</v>
      </c>
      <c r="C5194" s="4" t="s">
        <v>2553</v>
      </c>
      <c r="D5194" s="4">
        <v>46739</v>
      </c>
      <c r="E5194" s="4">
        <v>20210223</v>
      </c>
      <c r="F5194" s="4">
        <v>20210223</v>
      </c>
      <c r="G5194" s="4">
        <v>20240223</v>
      </c>
      <c r="H5194" s="4" t="s">
        <v>2552</v>
      </c>
      <c r="J5194" s="4" t="s">
        <v>2551</v>
      </c>
    </row>
    <row r="5195" spans="1:10" hidden="1">
      <c r="A5195" s="4">
        <v>2.0210222199E+17</v>
      </c>
      <c r="B5195" s="4">
        <v>8954400571</v>
      </c>
      <c r="C5195" s="4" t="s">
        <v>2550</v>
      </c>
      <c r="D5195" s="4">
        <v>22199</v>
      </c>
      <c r="E5195" s="4">
        <v>20210223</v>
      </c>
      <c r="F5195" s="4">
        <v>20210223</v>
      </c>
      <c r="G5195" s="4">
        <v>20240223</v>
      </c>
      <c r="H5195" s="4" t="s">
        <v>2549</v>
      </c>
      <c r="J5195" s="4" t="s">
        <v>1962</v>
      </c>
    </row>
    <row r="5196" spans="1:10">
      <c r="A5196" s="4">
        <v>2.0210318119000099E+17</v>
      </c>
      <c r="B5196" s="4">
        <v>7853900270</v>
      </c>
      <c r="C5196" s="4" t="s">
        <v>3277</v>
      </c>
      <c r="D5196" s="4">
        <v>18119</v>
      </c>
      <c r="E5196" s="4">
        <v>20210304</v>
      </c>
      <c r="F5196" s="4">
        <v>20210304</v>
      </c>
      <c r="G5196" s="4">
        <v>20240304</v>
      </c>
      <c r="H5196" s="4" t="s">
        <v>3276</v>
      </c>
      <c r="J5196" s="4" t="s">
        <v>707</v>
      </c>
    </row>
    <row r="5197" spans="1:10" hidden="1">
      <c r="A5197" s="4">
        <v>2.0210228429E+17</v>
      </c>
      <c r="B5197" s="4">
        <v>8802700607</v>
      </c>
      <c r="C5197" s="4" t="s">
        <v>2545</v>
      </c>
      <c r="D5197" s="4">
        <v>28429</v>
      </c>
      <c r="E5197" s="4">
        <v>20210223</v>
      </c>
      <c r="F5197" s="4">
        <v>20210223</v>
      </c>
      <c r="G5197" s="4">
        <v>20240223</v>
      </c>
      <c r="H5197" s="4" t="s">
        <v>2544</v>
      </c>
      <c r="J5197" s="4" t="s">
        <v>765</v>
      </c>
    </row>
    <row r="5198" spans="1:10" hidden="1">
      <c r="A5198" s="4">
        <v>2.0210247912E+17</v>
      </c>
      <c r="B5198" s="4">
        <v>1306300285</v>
      </c>
      <c r="C5198" s="4" t="s">
        <v>2543</v>
      </c>
      <c r="D5198" s="4">
        <v>47912</v>
      </c>
      <c r="E5198" s="4">
        <v>20210223</v>
      </c>
      <c r="F5198" s="4">
        <v>20210223</v>
      </c>
      <c r="G5198" s="4">
        <v>20240223</v>
      </c>
      <c r="H5198" s="4" t="s">
        <v>2542</v>
      </c>
      <c r="I5198" s="4" t="s">
        <v>2541</v>
      </c>
      <c r="J5198" s="4" t="s">
        <v>78</v>
      </c>
    </row>
    <row r="5199" spans="1:10" hidden="1">
      <c r="A5199" s="4">
        <v>2.0210271399E+17</v>
      </c>
      <c r="B5199" s="4">
        <v>3907100145</v>
      </c>
      <c r="C5199" s="4" t="s">
        <v>2540</v>
      </c>
      <c r="D5199" s="4">
        <v>71399</v>
      </c>
      <c r="E5199" s="4">
        <v>20210223</v>
      </c>
      <c r="F5199" s="4">
        <v>20210223</v>
      </c>
      <c r="G5199" s="4">
        <v>20240223</v>
      </c>
      <c r="H5199" s="4" t="s">
        <v>2539</v>
      </c>
      <c r="J5199" s="4" t="s">
        <v>217</v>
      </c>
    </row>
    <row r="5200" spans="1:10" hidden="1">
      <c r="A5200" s="4">
        <v>2.0210258212E+17</v>
      </c>
      <c r="B5200" s="4">
        <v>6233200518</v>
      </c>
      <c r="C5200" s="4" t="s">
        <v>2538</v>
      </c>
      <c r="D5200" s="4">
        <v>58212</v>
      </c>
      <c r="E5200" s="4">
        <v>20210223</v>
      </c>
      <c r="F5200" s="4">
        <v>20210223</v>
      </c>
      <c r="G5200" s="4">
        <v>20240223</v>
      </c>
      <c r="H5200" s="4" t="s">
        <v>2537</v>
      </c>
      <c r="I5200" s="4" t="s">
        <v>657</v>
      </c>
      <c r="J5200" s="4" t="s">
        <v>1076</v>
      </c>
    </row>
    <row r="5201" spans="1:10" hidden="1">
      <c r="A5201" s="4">
        <v>2.0210226299E+17</v>
      </c>
      <c r="B5201" s="4">
        <v>7218700393</v>
      </c>
      <c r="C5201" s="4" t="s">
        <v>2536</v>
      </c>
      <c r="D5201" s="4">
        <v>26299</v>
      </c>
      <c r="E5201" s="4">
        <v>20210223</v>
      </c>
      <c r="F5201" s="4">
        <v>20210223</v>
      </c>
      <c r="G5201" s="4">
        <v>20230728</v>
      </c>
      <c r="H5201" s="4" t="s">
        <v>2535</v>
      </c>
      <c r="I5201" s="4" t="s">
        <v>185</v>
      </c>
      <c r="J5201" s="4" t="s">
        <v>339</v>
      </c>
    </row>
    <row r="5202" spans="1:10" hidden="1">
      <c r="A5202" s="4">
        <v>2.0210231114E+17</v>
      </c>
      <c r="B5202" s="4">
        <v>6918701621</v>
      </c>
      <c r="C5202" s="4" t="s">
        <v>2534</v>
      </c>
      <c r="D5202" s="4">
        <v>31114</v>
      </c>
      <c r="E5202" s="4">
        <v>20210223</v>
      </c>
      <c r="F5202" s="4">
        <v>20210223</v>
      </c>
      <c r="G5202" s="4">
        <v>20240223</v>
      </c>
      <c r="H5202" s="4" t="s">
        <v>2533</v>
      </c>
      <c r="I5202" s="4" t="s">
        <v>2532</v>
      </c>
      <c r="J5202" s="4" t="s">
        <v>1070</v>
      </c>
    </row>
    <row r="5203" spans="1:10" hidden="1">
      <c r="A5203" s="4">
        <v>2.0210228909E+17</v>
      </c>
      <c r="B5203" s="4">
        <v>3840601501</v>
      </c>
      <c r="C5203" s="4" t="s">
        <v>2531</v>
      </c>
      <c r="D5203" s="4">
        <v>28909</v>
      </c>
      <c r="E5203" s="4">
        <v>20210223</v>
      </c>
      <c r="F5203" s="4">
        <v>20210223</v>
      </c>
      <c r="G5203" s="4">
        <v>20240223</v>
      </c>
      <c r="H5203" s="4" t="s">
        <v>2530</v>
      </c>
      <c r="J5203" s="4" t="s">
        <v>253</v>
      </c>
    </row>
    <row r="5204" spans="1:10" hidden="1">
      <c r="A5204" s="4">
        <v>2.0210246499E+17</v>
      </c>
      <c r="B5204" s="4">
        <v>3068602064</v>
      </c>
      <c r="C5204" s="4" t="s">
        <v>2529</v>
      </c>
      <c r="D5204" s="4">
        <v>46499</v>
      </c>
      <c r="E5204" s="4">
        <v>20210223</v>
      </c>
      <c r="F5204" s="4">
        <v>20210223</v>
      </c>
      <c r="G5204" s="4">
        <v>20240223</v>
      </c>
      <c r="H5204" s="4" t="s">
        <v>2528</v>
      </c>
      <c r="I5204" s="4" t="s">
        <v>1455</v>
      </c>
      <c r="J5204" s="4" t="s">
        <v>184</v>
      </c>
    </row>
    <row r="5205" spans="1:10" hidden="1">
      <c r="A5205" s="4">
        <v>2.0210242322E+17</v>
      </c>
      <c r="B5205" s="4">
        <v>8878701902</v>
      </c>
      <c r="C5205" s="4" t="s">
        <v>2527</v>
      </c>
      <c r="D5205" s="4">
        <v>42322</v>
      </c>
      <c r="E5205" s="4">
        <v>20210223</v>
      </c>
      <c r="F5205" s="4">
        <v>20210223</v>
      </c>
      <c r="G5205" s="4">
        <v>20240223</v>
      </c>
      <c r="H5205" s="4" t="s">
        <v>2526</v>
      </c>
      <c r="I5205" s="4" t="s">
        <v>2525</v>
      </c>
      <c r="J5205" s="4" t="s">
        <v>2524</v>
      </c>
    </row>
    <row r="5206" spans="1:10" hidden="1">
      <c r="A5206" s="4">
        <v>2.0210255109E+17</v>
      </c>
      <c r="B5206" s="4">
        <v>5848100813</v>
      </c>
      <c r="C5206" s="4" t="s">
        <v>2523</v>
      </c>
      <c r="D5206" s="4">
        <v>55109</v>
      </c>
      <c r="E5206" s="4">
        <v>20210223</v>
      </c>
      <c r="F5206" s="4">
        <v>20210223</v>
      </c>
      <c r="G5206" s="4">
        <v>20240223</v>
      </c>
      <c r="H5206" s="4" t="s">
        <v>2522</v>
      </c>
      <c r="I5206" s="4" t="s">
        <v>2521</v>
      </c>
      <c r="J5206" s="4" t="s">
        <v>2520</v>
      </c>
    </row>
    <row r="5207" spans="1:10" hidden="1">
      <c r="A5207" s="4">
        <v>2.0210247912E+17</v>
      </c>
      <c r="B5207" s="4">
        <v>1718100320</v>
      </c>
      <c r="C5207" s="4" t="s">
        <v>2519</v>
      </c>
      <c r="D5207" s="4">
        <v>47912</v>
      </c>
      <c r="E5207" s="4">
        <v>20210223</v>
      </c>
      <c r="F5207" s="4">
        <v>20210223</v>
      </c>
      <c r="G5207" s="4">
        <v>20230224</v>
      </c>
      <c r="H5207" s="4" t="s">
        <v>2518</v>
      </c>
      <c r="I5207" s="4" t="s">
        <v>2517</v>
      </c>
      <c r="J5207" s="4" t="s">
        <v>78</v>
      </c>
    </row>
    <row r="5208" spans="1:10" hidden="1">
      <c r="A5208" s="4">
        <v>2.0210229199E+17</v>
      </c>
      <c r="B5208" s="4">
        <v>5508701392</v>
      </c>
      <c r="C5208" s="4" t="s">
        <v>2516</v>
      </c>
      <c r="D5208" s="4">
        <v>29199</v>
      </c>
      <c r="E5208" s="4">
        <v>20210223</v>
      </c>
      <c r="F5208" s="4">
        <v>20210223</v>
      </c>
      <c r="G5208" s="4">
        <v>20240223</v>
      </c>
      <c r="H5208" s="4" t="s">
        <v>2515</v>
      </c>
      <c r="J5208" s="4" t="s">
        <v>166</v>
      </c>
    </row>
    <row r="5209" spans="1:10" hidden="1">
      <c r="A5209" s="4">
        <v>2.0210285709E+17</v>
      </c>
      <c r="B5209" s="4">
        <v>1678600670</v>
      </c>
      <c r="C5209" s="4" t="s">
        <v>2514</v>
      </c>
      <c r="D5209" s="4">
        <v>85709</v>
      </c>
      <c r="E5209" s="4">
        <v>20210223</v>
      </c>
      <c r="F5209" s="4">
        <v>20210223</v>
      </c>
      <c r="G5209" s="4">
        <v>20240220</v>
      </c>
      <c r="H5209" s="4" t="s">
        <v>2513</v>
      </c>
      <c r="I5209" s="4" t="s">
        <v>2512</v>
      </c>
      <c r="J5209" s="4" t="s">
        <v>141</v>
      </c>
    </row>
    <row r="5210" spans="1:10" hidden="1">
      <c r="A5210" s="4">
        <v>2.0210233999E+17</v>
      </c>
      <c r="B5210" s="4">
        <v>3028700912</v>
      </c>
      <c r="C5210" s="4" t="s">
        <v>2511</v>
      </c>
      <c r="D5210" s="4">
        <v>33999</v>
      </c>
      <c r="E5210" s="4">
        <v>20210223</v>
      </c>
      <c r="F5210" s="4">
        <v>20210223</v>
      </c>
      <c r="G5210" s="4">
        <v>20240223</v>
      </c>
      <c r="H5210" s="4" t="s">
        <v>2510</v>
      </c>
      <c r="I5210" s="4" t="s">
        <v>2509</v>
      </c>
      <c r="J5210" s="4" t="s">
        <v>780</v>
      </c>
    </row>
    <row r="5211" spans="1:10" hidden="1">
      <c r="A5211" s="4">
        <v>2.0210231312E+17</v>
      </c>
      <c r="B5211" s="4">
        <v>8258102008</v>
      </c>
      <c r="C5211" s="4" t="s">
        <v>2508</v>
      </c>
      <c r="D5211" s="4">
        <v>31312</v>
      </c>
      <c r="E5211" s="4">
        <v>20210223</v>
      </c>
      <c r="F5211" s="4">
        <v>20210223</v>
      </c>
      <c r="G5211" s="4">
        <v>20240223</v>
      </c>
      <c r="H5211" s="4" t="s">
        <v>2507</v>
      </c>
      <c r="I5211" s="4" t="s">
        <v>2506</v>
      </c>
      <c r="J5211" s="4" t="s">
        <v>748</v>
      </c>
    </row>
    <row r="5212" spans="1:10" hidden="1">
      <c r="A5212" s="4">
        <v>2.0210230122E+17</v>
      </c>
      <c r="B5212" s="4">
        <v>2808101128</v>
      </c>
      <c r="C5212" s="4" t="s">
        <v>2505</v>
      </c>
      <c r="D5212" s="4">
        <v>30122</v>
      </c>
      <c r="E5212" s="4">
        <v>20210223</v>
      </c>
      <c r="F5212" s="4">
        <v>20210223</v>
      </c>
      <c r="G5212" s="4">
        <v>20240223</v>
      </c>
      <c r="H5212" s="4" t="s">
        <v>2504</v>
      </c>
      <c r="J5212" s="4" t="s">
        <v>2503</v>
      </c>
    </row>
    <row r="5213" spans="1:10" hidden="1">
      <c r="A5213" s="4">
        <v>2.0210263991E+17</v>
      </c>
      <c r="B5213" s="4">
        <v>4518601007</v>
      </c>
      <c r="C5213" s="4" t="s">
        <v>2502</v>
      </c>
      <c r="D5213" s="4">
        <v>63991</v>
      </c>
      <c r="E5213" s="4">
        <v>20210223</v>
      </c>
      <c r="F5213" s="4">
        <v>20210223</v>
      </c>
      <c r="G5213" s="4">
        <v>20240223</v>
      </c>
      <c r="H5213" s="4" t="s">
        <v>2501</v>
      </c>
      <c r="I5213" s="4" t="s">
        <v>2500</v>
      </c>
      <c r="J5213" s="4" t="s">
        <v>395</v>
      </c>
    </row>
    <row r="5214" spans="1:10" hidden="1">
      <c r="A5214" s="4">
        <v>2.0210262021E+17</v>
      </c>
      <c r="B5214" s="4">
        <v>1858100159</v>
      </c>
      <c r="C5214" s="4" t="s">
        <v>2499</v>
      </c>
      <c r="D5214" s="4">
        <v>62021</v>
      </c>
      <c r="E5214" s="4">
        <v>20210223</v>
      </c>
      <c r="F5214" s="4">
        <v>20210223</v>
      </c>
      <c r="G5214" s="4">
        <v>20220805</v>
      </c>
      <c r="H5214" s="4" t="s">
        <v>1142</v>
      </c>
      <c r="I5214" s="4" t="s">
        <v>2498</v>
      </c>
      <c r="J5214" s="4" t="s">
        <v>1505</v>
      </c>
    </row>
    <row r="5215" spans="1:10" hidden="1">
      <c r="A5215" s="4">
        <v>2.0210228909E+17</v>
      </c>
      <c r="B5215" s="4">
        <v>6678802056</v>
      </c>
      <c r="C5215" s="4" t="s">
        <v>2497</v>
      </c>
      <c r="D5215" s="4">
        <v>28909</v>
      </c>
      <c r="E5215" s="4">
        <v>20210223</v>
      </c>
      <c r="F5215" s="4">
        <v>20210223</v>
      </c>
      <c r="G5215" s="4">
        <v>20240223</v>
      </c>
      <c r="H5215" s="4" t="s">
        <v>2496</v>
      </c>
      <c r="I5215" s="4" t="s">
        <v>2495</v>
      </c>
      <c r="J5215" s="4" t="s">
        <v>253</v>
      </c>
    </row>
    <row r="5216" spans="1:10" hidden="1">
      <c r="A5216" s="4">
        <v>2.0210270129E+17</v>
      </c>
      <c r="B5216" s="4">
        <v>7818602019</v>
      </c>
      <c r="C5216" s="4" t="s">
        <v>2494</v>
      </c>
      <c r="D5216" s="4">
        <v>70129</v>
      </c>
      <c r="E5216" s="4">
        <v>20210223</v>
      </c>
      <c r="F5216" s="4">
        <v>20210223</v>
      </c>
      <c r="G5216" s="4">
        <v>20240223</v>
      </c>
      <c r="H5216" s="4" t="s">
        <v>2493</v>
      </c>
      <c r="I5216" s="4" t="s">
        <v>2492</v>
      </c>
      <c r="J5216" s="4" t="s">
        <v>937</v>
      </c>
    </row>
    <row r="5217" spans="1:10" hidden="1">
      <c r="A5217" s="4">
        <v>2.0210242491E+17</v>
      </c>
      <c r="B5217" s="4">
        <v>3668801488</v>
      </c>
      <c r="C5217" s="4" t="s">
        <v>2491</v>
      </c>
      <c r="D5217" s="4">
        <v>42491</v>
      </c>
      <c r="E5217" s="4">
        <v>20210223</v>
      </c>
      <c r="F5217" s="4">
        <v>20210223</v>
      </c>
      <c r="G5217" s="4">
        <v>20240223</v>
      </c>
      <c r="H5217" s="4" t="s">
        <v>1449</v>
      </c>
      <c r="I5217" s="4" t="s">
        <v>2490</v>
      </c>
      <c r="J5217" s="4" t="s">
        <v>883</v>
      </c>
    </row>
    <row r="5218" spans="1:10" hidden="1">
      <c r="A5218" s="4">
        <v>2.0210258222E+17</v>
      </c>
      <c r="B5218" s="4">
        <v>1458702205</v>
      </c>
      <c r="C5218" s="4" t="s">
        <v>2489</v>
      </c>
      <c r="D5218" s="4">
        <v>58222</v>
      </c>
      <c r="E5218" s="4">
        <v>20210223</v>
      </c>
      <c r="F5218" s="4">
        <v>20210223</v>
      </c>
      <c r="G5218" s="4">
        <v>20240223</v>
      </c>
      <c r="H5218" s="4" t="s">
        <v>2488</v>
      </c>
      <c r="I5218" s="4" t="s">
        <v>159</v>
      </c>
      <c r="J5218" s="4" t="s">
        <v>94</v>
      </c>
    </row>
    <row r="5219" spans="1:10" hidden="1">
      <c r="A5219" s="4">
        <v>2.0210272122E+17</v>
      </c>
      <c r="B5219" s="4">
        <v>7518601950</v>
      </c>
      <c r="C5219" s="4" t="s">
        <v>2487</v>
      </c>
      <c r="D5219" s="4">
        <v>72122</v>
      </c>
      <c r="E5219" s="4">
        <v>20210223</v>
      </c>
      <c r="F5219" s="4">
        <v>20210223</v>
      </c>
      <c r="G5219" s="4">
        <v>20240223</v>
      </c>
      <c r="H5219" s="4" t="s">
        <v>2486</v>
      </c>
      <c r="I5219" s="4" t="s">
        <v>2485</v>
      </c>
      <c r="J5219" s="4" t="s">
        <v>2484</v>
      </c>
    </row>
    <row r="5220" spans="1:10" hidden="1">
      <c r="A5220" s="4">
        <v>2.0210258222E+17</v>
      </c>
      <c r="B5220" s="4">
        <v>6128701064</v>
      </c>
      <c r="C5220" s="4" t="s">
        <v>2483</v>
      </c>
      <c r="D5220" s="4">
        <v>58222</v>
      </c>
      <c r="E5220" s="4">
        <v>20210223</v>
      </c>
      <c r="F5220" s="4">
        <v>20210223</v>
      </c>
      <c r="G5220" s="4">
        <v>20240223</v>
      </c>
      <c r="H5220" s="4" t="s">
        <v>2452</v>
      </c>
      <c r="I5220" s="4" t="s">
        <v>2482</v>
      </c>
      <c r="J5220" s="4" t="s">
        <v>94</v>
      </c>
    </row>
    <row r="5221" spans="1:10" hidden="1">
      <c r="A5221" s="4">
        <v>2.0210229133E+17</v>
      </c>
      <c r="B5221" s="4">
        <v>2850800795</v>
      </c>
      <c r="C5221" s="4" t="s">
        <v>2481</v>
      </c>
      <c r="D5221" s="4">
        <v>29133</v>
      </c>
      <c r="E5221" s="4">
        <v>20210223</v>
      </c>
      <c r="F5221" s="4">
        <v>20210223</v>
      </c>
      <c r="G5221" s="4">
        <v>20240223</v>
      </c>
      <c r="H5221" s="4" t="s">
        <v>2480</v>
      </c>
      <c r="I5221" s="4" t="s">
        <v>2479</v>
      </c>
      <c r="J5221" s="4" t="s">
        <v>990</v>
      </c>
    </row>
    <row r="5222" spans="1:10" hidden="1">
      <c r="A5222" s="4">
        <v>2.0210227199E+17</v>
      </c>
      <c r="B5222" s="4">
        <v>5211200719</v>
      </c>
      <c r="C5222" s="4" t="s">
        <v>2478</v>
      </c>
      <c r="D5222" s="4">
        <v>27199</v>
      </c>
      <c r="E5222" s="4">
        <v>20210223</v>
      </c>
      <c r="F5222" s="4">
        <v>20210223</v>
      </c>
      <c r="G5222" s="4">
        <v>20240223</v>
      </c>
      <c r="H5222" s="4" t="s">
        <v>2477</v>
      </c>
      <c r="I5222" s="4" t="s">
        <v>2476</v>
      </c>
      <c r="J5222" s="4" t="s">
        <v>418</v>
      </c>
    </row>
    <row r="5223" spans="1:10" hidden="1">
      <c r="A5223" s="4">
        <v>2.0210246595E+17</v>
      </c>
      <c r="B5223" s="4">
        <v>7668600045</v>
      </c>
      <c r="C5223" s="4" t="s">
        <v>2475</v>
      </c>
      <c r="D5223" s="4">
        <v>46595</v>
      </c>
      <c r="E5223" s="4">
        <v>20210223</v>
      </c>
      <c r="F5223" s="4">
        <v>20210223</v>
      </c>
      <c r="G5223" s="4">
        <v>20220202</v>
      </c>
      <c r="H5223" s="4" t="s">
        <v>2474</v>
      </c>
      <c r="I5223" s="4" t="s">
        <v>2473</v>
      </c>
      <c r="J5223" s="4" t="s">
        <v>960</v>
      </c>
    </row>
    <row r="5224" spans="1:10" hidden="1">
      <c r="A5224" s="4">
        <v>2.021026312E+17</v>
      </c>
      <c r="B5224" s="4">
        <v>3668100312</v>
      </c>
      <c r="C5224" s="4" t="s">
        <v>2472</v>
      </c>
      <c r="D5224" s="4">
        <v>63120</v>
      </c>
      <c r="E5224" s="4">
        <v>20210223</v>
      </c>
      <c r="F5224" s="4">
        <v>20210223</v>
      </c>
      <c r="G5224" s="4">
        <v>20230404</v>
      </c>
      <c r="H5224" s="4" t="s">
        <v>2471</v>
      </c>
      <c r="I5224" s="4" t="s">
        <v>2470</v>
      </c>
      <c r="J5224" s="4" t="s">
        <v>632</v>
      </c>
    </row>
    <row r="5225" spans="1:10" hidden="1">
      <c r="A5225" s="4">
        <v>2.0210225111E+17</v>
      </c>
      <c r="B5225" s="4">
        <v>7238801449</v>
      </c>
      <c r="C5225" s="4" t="s">
        <v>2469</v>
      </c>
      <c r="D5225" s="4">
        <v>25111</v>
      </c>
      <c r="E5225" s="4">
        <v>20210222</v>
      </c>
      <c r="F5225" s="4">
        <v>20210222</v>
      </c>
      <c r="G5225" s="4">
        <v>20240222</v>
      </c>
      <c r="H5225" s="4" t="s">
        <v>2468</v>
      </c>
      <c r="I5225" s="4" t="s">
        <v>2467</v>
      </c>
      <c r="J5225" s="4" t="s">
        <v>82</v>
      </c>
    </row>
    <row r="5226" spans="1:10" hidden="1">
      <c r="A5226" s="4">
        <v>2.02102213E+17</v>
      </c>
      <c r="B5226" s="4">
        <v>3718701692</v>
      </c>
      <c r="C5226" s="4" t="s">
        <v>2466</v>
      </c>
      <c r="D5226" s="4">
        <v>21300</v>
      </c>
      <c r="E5226" s="4">
        <v>20210222</v>
      </c>
      <c r="F5226" s="4">
        <v>20210222</v>
      </c>
      <c r="G5226" s="4">
        <v>20240222</v>
      </c>
      <c r="H5226" s="4" t="s">
        <v>2465</v>
      </c>
      <c r="J5226" s="4" t="s">
        <v>530</v>
      </c>
    </row>
    <row r="5227" spans="1:10" hidden="1">
      <c r="A5227" s="4">
        <v>2.0210214111E+17</v>
      </c>
      <c r="B5227" s="4">
        <v>3478802021</v>
      </c>
      <c r="C5227" s="4" t="s">
        <v>2464</v>
      </c>
      <c r="D5227" s="4">
        <v>14111</v>
      </c>
      <c r="E5227" s="4">
        <v>20210222</v>
      </c>
      <c r="F5227" s="4">
        <v>20210222</v>
      </c>
      <c r="G5227" s="4">
        <v>20240222</v>
      </c>
      <c r="H5227" s="4" t="s">
        <v>2463</v>
      </c>
      <c r="J5227" s="4" t="s">
        <v>2462</v>
      </c>
    </row>
    <row r="5228" spans="1:10" hidden="1">
      <c r="A5228" s="4">
        <v>2.0210275999E+17</v>
      </c>
      <c r="B5228" s="4">
        <v>8458701247</v>
      </c>
      <c r="C5228" s="4" t="s">
        <v>2461</v>
      </c>
      <c r="D5228" s="4">
        <v>75999</v>
      </c>
      <c r="E5228" s="4">
        <v>20210222</v>
      </c>
      <c r="F5228" s="4">
        <v>20210222</v>
      </c>
      <c r="G5228" s="4">
        <v>20240222</v>
      </c>
      <c r="H5228" s="4" t="s">
        <v>812</v>
      </c>
      <c r="I5228" s="4" t="s">
        <v>855</v>
      </c>
      <c r="J5228" s="4" t="s">
        <v>158</v>
      </c>
    </row>
    <row r="5229" spans="1:10" hidden="1">
      <c r="A5229" s="4">
        <v>2.0210263999E+17</v>
      </c>
      <c r="B5229" s="4">
        <v>6958101413</v>
      </c>
      <c r="C5229" s="4" t="s">
        <v>2460</v>
      </c>
      <c r="D5229" s="4">
        <v>63999</v>
      </c>
      <c r="E5229" s="4">
        <v>20210222</v>
      </c>
      <c r="F5229" s="4">
        <v>20210222</v>
      </c>
      <c r="G5229" s="4">
        <v>20240222</v>
      </c>
      <c r="H5229" s="4" t="s">
        <v>120</v>
      </c>
      <c r="I5229" s="4" t="s">
        <v>2459</v>
      </c>
      <c r="J5229" s="4" t="s">
        <v>643</v>
      </c>
    </row>
    <row r="5230" spans="1:10" hidden="1">
      <c r="A5230" s="4">
        <v>2.0210229199E+17</v>
      </c>
      <c r="B5230" s="4">
        <v>1358701058</v>
      </c>
      <c r="C5230" s="4" t="s">
        <v>2458</v>
      </c>
      <c r="D5230" s="4">
        <v>29199</v>
      </c>
      <c r="E5230" s="4">
        <v>20210222</v>
      </c>
      <c r="F5230" s="4">
        <v>20210222</v>
      </c>
      <c r="G5230" s="4">
        <v>20240222</v>
      </c>
      <c r="H5230" s="4" t="s">
        <v>2457</v>
      </c>
      <c r="I5230" s="4" t="s">
        <v>2456</v>
      </c>
      <c r="J5230" s="4" t="s">
        <v>166</v>
      </c>
    </row>
    <row r="5231" spans="1:10" hidden="1">
      <c r="A5231" s="4">
        <v>2.0210242411E+17</v>
      </c>
      <c r="B5231" s="4">
        <v>5258801087</v>
      </c>
      <c r="C5231" s="4" t="s">
        <v>2455</v>
      </c>
      <c r="D5231" s="4">
        <v>42411</v>
      </c>
      <c r="E5231" s="4">
        <v>20210222</v>
      </c>
      <c r="F5231" s="4">
        <v>20210222</v>
      </c>
      <c r="G5231" s="4">
        <v>20240222</v>
      </c>
      <c r="H5231" s="4" t="s">
        <v>2454</v>
      </c>
      <c r="J5231" s="4" t="s">
        <v>2211</v>
      </c>
    </row>
    <row r="5232" spans="1:10" hidden="1">
      <c r="A5232" s="4">
        <v>2.0210226299E+17</v>
      </c>
      <c r="B5232" s="4">
        <v>5898700218</v>
      </c>
      <c r="C5232" s="4" t="s">
        <v>2453</v>
      </c>
      <c r="D5232" s="4">
        <v>26299</v>
      </c>
      <c r="E5232" s="4">
        <v>20210222</v>
      </c>
      <c r="F5232" s="4">
        <v>20210222</v>
      </c>
      <c r="G5232" s="4">
        <v>20221201</v>
      </c>
      <c r="H5232" s="4" t="s">
        <v>2452</v>
      </c>
      <c r="I5232" s="4" t="s">
        <v>2451</v>
      </c>
      <c r="J5232" s="4" t="s">
        <v>339</v>
      </c>
    </row>
    <row r="5233" spans="1:10" hidden="1">
      <c r="A5233" s="4">
        <v>2.0210220321E+17</v>
      </c>
      <c r="B5233" s="4">
        <v>5068701380</v>
      </c>
      <c r="C5233" s="4" t="s">
        <v>2450</v>
      </c>
      <c r="D5233" s="4">
        <v>20321</v>
      </c>
      <c r="E5233" s="4">
        <v>20210222</v>
      </c>
      <c r="F5233" s="4">
        <v>20210222</v>
      </c>
      <c r="G5233" s="4">
        <v>20240222</v>
      </c>
      <c r="H5233" s="4" t="s">
        <v>2449</v>
      </c>
      <c r="I5233" s="4" t="s">
        <v>2448</v>
      </c>
      <c r="J5233" s="4" t="s">
        <v>192</v>
      </c>
    </row>
    <row r="5234" spans="1:10" hidden="1">
      <c r="A5234" s="4">
        <v>2.0210233309E+17</v>
      </c>
      <c r="B5234" s="4">
        <v>2048801180</v>
      </c>
      <c r="C5234" s="4" t="s">
        <v>2447</v>
      </c>
      <c r="D5234" s="4">
        <v>33309</v>
      </c>
      <c r="E5234" s="4">
        <v>20210222</v>
      </c>
      <c r="F5234" s="4">
        <v>20210222</v>
      </c>
      <c r="G5234" s="4">
        <v>20240222</v>
      </c>
      <c r="H5234" s="4" t="s">
        <v>2446</v>
      </c>
      <c r="I5234" s="4" t="s">
        <v>2445</v>
      </c>
      <c r="J5234" s="4" t="s">
        <v>238</v>
      </c>
    </row>
    <row r="5235" spans="1:10" hidden="1">
      <c r="A5235" s="4">
        <v>2.0210285709E+17</v>
      </c>
      <c r="B5235" s="4">
        <v>2103541648</v>
      </c>
      <c r="C5235" s="4" t="s">
        <v>2444</v>
      </c>
      <c r="D5235" s="4">
        <v>85709</v>
      </c>
      <c r="E5235" s="4">
        <v>20210222</v>
      </c>
      <c r="F5235" s="4">
        <v>20210222</v>
      </c>
      <c r="G5235" s="4">
        <v>20240222</v>
      </c>
      <c r="H5235" s="4" t="s">
        <v>449</v>
      </c>
      <c r="I5235" s="4" t="s">
        <v>2443</v>
      </c>
      <c r="J5235" s="4" t="s">
        <v>141</v>
      </c>
    </row>
    <row r="5236" spans="1:10" hidden="1">
      <c r="A5236" s="4">
        <v>2.0210270121E+17</v>
      </c>
      <c r="B5236" s="4">
        <v>4928801676</v>
      </c>
      <c r="C5236" s="4" t="s">
        <v>2442</v>
      </c>
      <c r="D5236" s="4">
        <v>70121</v>
      </c>
      <c r="E5236" s="4">
        <v>20210222</v>
      </c>
      <c r="F5236" s="4">
        <v>20210222</v>
      </c>
      <c r="G5236" s="4">
        <v>20240222</v>
      </c>
      <c r="H5236" s="4" t="s">
        <v>1749</v>
      </c>
      <c r="I5236" s="4" t="s">
        <v>149</v>
      </c>
      <c r="J5236" s="4" t="s">
        <v>1267</v>
      </c>
    </row>
    <row r="5237" spans="1:10">
      <c r="A5237" s="4">
        <v>2.0210218129E+17</v>
      </c>
      <c r="B5237" s="4">
        <v>8707600097</v>
      </c>
      <c r="C5237" s="4" t="s">
        <v>2548</v>
      </c>
      <c r="D5237" s="4">
        <v>18129</v>
      </c>
      <c r="E5237" s="4">
        <v>20210223</v>
      </c>
      <c r="F5237" s="4">
        <v>20210223</v>
      </c>
      <c r="G5237" s="4">
        <v>20240223</v>
      </c>
      <c r="H5237" s="4" t="s">
        <v>2547</v>
      </c>
      <c r="I5237" s="4" t="s">
        <v>149</v>
      </c>
      <c r="J5237" s="4" t="s">
        <v>2546</v>
      </c>
    </row>
    <row r="5238" spans="1:10" hidden="1">
      <c r="A5238" s="4">
        <v>2.0210225111E+17</v>
      </c>
      <c r="B5238" s="4">
        <v>8218801705</v>
      </c>
      <c r="C5238" s="4" t="s">
        <v>2437</v>
      </c>
      <c r="D5238" s="4">
        <v>25111</v>
      </c>
      <c r="E5238" s="4">
        <v>20210222</v>
      </c>
      <c r="F5238" s="4">
        <v>20210222</v>
      </c>
      <c r="G5238" s="4">
        <v>20240222</v>
      </c>
      <c r="H5238" s="4" t="s">
        <v>2438</v>
      </c>
      <c r="I5238" s="4" t="s">
        <v>2437</v>
      </c>
      <c r="J5238" s="4" t="s">
        <v>82</v>
      </c>
    </row>
    <row r="5239" spans="1:10" hidden="1">
      <c r="A5239" s="4">
        <v>2.0210228423E+17</v>
      </c>
      <c r="B5239" s="4">
        <v>1122975654</v>
      </c>
      <c r="C5239" s="4" t="s">
        <v>2435</v>
      </c>
      <c r="D5239" s="4">
        <v>28423</v>
      </c>
      <c r="E5239" s="4">
        <v>20210222</v>
      </c>
      <c r="F5239" s="4">
        <v>20210222</v>
      </c>
      <c r="G5239" s="4">
        <v>20220728</v>
      </c>
      <c r="H5239" s="4" t="s">
        <v>2436</v>
      </c>
      <c r="I5239" s="4" t="s">
        <v>2435</v>
      </c>
      <c r="J5239" s="4" t="s">
        <v>485</v>
      </c>
    </row>
    <row r="5240" spans="1:10" hidden="1">
      <c r="A5240" s="4">
        <v>2.0210273909E+17</v>
      </c>
      <c r="B5240" s="4">
        <v>7128600688</v>
      </c>
      <c r="C5240" s="4" t="s">
        <v>2434</v>
      </c>
      <c r="D5240" s="4">
        <v>73909</v>
      </c>
      <c r="E5240" s="4">
        <v>20210222</v>
      </c>
      <c r="F5240" s="4">
        <v>20210222</v>
      </c>
      <c r="G5240" s="4">
        <v>20240102</v>
      </c>
      <c r="H5240" s="4" t="s">
        <v>2433</v>
      </c>
      <c r="I5240" s="4" t="s">
        <v>2432</v>
      </c>
      <c r="J5240" s="4" t="s">
        <v>293</v>
      </c>
    </row>
    <row r="5241" spans="1:10" hidden="1">
      <c r="A5241" s="4">
        <v>2.0210258221E+17</v>
      </c>
      <c r="B5241" s="4">
        <v>2528601619</v>
      </c>
      <c r="C5241" s="4" t="s">
        <v>2431</v>
      </c>
      <c r="D5241" s="4">
        <v>58221</v>
      </c>
      <c r="E5241" s="4">
        <v>20210222</v>
      </c>
      <c r="F5241" s="4">
        <v>20210222</v>
      </c>
      <c r="G5241" s="4">
        <v>20240222</v>
      </c>
      <c r="H5241" s="4" t="s">
        <v>2430</v>
      </c>
      <c r="I5241" s="4" t="s">
        <v>2429</v>
      </c>
      <c r="J5241" s="4" t="s">
        <v>228</v>
      </c>
    </row>
    <row r="5242" spans="1:10" hidden="1">
      <c r="A5242" s="4">
        <v>2.0210226429E+17</v>
      </c>
      <c r="B5242" s="4">
        <v>8908701460</v>
      </c>
      <c r="C5242" s="4" t="s">
        <v>2428</v>
      </c>
      <c r="D5242" s="4">
        <v>26429</v>
      </c>
      <c r="E5242" s="4">
        <v>20210222</v>
      </c>
      <c r="F5242" s="4">
        <v>20210222</v>
      </c>
      <c r="G5242" s="4">
        <v>20240222</v>
      </c>
      <c r="H5242" s="4" t="s">
        <v>2427</v>
      </c>
      <c r="I5242" s="4" t="s">
        <v>2426</v>
      </c>
      <c r="J5242" s="4" t="s">
        <v>422</v>
      </c>
    </row>
    <row r="5243" spans="1:10" hidden="1">
      <c r="A5243" s="4">
        <v>2.0210222299E+17</v>
      </c>
      <c r="B5243" s="4">
        <v>3548700816</v>
      </c>
      <c r="C5243" s="4" t="s">
        <v>2425</v>
      </c>
      <c r="D5243" s="4">
        <v>22299</v>
      </c>
      <c r="E5243" s="4">
        <v>20210222</v>
      </c>
      <c r="F5243" s="4">
        <v>20210222</v>
      </c>
      <c r="G5243" s="4">
        <v>20240222</v>
      </c>
      <c r="H5243" s="4" t="s">
        <v>2424</v>
      </c>
      <c r="I5243" s="4" t="s">
        <v>2423</v>
      </c>
      <c r="J5243" s="4" t="s">
        <v>384</v>
      </c>
    </row>
    <row r="5244" spans="1:10" hidden="1">
      <c r="A5244" s="4">
        <v>2.0210222223E+17</v>
      </c>
      <c r="B5244" s="4">
        <v>2844400280</v>
      </c>
      <c r="C5244" s="4" t="s">
        <v>2422</v>
      </c>
      <c r="D5244" s="4">
        <v>22223</v>
      </c>
      <c r="E5244" s="4">
        <v>20210222</v>
      </c>
      <c r="F5244" s="4">
        <v>20210222</v>
      </c>
      <c r="G5244" s="4">
        <v>20240222</v>
      </c>
      <c r="H5244" s="4" t="s">
        <v>2421</v>
      </c>
      <c r="J5244" s="4" t="s">
        <v>1618</v>
      </c>
    </row>
    <row r="5245" spans="1:10" hidden="1">
      <c r="A5245" s="4">
        <v>2.0210273202E+17</v>
      </c>
      <c r="B5245" s="4">
        <v>8952301217</v>
      </c>
      <c r="C5245" s="4" t="s">
        <v>2420</v>
      </c>
      <c r="D5245" s="4">
        <v>73202</v>
      </c>
      <c r="E5245" s="4">
        <v>20210222</v>
      </c>
      <c r="F5245" s="4">
        <v>20210222</v>
      </c>
      <c r="G5245" s="4">
        <v>20240222</v>
      </c>
      <c r="H5245" s="4" t="s">
        <v>2419</v>
      </c>
      <c r="J5245" s="4" t="s">
        <v>605</v>
      </c>
    </row>
    <row r="5246" spans="1:10" hidden="1">
      <c r="A5246" s="4">
        <v>2.0210246464E+17</v>
      </c>
      <c r="B5246" s="4">
        <v>8676100160</v>
      </c>
      <c r="C5246" s="4" t="s">
        <v>2418</v>
      </c>
      <c r="D5246" s="4">
        <v>46464</v>
      </c>
      <c r="E5246" s="4">
        <v>20210222</v>
      </c>
      <c r="F5246" s="4">
        <v>20210222</v>
      </c>
      <c r="G5246" s="4">
        <v>20230415</v>
      </c>
      <c r="H5246" s="4" t="s">
        <v>2417</v>
      </c>
      <c r="I5246" s="4" t="s">
        <v>185</v>
      </c>
      <c r="J5246" s="4" t="s">
        <v>2416</v>
      </c>
    </row>
    <row r="5247" spans="1:10" hidden="1">
      <c r="A5247" s="4">
        <v>2.0210241226E+17</v>
      </c>
      <c r="B5247" s="4">
        <v>3101706909</v>
      </c>
      <c r="C5247" s="4" t="s">
        <v>2415</v>
      </c>
      <c r="D5247" s="4">
        <v>41226</v>
      </c>
      <c r="E5247" s="4">
        <v>20210222</v>
      </c>
      <c r="F5247" s="4">
        <v>20210222</v>
      </c>
      <c r="G5247" s="4">
        <v>20240222</v>
      </c>
      <c r="H5247" s="4" t="s">
        <v>2414</v>
      </c>
      <c r="I5247" s="4" t="s">
        <v>2413</v>
      </c>
      <c r="J5247" s="4" t="s">
        <v>1063</v>
      </c>
    </row>
    <row r="5248" spans="1:10" hidden="1">
      <c r="A5248" s="4">
        <v>2.0210263991E+17</v>
      </c>
      <c r="B5248" s="4">
        <v>1472001359</v>
      </c>
      <c r="C5248" s="4" t="s">
        <v>2412</v>
      </c>
      <c r="D5248" s="4">
        <v>63991</v>
      </c>
      <c r="E5248" s="4">
        <v>20210222</v>
      </c>
      <c r="F5248" s="4">
        <v>20210222</v>
      </c>
      <c r="G5248" s="4">
        <v>20240222</v>
      </c>
      <c r="H5248" s="4" t="s">
        <v>2411</v>
      </c>
      <c r="I5248" s="4" t="s">
        <v>142</v>
      </c>
      <c r="J5248" s="4" t="s">
        <v>395</v>
      </c>
    </row>
    <row r="5249" spans="1:10" hidden="1">
      <c r="A5249" s="4">
        <v>2.0210225119E+17</v>
      </c>
      <c r="B5249" s="4">
        <v>5308601197</v>
      </c>
      <c r="C5249" s="4" t="s">
        <v>2410</v>
      </c>
      <c r="D5249" s="4">
        <v>25119</v>
      </c>
      <c r="E5249" s="4">
        <v>20210222</v>
      </c>
      <c r="F5249" s="4">
        <v>20210222</v>
      </c>
      <c r="G5249" s="4">
        <v>20240222</v>
      </c>
      <c r="H5249" s="4" t="s">
        <v>2409</v>
      </c>
      <c r="I5249" s="4" t="s">
        <v>149</v>
      </c>
      <c r="J5249" s="4" t="s">
        <v>679</v>
      </c>
    </row>
    <row r="5250" spans="1:10" hidden="1">
      <c r="A5250" s="4">
        <v>2.0210225999E+17</v>
      </c>
      <c r="B5250" s="4">
        <v>2382400580</v>
      </c>
      <c r="C5250" s="4" t="s">
        <v>2408</v>
      </c>
      <c r="D5250" s="4">
        <v>25999</v>
      </c>
      <c r="E5250" s="4">
        <v>20210222</v>
      </c>
      <c r="F5250" s="4">
        <v>20210222</v>
      </c>
      <c r="G5250" s="4">
        <v>20240222</v>
      </c>
      <c r="H5250" s="4" t="s">
        <v>2407</v>
      </c>
      <c r="I5250" s="4" t="s">
        <v>149</v>
      </c>
      <c r="J5250" s="4" t="s">
        <v>301</v>
      </c>
    </row>
    <row r="5251" spans="1:10" hidden="1">
      <c r="A5251" s="4">
        <v>2.0210258222E+17</v>
      </c>
      <c r="B5251" s="4">
        <v>2308108091</v>
      </c>
      <c r="C5251" s="4" t="s">
        <v>2406</v>
      </c>
      <c r="D5251" s="4">
        <v>58222</v>
      </c>
      <c r="E5251" s="4">
        <v>20210222</v>
      </c>
      <c r="F5251" s="4">
        <v>20210222</v>
      </c>
      <c r="G5251" s="4">
        <v>20210905</v>
      </c>
      <c r="H5251" s="4" t="s">
        <v>2405</v>
      </c>
      <c r="I5251" s="4" t="s">
        <v>2404</v>
      </c>
      <c r="J5251" s="4" t="s">
        <v>94</v>
      </c>
    </row>
    <row r="5252" spans="1:10" hidden="1">
      <c r="A5252" s="4">
        <v>2.0210226299E+17</v>
      </c>
      <c r="B5252" s="4">
        <v>7478701680</v>
      </c>
      <c r="C5252" s="4" t="s">
        <v>2403</v>
      </c>
      <c r="D5252" s="4">
        <v>26299</v>
      </c>
      <c r="E5252" s="4">
        <v>20210222</v>
      </c>
      <c r="F5252" s="4">
        <v>20210222</v>
      </c>
      <c r="G5252" s="4">
        <v>20240222</v>
      </c>
      <c r="H5252" s="4" t="s">
        <v>2402</v>
      </c>
      <c r="I5252" s="4" t="s">
        <v>2401</v>
      </c>
      <c r="J5252" s="4" t="s">
        <v>339</v>
      </c>
    </row>
    <row r="5253" spans="1:10" hidden="1">
      <c r="A5253" s="4">
        <v>2.0210226429E+17</v>
      </c>
      <c r="B5253" s="4">
        <v>6064218671</v>
      </c>
      <c r="C5253" s="4" t="s">
        <v>2400</v>
      </c>
      <c r="D5253" s="4">
        <v>26429</v>
      </c>
      <c r="E5253" s="4">
        <v>20210222</v>
      </c>
      <c r="F5253" s="4">
        <v>20210222</v>
      </c>
      <c r="G5253" s="4">
        <v>20240222</v>
      </c>
      <c r="H5253" s="4" t="s">
        <v>2399</v>
      </c>
      <c r="I5253" s="4" t="s">
        <v>2398</v>
      </c>
      <c r="J5253" s="4" t="s">
        <v>422</v>
      </c>
    </row>
    <row r="5254" spans="1:10" hidden="1">
      <c r="A5254" s="4">
        <v>2.0210241226E+17</v>
      </c>
      <c r="B5254" s="4">
        <v>2218600334</v>
      </c>
      <c r="C5254" s="4" t="s">
        <v>2397</v>
      </c>
      <c r="D5254" s="4">
        <v>41226</v>
      </c>
      <c r="E5254" s="4">
        <v>20210222</v>
      </c>
      <c r="F5254" s="4">
        <v>20210222</v>
      </c>
      <c r="G5254" s="4">
        <v>20221214</v>
      </c>
      <c r="H5254" s="4" t="s">
        <v>2396</v>
      </c>
      <c r="J5254" s="4" t="s">
        <v>1063</v>
      </c>
    </row>
    <row r="5255" spans="1:10" hidden="1">
      <c r="A5255" s="4">
        <v>2.021023391E+17</v>
      </c>
      <c r="B5255" s="4">
        <v>1378800917</v>
      </c>
      <c r="C5255" s="4" t="s">
        <v>2395</v>
      </c>
      <c r="D5255" s="4">
        <v>33910</v>
      </c>
      <c r="E5255" s="4">
        <v>20210222</v>
      </c>
      <c r="F5255" s="4">
        <v>20210222</v>
      </c>
      <c r="G5255" s="4">
        <v>20240222</v>
      </c>
      <c r="H5255" s="4" t="s">
        <v>2394</v>
      </c>
      <c r="J5255" s="4" t="s">
        <v>310</v>
      </c>
    </row>
    <row r="5256" spans="1:10" hidden="1">
      <c r="A5256" s="4">
        <v>2.0210228422E+17</v>
      </c>
      <c r="B5256" s="4">
        <v>7948700561</v>
      </c>
      <c r="C5256" s="4" t="s">
        <v>2393</v>
      </c>
      <c r="D5256" s="4">
        <v>28422</v>
      </c>
      <c r="E5256" s="4">
        <v>20210222</v>
      </c>
      <c r="F5256" s="4">
        <v>20210222</v>
      </c>
      <c r="G5256" s="4">
        <v>20240222</v>
      </c>
      <c r="H5256" s="4" t="s">
        <v>2392</v>
      </c>
      <c r="J5256" s="4" t="s">
        <v>188</v>
      </c>
    </row>
    <row r="5257" spans="1:10" hidden="1">
      <c r="A5257" s="4">
        <v>2.0210258222E+17</v>
      </c>
      <c r="B5257" s="4">
        <v>3348701505</v>
      </c>
      <c r="C5257" s="4" t="s">
        <v>2391</v>
      </c>
      <c r="D5257" s="4">
        <v>58222</v>
      </c>
      <c r="E5257" s="4">
        <v>20210222</v>
      </c>
      <c r="F5257" s="4">
        <v>20210222</v>
      </c>
      <c r="G5257" s="4">
        <v>20240222</v>
      </c>
      <c r="H5257" s="4" t="s">
        <v>2390</v>
      </c>
      <c r="I5257" s="4" t="s">
        <v>2389</v>
      </c>
      <c r="J5257" s="4" t="s">
        <v>94</v>
      </c>
    </row>
    <row r="5258" spans="1:10" hidden="1">
      <c r="A5258" s="4">
        <v>2.021029511E+17</v>
      </c>
      <c r="B5258" s="4">
        <v>5868600264</v>
      </c>
      <c r="C5258" s="4" t="s">
        <v>2388</v>
      </c>
      <c r="D5258" s="4">
        <v>95110</v>
      </c>
      <c r="E5258" s="4">
        <v>20210222</v>
      </c>
      <c r="F5258" s="4">
        <v>20210222</v>
      </c>
      <c r="G5258" s="4">
        <v>20221218</v>
      </c>
      <c r="H5258" s="4" t="s">
        <v>2387</v>
      </c>
      <c r="I5258" s="4" t="s">
        <v>2386</v>
      </c>
      <c r="J5258" s="4" t="s">
        <v>2385</v>
      </c>
    </row>
    <row r="5259" spans="1:10" hidden="1">
      <c r="A5259" s="4">
        <v>2.0210228423E+17</v>
      </c>
      <c r="B5259" s="4">
        <v>3388801111</v>
      </c>
      <c r="C5259" s="4" t="s">
        <v>2384</v>
      </c>
      <c r="D5259" s="4">
        <v>28423</v>
      </c>
      <c r="E5259" s="4">
        <v>20210222</v>
      </c>
      <c r="F5259" s="4">
        <v>20210222</v>
      </c>
      <c r="G5259" s="4">
        <v>20240222</v>
      </c>
      <c r="H5259" s="4" t="s">
        <v>2383</v>
      </c>
      <c r="J5259" s="4" t="s">
        <v>485</v>
      </c>
    </row>
    <row r="5260" spans="1:10" hidden="1">
      <c r="A5260" s="4">
        <v>2.0210231312E+17</v>
      </c>
      <c r="B5260" s="4">
        <v>4168801430</v>
      </c>
      <c r="C5260" s="4" t="s">
        <v>2382</v>
      </c>
      <c r="D5260" s="4">
        <v>31312</v>
      </c>
      <c r="E5260" s="4">
        <v>20210222</v>
      </c>
      <c r="F5260" s="4">
        <v>20210222</v>
      </c>
      <c r="G5260" s="4">
        <v>20240222</v>
      </c>
      <c r="H5260" s="4" t="s">
        <v>2381</v>
      </c>
      <c r="I5260" s="4" t="s">
        <v>91</v>
      </c>
      <c r="J5260" s="4" t="s">
        <v>748</v>
      </c>
    </row>
    <row r="5261" spans="1:10" hidden="1">
      <c r="A5261" s="4">
        <v>2.0210228422E+17</v>
      </c>
      <c r="B5261" s="4">
        <v>4068105293</v>
      </c>
      <c r="C5261" s="4" t="s">
        <v>2380</v>
      </c>
      <c r="D5261" s="4">
        <v>28422</v>
      </c>
      <c r="E5261" s="4">
        <v>20210222</v>
      </c>
      <c r="F5261" s="4">
        <v>20210222</v>
      </c>
      <c r="G5261" s="4">
        <v>20240222</v>
      </c>
      <c r="H5261" s="4" t="s">
        <v>2379</v>
      </c>
      <c r="I5261" s="4" t="s">
        <v>2378</v>
      </c>
      <c r="J5261" s="4" t="s">
        <v>188</v>
      </c>
    </row>
    <row r="5262" spans="1:10" hidden="1">
      <c r="A5262" s="4">
        <v>2.021022631E+17</v>
      </c>
      <c r="B5262" s="4">
        <v>5448601217</v>
      </c>
      <c r="C5262" s="4" t="s">
        <v>2377</v>
      </c>
      <c r="D5262" s="4">
        <v>26310</v>
      </c>
      <c r="E5262" s="4">
        <v>20210222</v>
      </c>
      <c r="F5262" s="4">
        <v>20210222</v>
      </c>
      <c r="G5262" s="4">
        <v>20240222</v>
      </c>
      <c r="H5262" s="4" t="s">
        <v>2376</v>
      </c>
      <c r="I5262" s="4" t="s">
        <v>2375</v>
      </c>
      <c r="J5262" s="4" t="s">
        <v>372</v>
      </c>
    </row>
    <row r="5263" spans="1:10" hidden="1">
      <c r="A5263" s="4">
        <v>2.0210229175E+17</v>
      </c>
      <c r="B5263" s="4">
        <v>1978601554</v>
      </c>
      <c r="C5263" s="4" t="s">
        <v>2374</v>
      </c>
      <c r="D5263" s="4">
        <v>29175</v>
      </c>
      <c r="E5263" s="4">
        <v>20210222</v>
      </c>
      <c r="F5263" s="4">
        <v>20210222</v>
      </c>
      <c r="G5263" s="4">
        <v>20240222</v>
      </c>
      <c r="H5263" s="4" t="s">
        <v>1486</v>
      </c>
      <c r="I5263" s="4" t="s">
        <v>2373</v>
      </c>
      <c r="J5263" s="4" t="s">
        <v>232</v>
      </c>
    </row>
    <row r="5264" spans="1:10" hidden="1">
      <c r="A5264" s="4">
        <v>2.0210258222E+17</v>
      </c>
      <c r="B5264" s="4">
        <v>7658101838</v>
      </c>
      <c r="C5264" s="4" t="s">
        <v>2372</v>
      </c>
      <c r="D5264" s="4">
        <v>58222</v>
      </c>
      <c r="E5264" s="4">
        <v>20210222</v>
      </c>
      <c r="F5264" s="4">
        <v>20210222</v>
      </c>
      <c r="G5264" s="4">
        <v>20240222</v>
      </c>
      <c r="H5264" s="4" t="s">
        <v>2371</v>
      </c>
      <c r="I5264" s="4" t="s">
        <v>2370</v>
      </c>
      <c r="J5264" s="4" t="s">
        <v>94</v>
      </c>
    </row>
    <row r="5265" spans="1:10" hidden="1">
      <c r="A5265" s="4">
        <v>2.0210228114E+17</v>
      </c>
      <c r="B5265" s="4">
        <v>8548601225</v>
      </c>
      <c r="C5265" s="4" t="s">
        <v>2369</v>
      </c>
      <c r="D5265" s="4">
        <v>28114</v>
      </c>
      <c r="E5265" s="4">
        <v>20210222</v>
      </c>
      <c r="F5265" s="4">
        <v>20210222</v>
      </c>
      <c r="G5265" s="4">
        <v>20240222</v>
      </c>
      <c r="H5265" s="4" t="s">
        <v>2368</v>
      </c>
      <c r="J5265" s="4" t="s">
        <v>2367</v>
      </c>
    </row>
    <row r="5266" spans="1:10" hidden="1">
      <c r="A5266" s="4">
        <v>2.0210258222E+17</v>
      </c>
      <c r="B5266" s="4">
        <v>1648700867</v>
      </c>
      <c r="C5266" s="4" t="s">
        <v>1994</v>
      </c>
      <c r="D5266" s="4">
        <v>58222</v>
      </c>
      <c r="E5266" s="4">
        <v>20210222</v>
      </c>
      <c r="F5266" s="4">
        <v>20210222</v>
      </c>
      <c r="G5266" s="4">
        <v>20240222</v>
      </c>
      <c r="H5266" s="4" t="s">
        <v>2366</v>
      </c>
      <c r="I5266" s="4" t="s">
        <v>2365</v>
      </c>
      <c r="J5266" s="4" t="s">
        <v>94</v>
      </c>
    </row>
    <row r="5267" spans="1:10" hidden="1">
      <c r="A5267" s="4">
        <v>2.0210242499E+17</v>
      </c>
      <c r="B5267" s="4">
        <v>2408101912</v>
      </c>
      <c r="C5267" s="4" t="s">
        <v>2364</v>
      </c>
      <c r="D5267" s="4">
        <v>42499</v>
      </c>
      <c r="E5267" s="4">
        <v>20210222</v>
      </c>
      <c r="F5267" s="4">
        <v>20210222</v>
      </c>
      <c r="G5267" s="4">
        <v>20240222</v>
      </c>
      <c r="H5267" s="4" t="s">
        <v>2363</v>
      </c>
      <c r="I5267" s="4" t="s">
        <v>2362</v>
      </c>
      <c r="J5267" s="4" t="s">
        <v>505</v>
      </c>
    </row>
    <row r="5268" spans="1:10" hidden="1">
      <c r="A5268" s="4">
        <v>2.0210228422E+17</v>
      </c>
      <c r="B5268" s="4">
        <v>7038700866</v>
      </c>
      <c r="C5268" s="4" t="s">
        <v>2361</v>
      </c>
      <c r="D5268" s="4">
        <v>28422</v>
      </c>
      <c r="E5268" s="4">
        <v>20210222</v>
      </c>
      <c r="F5268" s="4">
        <v>20210222</v>
      </c>
      <c r="G5268" s="4">
        <v>20240222</v>
      </c>
      <c r="H5268" s="4" t="s">
        <v>2360</v>
      </c>
      <c r="I5268" s="4" t="s">
        <v>2359</v>
      </c>
      <c r="J5268" s="4" t="s">
        <v>188</v>
      </c>
    </row>
    <row r="5269" spans="1:10" hidden="1">
      <c r="A5269" s="4">
        <v>2.0210258222E+17</v>
      </c>
      <c r="B5269" s="4">
        <v>8368800479</v>
      </c>
      <c r="C5269" s="4" t="s">
        <v>2358</v>
      </c>
      <c r="D5269" s="4">
        <v>58222</v>
      </c>
      <c r="E5269" s="4">
        <v>20210222</v>
      </c>
      <c r="F5269" s="4">
        <v>20210222</v>
      </c>
      <c r="G5269" s="4">
        <v>20240222</v>
      </c>
      <c r="H5269" s="4" t="s">
        <v>1106</v>
      </c>
      <c r="I5269" s="4" t="s">
        <v>2357</v>
      </c>
      <c r="J5269" s="4" t="s">
        <v>94</v>
      </c>
    </row>
    <row r="5270" spans="1:10" hidden="1">
      <c r="A5270" s="4">
        <v>2.0210226299E+17</v>
      </c>
      <c r="B5270" s="4">
        <v>2468701547</v>
      </c>
      <c r="C5270" s="4" t="s">
        <v>2356</v>
      </c>
      <c r="D5270" s="4">
        <v>26299</v>
      </c>
      <c r="E5270" s="4">
        <v>20210222</v>
      </c>
      <c r="F5270" s="4">
        <v>20210222</v>
      </c>
      <c r="G5270" s="4">
        <v>20240222</v>
      </c>
      <c r="H5270" s="4" t="s">
        <v>2355</v>
      </c>
      <c r="I5270" s="4" t="s">
        <v>2354</v>
      </c>
      <c r="J5270" s="4" t="s">
        <v>339</v>
      </c>
    </row>
    <row r="5271" spans="1:10" hidden="1">
      <c r="A5271" s="4">
        <v>2.0210225932E+17</v>
      </c>
      <c r="B5271" s="4">
        <v>8848701086</v>
      </c>
      <c r="C5271" s="4" t="s">
        <v>2353</v>
      </c>
      <c r="D5271" s="4">
        <v>25932</v>
      </c>
      <c r="E5271" s="4">
        <v>20210222</v>
      </c>
      <c r="F5271" s="4">
        <v>20210222</v>
      </c>
      <c r="G5271" s="4">
        <v>20240222</v>
      </c>
      <c r="H5271" s="4" t="s">
        <v>2352</v>
      </c>
      <c r="J5271" s="4" t="s">
        <v>246</v>
      </c>
    </row>
    <row r="5272" spans="1:10" hidden="1">
      <c r="A5272" s="4">
        <v>2.0210258221E+17</v>
      </c>
      <c r="B5272" s="4">
        <v>6628801144</v>
      </c>
      <c r="C5272" s="4" t="s">
        <v>2351</v>
      </c>
      <c r="D5272" s="4">
        <v>58221</v>
      </c>
      <c r="E5272" s="4">
        <v>20210222</v>
      </c>
      <c r="F5272" s="4">
        <v>20210222</v>
      </c>
      <c r="G5272" s="4">
        <v>20240222</v>
      </c>
      <c r="H5272" s="4" t="s">
        <v>1977</v>
      </c>
      <c r="I5272" s="4" t="s">
        <v>2350</v>
      </c>
      <c r="J5272" s="4" t="s">
        <v>228</v>
      </c>
    </row>
    <row r="5273" spans="1:10" hidden="1">
      <c r="A5273" s="4">
        <v>2.021026201E+17</v>
      </c>
      <c r="B5273" s="4">
        <v>6448101040</v>
      </c>
      <c r="C5273" s="4" t="s">
        <v>2349</v>
      </c>
      <c r="D5273" s="4">
        <v>62010</v>
      </c>
      <c r="E5273" s="4">
        <v>20210222</v>
      </c>
      <c r="F5273" s="4">
        <v>20210222</v>
      </c>
      <c r="G5273" s="4">
        <v>20240222</v>
      </c>
      <c r="H5273" s="4" t="s">
        <v>1525</v>
      </c>
      <c r="I5273" s="4" t="s">
        <v>2348</v>
      </c>
      <c r="J5273" s="4" t="s">
        <v>118</v>
      </c>
    </row>
    <row r="5274" spans="1:10" hidden="1">
      <c r="A5274" s="4">
        <v>2.0210242411E+17</v>
      </c>
      <c r="B5274" s="4">
        <v>1168195757</v>
      </c>
      <c r="C5274" s="4" t="s">
        <v>2347</v>
      </c>
      <c r="D5274" s="4">
        <v>42411</v>
      </c>
      <c r="E5274" s="4">
        <v>20210222</v>
      </c>
      <c r="F5274" s="4">
        <v>20210222</v>
      </c>
      <c r="G5274" s="4">
        <v>20240222</v>
      </c>
      <c r="H5274" s="4" t="s">
        <v>2346</v>
      </c>
      <c r="J5274" s="4" t="s">
        <v>2211</v>
      </c>
    </row>
    <row r="5275" spans="1:10" hidden="1">
      <c r="A5275" s="4">
        <v>2.0210258222E+17</v>
      </c>
      <c r="B5275" s="4">
        <v>5038618420</v>
      </c>
      <c r="C5275" s="4" t="s">
        <v>2345</v>
      </c>
      <c r="D5275" s="4">
        <v>58222</v>
      </c>
      <c r="E5275" s="4">
        <v>20210222</v>
      </c>
      <c r="F5275" s="4">
        <v>20210222</v>
      </c>
      <c r="G5275" s="4">
        <v>20230407</v>
      </c>
      <c r="H5275" s="4" t="s">
        <v>2344</v>
      </c>
      <c r="I5275" s="4" t="s">
        <v>2343</v>
      </c>
      <c r="J5275" s="4" t="s">
        <v>94</v>
      </c>
    </row>
    <row r="5276" spans="1:10" hidden="1">
      <c r="A5276" s="4">
        <v>2.0210223999E+17</v>
      </c>
      <c r="B5276" s="4">
        <v>3958801564</v>
      </c>
      <c r="C5276" s="4" t="s">
        <v>2342</v>
      </c>
      <c r="D5276" s="4">
        <v>23999</v>
      </c>
      <c r="E5276" s="4">
        <v>20210222</v>
      </c>
      <c r="F5276" s="4">
        <v>20210222</v>
      </c>
      <c r="G5276" s="4">
        <v>20240222</v>
      </c>
      <c r="H5276" s="4" t="s">
        <v>2341</v>
      </c>
      <c r="I5276" s="4" t="s">
        <v>2340</v>
      </c>
      <c r="J5276" s="4" t="s">
        <v>1719</v>
      </c>
    </row>
    <row r="5277" spans="1:10" hidden="1">
      <c r="A5277" s="4">
        <v>2.0210222199E+17</v>
      </c>
      <c r="B5277" s="4">
        <v>2598100450</v>
      </c>
      <c r="C5277" s="4" t="s">
        <v>2339</v>
      </c>
      <c r="D5277" s="4">
        <v>22199</v>
      </c>
      <c r="E5277" s="4">
        <v>20210222</v>
      </c>
      <c r="F5277" s="4">
        <v>20210222</v>
      </c>
      <c r="G5277" s="4">
        <v>20230525</v>
      </c>
      <c r="H5277" s="4" t="s">
        <v>2338</v>
      </c>
      <c r="J5277" s="4" t="s">
        <v>1962</v>
      </c>
    </row>
    <row r="5278" spans="1:10" hidden="1">
      <c r="A5278" s="4">
        <v>2.0210225111E+17</v>
      </c>
      <c r="B5278" s="4">
        <v>6398101903</v>
      </c>
      <c r="C5278" s="4" t="s">
        <v>2337</v>
      </c>
      <c r="D5278" s="4">
        <v>25111</v>
      </c>
      <c r="E5278" s="4">
        <v>20210222</v>
      </c>
      <c r="F5278" s="4">
        <v>20210222</v>
      </c>
      <c r="G5278" s="4">
        <v>20240222</v>
      </c>
      <c r="H5278" s="4" t="s">
        <v>2336</v>
      </c>
      <c r="I5278" s="4" t="s">
        <v>2335</v>
      </c>
      <c r="J5278" s="4" t="s">
        <v>82</v>
      </c>
    </row>
    <row r="5279" spans="1:10" hidden="1">
      <c r="A5279" s="4">
        <v>2.021022912E+17</v>
      </c>
      <c r="B5279" s="4">
        <v>5978700349</v>
      </c>
      <c r="C5279" s="4" t="s">
        <v>2334</v>
      </c>
      <c r="D5279" s="4">
        <v>29120</v>
      </c>
      <c r="E5279" s="4">
        <v>20210222</v>
      </c>
      <c r="F5279" s="4">
        <v>20210222</v>
      </c>
      <c r="G5279" s="4">
        <v>20230108</v>
      </c>
      <c r="H5279" s="4" t="s">
        <v>2333</v>
      </c>
      <c r="J5279" s="4" t="s">
        <v>1188</v>
      </c>
    </row>
    <row r="5280" spans="1:10" hidden="1">
      <c r="A5280" s="4">
        <v>2.02102714E+17</v>
      </c>
      <c r="B5280" s="4">
        <v>4728600062</v>
      </c>
      <c r="C5280" s="4" t="s">
        <v>2332</v>
      </c>
      <c r="D5280" s="4">
        <v>71400</v>
      </c>
      <c r="E5280" s="4">
        <v>20210222</v>
      </c>
      <c r="F5280" s="4">
        <v>20210222</v>
      </c>
      <c r="G5280" s="4">
        <v>20220402</v>
      </c>
      <c r="H5280" s="4" t="s">
        <v>2331</v>
      </c>
      <c r="I5280" s="4" t="s">
        <v>2330</v>
      </c>
      <c r="J5280" s="4" t="s">
        <v>1629</v>
      </c>
    </row>
    <row r="5281" spans="1:10" hidden="1">
      <c r="A5281" s="4">
        <v>2.021026201E+17</v>
      </c>
      <c r="B5281" s="4">
        <v>5633700512</v>
      </c>
      <c r="C5281" s="4" t="s">
        <v>2329</v>
      </c>
      <c r="D5281" s="4">
        <v>62010</v>
      </c>
      <c r="E5281" s="4">
        <v>20210222</v>
      </c>
      <c r="F5281" s="4">
        <v>20210222</v>
      </c>
      <c r="G5281" s="4">
        <v>20240222</v>
      </c>
      <c r="H5281" s="4" t="s">
        <v>2328</v>
      </c>
      <c r="I5281" s="4" t="s">
        <v>947</v>
      </c>
      <c r="J5281" s="4" t="s">
        <v>118</v>
      </c>
    </row>
    <row r="5282" spans="1:10" hidden="1">
      <c r="A5282" s="4">
        <v>2.0210258222E+17</v>
      </c>
      <c r="B5282" s="4">
        <v>1118134740</v>
      </c>
      <c r="C5282" s="4" t="s">
        <v>2327</v>
      </c>
      <c r="D5282" s="4">
        <v>58222</v>
      </c>
      <c r="E5282" s="4">
        <v>20210222</v>
      </c>
      <c r="F5282" s="4">
        <v>20210222</v>
      </c>
      <c r="G5282" s="4">
        <v>20240222</v>
      </c>
      <c r="H5282" s="4" t="s">
        <v>2326</v>
      </c>
      <c r="I5282" s="4" t="s">
        <v>2325</v>
      </c>
      <c r="J5282" s="4" t="s">
        <v>94</v>
      </c>
    </row>
    <row r="5283" spans="1:10" hidden="1">
      <c r="A5283" s="4">
        <v>2.0210233999E+17</v>
      </c>
      <c r="B5283" s="4">
        <v>3768101036</v>
      </c>
      <c r="C5283" s="4" t="s">
        <v>2324</v>
      </c>
      <c r="D5283" s="4">
        <v>33999</v>
      </c>
      <c r="E5283" s="4">
        <v>20210222</v>
      </c>
      <c r="F5283" s="4">
        <v>20210222</v>
      </c>
      <c r="G5283" s="4">
        <v>20240222</v>
      </c>
      <c r="H5283" s="4" t="s">
        <v>1886</v>
      </c>
      <c r="I5283" s="4" t="s">
        <v>2323</v>
      </c>
      <c r="J5283" s="4" t="s">
        <v>780</v>
      </c>
    </row>
    <row r="5284" spans="1:10" hidden="1">
      <c r="A5284" s="4">
        <v>2.02102743E+17</v>
      </c>
      <c r="B5284" s="4">
        <v>2470201766</v>
      </c>
      <c r="C5284" s="4" t="s">
        <v>2322</v>
      </c>
      <c r="D5284" s="4">
        <v>74300</v>
      </c>
      <c r="E5284" s="4">
        <v>20210220</v>
      </c>
      <c r="F5284" s="4">
        <v>20210220</v>
      </c>
      <c r="G5284" s="4">
        <v>20240220</v>
      </c>
      <c r="H5284" s="4" t="s">
        <v>2321</v>
      </c>
      <c r="I5284" s="4" t="s">
        <v>2320</v>
      </c>
      <c r="J5284" s="4" t="s">
        <v>2298</v>
      </c>
    </row>
    <row r="5285" spans="1:10" hidden="1">
      <c r="A5285" s="4">
        <v>2.021027131E+17</v>
      </c>
      <c r="B5285" s="4">
        <v>7068801973</v>
      </c>
      <c r="C5285" s="4" t="s">
        <v>2319</v>
      </c>
      <c r="D5285" s="4">
        <v>71310</v>
      </c>
      <c r="E5285" s="4">
        <v>20210220</v>
      </c>
      <c r="F5285" s="4">
        <v>20210220</v>
      </c>
      <c r="G5285" s="4">
        <v>20240220</v>
      </c>
      <c r="H5285" s="4" t="s">
        <v>2318</v>
      </c>
      <c r="J5285" s="4" t="s">
        <v>426</v>
      </c>
    </row>
    <row r="5286" spans="1:10" hidden="1">
      <c r="A5286" s="4">
        <v>2.021021519E+17</v>
      </c>
      <c r="B5286" s="4">
        <v>8145600556</v>
      </c>
      <c r="C5286" s="4" t="s">
        <v>2317</v>
      </c>
      <c r="D5286" s="4">
        <v>15190</v>
      </c>
      <c r="E5286" s="4">
        <v>20210220</v>
      </c>
      <c r="F5286" s="4">
        <v>20210220</v>
      </c>
      <c r="G5286" s="4">
        <v>20240220</v>
      </c>
      <c r="H5286" s="4" t="s">
        <v>2316</v>
      </c>
      <c r="I5286" s="4" t="s">
        <v>2315</v>
      </c>
      <c r="J5286" s="4" t="s">
        <v>572</v>
      </c>
    </row>
    <row r="5287" spans="1:10" hidden="1">
      <c r="A5287" s="4">
        <v>2.0210247912E+17</v>
      </c>
      <c r="B5287" s="4">
        <v>2308700015</v>
      </c>
      <c r="C5287" s="4" t="s">
        <v>2314</v>
      </c>
      <c r="D5287" s="4">
        <v>47912</v>
      </c>
      <c r="E5287" s="4">
        <v>20210220</v>
      </c>
      <c r="F5287" s="4">
        <v>20210220</v>
      </c>
      <c r="G5287" s="4">
        <v>20220129</v>
      </c>
      <c r="H5287" s="4" t="s">
        <v>2313</v>
      </c>
      <c r="I5287" s="4" t="s">
        <v>149</v>
      </c>
      <c r="J5287" s="4" t="s">
        <v>78</v>
      </c>
    </row>
    <row r="5288" spans="1:10" hidden="1">
      <c r="A5288" s="4">
        <v>2.0210246599E+17</v>
      </c>
      <c r="B5288" s="4">
        <v>8310201372</v>
      </c>
      <c r="C5288" s="4" t="s">
        <v>2312</v>
      </c>
      <c r="D5288" s="4">
        <v>46599</v>
      </c>
      <c r="E5288" s="4">
        <v>20210220</v>
      </c>
      <c r="F5288" s="4">
        <v>20210220</v>
      </c>
      <c r="G5288" s="4">
        <v>20240220</v>
      </c>
      <c r="H5288" s="4" t="s">
        <v>2311</v>
      </c>
      <c r="J5288" s="4" t="s">
        <v>2310</v>
      </c>
    </row>
    <row r="5289" spans="1:10" hidden="1">
      <c r="A5289" s="4">
        <v>2.0210213225E+17</v>
      </c>
      <c r="B5289" s="4">
        <v>4588100931</v>
      </c>
      <c r="C5289" s="4" t="s">
        <v>2309</v>
      </c>
      <c r="D5289" s="4">
        <v>13225</v>
      </c>
      <c r="E5289" s="4">
        <v>20210220</v>
      </c>
      <c r="F5289" s="4">
        <v>20210220</v>
      </c>
      <c r="G5289" s="4">
        <v>20240220</v>
      </c>
      <c r="H5289" s="4" t="s">
        <v>2308</v>
      </c>
      <c r="J5289" s="4" t="s">
        <v>2307</v>
      </c>
    </row>
    <row r="5290" spans="1:10" hidden="1">
      <c r="A5290" s="4">
        <v>2.02102716E+17</v>
      </c>
      <c r="B5290" s="4">
        <v>4068164991</v>
      </c>
      <c r="C5290" s="4" t="s">
        <v>2306</v>
      </c>
      <c r="D5290" s="4">
        <v>71600</v>
      </c>
      <c r="E5290" s="4">
        <v>20210220</v>
      </c>
      <c r="F5290" s="4">
        <v>20210220</v>
      </c>
      <c r="G5290" s="4">
        <v>20240220</v>
      </c>
      <c r="H5290" s="4" t="s">
        <v>560</v>
      </c>
      <c r="I5290" s="4" t="s">
        <v>2305</v>
      </c>
      <c r="J5290" s="4" t="s">
        <v>1783</v>
      </c>
    </row>
    <row r="5291" spans="1:10" hidden="1">
      <c r="A5291" s="4">
        <v>2.0210241121E+17</v>
      </c>
      <c r="B5291" s="4">
        <v>5468601402</v>
      </c>
      <c r="C5291" s="4" t="s">
        <v>2304</v>
      </c>
      <c r="D5291" s="4">
        <v>41121</v>
      </c>
      <c r="E5291" s="4">
        <v>20210220</v>
      </c>
      <c r="F5291" s="4">
        <v>20210220</v>
      </c>
      <c r="G5291" s="4">
        <v>20240220</v>
      </c>
      <c r="H5291" s="4" t="s">
        <v>2303</v>
      </c>
      <c r="J5291" s="4" t="s">
        <v>2302</v>
      </c>
    </row>
    <row r="5292" spans="1:10" hidden="1">
      <c r="A5292" s="4">
        <v>2.02102743E+17</v>
      </c>
      <c r="B5292" s="4">
        <v>2683800690</v>
      </c>
      <c r="C5292" s="4" t="s">
        <v>2301</v>
      </c>
      <c r="D5292" s="4">
        <v>74300</v>
      </c>
      <c r="E5292" s="4">
        <v>20210220</v>
      </c>
      <c r="F5292" s="4">
        <v>20210220</v>
      </c>
      <c r="G5292" s="4">
        <v>20240220</v>
      </c>
      <c r="H5292" s="4" t="s">
        <v>2300</v>
      </c>
      <c r="I5292" s="4" t="s">
        <v>2299</v>
      </c>
      <c r="J5292" s="4" t="s">
        <v>2298</v>
      </c>
    </row>
    <row r="5293" spans="1:10" hidden="1">
      <c r="A5293" s="4">
        <v>2.0210246593E+17</v>
      </c>
      <c r="B5293" s="4">
        <v>6762101096</v>
      </c>
      <c r="C5293" s="4" t="s">
        <v>2297</v>
      </c>
      <c r="D5293" s="4">
        <v>46593</v>
      </c>
      <c r="E5293" s="4">
        <v>20210220</v>
      </c>
      <c r="F5293" s="4">
        <v>20210220</v>
      </c>
      <c r="G5293" s="4">
        <v>20240220</v>
      </c>
      <c r="H5293" s="4" t="s">
        <v>2296</v>
      </c>
      <c r="I5293" s="4" t="s">
        <v>2295</v>
      </c>
      <c r="J5293" s="4" t="s">
        <v>1469</v>
      </c>
    </row>
    <row r="5294" spans="1:10" hidden="1">
      <c r="A5294" s="4">
        <v>2.0210259111E+17</v>
      </c>
      <c r="B5294" s="4">
        <v>4348600212</v>
      </c>
      <c r="C5294" s="4" t="s">
        <v>2294</v>
      </c>
      <c r="D5294" s="4">
        <v>59111</v>
      </c>
      <c r="E5294" s="4">
        <v>20210219</v>
      </c>
      <c r="F5294" s="4">
        <v>20210219</v>
      </c>
      <c r="G5294" s="4">
        <v>20220724</v>
      </c>
      <c r="H5294" s="4" t="s">
        <v>2293</v>
      </c>
      <c r="I5294" s="4" t="s">
        <v>2292</v>
      </c>
      <c r="J5294" s="4" t="s">
        <v>1857</v>
      </c>
    </row>
    <row r="5295" spans="1:10" hidden="1">
      <c r="A5295" s="4">
        <v>2.0210258222E+17</v>
      </c>
      <c r="B5295" s="4">
        <v>2378700791</v>
      </c>
      <c r="C5295" s="4" t="s">
        <v>2291</v>
      </c>
      <c r="D5295" s="4">
        <v>58222</v>
      </c>
      <c r="E5295" s="4">
        <v>20210219</v>
      </c>
      <c r="F5295" s="4">
        <v>20210219</v>
      </c>
      <c r="G5295" s="4">
        <v>20240219</v>
      </c>
      <c r="H5295" s="4" t="s">
        <v>2290</v>
      </c>
      <c r="I5295" s="4" t="s">
        <v>2289</v>
      </c>
      <c r="J5295" s="4" t="s">
        <v>94</v>
      </c>
    </row>
    <row r="5296" spans="1:10" hidden="1">
      <c r="A5296" s="4">
        <v>2.021027511E+17</v>
      </c>
      <c r="B5296" s="4">
        <v>6468800522</v>
      </c>
      <c r="C5296" s="4" t="s">
        <v>2288</v>
      </c>
      <c r="D5296" s="4">
        <v>75110</v>
      </c>
      <c r="E5296" s="4">
        <v>20210219</v>
      </c>
      <c r="F5296" s="4">
        <v>20210219</v>
      </c>
      <c r="G5296" s="4">
        <v>20230729</v>
      </c>
      <c r="H5296" s="4" t="s">
        <v>2287</v>
      </c>
      <c r="I5296" s="4" t="s">
        <v>2286</v>
      </c>
      <c r="J5296" s="4" t="s">
        <v>2285</v>
      </c>
    </row>
    <row r="5297" spans="1:10" hidden="1">
      <c r="A5297" s="4">
        <v>2.0210225119E+17</v>
      </c>
      <c r="B5297" s="4">
        <v>1678101349</v>
      </c>
      <c r="C5297" s="4" t="s">
        <v>2284</v>
      </c>
      <c r="D5297" s="4">
        <v>25119</v>
      </c>
      <c r="E5297" s="4">
        <v>20210219</v>
      </c>
      <c r="F5297" s="4">
        <v>20210219</v>
      </c>
      <c r="G5297" s="4">
        <v>20240219</v>
      </c>
      <c r="H5297" s="4" t="s">
        <v>2283</v>
      </c>
      <c r="I5297" s="4" t="s">
        <v>2282</v>
      </c>
      <c r="J5297" s="4" t="s">
        <v>679</v>
      </c>
    </row>
    <row r="5298" spans="1:10" hidden="1">
      <c r="A5298" s="4">
        <v>2.0210242137E+17</v>
      </c>
      <c r="B5298" s="4">
        <v>6828102172</v>
      </c>
      <c r="C5298" s="4" t="s">
        <v>2281</v>
      </c>
      <c r="D5298" s="4">
        <v>42137</v>
      </c>
      <c r="E5298" s="4">
        <v>20210219</v>
      </c>
      <c r="F5298" s="4">
        <v>20210219</v>
      </c>
      <c r="G5298" s="4">
        <v>20240219</v>
      </c>
      <c r="H5298" s="4" t="s">
        <v>2280</v>
      </c>
      <c r="J5298" s="4" t="s">
        <v>2279</v>
      </c>
    </row>
    <row r="5299" spans="1:10" hidden="1">
      <c r="A5299" s="4">
        <v>2.021022928E+17</v>
      </c>
      <c r="B5299" s="4">
        <v>5798801920</v>
      </c>
      <c r="C5299" s="4" t="s">
        <v>2278</v>
      </c>
      <c r="D5299" s="4">
        <v>29280</v>
      </c>
      <c r="E5299" s="4">
        <v>20210219</v>
      </c>
      <c r="F5299" s="4">
        <v>20210219</v>
      </c>
      <c r="G5299" s="4">
        <v>20240219</v>
      </c>
      <c r="H5299" s="4" t="s">
        <v>2277</v>
      </c>
      <c r="J5299" s="4" t="s">
        <v>533</v>
      </c>
    </row>
    <row r="5300" spans="1:10" hidden="1">
      <c r="A5300" s="4">
        <v>2.021026312E+17</v>
      </c>
      <c r="B5300" s="4">
        <v>1698801849</v>
      </c>
      <c r="C5300" s="4" t="s">
        <v>2276</v>
      </c>
      <c r="D5300" s="4">
        <v>63120</v>
      </c>
      <c r="E5300" s="4">
        <v>20210219</v>
      </c>
      <c r="F5300" s="4">
        <v>20210219</v>
      </c>
      <c r="G5300" s="4">
        <v>20240219</v>
      </c>
      <c r="H5300" s="4" t="s">
        <v>2275</v>
      </c>
      <c r="I5300" s="4" t="s">
        <v>2274</v>
      </c>
      <c r="J5300" s="4" t="s">
        <v>632</v>
      </c>
    </row>
    <row r="5301" spans="1:10" hidden="1">
      <c r="A5301" s="4">
        <v>2.0210228119E+17</v>
      </c>
      <c r="B5301" s="4">
        <v>3778100985</v>
      </c>
      <c r="C5301" s="4" t="s">
        <v>2273</v>
      </c>
      <c r="D5301" s="4">
        <v>28119</v>
      </c>
      <c r="E5301" s="4">
        <v>20210219</v>
      </c>
      <c r="F5301" s="4">
        <v>20210219</v>
      </c>
      <c r="G5301" s="4">
        <v>20240219</v>
      </c>
      <c r="H5301" s="4" t="s">
        <v>2272</v>
      </c>
      <c r="I5301" s="4" t="s">
        <v>2271</v>
      </c>
      <c r="J5301" s="4" t="s">
        <v>1816</v>
      </c>
    </row>
    <row r="5302" spans="1:10" hidden="1">
      <c r="A5302" s="4">
        <v>2.0210258222E+17</v>
      </c>
      <c r="B5302" s="4">
        <v>8688801475</v>
      </c>
      <c r="C5302" s="4" t="s">
        <v>2270</v>
      </c>
      <c r="D5302" s="4">
        <v>58222</v>
      </c>
      <c r="E5302" s="4">
        <v>20210219</v>
      </c>
      <c r="F5302" s="4">
        <v>20210219</v>
      </c>
      <c r="G5302" s="4">
        <v>20240219</v>
      </c>
      <c r="H5302" s="4" t="s">
        <v>2269</v>
      </c>
      <c r="I5302" s="4" t="s">
        <v>1670</v>
      </c>
      <c r="J5302" s="4" t="s">
        <v>94</v>
      </c>
    </row>
    <row r="5303" spans="1:10" hidden="1">
      <c r="A5303" s="4">
        <v>2.0210258222E+17</v>
      </c>
      <c r="B5303" s="4">
        <v>1848801606</v>
      </c>
      <c r="C5303" s="4" t="s">
        <v>2268</v>
      </c>
      <c r="D5303" s="4">
        <v>58222</v>
      </c>
      <c r="E5303" s="4">
        <v>20210219</v>
      </c>
      <c r="F5303" s="4">
        <v>20210219</v>
      </c>
      <c r="G5303" s="4">
        <v>20240219</v>
      </c>
      <c r="H5303" s="4" t="s">
        <v>2267</v>
      </c>
      <c r="I5303" s="4" t="s">
        <v>2266</v>
      </c>
      <c r="J5303" s="4" t="s">
        <v>94</v>
      </c>
    </row>
    <row r="5304" spans="1:10" hidden="1">
      <c r="A5304" s="4">
        <v>2.0210222259E+17</v>
      </c>
      <c r="B5304" s="4">
        <v>3918701610</v>
      </c>
      <c r="C5304" s="4" t="s">
        <v>2265</v>
      </c>
      <c r="D5304" s="4">
        <v>22259</v>
      </c>
      <c r="E5304" s="4">
        <v>20210219</v>
      </c>
      <c r="F5304" s="4">
        <v>20210219</v>
      </c>
      <c r="G5304" s="4">
        <v>20240219</v>
      </c>
      <c r="H5304" s="4" t="s">
        <v>2264</v>
      </c>
      <c r="I5304" s="4" t="s">
        <v>2263</v>
      </c>
      <c r="J5304" s="4" t="s">
        <v>966</v>
      </c>
    </row>
    <row r="5305" spans="1:10" hidden="1">
      <c r="A5305" s="4">
        <v>2.0210228519E+17</v>
      </c>
      <c r="B5305" s="4">
        <v>6448701741</v>
      </c>
      <c r="C5305" s="4" t="s">
        <v>2262</v>
      </c>
      <c r="D5305" s="4">
        <v>28519</v>
      </c>
      <c r="E5305" s="4">
        <v>20210219</v>
      </c>
      <c r="F5305" s="4">
        <v>20210219</v>
      </c>
      <c r="G5305" s="4">
        <v>20240219</v>
      </c>
      <c r="H5305" s="4" t="s">
        <v>2261</v>
      </c>
      <c r="J5305" s="4" t="s">
        <v>1412</v>
      </c>
    </row>
    <row r="5306" spans="1:10" hidden="1">
      <c r="A5306" s="4">
        <v>2.0210258221E+17</v>
      </c>
      <c r="B5306" s="4">
        <v>7108601231</v>
      </c>
      <c r="C5306" s="4" t="s">
        <v>2260</v>
      </c>
      <c r="D5306" s="4">
        <v>58221</v>
      </c>
      <c r="E5306" s="4">
        <v>20210219</v>
      </c>
      <c r="F5306" s="4">
        <v>20210219</v>
      </c>
      <c r="G5306" s="4">
        <v>20240219</v>
      </c>
      <c r="H5306" s="4" t="s">
        <v>2259</v>
      </c>
      <c r="I5306" s="4" t="s">
        <v>2258</v>
      </c>
      <c r="J5306" s="4" t="s">
        <v>228</v>
      </c>
    </row>
    <row r="5307" spans="1:10" hidden="1">
      <c r="A5307" s="4">
        <v>2.0210258222E+17</v>
      </c>
      <c r="B5307" s="4">
        <v>6738701676</v>
      </c>
      <c r="C5307" s="4" t="s">
        <v>2257</v>
      </c>
      <c r="D5307" s="4">
        <v>58222</v>
      </c>
      <c r="E5307" s="4">
        <v>20210219</v>
      </c>
      <c r="F5307" s="4">
        <v>20210219</v>
      </c>
      <c r="G5307" s="4">
        <v>20240219</v>
      </c>
      <c r="H5307" s="4" t="s">
        <v>2256</v>
      </c>
      <c r="I5307" s="4" t="s">
        <v>1177</v>
      </c>
      <c r="J5307" s="4" t="s">
        <v>94</v>
      </c>
    </row>
    <row r="5308" spans="1:10" hidden="1">
      <c r="A5308" s="4">
        <v>2.0210226299E+17</v>
      </c>
      <c r="B5308" s="4">
        <v>6408101470</v>
      </c>
      <c r="C5308" s="4" t="s">
        <v>2255</v>
      </c>
      <c r="D5308" s="4">
        <v>26299</v>
      </c>
      <c r="E5308" s="4">
        <v>20210219</v>
      </c>
      <c r="F5308" s="4">
        <v>20210219</v>
      </c>
      <c r="G5308" s="4">
        <v>20240219</v>
      </c>
      <c r="H5308" s="4" t="s">
        <v>2254</v>
      </c>
      <c r="I5308" s="4" t="s">
        <v>2253</v>
      </c>
      <c r="J5308" s="4" t="s">
        <v>339</v>
      </c>
    </row>
    <row r="5309" spans="1:10" hidden="1">
      <c r="A5309" s="4">
        <v>2.0210228422E+17</v>
      </c>
      <c r="B5309" s="4">
        <v>8698801255</v>
      </c>
      <c r="C5309" s="4" t="s">
        <v>2251</v>
      </c>
      <c r="D5309" s="4">
        <v>28422</v>
      </c>
      <c r="E5309" s="4">
        <v>20210219</v>
      </c>
      <c r="F5309" s="4">
        <v>20210219</v>
      </c>
      <c r="G5309" s="4">
        <v>20240219</v>
      </c>
      <c r="H5309" s="4" t="s">
        <v>2252</v>
      </c>
      <c r="I5309" s="4" t="s">
        <v>2251</v>
      </c>
      <c r="J5309" s="4" t="s">
        <v>188</v>
      </c>
    </row>
    <row r="5310" spans="1:10" hidden="1">
      <c r="A5310" s="4">
        <v>2.0210227199E+17</v>
      </c>
      <c r="B5310" s="4">
        <v>6558801409</v>
      </c>
      <c r="C5310" s="4" t="s">
        <v>2250</v>
      </c>
      <c r="D5310" s="4">
        <v>27199</v>
      </c>
      <c r="E5310" s="4">
        <v>20210219</v>
      </c>
      <c r="F5310" s="4">
        <v>20210219</v>
      </c>
      <c r="G5310" s="4">
        <v>20240219</v>
      </c>
      <c r="H5310" s="4" t="s">
        <v>950</v>
      </c>
      <c r="I5310" s="4" t="s">
        <v>549</v>
      </c>
      <c r="J5310" s="4" t="s">
        <v>418</v>
      </c>
    </row>
    <row r="5311" spans="1:10">
      <c r="A5311" s="4">
        <v>2.0210318111000099E+17</v>
      </c>
      <c r="B5311" s="4">
        <v>6988801181</v>
      </c>
      <c r="C5311" s="4" t="s">
        <v>4138</v>
      </c>
      <c r="D5311" s="4">
        <v>18111</v>
      </c>
      <c r="E5311" s="4">
        <v>20210312</v>
      </c>
      <c r="F5311" s="4">
        <v>20210312</v>
      </c>
      <c r="G5311" s="4">
        <v>20240312</v>
      </c>
      <c r="H5311" s="4" t="s">
        <v>4137</v>
      </c>
      <c r="I5311" s="4" t="s">
        <v>149</v>
      </c>
      <c r="J5311" s="4" t="s">
        <v>662</v>
      </c>
    </row>
    <row r="5312" spans="1:10" hidden="1">
      <c r="A5312" s="4">
        <v>2.0210272121E+17</v>
      </c>
      <c r="B5312" s="4">
        <v>8338601058</v>
      </c>
      <c r="C5312" s="4" t="s">
        <v>2246</v>
      </c>
      <c r="D5312" s="4">
        <v>72121</v>
      </c>
      <c r="E5312" s="4">
        <v>20210219</v>
      </c>
      <c r="F5312" s="4">
        <v>20210219</v>
      </c>
      <c r="G5312" s="4">
        <v>20240219</v>
      </c>
      <c r="H5312" s="4" t="s">
        <v>2245</v>
      </c>
      <c r="I5312" s="4" t="s">
        <v>2244</v>
      </c>
      <c r="J5312" s="4" t="s">
        <v>2243</v>
      </c>
    </row>
    <row r="5313" spans="1:10" hidden="1">
      <c r="A5313" s="4">
        <v>2.021027131E+17</v>
      </c>
      <c r="B5313" s="4">
        <v>6338800356</v>
      </c>
      <c r="C5313" s="4" t="s">
        <v>2242</v>
      </c>
      <c r="D5313" s="4">
        <v>71310</v>
      </c>
      <c r="E5313" s="4">
        <v>20210219</v>
      </c>
      <c r="F5313" s="4">
        <v>20210219</v>
      </c>
      <c r="G5313" s="4">
        <v>20230308</v>
      </c>
      <c r="H5313" s="4" t="s">
        <v>2241</v>
      </c>
      <c r="I5313" s="4" t="s">
        <v>2240</v>
      </c>
      <c r="J5313" s="4" t="s">
        <v>426</v>
      </c>
    </row>
    <row r="5314" spans="1:10" hidden="1">
      <c r="A5314" s="4">
        <v>2.0210258222E+17</v>
      </c>
      <c r="B5314" s="4">
        <v>5108600331</v>
      </c>
      <c r="C5314" s="4" t="s">
        <v>2239</v>
      </c>
      <c r="D5314" s="4">
        <v>58222</v>
      </c>
      <c r="E5314" s="4">
        <v>20210219</v>
      </c>
      <c r="F5314" s="4">
        <v>20210219</v>
      </c>
      <c r="G5314" s="4">
        <v>20230212</v>
      </c>
      <c r="H5314" s="4" t="s">
        <v>2238</v>
      </c>
      <c r="I5314" s="4" t="s">
        <v>2237</v>
      </c>
      <c r="J5314" s="4" t="s">
        <v>94</v>
      </c>
    </row>
    <row r="5315" spans="1:10" hidden="1">
      <c r="A5315" s="4">
        <v>2.021022921E+17</v>
      </c>
      <c r="B5315" s="4">
        <v>2688601730</v>
      </c>
      <c r="C5315" s="4" t="s">
        <v>2236</v>
      </c>
      <c r="D5315" s="4">
        <v>29210</v>
      </c>
      <c r="E5315" s="4">
        <v>20210219</v>
      </c>
      <c r="F5315" s="4">
        <v>20210219</v>
      </c>
      <c r="G5315" s="4">
        <v>20240219</v>
      </c>
      <c r="H5315" s="4" t="s">
        <v>2235</v>
      </c>
      <c r="I5315" s="4" t="s">
        <v>149</v>
      </c>
      <c r="J5315" s="4" t="s">
        <v>1274</v>
      </c>
    </row>
    <row r="5316" spans="1:10" hidden="1">
      <c r="A5316" s="4">
        <v>2.0210228429E+17</v>
      </c>
      <c r="B5316" s="4">
        <v>3010696148</v>
      </c>
      <c r="C5316" s="4" t="s">
        <v>2234</v>
      </c>
      <c r="D5316" s="4">
        <v>28429</v>
      </c>
      <c r="E5316" s="4">
        <v>20210219</v>
      </c>
      <c r="F5316" s="4">
        <v>20210219</v>
      </c>
      <c r="G5316" s="4">
        <v>20211120</v>
      </c>
      <c r="H5316" s="4" t="s">
        <v>2233</v>
      </c>
      <c r="J5316" s="4" t="s">
        <v>765</v>
      </c>
    </row>
    <row r="5317" spans="1:10" hidden="1">
      <c r="A5317" s="4">
        <v>2.0210225111E+17</v>
      </c>
      <c r="B5317" s="4">
        <v>2182411803</v>
      </c>
      <c r="C5317" s="4" t="s">
        <v>2232</v>
      </c>
      <c r="D5317" s="4">
        <v>25111</v>
      </c>
      <c r="E5317" s="4">
        <v>20210219</v>
      </c>
      <c r="F5317" s="4">
        <v>20210219</v>
      </c>
      <c r="G5317" s="4">
        <v>20240219</v>
      </c>
      <c r="H5317" s="4" t="s">
        <v>2231</v>
      </c>
      <c r="J5317" s="4" t="s">
        <v>82</v>
      </c>
    </row>
    <row r="5318" spans="1:10" hidden="1">
      <c r="A5318" s="4">
        <v>2.0210263999E+17</v>
      </c>
      <c r="B5318" s="4">
        <v>3101266203</v>
      </c>
      <c r="C5318" s="4" t="s">
        <v>2230</v>
      </c>
      <c r="D5318" s="4">
        <v>63999</v>
      </c>
      <c r="E5318" s="4">
        <v>20210219</v>
      </c>
      <c r="F5318" s="4">
        <v>20210219</v>
      </c>
      <c r="G5318" s="4">
        <v>20221001</v>
      </c>
      <c r="H5318" s="4" t="s">
        <v>2229</v>
      </c>
      <c r="I5318" s="4" t="s">
        <v>2228</v>
      </c>
      <c r="J5318" s="4" t="s">
        <v>643</v>
      </c>
    </row>
    <row r="5319" spans="1:10" hidden="1">
      <c r="A5319" s="4">
        <v>2.021026201E+17</v>
      </c>
      <c r="B5319" s="4">
        <v>5778601783</v>
      </c>
      <c r="C5319" s="4" t="s">
        <v>2227</v>
      </c>
      <c r="D5319" s="4">
        <v>62010</v>
      </c>
      <c r="E5319" s="4">
        <v>20210219</v>
      </c>
      <c r="F5319" s="4">
        <v>20210219</v>
      </c>
      <c r="G5319" s="4">
        <v>20240219</v>
      </c>
      <c r="H5319" s="4" t="s">
        <v>2226</v>
      </c>
      <c r="I5319" s="4" t="s">
        <v>2225</v>
      </c>
      <c r="J5319" s="4" t="s">
        <v>118</v>
      </c>
    </row>
    <row r="5320" spans="1:10" hidden="1">
      <c r="A5320" s="4">
        <v>2.0210232029E+17</v>
      </c>
      <c r="B5320" s="4">
        <v>8791901348</v>
      </c>
      <c r="C5320" s="4" t="s">
        <v>2224</v>
      </c>
      <c r="D5320" s="4">
        <v>32029</v>
      </c>
      <c r="E5320" s="4">
        <v>20210219</v>
      </c>
      <c r="F5320" s="4">
        <v>20210219</v>
      </c>
      <c r="G5320" s="4">
        <v>20240219</v>
      </c>
      <c r="H5320" s="4" t="s">
        <v>2223</v>
      </c>
      <c r="I5320" s="4" t="s">
        <v>2222</v>
      </c>
      <c r="J5320" s="4" t="s">
        <v>637</v>
      </c>
    </row>
    <row r="5321" spans="1:10" hidden="1">
      <c r="A5321" s="4">
        <v>2.0210229299E+17</v>
      </c>
      <c r="B5321" s="4">
        <v>4948101839</v>
      </c>
      <c r="C5321" s="4" t="s">
        <v>2221</v>
      </c>
      <c r="D5321" s="4">
        <v>29299</v>
      </c>
      <c r="E5321" s="4">
        <v>20210219</v>
      </c>
      <c r="F5321" s="4">
        <v>20210219</v>
      </c>
      <c r="G5321" s="4">
        <v>20240219</v>
      </c>
      <c r="H5321" s="4" t="s">
        <v>2220</v>
      </c>
      <c r="I5321" s="4" t="s">
        <v>2219</v>
      </c>
      <c r="J5321" s="4" t="s">
        <v>137</v>
      </c>
    </row>
    <row r="5322" spans="1:10" hidden="1">
      <c r="A5322" s="4">
        <v>2.0210258221E+17</v>
      </c>
      <c r="B5322" s="4">
        <v>5835500053</v>
      </c>
      <c r="C5322" s="4" t="s">
        <v>2218</v>
      </c>
      <c r="D5322" s="4">
        <v>58221</v>
      </c>
      <c r="E5322" s="4">
        <v>20210219</v>
      </c>
      <c r="F5322" s="4">
        <v>20210219</v>
      </c>
      <c r="G5322" s="4">
        <v>20220717</v>
      </c>
      <c r="H5322" s="4" t="s">
        <v>2114</v>
      </c>
      <c r="I5322" s="4" t="s">
        <v>2217</v>
      </c>
      <c r="J5322" s="4" t="s">
        <v>228</v>
      </c>
    </row>
    <row r="5323" spans="1:10" hidden="1">
      <c r="A5323" s="4">
        <v>2.0210258211E+17</v>
      </c>
      <c r="B5323" s="4">
        <v>4155200399</v>
      </c>
      <c r="C5323" s="4" t="s">
        <v>2216</v>
      </c>
      <c r="D5323" s="4">
        <v>58211</v>
      </c>
      <c r="E5323" s="4">
        <v>20210219</v>
      </c>
      <c r="F5323" s="4">
        <v>20210219</v>
      </c>
      <c r="G5323" s="4">
        <v>20240219</v>
      </c>
      <c r="H5323" s="4" t="s">
        <v>2215</v>
      </c>
      <c r="I5323" s="4" t="s">
        <v>2214</v>
      </c>
      <c r="J5323" s="4" t="s">
        <v>887</v>
      </c>
    </row>
    <row r="5324" spans="1:10" hidden="1">
      <c r="A5324" s="4">
        <v>2.0210242411E+17</v>
      </c>
      <c r="B5324" s="4">
        <v>3878602030</v>
      </c>
      <c r="C5324" s="4" t="s">
        <v>2213</v>
      </c>
      <c r="D5324" s="4">
        <v>42411</v>
      </c>
      <c r="E5324" s="4">
        <v>20210219</v>
      </c>
      <c r="F5324" s="4">
        <v>20210219</v>
      </c>
      <c r="G5324" s="4">
        <v>20240219</v>
      </c>
      <c r="H5324" s="4" t="s">
        <v>2212</v>
      </c>
      <c r="J5324" s="4" t="s">
        <v>2211</v>
      </c>
    </row>
    <row r="5325" spans="1:10" hidden="1">
      <c r="A5325" s="4">
        <v>2.02102741E+17</v>
      </c>
      <c r="B5325" s="4">
        <v>4528601766</v>
      </c>
      <c r="C5325" s="4" t="s">
        <v>2210</v>
      </c>
      <c r="D5325" s="4">
        <v>74100</v>
      </c>
      <c r="E5325" s="4">
        <v>20210219</v>
      </c>
      <c r="F5325" s="4">
        <v>20210219</v>
      </c>
      <c r="G5325" s="4">
        <v>20240219</v>
      </c>
      <c r="H5325" s="4" t="s">
        <v>2209</v>
      </c>
      <c r="I5325" s="4" t="s">
        <v>2208</v>
      </c>
      <c r="J5325" s="4" t="s">
        <v>2207</v>
      </c>
    </row>
    <row r="5326" spans="1:10" hidden="1">
      <c r="A5326" s="4">
        <v>2.0210273301E+17</v>
      </c>
      <c r="B5326" s="4">
        <v>8501401492</v>
      </c>
      <c r="C5326" s="4" t="s">
        <v>2206</v>
      </c>
      <c r="D5326" s="4">
        <v>73301</v>
      </c>
      <c r="E5326" s="4">
        <v>20210219</v>
      </c>
      <c r="F5326" s="4">
        <v>20210219</v>
      </c>
      <c r="G5326" s="4">
        <v>20240219</v>
      </c>
      <c r="H5326" s="4" t="s">
        <v>2205</v>
      </c>
      <c r="I5326" s="4" t="s">
        <v>2204</v>
      </c>
      <c r="J5326" s="4" t="s">
        <v>2203</v>
      </c>
    </row>
    <row r="5327" spans="1:10" hidden="1">
      <c r="A5327" s="4">
        <v>2.021022841E+17</v>
      </c>
      <c r="B5327" s="4">
        <v>1588200173</v>
      </c>
      <c r="C5327" s="4" t="s">
        <v>2202</v>
      </c>
      <c r="D5327" s="4">
        <v>28410</v>
      </c>
      <c r="E5327" s="4">
        <v>20210219</v>
      </c>
      <c r="F5327" s="4">
        <v>20210219</v>
      </c>
      <c r="G5327" s="4">
        <v>20240219</v>
      </c>
      <c r="H5327" s="4" t="s">
        <v>2201</v>
      </c>
      <c r="I5327" s="4" t="s">
        <v>2200</v>
      </c>
      <c r="J5327" s="4" t="s">
        <v>2199</v>
      </c>
    </row>
    <row r="5328" spans="1:10" hidden="1">
      <c r="A5328" s="4">
        <v>2.0210227211E+17</v>
      </c>
      <c r="B5328" s="4">
        <v>4588601691</v>
      </c>
      <c r="C5328" s="4" t="s">
        <v>2198</v>
      </c>
      <c r="D5328" s="4">
        <v>27211</v>
      </c>
      <c r="E5328" s="4">
        <v>20210219</v>
      </c>
      <c r="F5328" s="4">
        <v>20210219</v>
      </c>
      <c r="G5328" s="4">
        <v>20240219</v>
      </c>
      <c r="H5328" s="4" t="s">
        <v>929</v>
      </c>
      <c r="I5328" s="4" t="s">
        <v>2197</v>
      </c>
      <c r="J5328" s="4" t="s">
        <v>1585</v>
      </c>
    </row>
    <row r="5329" spans="1:10" hidden="1">
      <c r="A5329" s="4">
        <v>2.0210230399E+17</v>
      </c>
      <c r="B5329" s="4">
        <v>1383400877</v>
      </c>
      <c r="C5329" s="4" t="s">
        <v>2196</v>
      </c>
      <c r="D5329" s="4">
        <v>30399</v>
      </c>
      <c r="E5329" s="4">
        <v>20210219</v>
      </c>
      <c r="F5329" s="4">
        <v>20210219</v>
      </c>
      <c r="G5329" s="4">
        <v>20240219</v>
      </c>
      <c r="H5329" s="4" t="s">
        <v>2195</v>
      </c>
      <c r="J5329" s="4" t="s">
        <v>1763</v>
      </c>
    </row>
    <row r="5330" spans="1:10" hidden="1">
      <c r="A5330" s="4">
        <v>2.0210285699E+17</v>
      </c>
      <c r="B5330" s="4">
        <v>7861101545</v>
      </c>
      <c r="C5330" s="4" t="s">
        <v>2194</v>
      </c>
      <c r="D5330" s="4">
        <v>85699</v>
      </c>
      <c r="E5330" s="4">
        <v>20210219</v>
      </c>
      <c r="F5330" s="4">
        <v>20210219</v>
      </c>
      <c r="G5330" s="4">
        <v>20240219</v>
      </c>
      <c r="H5330" s="4" t="s">
        <v>2193</v>
      </c>
      <c r="I5330" s="4">
        <v>401</v>
      </c>
      <c r="J5330" s="4" t="s">
        <v>2192</v>
      </c>
    </row>
    <row r="5331" spans="1:10" hidden="1">
      <c r="A5331" s="4">
        <v>2.0210226295E+17</v>
      </c>
      <c r="B5331" s="4">
        <v>8828601346</v>
      </c>
      <c r="C5331" s="4" t="s">
        <v>2191</v>
      </c>
      <c r="D5331" s="4">
        <v>26295</v>
      </c>
      <c r="E5331" s="4">
        <v>20210219</v>
      </c>
      <c r="F5331" s="4">
        <v>20210219</v>
      </c>
      <c r="G5331" s="4">
        <v>20240219</v>
      </c>
      <c r="H5331" s="4" t="s">
        <v>2190</v>
      </c>
      <c r="I5331" s="4" t="s">
        <v>2189</v>
      </c>
      <c r="J5331" s="4" t="s">
        <v>174</v>
      </c>
    </row>
    <row r="5332" spans="1:10" hidden="1">
      <c r="A5332" s="4">
        <v>2.0210226323E+17</v>
      </c>
      <c r="B5332" s="4">
        <v>1021620695</v>
      </c>
      <c r="C5332" s="4" t="s">
        <v>2188</v>
      </c>
      <c r="D5332" s="4">
        <v>26323</v>
      </c>
      <c r="E5332" s="4">
        <v>20210219</v>
      </c>
      <c r="F5332" s="4">
        <v>20210219</v>
      </c>
      <c r="G5332" s="4">
        <v>20240219</v>
      </c>
      <c r="H5332" s="4" t="s">
        <v>1684</v>
      </c>
      <c r="I5332" s="4" t="s">
        <v>2187</v>
      </c>
      <c r="J5332" s="4" t="s">
        <v>2186</v>
      </c>
    </row>
    <row r="5333" spans="1:10" hidden="1">
      <c r="A5333" s="4">
        <v>2.0210225999E+17</v>
      </c>
      <c r="B5333" s="4">
        <v>5418800299</v>
      </c>
      <c r="C5333" s="4" t="s">
        <v>2185</v>
      </c>
      <c r="D5333" s="4">
        <v>25999</v>
      </c>
      <c r="E5333" s="4">
        <v>20210219</v>
      </c>
      <c r="F5333" s="4">
        <v>20210219</v>
      </c>
      <c r="G5333" s="4">
        <v>20221230</v>
      </c>
      <c r="H5333" s="4" t="s">
        <v>2184</v>
      </c>
      <c r="J5333" s="4" t="s">
        <v>301</v>
      </c>
    </row>
    <row r="5334" spans="1:10" hidden="1">
      <c r="A5334" s="4">
        <v>2.0210246799E+17</v>
      </c>
      <c r="B5334" s="4">
        <v>8616400256</v>
      </c>
      <c r="C5334" s="4" t="s">
        <v>2183</v>
      </c>
      <c r="D5334" s="4">
        <v>46799</v>
      </c>
      <c r="E5334" s="4">
        <v>20210219</v>
      </c>
      <c r="F5334" s="4">
        <v>20210219</v>
      </c>
      <c r="G5334" s="4">
        <v>20240219</v>
      </c>
      <c r="H5334" s="4" t="s">
        <v>2182</v>
      </c>
      <c r="I5334" s="4" t="s">
        <v>1403</v>
      </c>
      <c r="J5334" s="4" t="s">
        <v>2181</v>
      </c>
    </row>
    <row r="5335" spans="1:10" hidden="1">
      <c r="A5335" s="4">
        <v>2.0210217129E+17</v>
      </c>
      <c r="B5335" s="4">
        <v>4470300817</v>
      </c>
      <c r="C5335" s="4" t="s">
        <v>2180</v>
      </c>
      <c r="D5335" s="4">
        <v>17129</v>
      </c>
      <c r="E5335" s="4">
        <v>20210219</v>
      </c>
      <c r="F5335" s="4">
        <v>20210219</v>
      </c>
      <c r="G5335" s="4">
        <v>20240219</v>
      </c>
      <c r="H5335" s="4" t="s">
        <v>2179</v>
      </c>
      <c r="I5335" s="4" t="s">
        <v>239</v>
      </c>
      <c r="J5335" s="4" t="s">
        <v>2178</v>
      </c>
    </row>
    <row r="5336" spans="1:10" hidden="1">
      <c r="A5336" s="4">
        <v>2.0210258222E+17</v>
      </c>
      <c r="B5336" s="4">
        <v>3093062706</v>
      </c>
      <c r="C5336" s="4" t="s">
        <v>2177</v>
      </c>
      <c r="D5336" s="4">
        <v>58222</v>
      </c>
      <c r="E5336" s="4">
        <v>20210219</v>
      </c>
      <c r="F5336" s="4">
        <v>20210219</v>
      </c>
      <c r="G5336" s="4">
        <v>20240219</v>
      </c>
      <c r="H5336" s="4" t="s">
        <v>812</v>
      </c>
      <c r="I5336" s="4" t="s">
        <v>2176</v>
      </c>
      <c r="J5336" s="4" t="s">
        <v>94</v>
      </c>
    </row>
    <row r="5337" spans="1:10" hidden="1">
      <c r="A5337" s="4">
        <v>2.0210232029E+17</v>
      </c>
      <c r="B5337" s="4">
        <v>8778601780</v>
      </c>
      <c r="C5337" s="4" t="s">
        <v>2175</v>
      </c>
      <c r="D5337" s="4">
        <v>32029</v>
      </c>
      <c r="E5337" s="4">
        <v>20210219</v>
      </c>
      <c r="F5337" s="4">
        <v>20210219</v>
      </c>
      <c r="G5337" s="4">
        <v>20240219</v>
      </c>
      <c r="H5337" s="4" t="s">
        <v>2174</v>
      </c>
      <c r="J5337" s="4" t="s">
        <v>637</v>
      </c>
    </row>
    <row r="5338" spans="1:10" hidden="1">
      <c r="A5338" s="4">
        <v>2.0210210802E+17</v>
      </c>
      <c r="B5338" s="4">
        <v>2900601768</v>
      </c>
      <c r="C5338" s="4" t="s">
        <v>2173</v>
      </c>
      <c r="D5338" s="4">
        <v>10802</v>
      </c>
      <c r="E5338" s="4">
        <v>20210219</v>
      </c>
      <c r="F5338" s="4">
        <v>20210219</v>
      </c>
      <c r="G5338" s="4">
        <v>20240219</v>
      </c>
      <c r="H5338" s="4" t="s">
        <v>2172</v>
      </c>
      <c r="J5338" s="4" t="s">
        <v>973</v>
      </c>
    </row>
    <row r="5339" spans="1:10" hidden="1">
      <c r="A5339" s="4">
        <v>2.0210227213E+17</v>
      </c>
      <c r="B5339" s="4">
        <v>5400102181</v>
      </c>
      <c r="C5339" s="4" t="s">
        <v>2171</v>
      </c>
      <c r="D5339" s="4">
        <v>27213</v>
      </c>
      <c r="E5339" s="4">
        <v>20210219</v>
      </c>
      <c r="F5339" s="4">
        <v>20210219</v>
      </c>
      <c r="G5339" s="4">
        <v>20240219</v>
      </c>
      <c r="H5339" s="4" t="s">
        <v>2170</v>
      </c>
      <c r="J5339" s="4" t="s">
        <v>264</v>
      </c>
    </row>
    <row r="5340" spans="1:10" hidden="1">
      <c r="A5340" s="4">
        <v>2.0210227199E+17</v>
      </c>
      <c r="B5340" s="4">
        <v>4591300712</v>
      </c>
      <c r="C5340" s="4" t="s">
        <v>2169</v>
      </c>
      <c r="D5340" s="4">
        <v>27199</v>
      </c>
      <c r="E5340" s="4">
        <v>20210219</v>
      </c>
      <c r="F5340" s="4">
        <v>20210219</v>
      </c>
      <c r="G5340" s="4">
        <v>20240219</v>
      </c>
      <c r="H5340" s="4" t="s">
        <v>120</v>
      </c>
      <c r="J5340" s="4" t="s">
        <v>418</v>
      </c>
    </row>
    <row r="5341" spans="1:10" hidden="1">
      <c r="A5341" s="4">
        <v>2.0210233932E+17</v>
      </c>
      <c r="B5341" s="4">
        <v>4968701540</v>
      </c>
      <c r="C5341" s="4" t="s">
        <v>2168</v>
      </c>
      <c r="D5341" s="4">
        <v>33932</v>
      </c>
      <c r="E5341" s="4">
        <v>20210219</v>
      </c>
      <c r="F5341" s="4">
        <v>20210219</v>
      </c>
      <c r="G5341" s="4">
        <v>20240219</v>
      </c>
      <c r="H5341" s="4" t="s">
        <v>374</v>
      </c>
      <c r="I5341" s="4" t="s">
        <v>2167</v>
      </c>
      <c r="J5341" s="4" t="s">
        <v>178</v>
      </c>
    </row>
    <row r="5342" spans="1:10" hidden="1">
      <c r="A5342" s="4">
        <v>2.0210229172E+17</v>
      </c>
      <c r="B5342" s="4">
        <v>3518101599</v>
      </c>
      <c r="C5342" s="4" t="s">
        <v>2166</v>
      </c>
      <c r="D5342" s="4">
        <v>29172</v>
      </c>
      <c r="E5342" s="4">
        <v>20210219</v>
      </c>
      <c r="F5342" s="4">
        <v>20210219</v>
      </c>
      <c r="G5342" s="4">
        <v>20240219</v>
      </c>
      <c r="H5342" s="4" t="s">
        <v>2165</v>
      </c>
      <c r="I5342" s="4" t="s">
        <v>2164</v>
      </c>
      <c r="J5342" s="4" t="s">
        <v>1204</v>
      </c>
    </row>
    <row r="5343" spans="1:10" hidden="1">
      <c r="A5343" s="4">
        <v>2.0210228123E+17</v>
      </c>
      <c r="B5343" s="4">
        <v>5078701350</v>
      </c>
      <c r="C5343" s="4" t="s">
        <v>2163</v>
      </c>
      <c r="D5343" s="4">
        <v>28123</v>
      </c>
      <c r="E5343" s="4">
        <v>20210219</v>
      </c>
      <c r="F5343" s="4">
        <v>20210219</v>
      </c>
      <c r="G5343" s="4">
        <v>20240219</v>
      </c>
      <c r="H5343" s="4" t="s">
        <v>2162</v>
      </c>
      <c r="I5343" s="4" t="s">
        <v>2161</v>
      </c>
      <c r="J5343" s="4" t="s">
        <v>640</v>
      </c>
    </row>
    <row r="5344" spans="1:10" hidden="1">
      <c r="A5344" s="4">
        <v>2.0210259202E+17</v>
      </c>
      <c r="B5344" s="4">
        <v>3808601855</v>
      </c>
      <c r="C5344" s="4" t="s">
        <v>2160</v>
      </c>
      <c r="D5344" s="4">
        <v>59202</v>
      </c>
      <c r="E5344" s="4">
        <v>20210219</v>
      </c>
      <c r="F5344" s="4">
        <v>20210219</v>
      </c>
      <c r="G5344" s="4">
        <v>20240219</v>
      </c>
      <c r="H5344" s="4" t="s">
        <v>2159</v>
      </c>
      <c r="I5344" s="4" t="s">
        <v>2158</v>
      </c>
      <c r="J5344" s="4" t="s">
        <v>2157</v>
      </c>
    </row>
    <row r="5345" spans="1:10" hidden="1">
      <c r="A5345" s="4">
        <v>2.0210258222E+17</v>
      </c>
      <c r="B5345" s="4">
        <v>7078601967</v>
      </c>
      <c r="C5345" s="4" t="s">
        <v>2156</v>
      </c>
      <c r="D5345" s="4">
        <v>58222</v>
      </c>
      <c r="E5345" s="4">
        <v>20210219</v>
      </c>
      <c r="F5345" s="4">
        <v>20210219</v>
      </c>
      <c r="G5345" s="4">
        <v>20240219</v>
      </c>
      <c r="H5345" s="4" t="s">
        <v>1525</v>
      </c>
      <c r="I5345" s="4" t="s">
        <v>2155</v>
      </c>
      <c r="J5345" s="4" t="s">
        <v>94</v>
      </c>
    </row>
    <row r="5346" spans="1:10" hidden="1">
      <c r="A5346" s="4">
        <v>2.0210275121E+17</v>
      </c>
      <c r="B5346" s="4">
        <v>1038701916</v>
      </c>
      <c r="C5346" s="4" t="s">
        <v>2154</v>
      </c>
      <c r="D5346" s="4">
        <v>75121</v>
      </c>
      <c r="E5346" s="4">
        <v>20210219</v>
      </c>
      <c r="F5346" s="4">
        <v>20210219</v>
      </c>
      <c r="G5346" s="4">
        <v>20240219</v>
      </c>
      <c r="H5346" s="4" t="s">
        <v>2153</v>
      </c>
      <c r="J5346" s="4" t="s">
        <v>2152</v>
      </c>
    </row>
    <row r="5347" spans="1:10" hidden="1">
      <c r="A5347" s="4">
        <v>2.0210227302E+17</v>
      </c>
      <c r="B5347" s="4">
        <v>7178601305</v>
      </c>
      <c r="C5347" s="4" t="s">
        <v>2151</v>
      </c>
      <c r="D5347" s="4">
        <v>27302</v>
      </c>
      <c r="E5347" s="4">
        <v>20210219</v>
      </c>
      <c r="F5347" s="4">
        <v>20210219</v>
      </c>
      <c r="G5347" s="4">
        <v>20240219</v>
      </c>
      <c r="H5347" s="4" t="s">
        <v>2150</v>
      </c>
      <c r="I5347" s="4" t="s">
        <v>2149</v>
      </c>
      <c r="J5347" s="4" t="s">
        <v>2148</v>
      </c>
    </row>
    <row r="5348" spans="1:10" hidden="1">
      <c r="A5348" s="4">
        <v>2.0210270113E+17</v>
      </c>
      <c r="B5348" s="4">
        <v>5768801483</v>
      </c>
      <c r="C5348" s="4" t="s">
        <v>2147</v>
      </c>
      <c r="D5348" s="4">
        <v>70113</v>
      </c>
      <c r="E5348" s="4">
        <v>20210219</v>
      </c>
      <c r="F5348" s="4">
        <v>20210219</v>
      </c>
      <c r="G5348" s="4">
        <v>20240219</v>
      </c>
      <c r="H5348" s="4" t="s">
        <v>2146</v>
      </c>
      <c r="I5348" s="4" t="s">
        <v>2145</v>
      </c>
      <c r="J5348" s="4" t="s">
        <v>1173</v>
      </c>
    </row>
    <row r="5349" spans="1:10" hidden="1">
      <c r="A5349" s="4">
        <v>2.0210228422E+17</v>
      </c>
      <c r="B5349" s="4">
        <v>4728701563</v>
      </c>
      <c r="C5349" s="4" t="s">
        <v>2144</v>
      </c>
      <c r="D5349" s="4">
        <v>28422</v>
      </c>
      <c r="E5349" s="4">
        <v>20210219</v>
      </c>
      <c r="F5349" s="4">
        <v>20210219</v>
      </c>
      <c r="G5349" s="4">
        <v>20240219</v>
      </c>
      <c r="H5349" s="4" t="s">
        <v>2143</v>
      </c>
      <c r="I5349" s="4" t="s">
        <v>2142</v>
      </c>
      <c r="J5349" s="4" t="s">
        <v>188</v>
      </c>
    </row>
    <row r="5350" spans="1:10" hidden="1">
      <c r="A5350" s="4">
        <v>2.0210258221E+17</v>
      </c>
      <c r="B5350" s="4">
        <v>5108800825</v>
      </c>
      <c r="C5350" s="4" t="s">
        <v>2141</v>
      </c>
      <c r="D5350" s="4">
        <v>58221</v>
      </c>
      <c r="E5350" s="4">
        <v>20210219</v>
      </c>
      <c r="F5350" s="4">
        <v>20210219</v>
      </c>
      <c r="G5350" s="4">
        <v>20240219</v>
      </c>
      <c r="H5350" s="4" t="s">
        <v>2140</v>
      </c>
      <c r="I5350" s="4" t="s">
        <v>2139</v>
      </c>
      <c r="J5350" s="4" t="s">
        <v>228</v>
      </c>
    </row>
    <row r="5351" spans="1:10" hidden="1">
      <c r="A5351" s="4">
        <v>2.0210258222E+17</v>
      </c>
      <c r="B5351" s="4">
        <v>8248101350</v>
      </c>
      <c r="C5351" s="4" t="s">
        <v>2138</v>
      </c>
      <c r="D5351" s="4">
        <v>58222</v>
      </c>
      <c r="E5351" s="4">
        <v>20210219</v>
      </c>
      <c r="F5351" s="4">
        <v>20210219</v>
      </c>
      <c r="G5351" s="4">
        <v>20240219</v>
      </c>
      <c r="H5351" s="4" t="s">
        <v>2137</v>
      </c>
      <c r="I5351" s="4" t="s">
        <v>2136</v>
      </c>
      <c r="J5351" s="4" t="s">
        <v>94</v>
      </c>
    </row>
    <row r="5352" spans="1:10" hidden="1">
      <c r="A5352" s="4">
        <v>2.0210270121E+17</v>
      </c>
      <c r="B5352" s="4">
        <v>7548101425</v>
      </c>
      <c r="C5352" s="4" t="s">
        <v>2135</v>
      </c>
      <c r="D5352" s="4">
        <v>70121</v>
      </c>
      <c r="E5352" s="4">
        <v>20210219</v>
      </c>
      <c r="F5352" s="4">
        <v>20210219</v>
      </c>
      <c r="G5352" s="4">
        <v>20240219</v>
      </c>
      <c r="H5352" s="4" t="s">
        <v>2134</v>
      </c>
      <c r="I5352" s="4" t="s">
        <v>2133</v>
      </c>
      <c r="J5352" s="4" t="s">
        <v>1267</v>
      </c>
    </row>
    <row r="5353" spans="1:10" hidden="1">
      <c r="A5353" s="4">
        <v>2.0210213229E+17</v>
      </c>
      <c r="B5353" s="4">
        <v>7408102008</v>
      </c>
      <c r="C5353" s="4" t="s">
        <v>2132</v>
      </c>
      <c r="D5353" s="4">
        <v>13229</v>
      </c>
      <c r="E5353" s="4">
        <v>20210219</v>
      </c>
      <c r="F5353" s="4">
        <v>20210219</v>
      </c>
      <c r="G5353" s="4">
        <v>20240219</v>
      </c>
      <c r="H5353" s="4" t="s">
        <v>2131</v>
      </c>
      <c r="I5353" s="4" t="s">
        <v>2130</v>
      </c>
      <c r="J5353" s="4" t="s">
        <v>115</v>
      </c>
    </row>
    <row r="5354" spans="1:10" hidden="1">
      <c r="A5354" s="4">
        <v>2.0210225111E+17</v>
      </c>
      <c r="B5354" s="4">
        <v>2498601608</v>
      </c>
      <c r="C5354" s="4" t="s">
        <v>2128</v>
      </c>
      <c r="D5354" s="4">
        <v>25111</v>
      </c>
      <c r="E5354" s="4">
        <v>20210219</v>
      </c>
      <c r="F5354" s="4">
        <v>20210219</v>
      </c>
      <c r="G5354" s="4">
        <v>20240219</v>
      </c>
      <c r="H5354" s="4" t="s">
        <v>2129</v>
      </c>
      <c r="I5354" s="4" t="s">
        <v>2128</v>
      </c>
      <c r="J5354" s="4" t="s">
        <v>82</v>
      </c>
    </row>
    <row r="5355" spans="1:10" hidden="1">
      <c r="A5355" s="4">
        <v>2.0210228429E+17</v>
      </c>
      <c r="B5355" s="4">
        <v>7718701043</v>
      </c>
      <c r="C5355" s="4" t="s">
        <v>2127</v>
      </c>
      <c r="D5355" s="4">
        <v>28429</v>
      </c>
      <c r="E5355" s="4">
        <v>20210219</v>
      </c>
      <c r="F5355" s="4">
        <v>20210219</v>
      </c>
      <c r="G5355" s="4">
        <v>20240219</v>
      </c>
      <c r="H5355" s="4" t="s">
        <v>2126</v>
      </c>
      <c r="J5355" s="4" t="s">
        <v>765</v>
      </c>
    </row>
    <row r="5356" spans="1:10" hidden="1">
      <c r="A5356" s="4">
        <v>2.0210220322E+17</v>
      </c>
      <c r="B5356" s="4">
        <v>8558601650</v>
      </c>
      <c r="C5356" s="4" t="s">
        <v>2125</v>
      </c>
      <c r="D5356" s="4">
        <v>20322</v>
      </c>
      <c r="E5356" s="4">
        <v>20210219</v>
      </c>
      <c r="F5356" s="4">
        <v>20210219</v>
      </c>
      <c r="G5356" s="4">
        <v>20240219</v>
      </c>
      <c r="H5356" s="4" t="s">
        <v>2124</v>
      </c>
      <c r="I5356" s="4" t="s">
        <v>2123</v>
      </c>
      <c r="J5356" s="4" t="s">
        <v>105</v>
      </c>
    </row>
    <row r="5357" spans="1:10" hidden="1">
      <c r="A5357" s="4">
        <v>2.0210228429E+17</v>
      </c>
      <c r="B5357" s="4">
        <v>8488600202</v>
      </c>
      <c r="C5357" s="4" t="s">
        <v>2121</v>
      </c>
      <c r="D5357" s="4">
        <v>28429</v>
      </c>
      <c r="E5357" s="4">
        <v>20210219</v>
      </c>
      <c r="F5357" s="4">
        <v>20210219</v>
      </c>
      <c r="G5357" s="4">
        <v>20220911</v>
      </c>
      <c r="H5357" s="4" t="s">
        <v>2122</v>
      </c>
      <c r="I5357" s="4" t="s">
        <v>2121</v>
      </c>
      <c r="J5357" s="4" t="s">
        <v>765</v>
      </c>
    </row>
    <row r="5358" spans="1:10" hidden="1">
      <c r="A5358" s="4">
        <v>2.0210247912E+17</v>
      </c>
      <c r="B5358" s="4">
        <v>7418101598</v>
      </c>
      <c r="C5358" s="4" t="s">
        <v>2120</v>
      </c>
      <c r="D5358" s="4">
        <v>47912</v>
      </c>
      <c r="E5358" s="4">
        <v>20210219</v>
      </c>
      <c r="F5358" s="4">
        <v>20210219</v>
      </c>
      <c r="G5358" s="4">
        <v>20240219</v>
      </c>
      <c r="H5358" s="4" t="s">
        <v>1597</v>
      </c>
      <c r="I5358" s="4" t="s">
        <v>2119</v>
      </c>
      <c r="J5358" s="4" t="s">
        <v>78</v>
      </c>
    </row>
    <row r="5359" spans="1:10" hidden="1">
      <c r="A5359" s="4">
        <v>2.0210258221E+17</v>
      </c>
      <c r="B5359" s="4">
        <v>4458700408</v>
      </c>
      <c r="C5359" s="4" t="s">
        <v>2118</v>
      </c>
      <c r="D5359" s="4">
        <v>58221</v>
      </c>
      <c r="E5359" s="4">
        <v>20210219</v>
      </c>
      <c r="F5359" s="4">
        <v>20210219</v>
      </c>
      <c r="G5359" s="4">
        <v>20230411</v>
      </c>
      <c r="H5359" s="4" t="s">
        <v>2117</v>
      </c>
      <c r="I5359" s="4" t="s">
        <v>2116</v>
      </c>
      <c r="J5359" s="4" t="s">
        <v>228</v>
      </c>
    </row>
    <row r="5360" spans="1:10" hidden="1">
      <c r="A5360" s="4">
        <v>2.0210258222E+17</v>
      </c>
      <c r="B5360" s="4">
        <v>8138601957</v>
      </c>
      <c r="C5360" s="4" t="s">
        <v>2115</v>
      </c>
      <c r="D5360" s="4">
        <v>58222</v>
      </c>
      <c r="E5360" s="4">
        <v>20210219</v>
      </c>
      <c r="F5360" s="4">
        <v>20210219</v>
      </c>
      <c r="G5360" s="4">
        <v>20240219</v>
      </c>
      <c r="H5360" s="4" t="s">
        <v>2114</v>
      </c>
      <c r="I5360" s="4" t="s">
        <v>2113</v>
      </c>
      <c r="J5360" s="4" t="s">
        <v>94</v>
      </c>
    </row>
    <row r="5361" spans="1:10" hidden="1">
      <c r="A5361" s="4">
        <v>2.0210216229E+17</v>
      </c>
      <c r="B5361" s="4">
        <v>6538701105</v>
      </c>
      <c r="C5361" s="4" t="s">
        <v>2112</v>
      </c>
      <c r="D5361" s="4">
        <v>16229</v>
      </c>
      <c r="E5361" s="4">
        <v>20210219</v>
      </c>
      <c r="F5361" s="4">
        <v>20210219</v>
      </c>
      <c r="G5361" s="4">
        <v>20240219</v>
      </c>
      <c r="H5361" s="4" t="s">
        <v>2111</v>
      </c>
      <c r="I5361" s="4" t="s">
        <v>2110</v>
      </c>
      <c r="J5361" s="4" t="s">
        <v>1451</v>
      </c>
    </row>
    <row r="5362" spans="1:10" hidden="1">
      <c r="A5362" s="4">
        <v>2.0210228422E+17</v>
      </c>
      <c r="B5362" s="4">
        <v>7518700981</v>
      </c>
      <c r="C5362" s="4" t="s">
        <v>2109</v>
      </c>
      <c r="D5362" s="4">
        <v>28422</v>
      </c>
      <c r="E5362" s="4">
        <v>20210219</v>
      </c>
      <c r="F5362" s="4">
        <v>20210219</v>
      </c>
      <c r="G5362" s="4">
        <v>20240219</v>
      </c>
      <c r="H5362" s="4" t="s">
        <v>2108</v>
      </c>
      <c r="I5362" s="4" t="s">
        <v>2107</v>
      </c>
      <c r="J5362" s="4" t="s">
        <v>188</v>
      </c>
    </row>
    <row r="5363" spans="1:10" hidden="1">
      <c r="A5363" s="4">
        <v>2.0210258222E+17</v>
      </c>
      <c r="B5363" s="4">
        <v>6298701927</v>
      </c>
      <c r="C5363" s="4" t="s">
        <v>2106</v>
      </c>
      <c r="D5363" s="4">
        <v>58222</v>
      </c>
      <c r="E5363" s="4">
        <v>20210219</v>
      </c>
      <c r="F5363" s="4">
        <v>20210219</v>
      </c>
      <c r="G5363" s="4">
        <v>20240219</v>
      </c>
      <c r="H5363" s="4" t="s">
        <v>428</v>
      </c>
      <c r="J5363" s="4" t="s">
        <v>94</v>
      </c>
    </row>
    <row r="5364" spans="1:10" hidden="1">
      <c r="A5364" s="4">
        <v>2.0210258222E+17</v>
      </c>
      <c r="B5364" s="4">
        <v>2778601414</v>
      </c>
      <c r="C5364" s="4" t="s">
        <v>2105</v>
      </c>
      <c r="D5364" s="4">
        <v>58222</v>
      </c>
      <c r="E5364" s="4">
        <v>20210219</v>
      </c>
      <c r="F5364" s="4">
        <v>20210219</v>
      </c>
      <c r="G5364" s="4">
        <v>20240219</v>
      </c>
      <c r="H5364" s="4" t="s">
        <v>2104</v>
      </c>
      <c r="I5364" s="4" t="s">
        <v>2103</v>
      </c>
      <c r="J5364" s="4" t="s">
        <v>94</v>
      </c>
    </row>
    <row r="5365" spans="1:10" hidden="1">
      <c r="A5365" s="4">
        <v>2.0210258222E+17</v>
      </c>
      <c r="B5365" s="4">
        <v>2428101709</v>
      </c>
      <c r="C5365" s="4" t="s">
        <v>2102</v>
      </c>
      <c r="D5365" s="4">
        <v>58222</v>
      </c>
      <c r="E5365" s="4">
        <v>20210219</v>
      </c>
      <c r="F5365" s="4">
        <v>20210219</v>
      </c>
      <c r="G5365" s="4">
        <v>20240219</v>
      </c>
      <c r="H5365" s="4" t="s">
        <v>2101</v>
      </c>
      <c r="I5365" s="4" t="s">
        <v>2100</v>
      </c>
      <c r="J5365" s="4" t="s">
        <v>94</v>
      </c>
    </row>
    <row r="5366" spans="1:10" hidden="1">
      <c r="A5366" s="4">
        <v>2.021022641E+17</v>
      </c>
      <c r="B5366" s="4">
        <v>3788801841</v>
      </c>
      <c r="C5366" s="4" t="s">
        <v>2099</v>
      </c>
      <c r="D5366" s="4">
        <v>26410</v>
      </c>
      <c r="E5366" s="4">
        <v>20210219</v>
      </c>
      <c r="F5366" s="4">
        <v>20210219</v>
      </c>
      <c r="G5366" s="4">
        <v>20240219</v>
      </c>
      <c r="H5366" s="4" t="s">
        <v>2098</v>
      </c>
      <c r="I5366" s="4" t="s">
        <v>2097</v>
      </c>
      <c r="J5366" s="4" t="s">
        <v>1102</v>
      </c>
    </row>
    <row r="5367" spans="1:10" hidden="1">
      <c r="A5367" s="4">
        <v>2.0210271531E+17</v>
      </c>
      <c r="B5367" s="4">
        <v>2141529560</v>
      </c>
      <c r="C5367" s="4" t="s">
        <v>2096</v>
      </c>
      <c r="D5367" s="4">
        <v>71531</v>
      </c>
      <c r="E5367" s="4">
        <v>20210219</v>
      </c>
      <c r="F5367" s="4">
        <v>20210219</v>
      </c>
      <c r="G5367" s="4">
        <v>20220805</v>
      </c>
      <c r="H5367" s="4" t="s">
        <v>2095</v>
      </c>
      <c r="I5367" s="4" t="s">
        <v>2094</v>
      </c>
      <c r="J5367" s="4" t="s">
        <v>87</v>
      </c>
    </row>
    <row r="5368" spans="1:10" hidden="1">
      <c r="A5368" s="4">
        <v>2.0210268222E+17</v>
      </c>
      <c r="B5368" s="4">
        <v>5090327943</v>
      </c>
      <c r="C5368" s="4" t="s">
        <v>2093</v>
      </c>
      <c r="D5368" s="4">
        <v>68222</v>
      </c>
      <c r="E5368" s="4">
        <v>20210219</v>
      </c>
      <c r="F5368" s="4">
        <v>20210219</v>
      </c>
      <c r="G5368" s="4">
        <v>20240219</v>
      </c>
      <c r="H5368" s="4" t="s">
        <v>2092</v>
      </c>
      <c r="J5368" s="4" t="s">
        <v>2091</v>
      </c>
    </row>
    <row r="5369" spans="1:10" hidden="1">
      <c r="A5369" s="4">
        <v>2.02102468E+17</v>
      </c>
      <c r="B5369" s="4">
        <v>2771601314</v>
      </c>
      <c r="C5369" s="4" t="s">
        <v>2090</v>
      </c>
      <c r="D5369" s="4">
        <v>46800</v>
      </c>
      <c r="E5369" s="4">
        <v>20210219</v>
      </c>
      <c r="F5369" s="4">
        <v>20210219</v>
      </c>
      <c r="G5369" s="4">
        <v>20240219</v>
      </c>
      <c r="H5369" s="4" t="s">
        <v>2089</v>
      </c>
      <c r="I5369" s="4" t="s">
        <v>2088</v>
      </c>
      <c r="J5369" s="4" t="s">
        <v>979</v>
      </c>
    </row>
    <row r="5370" spans="1:10" hidden="1">
      <c r="A5370" s="4">
        <v>2.0210228111E+17</v>
      </c>
      <c r="B5370" s="4">
        <v>4828701425</v>
      </c>
      <c r="C5370" s="4" t="s">
        <v>2087</v>
      </c>
      <c r="D5370" s="4">
        <v>28111</v>
      </c>
      <c r="E5370" s="4">
        <v>20210219</v>
      </c>
      <c r="F5370" s="4">
        <v>20210219</v>
      </c>
      <c r="G5370" s="4">
        <v>20240219</v>
      </c>
      <c r="H5370" s="4" t="s">
        <v>2086</v>
      </c>
      <c r="I5370" s="4" t="s">
        <v>2085</v>
      </c>
      <c r="J5370" s="4" t="s">
        <v>1614</v>
      </c>
    </row>
    <row r="5371" spans="1:10" hidden="1">
      <c r="A5371" s="4">
        <v>2.0210229171E+17</v>
      </c>
      <c r="B5371" s="4">
        <v>1708601582</v>
      </c>
      <c r="C5371" s="4" t="s">
        <v>2084</v>
      </c>
      <c r="D5371" s="4">
        <v>29171</v>
      </c>
      <c r="E5371" s="4">
        <v>20210219</v>
      </c>
      <c r="F5371" s="4">
        <v>20210219</v>
      </c>
      <c r="G5371" s="4">
        <v>20240219</v>
      </c>
      <c r="H5371" s="4" t="s">
        <v>2083</v>
      </c>
      <c r="I5371" s="4" t="s">
        <v>938</v>
      </c>
      <c r="J5371" s="4" t="s">
        <v>2082</v>
      </c>
    </row>
    <row r="5372" spans="1:10" hidden="1">
      <c r="A5372" s="4">
        <v>2.0210247912E+17</v>
      </c>
      <c r="B5372" s="4">
        <v>1114094764</v>
      </c>
      <c r="C5372" s="4" t="s">
        <v>2081</v>
      </c>
      <c r="D5372" s="4">
        <v>47912</v>
      </c>
      <c r="E5372" s="4">
        <v>20210219</v>
      </c>
      <c r="F5372" s="4">
        <v>20210219</v>
      </c>
      <c r="G5372" s="4">
        <v>20240219</v>
      </c>
      <c r="H5372" s="4" t="s">
        <v>2080</v>
      </c>
      <c r="I5372" s="4" t="s">
        <v>2079</v>
      </c>
      <c r="J5372" s="4" t="s">
        <v>78</v>
      </c>
    </row>
    <row r="5373" spans="1:10" hidden="1">
      <c r="A5373" s="4">
        <v>2.0210225113E+17</v>
      </c>
      <c r="B5373" s="4">
        <v>2268701543</v>
      </c>
      <c r="C5373" s="4" t="s">
        <v>2078</v>
      </c>
      <c r="D5373" s="4">
        <v>25113</v>
      </c>
      <c r="E5373" s="4">
        <v>20210219</v>
      </c>
      <c r="F5373" s="4">
        <v>20210219</v>
      </c>
      <c r="G5373" s="4">
        <v>20240219</v>
      </c>
      <c r="H5373" s="4" t="s">
        <v>2077</v>
      </c>
      <c r="J5373" s="4" t="s">
        <v>250</v>
      </c>
    </row>
    <row r="5374" spans="1:10" hidden="1">
      <c r="A5374" s="4">
        <v>2.0210247912E+17</v>
      </c>
      <c r="B5374" s="4">
        <v>8541201127</v>
      </c>
      <c r="C5374" s="4" t="s">
        <v>2076</v>
      </c>
      <c r="D5374" s="4">
        <v>47912</v>
      </c>
      <c r="E5374" s="4">
        <v>20210219</v>
      </c>
      <c r="F5374" s="4">
        <v>20210219</v>
      </c>
      <c r="G5374" s="4">
        <v>20240219</v>
      </c>
      <c r="H5374" s="4" t="s">
        <v>2075</v>
      </c>
      <c r="I5374" s="4" t="s">
        <v>2074</v>
      </c>
      <c r="J5374" s="4" t="s">
        <v>78</v>
      </c>
    </row>
    <row r="5375" spans="1:10">
      <c r="A5375" s="4">
        <v>2.0210446453000198E+17</v>
      </c>
      <c r="B5375" s="4">
        <v>7072900951</v>
      </c>
      <c r="C5375" s="4" t="s">
        <v>7279</v>
      </c>
      <c r="D5375" s="4">
        <v>46453</v>
      </c>
      <c r="E5375" s="4">
        <v>20210422</v>
      </c>
      <c r="F5375" s="4">
        <v>20210422</v>
      </c>
      <c r="G5375" s="4">
        <v>20240422</v>
      </c>
      <c r="H5375" s="4" t="s">
        <v>7278</v>
      </c>
      <c r="I5375" s="4" t="s">
        <v>7277</v>
      </c>
      <c r="J5375" s="4" t="s">
        <v>816</v>
      </c>
    </row>
    <row r="5376" spans="1:10" hidden="1">
      <c r="A5376" s="4">
        <v>2.0210232029E+17</v>
      </c>
      <c r="B5376" s="4">
        <v>1933300824</v>
      </c>
      <c r="C5376" s="4" t="s">
        <v>2070</v>
      </c>
      <c r="D5376" s="4">
        <v>32029</v>
      </c>
      <c r="E5376" s="4">
        <v>20210219</v>
      </c>
      <c r="F5376" s="4">
        <v>20210219</v>
      </c>
      <c r="G5376" s="4">
        <v>20240219</v>
      </c>
      <c r="H5376" s="4" t="s">
        <v>2069</v>
      </c>
      <c r="I5376" s="4" t="s">
        <v>2068</v>
      </c>
      <c r="J5376" s="4" t="s">
        <v>637</v>
      </c>
    </row>
    <row r="5377" spans="1:10" hidden="1">
      <c r="A5377" s="4">
        <v>2.0210229133E+17</v>
      </c>
      <c r="B5377" s="4">
        <v>5250400278</v>
      </c>
      <c r="C5377" s="4" t="s">
        <v>2066</v>
      </c>
      <c r="D5377" s="4">
        <v>29133</v>
      </c>
      <c r="E5377" s="4">
        <v>20210219</v>
      </c>
      <c r="F5377" s="4">
        <v>20210219</v>
      </c>
      <c r="G5377" s="4">
        <v>20221126</v>
      </c>
      <c r="H5377" s="4" t="s">
        <v>2067</v>
      </c>
      <c r="I5377" s="4" t="s">
        <v>2066</v>
      </c>
      <c r="J5377" s="4" t="s">
        <v>990</v>
      </c>
    </row>
    <row r="5378" spans="1:10" hidden="1">
      <c r="A5378" s="4">
        <v>2.021024651E+17</v>
      </c>
      <c r="B5378" s="4">
        <v>1158600515</v>
      </c>
      <c r="C5378" s="4" t="s">
        <v>2065</v>
      </c>
      <c r="D5378" s="4">
        <v>46510</v>
      </c>
      <c r="E5378" s="4">
        <v>20210218</v>
      </c>
      <c r="F5378" s="4">
        <v>20210218</v>
      </c>
      <c r="G5378" s="4">
        <v>20231014</v>
      </c>
      <c r="H5378" s="4" t="s">
        <v>2064</v>
      </c>
      <c r="I5378" s="4" t="s">
        <v>2063</v>
      </c>
      <c r="J5378" s="4" t="s">
        <v>126</v>
      </c>
    </row>
    <row r="5379" spans="1:10" hidden="1">
      <c r="A5379" s="4">
        <v>2.0210258222E+17</v>
      </c>
      <c r="B5379" s="4">
        <v>7838700464</v>
      </c>
      <c r="C5379" s="4" t="s">
        <v>2062</v>
      </c>
      <c r="D5379" s="4">
        <v>58222</v>
      </c>
      <c r="E5379" s="4">
        <v>20210218</v>
      </c>
      <c r="F5379" s="4">
        <v>20210218</v>
      </c>
      <c r="G5379" s="4">
        <v>20230405</v>
      </c>
      <c r="H5379" s="4" t="s">
        <v>1982</v>
      </c>
      <c r="I5379" s="4" t="s">
        <v>2061</v>
      </c>
      <c r="J5379" s="4" t="s">
        <v>94</v>
      </c>
    </row>
    <row r="5380" spans="1:10" hidden="1">
      <c r="A5380" s="4">
        <v>2.0210229169E+17</v>
      </c>
      <c r="B5380" s="4">
        <v>6308601920</v>
      </c>
      <c r="C5380" s="4" t="s">
        <v>2060</v>
      </c>
      <c r="D5380" s="4">
        <v>29169</v>
      </c>
      <c r="E5380" s="4">
        <v>20210218</v>
      </c>
      <c r="F5380" s="4">
        <v>20210218</v>
      </c>
      <c r="G5380" s="4">
        <v>20240218</v>
      </c>
      <c r="H5380" s="4" t="s">
        <v>2059</v>
      </c>
      <c r="J5380" s="4" t="s">
        <v>1734</v>
      </c>
    </row>
    <row r="5381" spans="1:10" hidden="1">
      <c r="A5381" s="4">
        <v>2.0210225999E+17</v>
      </c>
      <c r="B5381" s="4">
        <v>2628701379</v>
      </c>
      <c r="C5381" s="4" t="s">
        <v>2058</v>
      </c>
      <c r="D5381" s="4">
        <v>25999</v>
      </c>
      <c r="E5381" s="4">
        <v>20210218</v>
      </c>
      <c r="F5381" s="4">
        <v>20210218</v>
      </c>
      <c r="G5381" s="4">
        <v>20240218</v>
      </c>
      <c r="H5381" s="4" t="s">
        <v>2057</v>
      </c>
      <c r="I5381" s="4" t="s">
        <v>2056</v>
      </c>
      <c r="J5381" s="4" t="s">
        <v>301</v>
      </c>
    </row>
    <row r="5382" spans="1:10" hidden="1">
      <c r="A5382" s="4">
        <v>2.0210258221E+17</v>
      </c>
      <c r="B5382" s="4">
        <v>5828701540</v>
      </c>
      <c r="C5382" s="4" t="s">
        <v>2055</v>
      </c>
      <c r="D5382" s="4">
        <v>58221</v>
      </c>
      <c r="E5382" s="4">
        <v>20210218</v>
      </c>
      <c r="F5382" s="4">
        <v>20210218</v>
      </c>
      <c r="G5382" s="4">
        <v>20240218</v>
      </c>
      <c r="H5382" s="4" t="s">
        <v>2054</v>
      </c>
      <c r="I5382" s="4" t="s">
        <v>1695</v>
      </c>
      <c r="J5382" s="4" t="s">
        <v>228</v>
      </c>
    </row>
    <row r="5383" spans="1:10" hidden="1">
      <c r="A5383" s="4">
        <v>2.0210258222E+17</v>
      </c>
      <c r="B5383" s="4">
        <v>4348101327</v>
      </c>
      <c r="C5383" s="4" t="s">
        <v>2053</v>
      </c>
      <c r="D5383" s="4">
        <v>58222</v>
      </c>
      <c r="E5383" s="4">
        <v>20210218</v>
      </c>
      <c r="F5383" s="4">
        <v>20210218</v>
      </c>
      <c r="G5383" s="4">
        <v>20240218</v>
      </c>
      <c r="H5383" s="4" t="s">
        <v>1142</v>
      </c>
      <c r="I5383" s="4" t="s">
        <v>2052</v>
      </c>
      <c r="J5383" s="4" t="s">
        <v>94</v>
      </c>
    </row>
    <row r="5384" spans="1:10" hidden="1">
      <c r="A5384" s="4">
        <v>2.0210228909E+17</v>
      </c>
      <c r="B5384" s="4">
        <v>1023107680</v>
      </c>
      <c r="C5384" s="4" t="s">
        <v>2051</v>
      </c>
      <c r="D5384" s="4">
        <v>28909</v>
      </c>
      <c r="E5384" s="4">
        <v>20210218</v>
      </c>
      <c r="F5384" s="4">
        <v>20210218</v>
      </c>
      <c r="G5384" s="4">
        <v>20240218</v>
      </c>
      <c r="H5384" s="4" t="s">
        <v>2050</v>
      </c>
      <c r="J5384" s="4" t="s">
        <v>253</v>
      </c>
    </row>
    <row r="5385" spans="1:10" hidden="1">
      <c r="A5385" s="4">
        <v>2.0210246452E+17</v>
      </c>
      <c r="B5385" s="4">
        <v>3668200323</v>
      </c>
      <c r="C5385" s="4" t="s">
        <v>2049</v>
      </c>
      <c r="D5385" s="4">
        <v>46452</v>
      </c>
      <c r="E5385" s="4">
        <v>20210218</v>
      </c>
      <c r="F5385" s="4">
        <v>20210218</v>
      </c>
      <c r="G5385" s="4">
        <v>20240218</v>
      </c>
      <c r="H5385" s="4" t="s">
        <v>2048</v>
      </c>
      <c r="I5385" s="4" t="s">
        <v>2047</v>
      </c>
      <c r="J5385" s="4" t="s">
        <v>516</v>
      </c>
    </row>
    <row r="5386" spans="1:10" hidden="1">
      <c r="A5386" s="4">
        <v>2.0210258222E+17</v>
      </c>
      <c r="B5386" s="4">
        <v>4368801356</v>
      </c>
      <c r="C5386" s="4" t="s">
        <v>2046</v>
      </c>
      <c r="D5386" s="4">
        <v>58222</v>
      </c>
      <c r="E5386" s="4">
        <v>20210218</v>
      </c>
      <c r="F5386" s="4">
        <v>20210218</v>
      </c>
      <c r="G5386" s="4">
        <v>20240218</v>
      </c>
      <c r="H5386" s="4" t="s">
        <v>1287</v>
      </c>
      <c r="I5386" s="4" t="s">
        <v>2045</v>
      </c>
      <c r="J5386" s="4" t="s">
        <v>94</v>
      </c>
    </row>
    <row r="5387" spans="1:10" hidden="1">
      <c r="A5387" s="4">
        <v>2.0210216102E+17</v>
      </c>
      <c r="B5387" s="4">
        <v>7948701274</v>
      </c>
      <c r="C5387" s="4" t="s">
        <v>2044</v>
      </c>
      <c r="D5387" s="4">
        <v>16102</v>
      </c>
      <c r="E5387" s="4">
        <v>20210218</v>
      </c>
      <c r="F5387" s="4">
        <v>20210218</v>
      </c>
      <c r="G5387" s="4">
        <v>20240218</v>
      </c>
      <c r="H5387" s="4" t="s">
        <v>2043</v>
      </c>
      <c r="J5387" s="4" t="s">
        <v>451</v>
      </c>
    </row>
    <row r="5388" spans="1:10" hidden="1">
      <c r="A5388" s="4">
        <v>2.0210225111E+17</v>
      </c>
      <c r="B5388" s="4">
        <v>3398701233</v>
      </c>
      <c r="C5388" s="4" t="s">
        <v>2042</v>
      </c>
      <c r="D5388" s="4">
        <v>25111</v>
      </c>
      <c r="E5388" s="4">
        <v>20210218</v>
      </c>
      <c r="F5388" s="4">
        <v>20210218</v>
      </c>
      <c r="G5388" s="4">
        <v>20240218</v>
      </c>
      <c r="H5388" s="4" t="s">
        <v>2041</v>
      </c>
      <c r="J5388" s="4" t="s">
        <v>82</v>
      </c>
    </row>
    <row r="5389" spans="1:10" hidden="1">
      <c r="A5389" s="4">
        <v>2.0210220411E+17</v>
      </c>
      <c r="B5389" s="4">
        <v>2278701769</v>
      </c>
      <c r="C5389" s="4" t="s">
        <v>2040</v>
      </c>
      <c r="D5389" s="4">
        <v>20411</v>
      </c>
      <c r="E5389" s="4">
        <v>20210218</v>
      </c>
      <c r="F5389" s="4">
        <v>20210218</v>
      </c>
      <c r="G5389" s="4">
        <v>20240218</v>
      </c>
      <c r="H5389" s="4" t="s">
        <v>2039</v>
      </c>
      <c r="J5389" s="4" t="s">
        <v>694</v>
      </c>
    </row>
    <row r="5390" spans="1:10" hidden="1">
      <c r="A5390" s="4">
        <v>2.0210247912E+17</v>
      </c>
      <c r="B5390" s="4">
        <v>2864600408</v>
      </c>
      <c r="C5390" s="4" t="s">
        <v>2038</v>
      </c>
      <c r="D5390" s="4">
        <v>47912</v>
      </c>
      <c r="E5390" s="4">
        <v>20210218</v>
      </c>
      <c r="F5390" s="4">
        <v>20210218</v>
      </c>
      <c r="G5390" s="4">
        <v>20240218</v>
      </c>
      <c r="H5390" s="4" t="s">
        <v>2037</v>
      </c>
      <c r="I5390" s="4" t="s">
        <v>2036</v>
      </c>
      <c r="J5390" s="4" t="s">
        <v>78</v>
      </c>
    </row>
    <row r="5391" spans="1:10" hidden="1">
      <c r="A5391" s="4">
        <v>2.0210247912E+17</v>
      </c>
      <c r="B5391" s="4">
        <v>6505300534</v>
      </c>
      <c r="C5391" s="4" t="s">
        <v>2035</v>
      </c>
      <c r="D5391" s="4">
        <v>47912</v>
      </c>
      <c r="E5391" s="4">
        <v>20210218</v>
      </c>
      <c r="F5391" s="4">
        <v>20210218</v>
      </c>
      <c r="G5391" s="4">
        <v>20240218</v>
      </c>
      <c r="H5391" s="4" t="s">
        <v>2034</v>
      </c>
      <c r="I5391" s="4" t="s">
        <v>2033</v>
      </c>
      <c r="J5391" s="4" t="s">
        <v>78</v>
      </c>
    </row>
    <row r="5392" spans="1:10" hidden="1">
      <c r="A5392" s="4">
        <v>2.021026209E+17</v>
      </c>
      <c r="B5392" s="4">
        <v>4628101604</v>
      </c>
      <c r="C5392" s="4" t="s">
        <v>2032</v>
      </c>
      <c r="D5392" s="4">
        <v>62090</v>
      </c>
      <c r="E5392" s="4">
        <v>20210218</v>
      </c>
      <c r="F5392" s="4">
        <v>20210218</v>
      </c>
      <c r="G5392" s="4">
        <v>20240218</v>
      </c>
      <c r="H5392" s="4" t="s">
        <v>2031</v>
      </c>
      <c r="I5392" s="4" t="s">
        <v>1519</v>
      </c>
      <c r="J5392" s="4" t="s">
        <v>2030</v>
      </c>
    </row>
    <row r="5393" spans="1:10" hidden="1">
      <c r="A5393" s="4">
        <v>2.0210271531E+17</v>
      </c>
      <c r="B5393" s="4">
        <v>3408101508</v>
      </c>
      <c r="C5393" s="4" t="s">
        <v>2029</v>
      </c>
      <c r="D5393" s="4">
        <v>71531</v>
      </c>
      <c r="E5393" s="4">
        <v>20210218</v>
      </c>
      <c r="F5393" s="4">
        <v>20210218</v>
      </c>
      <c r="G5393" s="4">
        <v>20240218</v>
      </c>
      <c r="H5393" s="4" t="s">
        <v>1752</v>
      </c>
      <c r="I5393" s="4" t="s">
        <v>2028</v>
      </c>
      <c r="J5393" s="4" t="s">
        <v>87</v>
      </c>
    </row>
    <row r="5394" spans="1:10" hidden="1">
      <c r="A5394" s="4">
        <v>2.0210215129E+17</v>
      </c>
      <c r="B5394" s="4">
        <v>1091541146</v>
      </c>
      <c r="C5394" s="4" t="s">
        <v>2027</v>
      </c>
      <c r="D5394" s="4">
        <v>15129</v>
      </c>
      <c r="E5394" s="4">
        <v>20210218</v>
      </c>
      <c r="F5394" s="4">
        <v>20210218</v>
      </c>
      <c r="G5394" s="4">
        <v>20210814</v>
      </c>
      <c r="H5394" s="4" t="s">
        <v>2026</v>
      </c>
      <c r="I5394" s="4" t="s">
        <v>2025</v>
      </c>
      <c r="J5394" s="4" t="s">
        <v>2024</v>
      </c>
    </row>
    <row r="5395" spans="1:10" hidden="1">
      <c r="A5395" s="4">
        <v>2.0210242321E+17</v>
      </c>
      <c r="B5395" s="4">
        <v>6748701612</v>
      </c>
      <c r="C5395" s="4" t="s">
        <v>2023</v>
      </c>
      <c r="D5395" s="4">
        <v>42321</v>
      </c>
      <c r="E5395" s="4">
        <v>20210218</v>
      </c>
      <c r="F5395" s="4">
        <v>20210218</v>
      </c>
      <c r="G5395" s="4">
        <v>20240218</v>
      </c>
      <c r="H5395" s="4" t="s">
        <v>2022</v>
      </c>
      <c r="J5395" s="4" t="s">
        <v>698</v>
      </c>
    </row>
    <row r="5396" spans="1:10" hidden="1">
      <c r="A5396" s="4">
        <v>2.0210263999E+17</v>
      </c>
      <c r="B5396" s="4">
        <v>6140763161</v>
      </c>
      <c r="C5396" s="4" t="s">
        <v>2021</v>
      </c>
      <c r="D5396" s="4">
        <v>63999</v>
      </c>
      <c r="E5396" s="4">
        <v>20210218</v>
      </c>
      <c r="F5396" s="4">
        <v>20210218</v>
      </c>
      <c r="G5396" s="4">
        <v>20240218</v>
      </c>
      <c r="H5396" s="4" t="s">
        <v>1896</v>
      </c>
      <c r="I5396" s="4" t="s">
        <v>2020</v>
      </c>
      <c r="J5396" s="4" t="s">
        <v>643</v>
      </c>
    </row>
    <row r="5397" spans="1:10" hidden="1">
      <c r="A5397" s="4">
        <v>2.0210220499E+17</v>
      </c>
      <c r="B5397" s="4">
        <v>1417400210</v>
      </c>
      <c r="C5397" s="4" t="s">
        <v>2019</v>
      </c>
      <c r="D5397" s="4">
        <v>20499</v>
      </c>
      <c r="E5397" s="4">
        <v>20210218</v>
      </c>
      <c r="F5397" s="4">
        <v>20210218</v>
      </c>
      <c r="G5397" s="4">
        <v>20240218</v>
      </c>
      <c r="H5397" s="4" t="s">
        <v>1239</v>
      </c>
      <c r="I5397" s="4" t="s">
        <v>2018</v>
      </c>
      <c r="J5397" s="4" t="s">
        <v>406</v>
      </c>
    </row>
    <row r="5398" spans="1:10" hidden="1">
      <c r="A5398" s="4">
        <v>2.0210225924E+17</v>
      </c>
      <c r="B5398" s="4">
        <v>8602401163</v>
      </c>
      <c r="C5398" s="4" t="s">
        <v>2017</v>
      </c>
      <c r="D5398" s="4">
        <v>25924</v>
      </c>
      <c r="E5398" s="4">
        <v>20210218</v>
      </c>
      <c r="F5398" s="4">
        <v>20210218</v>
      </c>
      <c r="G5398" s="4">
        <v>20240218</v>
      </c>
      <c r="H5398" s="4" t="s">
        <v>845</v>
      </c>
      <c r="J5398" s="4" t="s">
        <v>757</v>
      </c>
    </row>
    <row r="5399" spans="1:10" hidden="1">
      <c r="A5399" s="4">
        <v>2.0210229299E+17</v>
      </c>
      <c r="B5399" s="4">
        <v>4658801709</v>
      </c>
      <c r="C5399" s="4" t="s">
        <v>2016</v>
      </c>
      <c r="D5399" s="4">
        <v>29299</v>
      </c>
      <c r="E5399" s="4">
        <v>20210218</v>
      </c>
      <c r="F5399" s="4">
        <v>20210218</v>
      </c>
      <c r="G5399" s="4">
        <v>20240218</v>
      </c>
      <c r="H5399" s="4" t="s">
        <v>2015</v>
      </c>
      <c r="I5399" s="4" t="s">
        <v>91</v>
      </c>
      <c r="J5399" s="4" t="s">
        <v>137</v>
      </c>
    </row>
    <row r="5400" spans="1:10" hidden="1">
      <c r="A5400" s="4">
        <v>2.0210227199E+17</v>
      </c>
      <c r="B5400" s="4">
        <v>3320702016</v>
      </c>
      <c r="C5400" s="4" t="s">
        <v>2014</v>
      </c>
      <c r="D5400" s="4">
        <v>27199</v>
      </c>
      <c r="E5400" s="4">
        <v>20210218</v>
      </c>
      <c r="F5400" s="4">
        <v>20210218</v>
      </c>
      <c r="G5400" s="4">
        <v>20240218</v>
      </c>
      <c r="H5400" s="4" t="s">
        <v>2013</v>
      </c>
      <c r="J5400" s="4" t="s">
        <v>418</v>
      </c>
    </row>
    <row r="5401" spans="1:10" hidden="1">
      <c r="A5401" s="4">
        <v>2.0210201121E+17</v>
      </c>
      <c r="B5401" s="4">
        <v>2808701488</v>
      </c>
      <c r="C5401" s="4" t="s">
        <v>2012</v>
      </c>
      <c r="D5401" s="4">
        <v>1121</v>
      </c>
      <c r="E5401" s="4">
        <v>20210218</v>
      </c>
      <c r="F5401" s="4">
        <v>20210218</v>
      </c>
      <c r="G5401" s="4">
        <v>20240218</v>
      </c>
      <c r="H5401" s="4" t="s">
        <v>2009</v>
      </c>
      <c r="I5401" s="4" t="s">
        <v>2008</v>
      </c>
      <c r="J5401" s="4" t="s">
        <v>2011</v>
      </c>
    </row>
    <row r="5402" spans="1:10" hidden="1">
      <c r="A5402" s="4">
        <v>2.0210270121E+17</v>
      </c>
      <c r="B5402" s="4">
        <v>1538801863</v>
      </c>
      <c r="C5402" s="4" t="s">
        <v>2010</v>
      </c>
      <c r="D5402" s="4">
        <v>70121</v>
      </c>
      <c r="E5402" s="4">
        <v>20210218</v>
      </c>
      <c r="F5402" s="4">
        <v>20210218</v>
      </c>
      <c r="G5402" s="4">
        <v>20240218</v>
      </c>
      <c r="H5402" s="4" t="s">
        <v>2009</v>
      </c>
      <c r="I5402" s="4" t="s">
        <v>2008</v>
      </c>
      <c r="J5402" s="4" t="s">
        <v>1267</v>
      </c>
    </row>
    <row r="5403" spans="1:10" hidden="1">
      <c r="A5403" s="4">
        <v>2.0210230399E+17</v>
      </c>
      <c r="B5403" s="4">
        <v>5278801706</v>
      </c>
      <c r="C5403" s="4" t="s">
        <v>2007</v>
      </c>
      <c r="D5403" s="4">
        <v>30399</v>
      </c>
      <c r="E5403" s="4">
        <v>20210218</v>
      </c>
      <c r="F5403" s="4">
        <v>20210218</v>
      </c>
      <c r="G5403" s="4">
        <v>20240218</v>
      </c>
      <c r="H5403" s="4" t="s">
        <v>2006</v>
      </c>
      <c r="J5403" s="4" t="s">
        <v>1763</v>
      </c>
    </row>
    <row r="5404" spans="1:10" hidden="1">
      <c r="A5404" s="4">
        <v>2.0210247911E+17</v>
      </c>
      <c r="B5404" s="4">
        <v>3738600839</v>
      </c>
      <c r="C5404" s="4" t="s">
        <v>2005</v>
      </c>
      <c r="D5404" s="4">
        <v>47911</v>
      </c>
      <c r="E5404" s="4">
        <v>20210218</v>
      </c>
      <c r="F5404" s="4">
        <v>20210218</v>
      </c>
      <c r="G5404" s="4">
        <v>20240218</v>
      </c>
      <c r="H5404" s="4" t="s">
        <v>2004</v>
      </c>
      <c r="I5404" s="4" t="s">
        <v>2003</v>
      </c>
      <c r="J5404" s="4" t="s">
        <v>440</v>
      </c>
    </row>
    <row r="5405" spans="1:10" hidden="1">
      <c r="A5405" s="4">
        <v>2.0210258222E+17</v>
      </c>
      <c r="B5405" s="4">
        <v>8128102152</v>
      </c>
      <c r="C5405" s="4" t="s">
        <v>2002</v>
      </c>
      <c r="D5405" s="4">
        <v>58222</v>
      </c>
      <c r="E5405" s="4">
        <v>20210218</v>
      </c>
      <c r="F5405" s="4">
        <v>20210218</v>
      </c>
      <c r="G5405" s="4">
        <v>20240218</v>
      </c>
      <c r="H5405" s="4" t="s">
        <v>2001</v>
      </c>
      <c r="I5405" s="4" t="s">
        <v>2000</v>
      </c>
      <c r="J5405" s="4" t="s">
        <v>94</v>
      </c>
    </row>
    <row r="5406" spans="1:10" hidden="1">
      <c r="A5406" s="4">
        <v>2.0210228903E+17</v>
      </c>
      <c r="B5406" s="4">
        <v>8398700904</v>
      </c>
      <c r="C5406" s="4" t="s">
        <v>1999</v>
      </c>
      <c r="D5406" s="4">
        <v>28903</v>
      </c>
      <c r="E5406" s="4">
        <v>20210218</v>
      </c>
      <c r="F5406" s="4">
        <v>20210218</v>
      </c>
      <c r="G5406" s="4">
        <v>20240218</v>
      </c>
      <c r="H5406" s="4" t="s">
        <v>1998</v>
      </c>
      <c r="J5406" s="4" t="s">
        <v>460</v>
      </c>
    </row>
    <row r="5407" spans="1:10" hidden="1">
      <c r="A5407" s="4">
        <v>2.0210258222E+17</v>
      </c>
      <c r="B5407" s="4">
        <v>6498100634</v>
      </c>
      <c r="C5407" s="4" t="s">
        <v>1997</v>
      </c>
      <c r="D5407" s="4">
        <v>58222</v>
      </c>
      <c r="E5407" s="4">
        <v>20210218</v>
      </c>
      <c r="F5407" s="4">
        <v>20210218</v>
      </c>
      <c r="G5407" s="4">
        <v>20231215</v>
      </c>
      <c r="H5407" s="4" t="s">
        <v>1996</v>
      </c>
      <c r="I5407" s="4" t="s">
        <v>1995</v>
      </c>
      <c r="J5407" s="4" t="s">
        <v>94</v>
      </c>
    </row>
    <row r="5408" spans="1:10" hidden="1">
      <c r="A5408" s="4">
        <v>2.0210222229E+17</v>
      </c>
      <c r="B5408" s="4">
        <v>3198101275</v>
      </c>
      <c r="C5408" s="4" t="s">
        <v>1994</v>
      </c>
      <c r="D5408" s="4">
        <v>22229</v>
      </c>
      <c r="E5408" s="4">
        <v>20210218</v>
      </c>
      <c r="F5408" s="4">
        <v>20210218</v>
      </c>
      <c r="G5408" s="4">
        <v>20240218</v>
      </c>
      <c r="H5408" s="4" t="s">
        <v>1993</v>
      </c>
      <c r="J5408" s="4" t="s">
        <v>554</v>
      </c>
    </row>
    <row r="5409" spans="1:10" hidden="1">
      <c r="A5409" s="4">
        <v>2.0210215219E+17</v>
      </c>
      <c r="B5409" s="4">
        <v>2108178841</v>
      </c>
      <c r="C5409" s="4" t="s">
        <v>1992</v>
      </c>
      <c r="D5409" s="4">
        <v>15219</v>
      </c>
      <c r="E5409" s="4">
        <v>20210218</v>
      </c>
      <c r="F5409" s="4">
        <v>20210218</v>
      </c>
      <c r="G5409" s="4">
        <v>20240218</v>
      </c>
      <c r="H5409" s="4" t="s">
        <v>1991</v>
      </c>
      <c r="J5409" s="4" t="s">
        <v>675</v>
      </c>
    </row>
    <row r="5410" spans="1:10" hidden="1">
      <c r="A5410" s="4">
        <v>2.0210263991E+17</v>
      </c>
      <c r="B5410" s="4">
        <v>4208601944</v>
      </c>
      <c r="C5410" s="4" t="s">
        <v>1990</v>
      </c>
      <c r="D5410" s="4">
        <v>63991</v>
      </c>
      <c r="E5410" s="4">
        <v>20210218</v>
      </c>
      <c r="F5410" s="4">
        <v>20210218</v>
      </c>
      <c r="G5410" s="4">
        <v>20240218</v>
      </c>
      <c r="H5410" s="4" t="s">
        <v>1989</v>
      </c>
      <c r="I5410" s="4" t="s">
        <v>1156</v>
      </c>
      <c r="J5410" s="4" t="s">
        <v>395</v>
      </c>
    </row>
    <row r="5411" spans="1:10" hidden="1">
      <c r="A5411" s="4">
        <v>2.0210225929E+17</v>
      </c>
      <c r="B5411" s="4">
        <v>4928800890</v>
      </c>
      <c r="C5411" s="4" t="s">
        <v>1988</v>
      </c>
      <c r="D5411" s="4">
        <v>25929</v>
      </c>
      <c r="E5411" s="4">
        <v>20210218</v>
      </c>
      <c r="F5411" s="4">
        <v>20210218</v>
      </c>
      <c r="G5411" s="4">
        <v>20240218</v>
      </c>
      <c r="H5411" s="4" t="s">
        <v>1987</v>
      </c>
      <c r="J5411" s="4" t="s">
        <v>701</v>
      </c>
    </row>
    <row r="5412" spans="1:10" hidden="1">
      <c r="A5412" s="4">
        <v>2.0210258222E+17</v>
      </c>
      <c r="B5412" s="4">
        <v>8998800811</v>
      </c>
      <c r="C5412" s="4" t="s">
        <v>1986</v>
      </c>
      <c r="D5412" s="4">
        <v>58222</v>
      </c>
      <c r="E5412" s="4">
        <v>20210218</v>
      </c>
      <c r="F5412" s="4">
        <v>20210218</v>
      </c>
      <c r="G5412" s="4">
        <v>20240218</v>
      </c>
      <c r="H5412" s="4" t="s">
        <v>1985</v>
      </c>
      <c r="I5412" s="4" t="s">
        <v>1984</v>
      </c>
      <c r="J5412" s="4" t="s">
        <v>94</v>
      </c>
    </row>
    <row r="5413" spans="1:10" hidden="1">
      <c r="A5413" s="4">
        <v>2.021022641E+17</v>
      </c>
      <c r="B5413" s="4">
        <v>6838101986</v>
      </c>
      <c r="C5413" s="4" t="s">
        <v>1983</v>
      </c>
      <c r="D5413" s="4">
        <v>26410</v>
      </c>
      <c r="E5413" s="4">
        <v>20210218</v>
      </c>
      <c r="F5413" s="4">
        <v>20210218</v>
      </c>
      <c r="G5413" s="4">
        <v>20240218</v>
      </c>
      <c r="H5413" s="4" t="s">
        <v>1982</v>
      </c>
      <c r="I5413" s="4" t="s">
        <v>1981</v>
      </c>
      <c r="J5413" s="4" t="s">
        <v>1102</v>
      </c>
    </row>
    <row r="5414" spans="1:10" hidden="1">
      <c r="A5414" s="4">
        <v>2.0210246595E+17</v>
      </c>
      <c r="B5414" s="4">
        <v>4228701461</v>
      </c>
      <c r="C5414" s="4" t="s">
        <v>1980</v>
      </c>
      <c r="D5414" s="4">
        <v>46595</v>
      </c>
      <c r="E5414" s="4">
        <v>20210218</v>
      </c>
      <c r="F5414" s="4">
        <v>20210218</v>
      </c>
      <c r="G5414" s="4">
        <v>20240218</v>
      </c>
      <c r="H5414" s="4" t="s">
        <v>420</v>
      </c>
      <c r="I5414" s="4" t="s">
        <v>1979</v>
      </c>
      <c r="J5414" s="4" t="s">
        <v>960</v>
      </c>
    </row>
    <row r="5415" spans="1:10" hidden="1">
      <c r="A5415" s="4">
        <v>2.0210270112E+17</v>
      </c>
      <c r="B5415" s="4">
        <v>5568101267</v>
      </c>
      <c r="C5415" s="4" t="s">
        <v>1978</v>
      </c>
      <c r="D5415" s="4">
        <v>70112</v>
      </c>
      <c r="E5415" s="4">
        <v>20210218</v>
      </c>
      <c r="F5415" s="4">
        <v>20210218</v>
      </c>
      <c r="G5415" s="4">
        <v>20240218</v>
      </c>
      <c r="H5415" s="4" t="s">
        <v>1977</v>
      </c>
      <c r="I5415" s="4" t="s">
        <v>1976</v>
      </c>
      <c r="J5415" s="4" t="s">
        <v>1975</v>
      </c>
    </row>
    <row r="5416" spans="1:10" hidden="1">
      <c r="A5416" s="4">
        <v>2.021022631E+17</v>
      </c>
      <c r="B5416" s="4">
        <v>1798701359</v>
      </c>
      <c r="C5416" s="4" t="s">
        <v>1974</v>
      </c>
      <c r="D5416" s="4">
        <v>26310</v>
      </c>
      <c r="E5416" s="4">
        <v>20210218</v>
      </c>
      <c r="F5416" s="4">
        <v>20210218</v>
      </c>
      <c r="G5416" s="4">
        <v>20240218</v>
      </c>
      <c r="H5416" s="4" t="s">
        <v>1973</v>
      </c>
      <c r="I5416" s="4" t="s">
        <v>1695</v>
      </c>
      <c r="J5416" s="4" t="s">
        <v>372</v>
      </c>
    </row>
    <row r="5417" spans="1:10" hidden="1">
      <c r="A5417" s="4">
        <v>2.0210258222E+17</v>
      </c>
      <c r="B5417" s="4">
        <v>1378800431</v>
      </c>
      <c r="C5417" s="4" t="s">
        <v>1972</v>
      </c>
      <c r="D5417" s="4">
        <v>58222</v>
      </c>
      <c r="E5417" s="4">
        <v>20210218</v>
      </c>
      <c r="F5417" s="4">
        <v>20210218</v>
      </c>
      <c r="G5417" s="4">
        <v>20230628</v>
      </c>
      <c r="H5417" s="4" t="s">
        <v>1971</v>
      </c>
      <c r="I5417" s="4" t="s">
        <v>1970</v>
      </c>
      <c r="J5417" s="4" t="s">
        <v>94</v>
      </c>
    </row>
    <row r="5418" spans="1:10" hidden="1">
      <c r="A5418" s="4">
        <v>2.0210213229E+17</v>
      </c>
      <c r="B5418" s="4">
        <v>7558601817</v>
      </c>
      <c r="C5418" s="4" t="s">
        <v>117</v>
      </c>
      <c r="D5418" s="4">
        <v>13229</v>
      </c>
      <c r="E5418" s="4">
        <v>20210218</v>
      </c>
      <c r="F5418" s="4">
        <v>20210218</v>
      </c>
      <c r="G5418" s="4">
        <v>20240218</v>
      </c>
      <c r="H5418" s="4" t="s">
        <v>116</v>
      </c>
      <c r="J5418" s="4" t="s">
        <v>115</v>
      </c>
    </row>
    <row r="5419" spans="1:10" hidden="1">
      <c r="A5419" s="4">
        <v>2.0210220499E+17</v>
      </c>
      <c r="B5419" s="4">
        <v>7648601937</v>
      </c>
      <c r="C5419" s="4" t="s">
        <v>1969</v>
      </c>
      <c r="D5419" s="4">
        <v>20499</v>
      </c>
      <c r="E5419" s="4">
        <v>20210218</v>
      </c>
      <c r="F5419" s="4">
        <v>20210218</v>
      </c>
      <c r="G5419" s="4">
        <v>20240218</v>
      </c>
      <c r="H5419" s="4" t="s">
        <v>1968</v>
      </c>
      <c r="I5419" s="4" t="s">
        <v>1813</v>
      </c>
      <c r="J5419" s="4" t="s">
        <v>406</v>
      </c>
    </row>
    <row r="5420" spans="1:10" hidden="1">
      <c r="A5420" s="4">
        <v>2.0210258222E+17</v>
      </c>
      <c r="B5420" s="4">
        <v>2888101587</v>
      </c>
      <c r="C5420" s="4" t="s">
        <v>1967</v>
      </c>
      <c r="D5420" s="4">
        <v>58222</v>
      </c>
      <c r="E5420" s="4">
        <v>20210218</v>
      </c>
      <c r="F5420" s="4">
        <v>20210218</v>
      </c>
      <c r="G5420" s="4">
        <v>20240218</v>
      </c>
      <c r="H5420" s="4" t="s">
        <v>1966</v>
      </c>
      <c r="I5420" s="4" t="s">
        <v>1156</v>
      </c>
      <c r="J5420" s="4" t="s">
        <v>94</v>
      </c>
    </row>
    <row r="5421" spans="1:10" hidden="1">
      <c r="A5421" s="4">
        <v>2.0210222199E+17</v>
      </c>
      <c r="B5421" s="4">
        <v>1908801130</v>
      </c>
      <c r="C5421" s="4" t="s">
        <v>1965</v>
      </c>
      <c r="D5421" s="4">
        <v>22199</v>
      </c>
      <c r="E5421" s="4">
        <v>20210218</v>
      </c>
      <c r="F5421" s="4">
        <v>20210218</v>
      </c>
      <c r="G5421" s="4">
        <v>20240218</v>
      </c>
      <c r="H5421" s="4" t="s">
        <v>1964</v>
      </c>
      <c r="I5421" s="4" t="s">
        <v>1963</v>
      </c>
      <c r="J5421" s="4" t="s">
        <v>1962</v>
      </c>
    </row>
    <row r="5422" spans="1:10" hidden="1">
      <c r="A5422" s="4">
        <v>2.0210273203E+17</v>
      </c>
      <c r="B5422" s="4">
        <v>4274000405</v>
      </c>
      <c r="C5422" s="4" t="s">
        <v>1961</v>
      </c>
      <c r="D5422" s="4">
        <v>73203</v>
      </c>
      <c r="E5422" s="4">
        <v>20210218</v>
      </c>
      <c r="F5422" s="4">
        <v>20210218</v>
      </c>
      <c r="G5422" s="4">
        <v>20240218</v>
      </c>
      <c r="H5422" s="4" t="s">
        <v>1960</v>
      </c>
      <c r="I5422" s="4" t="s">
        <v>146</v>
      </c>
      <c r="J5422" s="4" t="s">
        <v>260</v>
      </c>
    </row>
    <row r="5423" spans="1:10" hidden="1">
      <c r="A5423" s="4">
        <v>2.0210258222E+17</v>
      </c>
      <c r="B5423" s="4">
        <v>6498601813</v>
      </c>
      <c r="C5423" s="4" t="s">
        <v>1959</v>
      </c>
      <c r="D5423" s="4">
        <v>58222</v>
      </c>
      <c r="E5423" s="4">
        <v>20210217</v>
      </c>
      <c r="F5423" s="4">
        <v>20210217</v>
      </c>
      <c r="G5423" s="4">
        <v>20240217</v>
      </c>
      <c r="H5423" s="4" t="s">
        <v>1958</v>
      </c>
      <c r="I5423" s="4" t="s">
        <v>1957</v>
      </c>
      <c r="J5423" s="4" t="s">
        <v>94</v>
      </c>
    </row>
    <row r="5424" spans="1:10" hidden="1">
      <c r="A5424" s="4">
        <v>2.0210258221E+17</v>
      </c>
      <c r="B5424" s="4">
        <v>2178601111</v>
      </c>
      <c r="C5424" s="4" t="s">
        <v>1956</v>
      </c>
      <c r="D5424" s="4">
        <v>58221</v>
      </c>
      <c r="E5424" s="4">
        <v>20210217</v>
      </c>
      <c r="F5424" s="4">
        <v>20210217</v>
      </c>
      <c r="G5424" s="4">
        <v>20240217</v>
      </c>
      <c r="H5424" s="4" t="s">
        <v>1955</v>
      </c>
      <c r="I5424" s="4" t="s">
        <v>1954</v>
      </c>
      <c r="J5424" s="4" t="s">
        <v>228</v>
      </c>
    </row>
    <row r="5425" spans="1:10" hidden="1">
      <c r="A5425" s="4">
        <v>2.0210263991E+17</v>
      </c>
      <c r="B5425" s="4">
        <v>3788801837</v>
      </c>
      <c r="C5425" s="4" t="s">
        <v>1953</v>
      </c>
      <c r="D5425" s="4">
        <v>63991</v>
      </c>
      <c r="E5425" s="4">
        <v>20210217</v>
      </c>
      <c r="F5425" s="4">
        <v>20210217</v>
      </c>
      <c r="G5425" s="4">
        <v>20240217</v>
      </c>
      <c r="H5425" s="4" t="s">
        <v>1952</v>
      </c>
      <c r="I5425" s="4" t="s">
        <v>938</v>
      </c>
      <c r="J5425" s="4" t="s">
        <v>395</v>
      </c>
    </row>
    <row r="5426" spans="1:10" hidden="1">
      <c r="A5426" s="4">
        <v>2.0210227199E+17</v>
      </c>
      <c r="B5426" s="4">
        <v>8408102176</v>
      </c>
      <c r="C5426" s="4" t="s">
        <v>1951</v>
      </c>
      <c r="D5426" s="4">
        <v>27199</v>
      </c>
      <c r="E5426" s="4">
        <v>20210217</v>
      </c>
      <c r="F5426" s="4">
        <v>20210217</v>
      </c>
      <c r="G5426" s="4">
        <v>20240217</v>
      </c>
      <c r="H5426" s="4" t="s">
        <v>1950</v>
      </c>
      <c r="I5426" s="4">
        <v>506</v>
      </c>
      <c r="J5426" s="4" t="s">
        <v>418</v>
      </c>
    </row>
    <row r="5427" spans="1:10" hidden="1">
      <c r="A5427" s="4">
        <v>2.0210220423E+17</v>
      </c>
      <c r="B5427" s="4">
        <v>3188701425</v>
      </c>
      <c r="C5427" s="4" t="s">
        <v>1949</v>
      </c>
      <c r="D5427" s="4">
        <v>20423</v>
      </c>
      <c r="E5427" s="4">
        <v>20210217</v>
      </c>
      <c r="F5427" s="4">
        <v>20210217</v>
      </c>
      <c r="G5427" s="4">
        <v>20240217</v>
      </c>
      <c r="H5427" s="4" t="s">
        <v>1948</v>
      </c>
      <c r="I5427" s="4" t="s">
        <v>1947</v>
      </c>
      <c r="J5427" s="4" t="s">
        <v>368</v>
      </c>
    </row>
    <row r="5428" spans="1:10" hidden="1">
      <c r="A5428" s="4">
        <v>2.0210228422E+17</v>
      </c>
      <c r="B5428" s="4">
        <v>5408800530</v>
      </c>
      <c r="C5428" s="4" t="s">
        <v>1946</v>
      </c>
      <c r="D5428" s="4">
        <v>28422</v>
      </c>
      <c r="E5428" s="4">
        <v>20210217</v>
      </c>
      <c r="F5428" s="4">
        <v>20210217</v>
      </c>
      <c r="G5428" s="4">
        <v>20231215</v>
      </c>
      <c r="H5428" s="4" t="s">
        <v>1945</v>
      </c>
      <c r="J5428" s="4" t="s">
        <v>188</v>
      </c>
    </row>
    <row r="5429" spans="1:10" hidden="1">
      <c r="A5429" s="4">
        <v>2.0210228423E+17</v>
      </c>
      <c r="B5429" s="4">
        <v>7098600396</v>
      </c>
      <c r="C5429" s="4" t="s">
        <v>1944</v>
      </c>
      <c r="D5429" s="4">
        <v>28423</v>
      </c>
      <c r="E5429" s="4">
        <v>20210217</v>
      </c>
      <c r="F5429" s="4">
        <v>20210217</v>
      </c>
      <c r="G5429" s="4">
        <v>20230218</v>
      </c>
      <c r="H5429" s="4" t="s">
        <v>1943</v>
      </c>
      <c r="I5429" s="4" t="s">
        <v>1942</v>
      </c>
      <c r="J5429" s="4" t="s">
        <v>485</v>
      </c>
    </row>
    <row r="5430" spans="1:10" hidden="1">
      <c r="A5430" s="4">
        <v>2.0210225999E+17</v>
      </c>
      <c r="B5430" s="4">
        <v>8858101113</v>
      </c>
      <c r="C5430" s="4" t="s">
        <v>1941</v>
      </c>
      <c r="D5430" s="4">
        <v>25999</v>
      </c>
      <c r="E5430" s="4">
        <v>20210217</v>
      </c>
      <c r="F5430" s="4">
        <v>20210217</v>
      </c>
      <c r="G5430" s="4">
        <v>20240217</v>
      </c>
      <c r="H5430" s="4" t="s">
        <v>1940</v>
      </c>
      <c r="J5430" s="4" t="s">
        <v>301</v>
      </c>
    </row>
    <row r="5431" spans="1:10" hidden="1">
      <c r="A5431" s="4">
        <v>2.0210224199E+17</v>
      </c>
      <c r="B5431" s="4">
        <v>6198108256</v>
      </c>
      <c r="C5431" s="4" t="s">
        <v>1939</v>
      </c>
      <c r="D5431" s="4">
        <v>24199</v>
      </c>
      <c r="E5431" s="4">
        <v>20210217</v>
      </c>
      <c r="F5431" s="4">
        <v>20210217</v>
      </c>
      <c r="G5431" s="4">
        <v>20240217</v>
      </c>
      <c r="H5431" s="4" t="s">
        <v>1938</v>
      </c>
      <c r="I5431" s="4" t="s">
        <v>1937</v>
      </c>
      <c r="J5431" s="4" t="s">
        <v>454</v>
      </c>
    </row>
    <row r="5432" spans="1:10" hidden="1">
      <c r="A5432" s="4">
        <v>2.021023402E+17</v>
      </c>
      <c r="B5432" s="4">
        <v>6918601454</v>
      </c>
      <c r="C5432" s="4" t="s">
        <v>1936</v>
      </c>
      <c r="D5432" s="4">
        <v>34020</v>
      </c>
      <c r="E5432" s="4">
        <v>20210217</v>
      </c>
      <c r="F5432" s="4">
        <v>20210217</v>
      </c>
      <c r="G5432" s="4">
        <v>20240217</v>
      </c>
      <c r="H5432" s="4" t="s">
        <v>1935</v>
      </c>
      <c r="I5432" s="4" t="s">
        <v>185</v>
      </c>
      <c r="J5432" s="4" t="s">
        <v>1934</v>
      </c>
    </row>
    <row r="5433" spans="1:10" hidden="1">
      <c r="A5433" s="4">
        <v>2.0210270113E+17</v>
      </c>
      <c r="B5433" s="4">
        <v>2418702008</v>
      </c>
      <c r="C5433" s="4" t="s">
        <v>1933</v>
      </c>
      <c r="D5433" s="4">
        <v>70113</v>
      </c>
      <c r="E5433" s="4">
        <v>20210217</v>
      </c>
      <c r="F5433" s="4">
        <v>20210217</v>
      </c>
      <c r="G5433" s="4">
        <v>20240217</v>
      </c>
      <c r="H5433" s="4" t="s">
        <v>1932</v>
      </c>
      <c r="I5433" s="4" t="s">
        <v>1931</v>
      </c>
      <c r="J5433" s="4" t="s">
        <v>1173</v>
      </c>
    </row>
    <row r="5434" spans="1:10" hidden="1">
      <c r="A5434" s="4">
        <v>2.0210247813E+17</v>
      </c>
      <c r="B5434" s="4">
        <v>4677800158</v>
      </c>
      <c r="C5434" s="4" t="s">
        <v>1930</v>
      </c>
      <c r="D5434" s="4">
        <v>47813</v>
      </c>
      <c r="E5434" s="4">
        <v>20210217</v>
      </c>
      <c r="F5434" s="4">
        <v>20210217</v>
      </c>
      <c r="G5434" s="4">
        <v>20240217</v>
      </c>
      <c r="H5434" s="4" t="s">
        <v>1929</v>
      </c>
      <c r="I5434" s="4" t="s">
        <v>1928</v>
      </c>
      <c r="J5434" s="4" t="s">
        <v>376</v>
      </c>
    </row>
    <row r="5435" spans="1:10" hidden="1">
      <c r="A5435" s="4">
        <v>2.0210247912E+17</v>
      </c>
      <c r="B5435" s="4">
        <v>8093900708</v>
      </c>
      <c r="C5435" s="4" t="s">
        <v>1927</v>
      </c>
      <c r="D5435" s="4">
        <v>47912</v>
      </c>
      <c r="E5435" s="4">
        <v>20210217</v>
      </c>
      <c r="F5435" s="4">
        <v>20210217</v>
      </c>
      <c r="G5435" s="4">
        <v>20240217</v>
      </c>
      <c r="H5435" s="4" t="s">
        <v>1926</v>
      </c>
      <c r="I5435" s="4" t="s">
        <v>1925</v>
      </c>
      <c r="J5435" s="4" t="s">
        <v>78</v>
      </c>
    </row>
    <row r="5436" spans="1:10" hidden="1">
      <c r="A5436" s="4">
        <v>2.0210263991E+17</v>
      </c>
      <c r="B5436" s="4">
        <v>4650301376</v>
      </c>
      <c r="C5436" s="4" t="s">
        <v>1924</v>
      </c>
      <c r="D5436" s="4">
        <v>63991</v>
      </c>
      <c r="E5436" s="4">
        <v>20210217</v>
      </c>
      <c r="F5436" s="4">
        <v>20210217</v>
      </c>
      <c r="G5436" s="4">
        <v>20240217</v>
      </c>
      <c r="H5436" s="4" t="s">
        <v>1923</v>
      </c>
      <c r="I5436" s="4" t="s">
        <v>1922</v>
      </c>
      <c r="J5436" s="4" t="s">
        <v>395</v>
      </c>
    </row>
    <row r="5437" spans="1:10" hidden="1">
      <c r="A5437" s="4">
        <v>2.0210229133E+17</v>
      </c>
      <c r="B5437" s="4">
        <v>8896600281</v>
      </c>
      <c r="C5437" s="4" t="s">
        <v>1921</v>
      </c>
      <c r="D5437" s="4">
        <v>29133</v>
      </c>
      <c r="E5437" s="4">
        <v>20210217</v>
      </c>
      <c r="F5437" s="4">
        <v>20210217</v>
      </c>
      <c r="G5437" s="4">
        <v>20240217</v>
      </c>
      <c r="H5437" s="4" t="s">
        <v>1920</v>
      </c>
      <c r="J5437" s="4" t="s">
        <v>990</v>
      </c>
    </row>
    <row r="5438" spans="1:10" hidden="1">
      <c r="A5438" s="4">
        <v>2.0210226299E+17</v>
      </c>
      <c r="B5438" s="4">
        <v>7918101574</v>
      </c>
      <c r="C5438" s="4" t="s">
        <v>1919</v>
      </c>
      <c r="D5438" s="4">
        <v>26299</v>
      </c>
      <c r="E5438" s="4">
        <v>20210217</v>
      </c>
      <c r="F5438" s="4">
        <v>20210217</v>
      </c>
      <c r="G5438" s="4">
        <v>20240217</v>
      </c>
      <c r="H5438" s="4" t="s">
        <v>514</v>
      </c>
      <c r="I5438" s="4" t="s">
        <v>1918</v>
      </c>
      <c r="J5438" s="4" t="s">
        <v>339</v>
      </c>
    </row>
    <row r="5439" spans="1:10" hidden="1">
      <c r="A5439" s="4">
        <v>2.0210213213E+17</v>
      </c>
      <c r="B5439" s="4">
        <v>2950200198</v>
      </c>
      <c r="C5439" s="4" t="s">
        <v>1917</v>
      </c>
      <c r="D5439" s="4">
        <v>13213</v>
      </c>
      <c r="E5439" s="4">
        <v>20210217</v>
      </c>
      <c r="F5439" s="4">
        <v>20210217</v>
      </c>
      <c r="G5439" s="4">
        <v>20220901</v>
      </c>
      <c r="H5439" s="4" t="s">
        <v>1916</v>
      </c>
      <c r="J5439" s="4" t="s">
        <v>1787</v>
      </c>
    </row>
    <row r="5440" spans="1:10" hidden="1">
      <c r="A5440" s="4">
        <v>2.0210222299E+17</v>
      </c>
      <c r="B5440" s="4">
        <v>6858701460</v>
      </c>
      <c r="C5440" s="4" t="s">
        <v>1915</v>
      </c>
      <c r="D5440" s="4">
        <v>22299</v>
      </c>
      <c r="E5440" s="4">
        <v>20210217</v>
      </c>
      <c r="F5440" s="4">
        <v>20210217</v>
      </c>
      <c r="G5440" s="4">
        <v>20240217</v>
      </c>
      <c r="H5440" s="4" t="s">
        <v>1914</v>
      </c>
      <c r="J5440" s="4" t="s">
        <v>384</v>
      </c>
    </row>
    <row r="5441" spans="1:10" hidden="1">
      <c r="A5441" s="4">
        <v>2.0210247813E+17</v>
      </c>
      <c r="B5441" s="4">
        <v>8140201741</v>
      </c>
      <c r="C5441" s="4" t="s">
        <v>1913</v>
      </c>
      <c r="D5441" s="4">
        <v>47813</v>
      </c>
      <c r="E5441" s="4">
        <v>20210217</v>
      </c>
      <c r="F5441" s="4">
        <v>20210217</v>
      </c>
      <c r="G5441" s="4">
        <v>20240217</v>
      </c>
      <c r="H5441" s="4" t="s">
        <v>1912</v>
      </c>
      <c r="I5441" s="4" t="s">
        <v>1911</v>
      </c>
      <c r="J5441" s="4" t="s">
        <v>376</v>
      </c>
    </row>
    <row r="5442" spans="1:10" hidden="1">
      <c r="A5442" s="4">
        <v>2.0210272129E+17</v>
      </c>
      <c r="B5442" s="4">
        <v>1318672476</v>
      </c>
      <c r="C5442" s="4" t="s">
        <v>1910</v>
      </c>
      <c r="D5442" s="4">
        <v>72129</v>
      </c>
      <c r="E5442" s="4">
        <v>20210217</v>
      </c>
      <c r="F5442" s="4">
        <v>20210217</v>
      </c>
      <c r="G5442" s="4">
        <v>20240217</v>
      </c>
      <c r="H5442" s="4" t="s">
        <v>1909</v>
      </c>
      <c r="I5442" s="4" t="s">
        <v>1908</v>
      </c>
      <c r="J5442" s="4" t="s">
        <v>1679</v>
      </c>
    </row>
    <row r="5443" spans="1:10" hidden="1">
      <c r="A5443" s="4">
        <v>2.0210270201E+17</v>
      </c>
      <c r="B5443" s="4">
        <v>7358601109</v>
      </c>
      <c r="C5443" s="4" t="s">
        <v>1907</v>
      </c>
      <c r="D5443" s="4">
        <v>70201</v>
      </c>
      <c r="E5443" s="4">
        <v>20210217</v>
      </c>
      <c r="F5443" s="4">
        <v>20210217</v>
      </c>
      <c r="G5443" s="4">
        <v>20240217</v>
      </c>
      <c r="H5443" s="4" t="s">
        <v>1906</v>
      </c>
      <c r="I5443" s="4" t="s">
        <v>1905</v>
      </c>
      <c r="J5443" s="4" t="s">
        <v>1904</v>
      </c>
    </row>
    <row r="5444" spans="1:10" hidden="1">
      <c r="A5444" s="4">
        <v>2.0210228519E+17</v>
      </c>
      <c r="B5444" s="4">
        <v>7552301035</v>
      </c>
      <c r="C5444" s="4" t="s">
        <v>1903</v>
      </c>
      <c r="D5444" s="4">
        <v>28519</v>
      </c>
      <c r="E5444" s="4">
        <v>20210217</v>
      </c>
      <c r="F5444" s="4">
        <v>20210217</v>
      </c>
      <c r="G5444" s="4">
        <v>20240217</v>
      </c>
      <c r="H5444" s="4" t="s">
        <v>1902</v>
      </c>
      <c r="I5444" s="4" t="s">
        <v>1901</v>
      </c>
      <c r="J5444" s="4" t="s">
        <v>1412</v>
      </c>
    </row>
    <row r="5445" spans="1:10" hidden="1">
      <c r="A5445" s="4">
        <v>2.0210258222E+17</v>
      </c>
      <c r="B5445" s="4">
        <v>5100647620</v>
      </c>
      <c r="C5445" s="4" t="s">
        <v>1900</v>
      </c>
      <c r="D5445" s="4">
        <v>58222</v>
      </c>
      <c r="E5445" s="4">
        <v>20210217</v>
      </c>
      <c r="F5445" s="4">
        <v>20210217</v>
      </c>
      <c r="G5445" s="4">
        <v>20231017</v>
      </c>
      <c r="H5445" s="4" t="s">
        <v>1899</v>
      </c>
      <c r="I5445" s="4" t="s">
        <v>1898</v>
      </c>
      <c r="J5445" s="4" t="s">
        <v>94</v>
      </c>
    </row>
    <row r="5446" spans="1:10" hidden="1">
      <c r="A5446" s="4">
        <v>2.0210226429E+17</v>
      </c>
      <c r="B5446" s="4">
        <v>7648601617</v>
      </c>
      <c r="C5446" s="4" t="s">
        <v>1897</v>
      </c>
      <c r="D5446" s="4">
        <v>26429</v>
      </c>
      <c r="E5446" s="4">
        <v>20210217</v>
      </c>
      <c r="F5446" s="4">
        <v>20210217</v>
      </c>
      <c r="G5446" s="4">
        <v>20240217</v>
      </c>
      <c r="H5446" s="4" t="s">
        <v>1896</v>
      </c>
      <c r="J5446" s="4" t="s">
        <v>422</v>
      </c>
    </row>
    <row r="5447" spans="1:10" hidden="1">
      <c r="A5447" s="4">
        <v>2.0210229175E+17</v>
      </c>
      <c r="B5447" s="4">
        <v>6638601949</v>
      </c>
      <c r="C5447" s="4" t="s">
        <v>1895</v>
      </c>
      <c r="D5447" s="4">
        <v>29175</v>
      </c>
      <c r="E5447" s="4">
        <v>20210217</v>
      </c>
      <c r="F5447" s="4">
        <v>20210217</v>
      </c>
      <c r="G5447" s="4">
        <v>20240217</v>
      </c>
      <c r="H5447" s="4" t="s">
        <v>1894</v>
      </c>
      <c r="I5447" s="4" t="s">
        <v>1893</v>
      </c>
      <c r="J5447" s="4" t="s">
        <v>232</v>
      </c>
    </row>
    <row r="5448" spans="1:10" hidden="1">
      <c r="A5448" s="4">
        <v>2.0210258222E+17</v>
      </c>
      <c r="B5448" s="4">
        <v>7128801677</v>
      </c>
      <c r="C5448" s="4" t="s">
        <v>1892</v>
      </c>
      <c r="D5448" s="4">
        <v>58222</v>
      </c>
      <c r="E5448" s="4">
        <v>20210217</v>
      </c>
      <c r="F5448" s="4">
        <v>20210217</v>
      </c>
      <c r="G5448" s="4">
        <v>20240217</v>
      </c>
      <c r="H5448" s="4" t="s">
        <v>1891</v>
      </c>
      <c r="I5448" s="4" t="s">
        <v>1890</v>
      </c>
      <c r="J5448" s="4" t="s">
        <v>94</v>
      </c>
    </row>
    <row r="5449" spans="1:10" hidden="1">
      <c r="A5449" s="4">
        <v>2.021027131E+17</v>
      </c>
      <c r="B5449" s="4">
        <v>4178151458</v>
      </c>
      <c r="C5449" s="4" t="s">
        <v>1889</v>
      </c>
      <c r="D5449" s="4">
        <v>71310</v>
      </c>
      <c r="E5449" s="4">
        <v>20210217</v>
      </c>
      <c r="F5449" s="4">
        <v>20210217</v>
      </c>
      <c r="G5449" s="4">
        <v>20240217</v>
      </c>
      <c r="H5449" s="4" t="s">
        <v>1888</v>
      </c>
      <c r="I5449" s="4" t="s">
        <v>970</v>
      </c>
      <c r="J5449" s="4" t="s">
        <v>426</v>
      </c>
    </row>
    <row r="5450" spans="1:10" hidden="1">
      <c r="A5450" s="4">
        <v>2.0210258221E+17</v>
      </c>
      <c r="B5450" s="4">
        <v>2618601229</v>
      </c>
      <c r="C5450" s="4" t="s">
        <v>1887</v>
      </c>
      <c r="D5450" s="4">
        <v>58221</v>
      </c>
      <c r="E5450" s="4">
        <v>20210217</v>
      </c>
      <c r="F5450" s="4">
        <v>20210217</v>
      </c>
      <c r="G5450" s="4">
        <v>20240217</v>
      </c>
      <c r="H5450" s="4" t="s">
        <v>1886</v>
      </c>
      <c r="I5450" s="4" t="s">
        <v>1885</v>
      </c>
      <c r="J5450" s="4" t="s">
        <v>228</v>
      </c>
    </row>
    <row r="5451" spans="1:10" hidden="1">
      <c r="A5451" s="4">
        <v>2.0210258222E+17</v>
      </c>
      <c r="B5451" s="4">
        <v>5928801146</v>
      </c>
      <c r="C5451" s="4" t="s">
        <v>1884</v>
      </c>
      <c r="D5451" s="4">
        <v>58222</v>
      </c>
      <c r="E5451" s="4">
        <v>20210217</v>
      </c>
      <c r="F5451" s="4">
        <v>20210217</v>
      </c>
      <c r="G5451" s="4">
        <v>20240217</v>
      </c>
      <c r="H5451" s="4" t="s">
        <v>1883</v>
      </c>
      <c r="I5451" s="4" t="s">
        <v>1882</v>
      </c>
      <c r="J5451" s="4" t="s">
        <v>94</v>
      </c>
    </row>
    <row r="5452" spans="1:10" hidden="1">
      <c r="A5452" s="4">
        <v>2.0210213229E+17</v>
      </c>
      <c r="B5452" s="4">
        <v>7658601885</v>
      </c>
      <c r="C5452" s="4" t="s">
        <v>1881</v>
      </c>
      <c r="D5452" s="4">
        <v>13229</v>
      </c>
      <c r="E5452" s="4">
        <v>20210217</v>
      </c>
      <c r="F5452" s="4">
        <v>20210217</v>
      </c>
      <c r="G5452" s="4">
        <v>20240217</v>
      </c>
      <c r="H5452" s="4" t="s">
        <v>1880</v>
      </c>
      <c r="I5452" s="4" t="s">
        <v>1879</v>
      </c>
      <c r="J5452" s="4" t="s">
        <v>115</v>
      </c>
    </row>
    <row r="5453" spans="1:10" hidden="1">
      <c r="A5453" s="4">
        <v>2.0210258221E+17</v>
      </c>
      <c r="B5453" s="4">
        <v>6878600946</v>
      </c>
      <c r="C5453" s="4" t="s">
        <v>1878</v>
      </c>
      <c r="D5453" s="4">
        <v>58221</v>
      </c>
      <c r="E5453" s="4">
        <v>20210217</v>
      </c>
      <c r="F5453" s="4">
        <v>20210217</v>
      </c>
      <c r="G5453" s="4">
        <v>20240217</v>
      </c>
      <c r="H5453" s="4" t="s">
        <v>1877</v>
      </c>
      <c r="I5453" s="4" t="s">
        <v>1876</v>
      </c>
      <c r="J5453" s="4" t="s">
        <v>228</v>
      </c>
    </row>
    <row r="5454" spans="1:10" hidden="1">
      <c r="A5454" s="4">
        <v>2.0210258211E+17</v>
      </c>
      <c r="B5454" s="4">
        <v>2028701213</v>
      </c>
      <c r="C5454" s="4" t="s">
        <v>1875</v>
      </c>
      <c r="D5454" s="4">
        <v>58211</v>
      </c>
      <c r="E5454" s="4">
        <v>20210217</v>
      </c>
      <c r="F5454" s="4">
        <v>20210217</v>
      </c>
      <c r="G5454" s="4">
        <v>20240217</v>
      </c>
      <c r="H5454" s="4" t="s">
        <v>1874</v>
      </c>
      <c r="I5454" s="4" t="s">
        <v>1611</v>
      </c>
      <c r="J5454" s="4" t="s">
        <v>887</v>
      </c>
    </row>
    <row r="5455" spans="1:10" hidden="1">
      <c r="A5455" s="4">
        <v>2.0210228119E+17</v>
      </c>
      <c r="B5455" s="4">
        <v>6058801160</v>
      </c>
      <c r="C5455" s="4" t="s">
        <v>1873</v>
      </c>
      <c r="D5455" s="4">
        <v>28119</v>
      </c>
      <c r="E5455" s="4">
        <v>20210217</v>
      </c>
      <c r="F5455" s="4">
        <v>20210217</v>
      </c>
      <c r="G5455" s="4">
        <v>20240217</v>
      </c>
      <c r="H5455" s="4" t="s">
        <v>1872</v>
      </c>
      <c r="I5455" s="4" t="s">
        <v>1871</v>
      </c>
      <c r="J5455" s="4" t="s">
        <v>1816</v>
      </c>
    </row>
    <row r="5456" spans="1:10" hidden="1">
      <c r="A5456" s="4">
        <v>2.0210228511E+17</v>
      </c>
      <c r="B5456" s="4">
        <v>7768101385</v>
      </c>
      <c r="C5456" s="4" t="s">
        <v>1870</v>
      </c>
      <c r="D5456" s="4">
        <v>28511</v>
      </c>
      <c r="E5456" s="4">
        <v>20210217</v>
      </c>
      <c r="F5456" s="4">
        <v>20210217</v>
      </c>
      <c r="G5456" s="4">
        <v>20240217</v>
      </c>
      <c r="H5456" s="4" t="s">
        <v>1869</v>
      </c>
      <c r="J5456" s="4" t="s">
        <v>928</v>
      </c>
    </row>
    <row r="5457" spans="1:10" hidden="1">
      <c r="A5457" s="4">
        <v>2.0210273209E+17</v>
      </c>
      <c r="B5457" s="4">
        <v>6428701589</v>
      </c>
      <c r="C5457" s="4" t="s">
        <v>1868</v>
      </c>
      <c r="D5457" s="4">
        <v>73209</v>
      </c>
      <c r="E5457" s="4">
        <v>20210217</v>
      </c>
      <c r="F5457" s="4">
        <v>20210217</v>
      </c>
      <c r="G5457" s="4">
        <v>20240217</v>
      </c>
      <c r="H5457" s="4" t="s">
        <v>1867</v>
      </c>
      <c r="I5457" s="4" t="s">
        <v>1866</v>
      </c>
      <c r="J5457" s="4" t="s">
        <v>871</v>
      </c>
    </row>
    <row r="5458" spans="1:10" hidden="1">
      <c r="A5458" s="4">
        <v>2.0210216299E+17</v>
      </c>
      <c r="B5458" s="4">
        <v>1428800883</v>
      </c>
      <c r="C5458" s="4" t="s">
        <v>1865</v>
      </c>
      <c r="D5458" s="4">
        <v>16299</v>
      </c>
      <c r="E5458" s="4">
        <v>20210217</v>
      </c>
      <c r="F5458" s="4">
        <v>20210217</v>
      </c>
      <c r="G5458" s="4">
        <v>20240217</v>
      </c>
      <c r="H5458" s="4" t="s">
        <v>1864</v>
      </c>
      <c r="J5458" s="4" t="s">
        <v>1863</v>
      </c>
    </row>
    <row r="5459" spans="1:10" hidden="1">
      <c r="A5459" s="4">
        <v>2.0210226129E+17</v>
      </c>
      <c r="B5459" s="4">
        <v>5038801904</v>
      </c>
      <c r="C5459" s="4" t="s">
        <v>1862</v>
      </c>
      <c r="D5459" s="4">
        <v>26129</v>
      </c>
      <c r="E5459" s="4">
        <v>20210217</v>
      </c>
      <c r="F5459" s="4">
        <v>20210217</v>
      </c>
      <c r="G5459" s="4">
        <v>20240217</v>
      </c>
      <c r="H5459" s="4" t="s">
        <v>1861</v>
      </c>
      <c r="J5459" s="4" t="s">
        <v>403</v>
      </c>
    </row>
    <row r="5460" spans="1:10" hidden="1">
      <c r="A5460" s="4">
        <v>2.0210259111E+17</v>
      </c>
      <c r="B5460" s="4">
        <v>3948801300</v>
      </c>
      <c r="C5460" s="4" t="s">
        <v>1860</v>
      </c>
      <c r="D5460" s="4">
        <v>59111</v>
      </c>
      <c r="E5460" s="4">
        <v>20210217</v>
      </c>
      <c r="F5460" s="4">
        <v>20210217</v>
      </c>
      <c r="G5460" s="4">
        <v>20240217</v>
      </c>
      <c r="H5460" s="4" t="s">
        <v>1859</v>
      </c>
      <c r="I5460" s="4" t="s">
        <v>1858</v>
      </c>
      <c r="J5460" s="4" t="s">
        <v>1857</v>
      </c>
    </row>
    <row r="5461" spans="1:10" hidden="1">
      <c r="A5461" s="4">
        <v>2.0210241221E+17</v>
      </c>
      <c r="B5461" s="4">
        <v>8538701476</v>
      </c>
      <c r="C5461" s="4" t="s">
        <v>1856</v>
      </c>
      <c r="D5461" s="4">
        <v>41221</v>
      </c>
      <c r="E5461" s="4">
        <v>20210217</v>
      </c>
      <c r="F5461" s="4">
        <v>20210217</v>
      </c>
      <c r="G5461" s="4">
        <v>20240217</v>
      </c>
      <c r="H5461" s="4" t="s">
        <v>1855</v>
      </c>
      <c r="J5461" s="4" t="s">
        <v>1605</v>
      </c>
    </row>
    <row r="5462" spans="1:10" hidden="1">
      <c r="A5462" s="4">
        <v>2.0210258222E+17</v>
      </c>
      <c r="B5462" s="4">
        <v>3348100028</v>
      </c>
      <c r="C5462" s="4" t="s">
        <v>1854</v>
      </c>
      <c r="D5462" s="4">
        <v>58222</v>
      </c>
      <c r="E5462" s="4">
        <v>20210217</v>
      </c>
      <c r="F5462" s="4">
        <v>20210217</v>
      </c>
      <c r="G5462" s="4">
        <v>20220216</v>
      </c>
      <c r="H5462" s="4" t="s">
        <v>1853</v>
      </c>
      <c r="I5462" s="4" t="s">
        <v>1852</v>
      </c>
      <c r="J5462" s="4" t="s">
        <v>94</v>
      </c>
    </row>
    <row r="5463" spans="1:10" hidden="1">
      <c r="A5463" s="4">
        <v>2.0210229294E+17</v>
      </c>
      <c r="B5463" s="4">
        <v>1198708442</v>
      </c>
      <c r="C5463" s="4" t="s">
        <v>1851</v>
      </c>
      <c r="D5463" s="4">
        <v>29294</v>
      </c>
      <c r="E5463" s="4">
        <v>20210217</v>
      </c>
      <c r="F5463" s="4">
        <v>20210217</v>
      </c>
      <c r="G5463" s="4">
        <v>20240217</v>
      </c>
      <c r="H5463" s="4" t="s">
        <v>1850</v>
      </c>
      <c r="I5463" s="4" t="s">
        <v>1849</v>
      </c>
      <c r="J5463" s="4" t="s">
        <v>1848</v>
      </c>
    </row>
    <row r="5464" spans="1:10" hidden="1">
      <c r="A5464" s="4">
        <v>2.0210262021E+17</v>
      </c>
      <c r="B5464" s="4">
        <v>5118701140</v>
      </c>
      <c r="C5464" s="4" t="s">
        <v>1847</v>
      </c>
      <c r="D5464" s="4">
        <v>62021</v>
      </c>
      <c r="E5464" s="4">
        <v>20210217</v>
      </c>
      <c r="F5464" s="4">
        <v>20210217</v>
      </c>
      <c r="G5464" s="4">
        <v>20240217</v>
      </c>
      <c r="H5464" s="4" t="s">
        <v>1846</v>
      </c>
      <c r="I5464" s="4" t="s">
        <v>185</v>
      </c>
      <c r="J5464" s="4" t="s">
        <v>1505</v>
      </c>
    </row>
    <row r="5465" spans="1:10" hidden="1">
      <c r="A5465" s="4">
        <v>2.0210227193E+17</v>
      </c>
      <c r="B5465" s="4">
        <v>6708801621</v>
      </c>
      <c r="C5465" s="4" t="s">
        <v>1844</v>
      </c>
      <c r="D5465" s="4">
        <v>27193</v>
      </c>
      <c r="E5465" s="4">
        <v>20210217</v>
      </c>
      <c r="F5465" s="4">
        <v>20210217</v>
      </c>
      <c r="G5465" s="4">
        <v>20240217</v>
      </c>
      <c r="H5465" s="4" t="s">
        <v>1845</v>
      </c>
      <c r="I5465" s="4" t="s">
        <v>1844</v>
      </c>
      <c r="J5465" s="4" t="s">
        <v>1843</v>
      </c>
    </row>
    <row r="5466" spans="1:10" hidden="1">
      <c r="A5466" s="4">
        <v>2.0210273909E+17</v>
      </c>
      <c r="B5466" s="4">
        <v>7808701178</v>
      </c>
      <c r="C5466" s="4" t="s">
        <v>1842</v>
      </c>
      <c r="D5466" s="4">
        <v>73909</v>
      </c>
      <c r="E5466" s="4">
        <v>20210217</v>
      </c>
      <c r="F5466" s="4">
        <v>20210217</v>
      </c>
      <c r="G5466" s="4">
        <v>20240217</v>
      </c>
      <c r="H5466" s="4" t="s">
        <v>1841</v>
      </c>
      <c r="I5466" s="4" t="s">
        <v>1840</v>
      </c>
      <c r="J5466" s="4" t="s">
        <v>293</v>
      </c>
    </row>
    <row r="5467" spans="1:10" hidden="1">
      <c r="A5467" s="4">
        <v>2.0210270129E+17</v>
      </c>
      <c r="B5467" s="4">
        <v>6898600980</v>
      </c>
      <c r="C5467" s="4" t="s">
        <v>1839</v>
      </c>
      <c r="D5467" s="4">
        <v>70129</v>
      </c>
      <c r="E5467" s="4">
        <v>20210217</v>
      </c>
      <c r="F5467" s="4">
        <v>20210217</v>
      </c>
      <c r="G5467" s="4">
        <v>20240217</v>
      </c>
      <c r="H5467" s="4" t="s">
        <v>1838</v>
      </c>
      <c r="I5467" s="4" t="s">
        <v>1837</v>
      </c>
      <c r="J5467" s="4" t="s">
        <v>937</v>
      </c>
    </row>
    <row r="5468" spans="1:10" hidden="1">
      <c r="A5468" s="4">
        <v>2.0210220423E+17</v>
      </c>
      <c r="B5468" s="4">
        <v>5858101718</v>
      </c>
      <c r="C5468" s="4" t="s">
        <v>1836</v>
      </c>
      <c r="D5468" s="4">
        <v>20423</v>
      </c>
      <c r="E5468" s="4">
        <v>20210217</v>
      </c>
      <c r="F5468" s="4">
        <v>20210217</v>
      </c>
      <c r="G5468" s="4">
        <v>20240217</v>
      </c>
      <c r="H5468" s="4" t="s">
        <v>1835</v>
      </c>
      <c r="I5468" s="4" t="s">
        <v>1834</v>
      </c>
      <c r="J5468" s="4" t="s">
        <v>368</v>
      </c>
    </row>
    <row r="5469" spans="1:10" hidden="1">
      <c r="A5469" s="4">
        <v>2.0210262021E+17</v>
      </c>
      <c r="B5469" s="4">
        <v>7648801101</v>
      </c>
      <c r="C5469" s="4" t="s">
        <v>1833</v>
      </c>
      <c r="D5469" s="4">
        <v>62021</v>
      </c>
      <c r="E5469" s="4">
        <v>20210216</v>
      </c>
      <c r="F5469" s="4">
        <v>20210216</v>
      </c>
      <c r="G5469" s="4">
        <v>20240216</v>
      </c>
      <c r="H5469" s="4" t="s">
        <v>1832</v>
      </c>
      <c r="I5469" s="4" t="s">
        <v>1780</v>
      </c>
      <c r="J5469" s="4" t="s">
        <v>1505</v>
      </c>
    </row>
    <row r="5470" spans="1:10" hidden="1">
      <c r="A5470" s="4">
        <v>2.0210270129E+17</v>
      </c>
      <c r="B5470" s="4">
        <v>3398800605</v>
      </c>
      <c r="C5470" s="4" t="s">
        <v>1831</v>
      </c>
      <c r="D5470" s="4">
        <v>70129</v>
      </c>
      <c r="E5470" s="4">
        <v>20210216</v>
      </c>
      <c r="F5470" s="4">
        <v>20210216</v>
      </c>
      <c r="G5470" s="4">
        <v>20240216</v>
      </c>
      <c r="H5470" s="4" t="s">
        <v>1830</v>
      </c>
      <c r="I5470" s="4" t="s">
        <v>149</v>
      </c>
      <c r="J5470" s="4" t="s">
        <v>937</v>
      </c>
    </row>
    <row r="5471" spans="1:10" hidden="1">
      <c r="A5471" s="4">
        <v>2.0210242491E+17</v>
      </c>
      <c r="B5471" s="4">
        <v>3298800141</v>
      </c>
      <c r="C5471" s="4" t="s">
        <v>1829</v>
      </c>
      <c r="D5471" s="4">
        <v>42491</v>
      </c>
      <c r="E5471" s="4">
        <v>20210216</v>
      </c>
      <c r="F5471" s="4">
        <v>20210216</v>
      </c>
      <c r="G5471" s="4">
        <v>20220908</v>
      </c>
      <c r="H5471" s="4" t="s">
        <v>1828</v>
      </c>
      <c r="I5471" s="4" t="s">
        <v>1827</v>
      </c>
      <c r="J5471" s="4" t="s">
        <v>883</v>
      </c>
    </row>
    <row r="5472" spans="1:10" hidden="1">
      <c r="A5472" s="4">
        <v>2.0210271531E+17</v>
      </c>
      <c r="B5472" s="4">
        <v>3408701169</v>
      </c>
      <c r="C5472" s="4" t="s">
        <v>1826</v>
      </c>
      <c r="D5472" s="4">
        <v>71531</v>
      </c>
      <c r="E5472" s="4">
        <v>20210216</v>
      </c>
      <c r="F5472" s="4">
        <v>20210216</v>
      </c>
      <c r="G5472" s="4">
        <v>20240216</v>
      </c>
      <c r="H5472" s="4" t="s">
        <v>1825</v>
      </c>
      <c r="I5472" s="4" t="s">
        <v>1824</v>
      </c>
      <c r="J5472" s="4" t="s">
        <v>87</v>
      </c>
    </row>
    <row r="5473" spans="1:10" hidden="1">
      <c r="A5473" s="4">
        <v>2.0210222211E+17</v>
      </c>
      <c r="B5473" s="4">
        <v>3498701768</v>
      </c>
      <c r="C5473" s="4" t="s">
        <v>1823</v>
      </c>
      <c r="D5473" s="4">
        <v>22211</v>
      </c>
      <c r="E5473" s="4">
        <v>20210216</v>
      </c>
      <c r="F5473" s="4">
        <v>20210216</v>
      </c>
      <c r="G5473" s="4">
        <v>20240216</v>
      </c>
      <c r="H5473" s="4" t="s">
        <v>1822</v>
      </c>
      <c r="I5473" s="4" t="s">
        <v>1821</v>
      </c>
      <c r="J5473" s="4" t="s">
        <v>1820</v>
      </c>
    </row>
    <row r="5474" spans="1:10" hidden="1">
      <c r="A5474" s="4">
        <v>2.0210228119E+17</v>
      </c>
      <c r="B5474" s="4">
        <v>5438100224</v>
      </c>
      <c r="C5474" s="4" t="s">
        <v>1819</v>
      </c>
      <c r="D5474" s="4">
        <v>28119</v>
      </c>
      <c r="E5474" s="4">
        <v>20210216</v>
      </c>
      <c r="F5474" s="4">
        <v>20210216</v>
      </c>
      <c r="G5474" s="4">
        <v>20220924</v>
      </c>
      <c r="H5474" s="4" t="s">
        <v>1818</v>
      </c>
      <c r="I5474" s="4" t="s">
        <v>1817</v>
      </c>
      <c r="J5474" s="4" t="s">
        <v>1816</v>
      </c>
    </row>
    <row r="5475" spans="1:10" hidden="1">
      <c r="A5475" s="4">
        <v>2.0210258221E+17</v>
      </c>
      <c r="B5475" s="4">
        <v>3308800608</v>
      </c>
      <c r="C5475" s="4" t="s">
        <v>1815</v>
      </c>
      <c r="D5475" s="4">
        <v>58221</v>
      </c>
      <c r="E5475" s="4">
        <v>20210216</v>
      </c>
      <c r="F5475" s="4">
        <v>20210216</v>
      </c>
      <c r="G5475" s="4">
        <v>20240216</v>
      </c>
      <c r="H5475" s="4" t="s">
        <v>1814</v>
      </c>
      <c r="I5475" s="4" t="s">
        <v>1813</v>
      </c>
      <c r="J5475" s="4" t="s">
        <v>228</v>
      </c>
    </row>
    <row r="5476" spans="1:10" hidden="1">
      <c r="A5476" s="4">
        <v>2.0210217909E+17</v>
      </c>
      <c r="B5476" s="4">
        <v>1552800473</v>
      </c>
      <c r="C5476" s="4" t="s">
        <v>1812</v>
      </c>
      <c r="D5476" s="4">
        <v>17909</v>
      </c>
      <c r="E5476" s="4">
        <v>20210216</v>
      </c>
      <c r="F5476" s="4">
        <v>20210216</v>
      </c>
      <c r="G5476" s="4">
        <v>20240216</v>
      </c>
      <c r="H5476" s="4" t="s">
        <v>1811</v>
      </c>
      <c r="J5476" s="4" t="s">
        <v>1810</v>
      </c>
    </row>
    <row r="5477" spans="1:10" hidden="1">
      <c r="A5477" s="4">
        <v>2.0210225111E+17</v>
      </c>
      <c r="B5477" s="4">
        <v>6580301056</v>
      </c>
      <c r="C5477" s="4" t="s">
        <v>1809</v>
      </c>
      <c r="D5477" s="4">
        <v>25111</v>
      </c>
      <c r="E5477" s="4">
        <v>20210216</v>
      </c>
      <c r="F5477" s="4">
        <v>20210216</v>
      </c>
      <c r="G5477" s="4">
        <v>20240216</v>
      </c>
      <c r="H5477" s="4" t="s">
        <v>1808</v>
      </c>
      <c r="J5477" s="4" t="s">
        <v>82</v>
      </c>
    </row>
    <row r="5478" spans="1:10" hidden="1">
      <c r="A5478" s="4">
        <v>2.0210247912E+17</v>
      </c>
      <c r="B5478" s="4">
        <v>8333300752</v>
      </c>
      <c r="C5478" s="4" t="s">
        <v>1807</v>
      </c>
      <c r="D5478" s="4">
        <v>47912</v>
      </c>
      <c r="E5478" s="4">
        <v>20210216</v>
      </c>
      <c r="F5478" s="4">
        <v>20210216</v>
      </c>
      <c r="G5478" s="4">
        <v>20240216</v>
      </c>
      <c r="H5478" s="4" t="s">
        <v>1806</v>
      </c>
      <c r="I5478" s="4">
        <v>301</v>
      </c>
      <c r="J5478" s="4" t="s">
        <v>78</v>
      </c>
    </row>
    <row r="5479" spans="1:10" hidden="1">
      <c r="A5479" s="4">
        <v>2.0210229199E+17</v>
      </c>
      <c r="B5479" s="4">
        <v>1802900836</v>
      </c>
      <c r="C5479" s="4" t="s">
        <v>1805</v>
      </c>
      <c r="D5479" s="4">
        <v>29199</v>
      </c>
      <c r="E5479" s="4">
        <v>20210216</v>
      </c>
      <c r="F5479" s="4">
        <v>20210216</v>
      </c>
      <c r="G5479" s="4">
        <v>20240216</v>
      </c>
      <c r="H5479" s="4" t="s">
        <v>1804</v>
      </c>
      <c r="I5479" s="4" t="s">
        <v>1553</v>
      </c>
      <c r="J5479" s="4" t="s">
        <v>166</v>
      </c>
    </row>
    <row r="5480" spans="1:10" hidden="1">
      <c r="A5480" s="4">
        <v>2.0210226329E+17</v>
      </c>
      <c r="B5480" s="4">
        <v>3908801841</v>
      </c>
      <c r="C5480" s="4" t="s">
        <v>1803</v>
      </c>
      <c r="D5480" s="4">
        <v>26329</v>
      </c>
      <c r="E5480" s="4">
        <v>20210216</v>
      </c>
      <c r="F5480" s="4">
        <v>20210216</v>
      </c>
      <c r="G5480" s="4">
        <v>20240216</v>
      </c>
      <c r="H5480" s="4" t="s">
        <v>1802</v>
      </c>
      <c r="I5480" s="4" t="s">
        <v>1801</v>
      </c>
      <c r="J5480" s="4" t="s">
        <v>565</v>
      </c>
    </row>
    <row r="5481" spans="1:10" hidden="1">
      <c r="A5481" s="4">
        <v>2.0210247912E+17</v>
      </c>
      <c r="B5481" s="4">
        <v>3306300212</v>
      </c>
      <c r="C5481" s="4" t="s">
        <v>1800</v>
      </c>
      <c r="D5481" s="4">
        <v>47912</v>
      </c>
      <c r="E5481" s="4">
        <v>20210216</v>
      </c>
      <c r="F5481" s="4">
        <v>20210216</v>
      </c>
      <c r="G5481" s="4">
        <v>20240216</v>
      </c>
      <c r="H5481" s="4" t="s">
        <v>1799</v>
      </c>
      <c r="I5481" s="4" t="s">
        <v>1798</v>
      </c>
      <c r="J5481" s="4" t="s">
        <v>78</v>
      </c>
    </row>
    <row r="5482" spans="1:10" hidden="1">
      <c r="A5482" s="4">
        <v>2.0210272129E+17</v>
      </c>
      <c r="B5482" s="4">
        <v>6228126871</v>
      </c>
      <c r="C5482" s="4" t="s">
        <v>1797</v>
      </c>
      <c r="D5482" s="4">
        <v>72129</v>
      </c>
      <c r="E5482" s="4">
        <v>20210216</v>
      </c>
      <c r="F5482" s="4">
        <v>20210216</v>
      </c>
      <c r="G5482" s="4">
        <v>20231107</v>
      </c>
      <c r="H5482" s="4" t="s">
        <v>374</v>
      </c>
      <c r="I5482" s="4" t="s">
        <v>1796</v>
      </c>
      <c r="J5482" s="4" t="s">
        <v>1679</v>
      </c>
    </row>
    <row r="5483" spans="1:10">
      <c r="A5483" s="5">
        <v>2.02106581900004E+17</v>
      </c>
      <c r="B5483" s="5">
        <v>5345800372</v>
      </c>
      <c r="C5483" s="5" t="s">
        <v>11399</v>
      </c>
      <c r="D5483" s="5">
        <v>58190</v>
      </c>
      <c r="E5483" s="5">
        <v>20210611</v>
      </c>
      <c r="F5483" s="5">
        <v>20210611</v>
      </c>
      <c r="G5483" s="5">
        <v>20240611</v>
      </c>
      <c r="H5483" s="5" t="s">
        <v>11398</v>
      </c>
      <c r="I5483" s="5"/>
      <c r="J5483" s="5" t="s">
        <v>196</v>
      </c>
    </row>
    <row r="5484" spans="1:10" hidden="1">
      <c r="A5484" s="4">
        <v>2.0210227213E+17</v>
      </c>
      <c r="B5484" s="4">
        <v>6228128199</v>
      </c>
      <c r="C5484" s="4" t="s">
        <v>1793</v>
      </c>
      <c r="D5484" s="4">
        <v>27213</v>
      </c>
      <c r="E5484" s="4">
        <v>20210216</v>
      </c>
      <c r="F5484" s="4">
        <v>20210216</v>
      </c>
      <c r="G5484" s="4">
        <v>20240216</v>
      </c>
      <c r="H5484" s="4" t="s">
        <v>1459</v>
      </c>
      <c r="I5484" s="4" t="s">
        <v>1792</v>
      </c>
      <c r="J5484" s="4" t="s">
        <v>264</v>
      </c>
    </row>
    <row r="5485" spans="1:10" hidden="1">
      <c r="A5485" s="4">
        <v>2.021026312E+17</v>
      </c>
      <c r="B5485" s="4">
        <v>6778101604</v>
      </c>
      <c r="C5485" s="4" t="s">
        <v>1791</v>
      </c>
      <c r="D5485" s="4">
        <v>63120</v>
      </c>
      <c r="E5485" s="4">
        <v>20210216</v>
      </c>
      <c r="F5485" s="4">
        <v>20210216</v>
      </c>
      <c r="G5485" s="4">
        <v>20240216</v>
      </c>
      <c r="H5485" s="4" t="s">
        <v>1790</v>
      </c>
      <c r="J5485" s="4" t="s">
        <v>632</v>
      </c>
    </row>
    <row r="5486" spans="1:10" hidden="1">
      <c r="A5486" s="4">
        <v>2.0210213213E+17</v>
      </c>
      <c r="B5486" s="4">
        <v>2078801933</v>
      </c>
      <c r="C5486" s="4" t="s">
        <v>1789</v>
      </c>
      <c r="D5486" s="4">
        <v>13213</v>
      </c>
      <c r="E5486" s="4">
        <v>20210216</v>
      </c>
      <c r="F5486" s="4">
        <v>20210216</v>
      </c>
      <c r="G5486" s="4">
        <v>20240216</v>
      </c>
      <c r="H5486" s="4" t="s">
        <v>1788</v>
      </c>
      <c r="I5486" s="4" t="s">
        <v>149</v>
      </c>
      <c r="J5486" s="4" t="s">
        <v>1787</v>
      </c>
    </row>
    <row r="5487" spans="1:10" hidden="1">
      <c r="A5487" s="4">
        <v>2.02102716E+17</v>
      </c>
      <c r="B5487" s="4">
        <v>4698102074</v>
      </c>
      <c r="C5487" s="4" t="s">
        <v>1786</v>
      </c>
      <c r="D5487" s="4">
        <v>71600</v>
      </c>
      <c r="E5487" s="4">
        <v>20210216</v>
      </c>
      <c r="F5487" s="4">
        <v>20210216</v>
      </c>
      <c r="G5487" s="4">
        <v>20240216</v>
      </c>
      <c r="H5487" s="4" t="s">
        <v>1785</v>
      </c>
      <c r="I5487" s="4" t="s">
        <v>1784</v>
      </c>
      <c r="J5487" s="4" t="s">
        <v>1783</v>
      </c>
    </row>
    <row r="5488" spans="1:10" hidden="1">
      <c r="A5488" s="4">
        <v>2.0210246465E+17</v>
      </c>
      <c r="B5488" s="4">
        <v>1248758610</v>
      </c>
      <c r="C5488" s="4" t="s">
        <v>1782</v>
      </c>
      <c r="D5488" s="4">
        <v>46465</v>
      </c>
      <c r="E5488" s="4">
        <v>20210216</v>
      </c>
      <c r="F5488" s="4">
        <v>20210216</v>
      </c>
      <c r="G5488" s="4">
        <v>20240216</v>
      </c>
      <c r="H5488" s="4" t="s">
        <v>1781</v>
      </c>
      <c r="I5488" s="4" t="s">
        <v>1780</v>
      </c>
      <c r="J5488" s="4" t="s">
        <v>1779</v>
      </c>
    </row>
    <row r="5489" spans="1:10" hidden="1">
      <c r="A5489" s="4">
        <v>2.0210263991E+17</v>
      </c>
      <c r="B5489" s="4">
        <v>4588101696</v>
      </c>
      <c r="C5489" s="4" t="s">
        <v>1778</v>
      </c>
      <c r="D5489" s="4">
        <v>63991</v>
      </c>
      <c r="E5489" s="4">
        <v>20210216</v>
      </c>
      <c r="F5489" s="4">
        <v>20210216</v>
      </c>
      <c r="G5489" s="4">
        <v>20240216</v>
      </c>
      <c r="H5489" s="4" t="s">
        <v>1777</v>
      </c>
      <c r="I5489" s="4" t="s">
        <v>1776</v>
      </c>
      <c r="J5489" s="4" t="s">
        <v>395</v>
      </c>
    </row>
    <row r="5490" spans="1:10" hidden="1">
      <c r="A5490" s="4">
        <v>2.0210226224E+17</v>
      </c>
      <c r="B5490" s="4">
        <v>3828801011</v>
      </c>
      <c r="C5490" s="4" t="s">
        <v>1775</v>
      </c>
      <c r="D5490" s="4">
        <v>26224</v>
      </c>
      <c r="E5490" s="4">
        <v>20210216</v>
      </c>
      <c r="F5490" s="4">
        <v>20210216</v>
      </c>
      <c r="G5490" s="4">
        <v>20240216</v>
      </c>
      <c r="H5490" s="4" t="s">
        <v>1774</v>
      </c>
      <c r="I5490" s="4" t="s">
        <v>1773</v>
      </c>
      <c r="J5490" s="4" t="s">
        <v>923</v>
      </c>
    </row>
    <row r="5491" spans="1:10" hidden="1">
      <c r="A5491" s="4">
        <v>2.0210220129E+17</v>
      </c>
      <c r="B5491" s="4">
        <v>3898801685</v>
      </c>
      <c r="C5491" s="4" t="s">
        <v>1772</v>
      </c>
      <c r="D5491" s="4">
        <v>20129</v>
      </c>
      <c r="E5491" s="4">
        <v>20210216</v>
      </c>
      <c r="F5491" s="4">
        <v>20210216</v>
      </c>
      <c r="G5491" s="4">
        <v>20240216</v>
      </c>
      <c r="H5491" s="4" t="s">
        <v>825</v>
      </c>
      <c r="I5491" s="4" t="s">
        <v>1771</v>
      </c>
      <c r="J5491" s="4" t="s">
        <v>1770</v>
      </c>
    </row>
    <row r="5492" spans="1:10" hidden="1">
      <c r="A5492" s="4">
        <v>2.0210226421E+17</v>
      </c>
      <c r="B5492" s="4">
        <v>2428601382</v>
      </c>
      <c r="C5492" s="4" t="s">
        <v>1769</v>
      </c>
      <c r="D5492" s="4">
        <v>26421</v>
      </c>
      <c r="E5492" s="4">
        <v>20210216</v>
      </c>
      <c r="F5492" s="4">
        <v>20210216</v>
      </c>
      <c r="G5492" s="4">
        <v>20240216</v>
      </c>
      <c r="H5492" s="4" t="s">
        <v>1768</v>
      </c>
      <c r="I5492" s="4" t="s">
        <v>1490</v>
      </c>
      <c r="J5492" s="4" t="s">
        <v>1767</v>
      </c>
    </row>
    <row r="5493" spans="1:10" hidden="1">
      <c r="A5493" s="4">
        <v>2.0210230399E+17</v>
      </c>
      <c r="B5493" s="4">
        <v>2408601294</v>
      </c>
      <c r="C5493" s="4" t="s">
        <v>1766</v>
      </c>
      <c r="D5493" s="4">
        <v>30399</v>
      </c>
      <c r="E5493" s="4">
        <v>20210216</v>
      </c>
      <c r="F5493" s="4">
        <v>20210216</v>
      </c>
      <c r="G5493" s="4">
        <v>20240216</v>
      </c>
      <c r="H5493" s="4" t="s">
        <v>1765</v>
      </c>
      <c r="I5493" s="4" t="s">
        <v>1764</v>
      </c>
      <c r="J5493" s="4" t="s">
        <v>1763</v>
      </c>
    </row>
    <row r="5494" spans="1:10" hidden="1">
      <c r="A5494" s="4">
        <v>2.0210229272E+17</v>
      </c>
      <c r="B5494" s="4">
        <v>6698701565</v>
      </c>
      <c r="C5494" s="4" t="s">
        <v>1762</v>
      </c>
      <c r="D5494" s="4">
        <v>29272</v>
      </c>
      <c r="E5494" s="4">
        <v>20210216</v>
      </c>
      <c r="F5494" s="4">
        <v>20210216</v>
      </c>
      <c r="G5494" s="4">
        <v>20240216</v>
      </c>
      <c r="H5494" s="4" t="s">
        <v>1761</v>
      </c>
      <c r="I5494" s="4" t="s">
        <v>1760</v>
      </c>
      <c r="J5494" s="4" t="s">
        <v>1124</v>
      </c>
    </row>
    <row r="5495" spans="1:10" hidden="1">
      <c r="A5495" s="4">
        <v>2.0210229271E+17</v>
      </c>
      <c r="B5495" s="4">
        <v>3608801592</v>
      </c>
      <c r="C5495" s="4" t="s">
        <v>1759</v>
      </c>
      <c r="D5495" s="4">
        <v>29271</v>
      </c>
      <c r="E5495" s="4">
        <v>20210216</v>
      </c>
      <c r="F5495" s="4">
        <v>20210216</v>
      </c>
      <c r="G5495" s="4">
        <v>20240216</v>
      </c>
      <c r="H5495" s="4" t="s">
        <v>1758</v>
      </c>
      <c r="I5495" s="4" t="s">
        <v>1757</v>
      </c>
      <c r="J5495" s="4" t="s">
        <v>285</v>
      </c>
    </row>
    <row r="5496" spans="1:10" hidden="1">
      <c r="A5496" s="4">
        <v>2.0210258222E+17</v>
      </c>
      <c r="B5496" s="4">
        <v>2508702036</v>
      </c>
      <c r="C5496" s="4" t="s">
        <v>1756</v>
      </c>
      <c r="D5496" s="4">
        <v>58222</v>
      </c>
      <c r="E5496" s="4">
        <v>20210216</v>
      </c>
      <c r="F5496" s="4">
        <v>20210216</v>
      </c>
      <c r="G5496" s="4">
        <v>20240216</v>
      </c>
      <c r="H5496" s="4" t="s">
        <v>1755</v>
      </c>
      <c r="I5496" s="4" t="s">
        <v>1754</v>
      </c>
      <c r="J5496" s="4" t="s">
        <v>94</v>
      </c>
    </row>
    <row r="5497" spans="1:10" hidden="1">
      <c r="A5497" s="4">
        <v>2.0210226224E+17</v>
      </c>
      <c r="B5497" s="4">
        <v>6568602294</v>
      </c>
      <c r="C5497" s="4" t="s">
        <v>1753</v>
      </c>
      <c r="D5497" s="4">
        <v>26224</v>
      </c>
      <c r="E5497" s="4">
        <v>20210216</v>
      </c>
      <c r="F5497" s="4">
        <v>20210216</v>
      </c>
      <c r="G5497" s="4">
        <v>20240216</v>
      </c>
      <c r="H5497" s="4" t="s">
        <v>1752</v>
      </c>
      <c r="I5497" s="4" t="s">
        <v>1751</v>
      </c>
      <c r="J5497" s="4" t="s">
        <v>923</v>
      </c>
    </row>
    <row r="5498" spans="1:10" hidden="1">
      <c r="A5498" s="4">
        <v>2.0210263999E+17</v>
      </c>
      <c r="B5498" s="4">
        <v>5408601888</v>
      </c>
      <c r="C5498" s="4" t="s">
        <v>1750</v>
      </c>
      <c r="D5498" s="4">
        <v>63999</v>
      </c>
      <c r="E5498" s="4">
        <v>20210216</v>
      </c>
      <c r="F5498" s="4">
        <v>20210216</v>
      </c>
      <c r="G5498" s="4">
        <v>20240216</v>
      </c>
      <c r="H5498" s="4" t="s">
        <v>1749</v>
      </c>
      <c r="I5498" s="4" t="s">
        <v>1748</v>
      </c>
      <c r="J5498" s="4" t="s">
        <v>643</v>
      </c>
    </row>
    <row r="5499" spans="1:10" hidden="1">
      <c r="A5499" s="4">
        <v>2.0210273202E+17</v>
      </c>
      <c r="B5499" s="4">
        <v>2168118856</v>
      </c>
      <c r="C5499" s="4" t="s">
        <v>1747</v>
      </c>
      <c r="D5499" s="4">
        <v>73202</v>
      </c>
      <c r="E5499" s="4">
        <v>20210216</v>
      </c>
      <c r="F5499" s="4">
        <v>20210216</v>
      </c>
      <c r="G5499" s="4">
        <v>20240216</v>
      </c>
      <c r="H5499" s="4" t="s">
        <v>1746</v>
      </c>
      <c r="I5499" s="4" t="s">
        <v>1745</v>
      </c>
      <c r="J5499" s="4" t="s">
        <v>605</v>
      </c>
    </row>
    <row r="5500" spans="1:10" hidden="1">
      <c r="A5500" s="4">
        <v>2.0210229169E+17</v>
      </c>
      <c r="B5500" s="4">
        <v>4728701409</v>
      </c>
      <c r="C5500" s="4" t="s">
        <v>1744</v>
      </c>
      <c r="D5500" s="4">
        <v>29169</v>
      </c>
      <c r="E5500" s="4">
        <v>20210216</v>
      </c>
      <c r="F5500" s="4">
        <v>20210216</v>
      </c>
      <c r="G5500" s="4">
        <v>20240216</v>
      </c>
      <c r="H5500" s="4" t="s">
        <v>1743</v>
      </c>
      <c r="I5500" s="4" t="s">
        <v>1742</v>
      </c>
      <c r="J5500" s="4" t="s">
        <v>1734</v>
      </c>
    </row>
    <row r="5501" spans="1:10" hidden="1">
      <c r="A5501" s="4">
        <v>2.0210210802E+17</v>
      </c>
      <c r="B5501" s="4">
        <v>3705500501</v>
      </c>
      <c r="C5501" s="4" t="s">
        <v>1741</v>
      </c>
      <c r="D5501" s="4">
        <v>10802</v>
      </c>
      <c r="E5501" s="4">
        <v>20210216</v>
      </c>
      <c r="F5501" s="4">
        <v>20210216</v>
      </c>
      <c r="G5501" s="4">
        <v>20240216</v>
      </c>
      <c r="H5501" s="4" t="s">
        <v>1740</v>
      </c>
      <c r="J5501" s="4" t="s">
        <v>973</v>
      </c>
    </row>
    <row r="5502" spans="1:10" hidden="1">
      <c r="A5502" s="4">
        <v>2.0210263991E+17</v>
      </c>
      <c r="B5502" s="4">
        <v>8487000254</v>
      </c>
      <c r="C5502" s="4" t="s">
        <v>1739</v>
      </c>
      <c r="D5502" s="4">
        <v>63991</v>
      </c>
      <c r="E5502" s="4">
        <v>20210216</v>
      </c>
      <c r="F5502" s="4">
        <v>20210216</v>
      </c>
      <c r="G5502" s="4">
        <v>20240216</v>
      </c>
      <c r="H5502" s="4" t="s">
        <v>244</v>
      </c>
      <c r="I5502" s="4" t="s">
        <v>1738</v>
      </c>
      <c r="J5502" s="4" t="s">
        <v>395</v>
      </c>
    </row>
    <row r="5503" spans="1:10" hidden="1">
      <c r="A5503" s="4">
        <v>2.0210229169E+17</v>
      </c>
      <c r="B5503" s="4">
        <v>4992800505</v>
      </c>
      <c r="C5503" s="4" t="s">
        <v>1737</v>
      </c>
      <c r="D5503" s="4">
        <v>29169</v>
      </c>
      <c r="E5503" s="4">
        <v>20210216</v>
      </c>
      <c r="F5503" s="4">
        <v>20210216</v>
      </c>
      <c r="G5503" s="4">
        <v>20240216</v>
      </c>
      <c r="H5503" s="4" t="s">
        <v>1736</v>
      </c>
      <c r="I5503" s="4" t="s">
        <v>1735</v>
      </c>
      <c r="J5503" s="4" t="s">
        <v>1734</v>
      </c>
    </row>
    <row r="5504" spans="1:10" hidden="1">
      <c r="A5504" s="4">
        <v>2.0210271391E+17</v>
      </c>
      <c r="B5504" s="4">
        <v>4680901872</v>
      </c>
      <c r="C5504" s="4" t="s">
        <v>1733</v>
      </c>
      <c r="D5504" s="4">
        <v>71391</v>
      </c>
      <c r="E5504" s="4">
        <v>20210216</v>
      </c>
      <c r="F5504" s="4">
        <v>20210216</v>
      </c>
      <c r="G5504" s="4">
        <v>20240216</v>
      </c>
      <c r="H5504" s="4" t="s">
        <v>1732</v>
      </c>
      <c r="J5504" s="4" t="s">
        <v>1731</v>
      </c>
    </row>
    <row r="5505" spans="1:10" hidden="1">
      <c r="A5505" s="4">
        <v>2.0210226129E+17</v>
      </c>
      <c r="B5505" s="4">
        <v>1358645646</v>
      </c>
      <c r="C5505" s="4" t="s">
        <v>1730</v>
      </c>
      <c r="D5505" s="4">
        <v>26129</v>
      </c>
      <c r="E5505" s="4">
        <v>20210216</v>
      </c>
      <c r="F5505" s="4">
        <v>20210216</v>
      </c>
      <c r="G5505" s="4">
        <v>20210716</v>
      </c>
      <c r="H5505" s="4" t="s">
        <v>1729</v>
      </c>
      <c r="I5505" s="4" t="s">
        <v>1728</v>
      </c>
      <c r="J5505" s="4" t="s">
        <v>403</v>
      </c>
    </row>
    <row r="5506" spans="1:10" hidden="1">
      <c r="A5506" s="4">
        <v>2.0210228909E+17</v>
      </c>
      <c r="B5506" s="4">
        <v>3428100830</v>
      </c>
      <c r="C5506" s="4" t="s">
        <v>1727</v>
      </c>
      <c r="D5506" s="4">
        <v>28909</v>
      </c>
      <c r="E5506" s="4">
        <v>20210215</v>
      </c>
      <c r="F5506" s="4">
        <v>20210215</v>
      </c>
      <c r="G5506" s="4">
        <v>20240215</v>
      </c>
      <c r="H5506" s="4" t="s">
        <v>825</v>
      </c>
      <c r="I5506" s="4" t="s">
        <v>1726</v>
      </c>
      <c r="J5506" s="4" t="s">
        <v>253</v>
      </c>
    </row>
    <row r="5507" spans="1:10" hidden="1">
      <c r="A5507" s="4">
        <v>2.021026312E+17</v>
      </c>
      <c r="B5507" s="4">
        <v>1578701325</v>
      </c>
      <c r="C5507" s="4" t="s">
        <v>1725</v>
      </c>
      <c r="D5507" s="4">
        <v>63120</v>
      </c>
      <c r="E5507" s="4">
        <v>20210215</v>
      </c>
      <c r="F5507" s="4">
        <v>20210215</v>
      </c>
      <c r="G5507" s="4">
        <v>20240215</v>
      </c>
      <c r="H5507" s="4" t="s">
        <v>1724</v>
      </c>
      <c r="J5507" s="4" t="s">
        <v>632</v>
      </c>
    </row>
    <row r="5508" spans="1:10" hidden="1">
      <c r="A5508" s="4">
        <v>2.0210222299E+17</v>
      </c>
      <c r="B5508" s="4">
        <v>1258632673</v>
      </c>
      <c r="C5508" s="4" t="s">
        <v>1723</v>
      </c>
      <c r="D5508" s="4">
        <v>22299</v>
      </c>
      <c r="E5508" s="4">
        <v>20210215</v>
      </c>
      <c r="F5508" s="4">
        <v>20210215</v>
      </c>
      <c r="G5508" s="4">
        <v>20240215</v>
      </c>
      <c r="H5508" s="4" t="s">
        <v>849</v>
      </c>
      <c r="I5508" s="4" t="s">
        <v>1722</v>
      </c>
      <c r="J5508" s="4" t="s">
        <v>384</v>
      </c>
    </row>
    <row r="5509" spans="1:10" hidden="1">
      <c r="A5509" s="4">
        <v>2.0210223999E+17</v>
      </c>
      <c r="B5509" s="4">
        <v>4748101117</v>
      </c>
      <c r="C5509" s="4" t="s">
        <v>1721</v>
      </c>
      <c r="D5509" s="4">
        <v>23999</v>
      </c>
      <c r="E5509" s="4">
        <v>20210215</v>
      </c>
      <c r="F5509" s="4">
        <v>20210215</v>
      </c>
      <c r="G5509" s="4">
        <v>20240215</v>
      </c>
      <c r="H5509" s="4" t="s">
        <v>1720</v>
      </c>
      <c r="I5509" s="4" t="s">
        <v>247</v>
      </c>
      <c r="J5509" s="4" t="s">
        <v>1719</v>
      </c>
    </row>
    <row r="5510" spans="1:10" hidden="1">
      <c r="A5510" s="4">
        <v>2.0210220202E+17</v>
      </c>
      <c r="B5510" s="4">
        <v>1108618209</v>
      </c>
      <c r="C5510" s="4" t="s">
        <v>1718</v>
      </c>
      <c r="D5510" s="4">
        <v>20202</v>
      </c>
      <c r="E5510" s="4">
        <v>20210215</v>
      </c>
      <c r="F5510" s="4">
        <v>20210215</v>
      </c>
      <c r="G5510" s="4">
        <v>20240215</v>
      </c>
      <c r="H5510" s="4" t="s">
        <v>1717</v>
      </c>
      <c r="I5510" s="4" t="s">
        <v>1716</v>
      </c>
      <c r="J5510" s="4" t="s">
        <v>224</v>
      </c>
    </row>
    <row r="5511" spans="1:10" hidden="1">
      <c r="A5511" s="4">
        <v>2.021022631E+17</v>
      </c>
      <c r="B5511" s="4">
        <v>6038601267</v>
      </c>
      <c r="C5511" s="4" t="s">
        <v>1715</v>
      </c>
      <c r="D5511" s="4">
        <v>26310</v>
      </c>
      <c r="E5511" s="4">
        <v>20210215</v>
      </c>
      <c r="F5511" s="4">
        <v>20210215</v>
      </c>
      <c r="G5511" s="4">
        <v>20240215</v>
      </c>
      <c r="H5511" s="4" t="s">
        <v>1714</v>
      </c>
      <c r="I5511" s="4" t="s">
        <v>1713</v>
      </c>
      <c r="J5511" s="4" t="s">
        <v>372</v>
      </c>
    </row>
    <row r="5512" spans="1:10" hidden="1">
      <c r="A5512" s="4">
        <v>2.0210242201E+17</v>
      </c>
      <c r="B5512" s="4">
        <v>1558701770</v>
      </c>
      <c r="C5512" s="4" t="s">
        <v>1712</v>
      </c>
      <c r="D5512" s="4">
        <v>42201</v>
      </c>
      <c r="E5512" s="4">
        <v>20210215</v>
      </c>
      <c r="F5512" s="4">
        <v>20210215</v>
      </c>
      <c r="G5512" s="4">
        <v>20240215</v>
      </c>
      <c r="H5512" s="4" t="s">
        <v>1711</v>
      </c>
      <c r="I5512" s="4" t="s">
        <v>754</v>
      </c>
      <c r="J5512" s="4" t="s">
        <v>1710</v>
      </c>
    </row>
    <row r="5513" spans="1:10" hidden="1">
      <c r="A5513" s="4">
        <v>2.021022641E+17</v>
      </c>
      <c r="B5513" s="4">
        <v>1638701015</v>
      </c>
      <c r="C5513" s="4" t="s">
        <v>1709</v>
      </c>
      <c r="D5513" s="4">
        <v>26410</v>
      </c>
      <c r="E5513" s="4">
        <v>20210215</v>
      </c>
      <c r="F5513" s="4">
        <v>20210215</v>
      </c>
      <c r="G5513" s="4">
        <v>20240215</v>
      </c>
      <c r="H5513" s="4" t="s">
        <v>1132</v>
      </c>
      <c r="I5513" s="4" t="s">
        <v>1708</v>
      </c>
      <c r="J5513" s="4" t="s">
        <v>1102</v>
      </c>
    </row>
    <row r="5514" spans="1:10" hidden="1">
      <c r="A5514" s="4">
        <v>2.0210229199E+17</v>
      </c>
      <c r="B5514" s="4">
        <v>5928601195</v>
      </c>
      <c r="C5514" s="4" t="s">
        <v>1707</v>
      </c>
      <c r="D5514" s="4">
        <v>29199</v>
      </c>
      <c r="E5514" s="4">
        <v>20210215</v>
      </c>
      <c r="F5514" s="4">
        <v>20210215</v>
      </c>
      <c r="G5514" s="4">
        <v>20240215</v>
      </c>
      <c r="H5514" s="4" t="s">
        <v>1706</v>
      </c>
      <c r="I5514" s="4" t="s">
        <v>1705</v>
      </c>
      <c r="J5514" s="4" t="s">
        <v>166</v>
      </c>
    </row>
    <row r="5515" spans="1:10" hidden="1">
      <c r="A5515" s="4">
        <v>2.0210259201E+17</v>
      </c>
      <c r="B5515" s="4">
        <v>1650800910</v>
      </c>
      <c r="C5515" s="4" t="s">
        <v>1704</v>
      </c>
      <c r="D5515" s="4">
        <v>59201</v>
      </c>
      <c r="E5515" s="4">
        <v>20210215</v>
      </c>
      <c r="F5515" s="4">
        <v>20210215</v>
      </c>
      <c r="G5515" s="4">
        <v>20240215</v>
      </c>
      <c r="H5515" s="4" t="s">
        <v>1703</v>
      </c>
      <c r="I5515" s="4" t="s">
        <v>1702</v>
      </c>
      <c r="J5515" s="4" t="s">
        <v>1701</v>
      </c>
    </row>
    <row r="5516" spans="1:10" hidden="1">
      <c r="A5516" s="4">
        <v>2.0210247912E+17</v>
      </c>
      <c r="B5516" s="4">
        <v>1245600341</v>
      </c>
      <c r="C5516" s="4" t="s">
        <v>1700</v>
      </c>
      <c r="D5516" s="4">
        <v>47912</v>
      </c>
      <c r="E5516" s="4">
        <v>20210215</v>
      </c>
      <c r="F5516" s="4">
        <v>20210215</v>
      </c>
      <c r="G5516" s="4">
        <v>20240215</v>
      </c>
      <c r="H5516" s="4" t="s">
        <v>1699</v>
      </c>
      <c r="I5516" s="4" t="s">
        <v>1698</v>
      </c>
      <c r="J5516" s="4" t="s">
        <v>78</v>
      </c>
    </row>
    <row r="5517" spans="1:10" hidden="1">
      <c r="A5517" s="4">
        <v>2.0210258222E+17</v>
      </c>
      <c r="B5517" s="4">
        <v>3788100708</v>
      </c>
      <c r="C5517" s="4" t="s">
        <v>1697</v>
      </c>
      <c r="D5517" s="4">
        <v>58222</v>
      </c>
      <c r="E5517" s="4">
        <v>20210215</v>
      </c>
      <c r="F5517" s="4">
        <v>20210215</v>
      </c>
      <c r="G5517" s="4">
        <v>20240215</v>
      </c>
      <c r="H5517" s="4" t="s">
        <v>1696</v>
      </c>
      <c r="I5517" s="4" t="s">
        <v>1695</v>
      </c>
      <c r="J5517" s="4" t="s">
        <v>94</v>
      </c>
    </row>
    <row r="5518" spans="1:10" hidden="1">
      <c r="A5518" s="4">
        <v>2.0210227199E+17</v>
      </c>
      <c r="B5518" s="4">
        <v>5063900264</v>
      </c>
      <c r="C5518" s="4" t="s">
        <v>1694</v>
      </c>
      <c r="D5518" s="4">
        <v>27199</v>
      </c>
      <c r="E5518" s="4">
        <v>20210215</v>
      </c>
      <c r="F5518" s="4">
        <v>20210215</v>
      </c>
      <c r="G5518" s="4">
        <v>20240215</v>
      </c>
      <c r="H5518" s="4" t="s">
        <v>1692</v>
      </c>
      <c r="J5518" s="4" t="s">
        <v>418</v>
      </c>
    </row>
    <row r="5519" spans="1:10" hidden="1">
      <c r="A5519" s="4">
        <v>2.0210258222E+17</v>
      </c>
      <c r="B5519" s="4">
        <v>5493100493</v>
      </c>
      <c r="C5519" s="4" t="s">
        <v>1693</v>
      </c>
      <c r="D5519" s="4">
        <v>58222</v>
      </c>
      <c r="E5519" s="4">
        <v>20210215</v>
      </c>
      <c r="F5519" s="4">
        <v>20210215</v>
      </c>
      <c r="G5519" s="4">
        <v>20240215</v>
      </c>
      <c r="H5519" s="4" t="s">
        <v>1692</v>
      </c>
      <c r="I5519" s="4" t="s">
        <v>1691</v>
      </c>
      <c r="J5519" s="4" t="s">
        <v>94</v>
      </c>
    </row>
    <row r="5520" spans="1:10" hidden="1">
      <c r="A5520" s="4">
        <v>2.0210228519E+17</v>
      </c>
      <c r="B5520" s="4">
        <v>7178601455</v>
      </c>
      <c r="C5520" s="4" t="s">
        <v>1690</v>
      </c>
      <c r="D5520" s="4">
        <v>28519</v>
      </c>
      <c r="E5520" s="4">
        <v>20210215</v>
      </c>
      <c r="F5520" s="4">
        <v>20210215</v>
      </c>
      <c r="G5520" s="4">
        <v>20240215</v>
      </c>
      <c r="H5520" s="4" t="s">
        <v>1689</v>
      </c>
      <c r="I5520" s="4" t="s">
        <v>1688</v>
      </c>
      <c r="J5520" s="4" t="s">
        <v>1412</v>
      </c>
    </row>
    <row r="5521" spans="1:10" hidden="1">
      <c r="A5521" s="4">
        <v>2.0210228519E+17</v>
      </c>
      <c r="B5521" s="4">
        <v>5228601949</v>
      </c>
      <c r="C5521" s="4" t="s">
        <v>1687</v>
      </c>
      <c r="D5521" s="4">
        <v>28519</v>
      </c>
      <c r="E5521" s="4">
        <v>20210215</v>
      </c>
      <c r="F5521" s="4">
        <v>20210215</v>
      </c>
      <c r="G5521" s="4">
        <v>20240215</v>
      </c>
      <c r="H5521" s="4" t="s">
        <v>1196</v>
      </c>
      <c r="I5521" s="4" t="s">
        <v>1686</v>
      </c>
      <c r="J5521" s="4" t="s">
        <v>1412</v>
      </c>
    </row>
    <row r="5522" spans="1:10" hidden="1">
      <c r="A5522" s="4">
        <v>2.0210226129E+17</v>
      </c>
      <c r="B5522" s="4">
        <v>5131956870</v>
      </c>
      <c r="C5522" s="4" t="s">
        <v>1685</v>
      </c>
      <c r="D5522" s="4">
        <v>26129</v>
      </c>
      <c r="E5522" s="4">
        <v>20210215</v>
      </c>
      <c r="F5522" s="4">
        <v>20210215</v>
      </c>
      <c r="G5522" s="4">
        <v>20220119</v>
      </c>
      <c r="H5522" s="4" t="s">
        <v>1684</v>
      </c>
      <c r="I5522" s="4" t="s">
        <v>1683</v>
      </c>
      <c r="J5522" s="4" t="s">
        <v>403</v>
      </c>
    </row>
    <row r="5523" spans="1:10" hidden="1">
      <c r="A5523" s="4">
        <v>2.0210272129E+17</v>
      </c>
      <c r="B5523" s="4">
        <v>1048801347</v>
      </c>
      <c r="C5523" s="4" t="s">
        <v>1682</v>
      </c>
      <c r="D5523" s="4">
        <v>72129</v>
      </c>
      <c r="E5523" s="4">
        <v>20210215</v>
      </c>
      <c r="F5523" s="4">
        <v>20210215</v>
      </c>
      <c r="G5523" s="4">
        <v>20240215</v>
      </c>
      <c r="H5523" s="4" t="s">
        <v>1681</v>
      </c>
      <c r="I5523" s="4" t="s">
        <v>1680</v>
      </c>
      <c r="J5523" s="4" t="s">
        <v>1679</v>
      </c>
    </row>
    <row r="5524" spans="1:10" hidden="1">
      <c r="A5524" s="4">
        <v>2.0210258222E+17</v>
      </c>
      <c r="B5524" s="4">
        <v>2568102143</v>
      </c>
      <c r="C5524" s="4" t="s">
        <v>1678</v>
      </c>
      <c r="D5524" s="4">
        <v>58222</v>
      </c>
      <c r="E5524" s="4">
        <v>20210215</v>
      </c>
      <c r="F5524" s="4">
        <v>20210215</v>
      </c>
      <c r="G5524" s="4">
        <v>20240215</v>
      </c>
      <c r="H5524" s="4" t="s">
        <v>1677</v>
      </c>
      <c r="I5524" s="4" t="s">
        <v>1676</v>
      </c>
      <c r="J5524" s="4" t="s">
        <v>94</v>
      </c>
    </row>
    <row r="5525" spans="1:10" hidden="1">
      <c r="A5525" s="4">
        <v>2.0210258222E+17</v>
      </c>
      <c r="B5525" s="4">
        <v>5988801182</v>
      </c>
      <c r="C5525" s="4" t="s">
        <v>1675</v>
      </c>
      <c r="D5525" s="4">
        <v>58222</v>
      </c>
      <c r="E5525" s="4">
        <v>20210215</v>
      </c>
      <c r="F5525" s="4">
        <v>20210215</v>
      </c>
      <c r="G5525" s="4">
        <v>20240215</v>
      </c>
      <c r="H5525" s="4" t="s">
        <v>1674</v>
      </c>
      <c r="I5525" s="4" t="s">
        <v>1673</v>
      </c>
      <c r="J5525" s="4" t="s">
        <v>94</v>
      </c>
    </row>
    <row r="5526" spans="1:10" hidden="1">
      <c r="A5526" s="4">
        <v>2.0210271531E+17</v>
      </c>
      <c r="B5526" s="4">
        <v>6798101842</v>
      </c>
      <c r="C5526" s="4" t="s">
        <v>1672</v>
      </c>
      <c r="D5526" s="4">
        <v>71531</v>
      </c>
      <c r="E5526" s="4">
        <v>20210215</v>
      </c>
      <c r="F5526" s="4">
        <v>20210215</v>
      </c>
      <c r="G5526" s="4">
        <v>20240215</v>
      </c>
      <c r="H5526" s="4" t="s">
        <v>1671</v>
      </c>
      <c r="I5526" s="4" t="s">
        <v>1670</v>
      </c>
      <c r="J5526" s="4" t="s">
        <v>87</v>
      </c>
    </row>
    <row r="5527" spans="1:10" hidden="1">
      <c r="A5527" s="4">
        <v>2.0210228111E+17</v>
      </c>
      <c r="B5527" s="4">
        <v>7238601542</v>
      </c>
      <c r="C5527" s="4" t="s">
        <v>1669</v>
      </c>
      <c r="D5527" s="4">
        <v>28111</v>
      </c>
      <c r="E5527" s="4">
        <v>20210215</v>
      </c>
      <c r="F5527" s="4">
        <v>20210215</v>
      </c>
      <c r="G5527" s="4">
        <v>20240215</v>
      </c>
      <c r="H5527" s="4" t="s">
        <v>1668</v>
      </c>
      <c r="J5527" s="4" t="s">
        <v>1614</v>
      </c>
    </row>
    <row r="5528" spans="1:10" hidden="1">
      <c r="A5528" s="4">
        <v>2.021022921E+17</v>
      </c>
      <c r="B5528" s="4">
        <v>5038801753</v>
      </c>
      <c r="C5528" s="4" t="s">
        <v>1667</v>
      </c>
      <c r="D5528" s="4">
        <v>29210</v>
      </c>
      <c r="E5528" s="4">
        <v>20210215</v>
      </c>
      <c r="F5528" s="4">
        <v>20210215</v>
      </c>
      <c r="G5528" s="4">
        <v>20240215</v>
      </c>
      <c r="H5528" s="4" t="s">
        <v>1666</v>
      </c>
      <c r="I5528" s="4" t="s">
        <v>1665</v>
      </c>
      <c r="J5528" s="4" t="s">
        <v>1274</v>
      </c>
    </row>
    <row r="5529" spans="1:10" hidden="1">
      <c r="A5529" s="4">
        <v>2.0210258221E+17</v>
      </c>
      <c r="B5529" s="4">
        <v>3528101122</v>
      </c>
      <c r="C5529" s="4" t="s">
        <v>1664</v>
      </c>
      <c r="D5529" s="4">
        <v>58221</v>
      </c>
      <c r="E5529" s="4">
        <v>20210215</v>
      </c>
      <c r="F5529" s="4">
        <v>20210215</v>
      </c>
      <c r="G5529" s="4">
        <v>20240215</v>
      </c>
      <c r="H5529" s="4" t="s">
        <v>713</v>
      </c>
      <c r="I5529" s="4" t="s">
        <v>1663</v>
      </c>
      <c r="J5529" s="4" t="s">
        <v>228</v>
      </c>
    </row>
    <row r="5530" spans="1:10" hidden="1">
      <c r="A5530" s="4">
        <v>2.0210287299E+17</v>
      </c>
      <c r="B5530" s="4">
        <v>6908701822</v>
      </c>
      <c r="C5530" s="4" t="s">
        <v>1662</v>
      </c>
      <c r="D5530" s="4">
        <v>87299</v>
      </c>
      <c r="E5530" s="4">
        <v>20210215</v>
      </c>
      <c r="F5530" s="4">
        <v>20210215</v>
      </c>
      <c r="G5530" s="4">
        <v>20240215</v>
      </c>
      <c r="H5530" s="4" t="s">
        <v>1661</v>
      </c>
      <c r="I5530" s="4" t="s">
        <v>1021</v>
      </c>
      <c r="J5530" s="4" t="s">
        <v>1660</v>
      </c>
    </row>
    <row r="5531" spans="1:10" hidden="1">
      <c r="A5531" s="4">
        <v>2.0210258222E+17</v>
      </c>
      <c r="B5531" s="4">
        <v>7838701992</v>
      </c>
      <c r="C5531" s="4" t="s">
        <v>1659</v>
      </c>
      <c r="D5531" s="4">
        <v>58222</v>
      </c>
      <c r="E5531" s="4">
        <v>20210215</v>
      </c>
      <c r="F5531" s="4">
        <v>20210215</v>
      </c>
      <c r="G5531" s="4">
        <v>20240215</v>
      </c>
      <c r="H5531" s="4" t="s">
        <v>1658</v>
      </c>
      <c r="J5531" s="4" t="s">
        <v>94</v>
      </c>
    </row>
    <row r="5532" spans="1:10" hidden="1">
      <c r="A5532" s="4">
        <v>2.0210270129E+17</v>
      </c>
      <c r="B5532" s="4">
        <v>8388602159</v>
      </c>
      <c r="C5532" s="4" t="s">
        <v>1657</v>
      </c>
      <c r="D5532" s="4">
        <v>70129</v>
      </c>
      <c r="E5532" s="4">
        <v>20210215</v>
      </c>
      <c r="F5532" s="4">
        <v>20210215</v>
      </c>
      <c r="G5532" s="4">
        <v>20240215</v>
      </c>
      <c r="H5532" s="4" t="s">
        <v>1656</v>
      </c>
      <c r="I5532" s="4" t="s">
        <v>1655</v>
      </c>
      <c r="J5532" s="4" t="s">
        <v>937</v>
      </c>
    </row>
    <row r="5533" spans="1:10" hidden="1">
      <c r="A5533" s="4">
        <v>2.021024651E+17</v>
      </c>
      <c r="B5533" s="4">
        <v>1998101308</v>
      </c>
      <c r="C5533" s="4" t="s">
        <v>1654</v>
      </c>
      <c r="D5533" s="4">
        <v>46510</v>
      </c>
      <c r="E5533" s="4">
        <v>20210214</v>
      </c>
      <c r="F5533" s="4">
        <v>20210214</v>
      </c>
      <c r="G5533" s="4">
        <v>20240214</v>
      </c>
      <c r="H5533" s="4" t="s">
        <v>1653</v>
      </c>
      <c r="I5533" s="4" t="s">
        <v>1652</v>
      </c>
      <c r="J5533" s="4" t="s">
        <v>126</v>
      </c>
    </row>
    <row r="5534" spans="1:10" hidden="1">
      <c r="A5534" s="4">
        <v>2.021024242E+17</v>
      </c>
      <c r="B5534" s="4">
        <v>3378601394</v>
      </c>
      <c r="C5534" s="4" t="s">
        <v>1651</v>
      </c>
      <c r="D5534" s="4">
        <v>42420</v>
      </c>
      <c r="E5534" s="4">
        <v>20210214</v>
      </c>
      <c r="F5534" s="4">
        <v>20210214</v>
      </c>
      <c r="G5534" s="4">
        <v>20240214</v>
      </c>
      <c r="H5534" s="4" t="s">
        <v>1650</v>
      </c>
      <c r="I5534" s="4" t="s">
        <v>1156</v>
      </c>
      <c r="J5534" s="4" t="s">
        <v>1649</v>
      </c>
    </row>
    <row r="5535" spans="1:10" hidden="1">
      <c r="A5535" s="4">
        <v>2.0210258222E+17</v>
      </c>
      <c r="B5535" s="4">
        <v>2082272769</v>
      </c>
      <c r="C5535" s="4" t="s">
        <v>1648</v>
      </c>
      <c r="D5535" s="4">
        <v>58222</v>
      </c>
      <c r="E5535" s="4">
        <v>20210214</v>
      </c>
      <c r="F5535" s="4">
        <v>20210214</v>
      </c>
      <c r="G5535" s="4">
        <v>20240214</v>
      </c>
      <c r="H5535" s="4" t="s">
        <v>1647</v>
      </c>
      <c r="I5535" s="4" t="s">
        <v>1646</v>
      </c>
      <c r="J5535" s="4" t="s">
        <v>94</v>
      </c>
    </row>
    <row r="5536" spans="1:10" hidden="1">
      <c r="A5536" s="4">
        <v>2.021027013E+17</v>
      </c>
      <c r="B5536" s="4">
        <v>2012467648</v>
      </c>
      <c r="C5536" s="4" t="s">
        <v>1645</v>
      </c>
      <c r="D5536" s="4">
        <v>70130</v>
      </c>
      <c r="E5536" s="4">
        <v>20210214</v>
      </c>
      <c r="F5536" s="4">
        <v>20210214</v>
      </c>
      <c r="G5536" s="4">
        <v>20240214</v>
      </c>
      <c r="H5536" s="4" t="s">
        <v>1644</v>
      </c>
      <c r="I5536" s="4" t="s">
        <v>1643</v>
      </c>
      <c r="J5536" s="4" t="s">
        <v>170</v>
      </c>
    </row>
    <row r="5537" spans="1:10" hidden="1">
      <c r="A5537" s="4">
        <v>2.0210225932E+17</v>
      </c>
      <c r="B5537" s="4">
        <v>3502100588</v>
      </c>
      <c r="C5537" s="4" t="s">
        <v>1642</v>
      </c>
      <c r="D5537" s="4">
        <v>25932</v>
      </c>
      <c r="E5537" s="4">
        <v>20210214</v>
      </c>
      <c r="F5537" s="4">
        <v>20210214</v>
      </c>
      <c r="G5537" s="4">
        <v>20240214</v>
      </c>
      <c r="H5537" s="4" t="s">
        <v>1641</v>
      </c>
      <c r="J5537" s="4" t="s">
        <v>246</v>
      </c>
    </row>
    <row r="5538" spans="1:10" hidden="1">
      <c r="A5538" s="4">
        <v>2.0210228511E+17</v>
      </c>
      <c r="B5538" s="4">
        <v>4948801648</v>
      </c>
      <c r="C5538" s="4" t="s">
        <v>1640</v>
      </c>
      <c r="D5538" s="4">
        <v>28511</v>
      </c>
      <c r="E5538" s="4">
        <v>20210214</v>
      </c>
      <c r="F5538" s="4">
        <v>20210214</v>
      </c>
      <c r="G5538" s="4">
        <v>20240214</v>
      </c>
      <c r="H5538" s="4" t="s">
        <v>1639</v>
      </c>
      <c r="J5538" s="4" t="s">
        <v>928</v>
      </c>
    </row>
    <row r="5539" spans="1:10" hidden="1">
      <c r="A5539" s="4">
        <v>2.0210228422E+17</v>
      </c>
      <c r="B5539" s="4">
        <v>7628101649</v>
      </c>
      <c r="C5539" s="4" t="s">
        <v>1638</v>
      </c>
      <c r="D5539" s="4">
        <v>28422</v>
      </c>
      <c r="E5539" s="4">
        <v>20210214</v>
      </c>
      <c r="F5539" s="4">
        <v>20210214</v>
      </c>
      <c r="G5539" s="4">
        <v>20240214</v>
      </c>
      <c r="H5539" s="4" t="s">
        <v>1637</v>
      </c>
      <c r="I5539" s="4" t="s">
        <v>1636</v>
      </c>
      <c r="J5539" s="4" t="s">
        <v>188</v>
      </c>
    </row>
    <row r="5540" spans="1:10" hidden="1">
      <c r="A5540" s="4">
        <v>2.021026201E+17</v>
      </c>
      <c r="B5540" s="4">
        <v>4538101347</v>
      </c>
      <c r="C5540" s="4" t="s">
        <v>1635</v>
      </c>
      <c r="D5540" s="4">
        <v>62010</v>
      </c>
      <c r="E5540" s="4">
        <v>20210214</v>
      </c>
      <c r="F5540" s="4">
        <v>20210214</v>
      </c>
      <c r="G5540" s="4">
        <v>20240214</v>
      </c>
      <c r="H5540" s="4" t="s">
        <v>1634</v>
      </c>
      <c r="I5540" s="4" t="s">
        <v>1633</v>
      </c>
      <c r="J5540" s="4" t="s">
        <v>118</v>
      </c>
    </row>
    <row r="5541" spans="1:10" hidden="1">
      <c r="A5541" s="4">
        <v>2.02102714E+17</v>
      </c>
      <c r="B5541" s="4">
        <v>5818801729</v>
      </c>
      <c r="C5541" s="4" t="s">
        <v>1632</v>
      </c>
      <c r="D5541" s="4">
        <v>71400</v>
      </c>
      <c r="E5541" s="4">
        <v>20210214</v>
      </c>
      <c r="F5541" s="4">
        <v>20210214</v>
      </c>
      <c r="G5541" s="4">
        <v>20240214</v>
      </c>
      <c r="H5541" s="4" t="s">
        <v>1631</v>
      </c>
      <c r="I5541" s="4" t="s">
        <v>1630</v>
      </c>
      <c r="J5541" s="4" t="s">
        <v>1629</v>
      </c>
    </row>
    <row r="5542" spans="1:10" hidden="1">
      <c r="A5542" s="4">
        <v>2.0210229132E+17</v>
      </c>
      <c r="B5542" s="4">
        <v>3448101024</v>
      </c>
      <c r="C5542" s="4" t="s">
        <v>1628</v>
      </c>
      <c r="D5542" s="4">
        <v>29132</v>
      </c>
      <c r="E5542" s="4">
        <v>20210211</v>
      </c>
      <c r="F5542" s="4">
        <v>20210211</v>
      </c>
      <c r="G5542" s="4">
        <v>20240211</v>
      </c>
      <c r="H5542" s="4" t="s">
        <v>1627</v>
      </c>
      <c r="I5542" s="4" t="s">
        <v>1626</v>
      </c>
      <c r="J5542" s="4" t="s">
        <v>1083</v>
      </c>
    </row>
    <row r="5543" spans="1:10" hidden="1">
      <c r="A5543" s="4">
        <v>2.0210228909E+17</v>
      </c>
      <c r="B5543" s="4">
        <v>7471100556</v>
      </c>
      <c r="C5543" s="4" t="s">
        <v>1625</v>
      </c>
      <c r="D5543" s="4">
        <v>28909</v>
      </c>
      <c r="E5543" s="4">
        <v>20210211</v>
      </c>
      <c r="F5543" s="4">
        <v>20210211</v>
      </c>
      <c r="G5543" s="4">
        <v>20240117</v>
      </c>
      <c r="H5543" s="4" t="s">
        <v>1624</v>
      </c>
      <c r="J5543" s="4" t="s">
        <v>253</v>
      </c>
    </row>
    <row r="5544" spans="1:10" hidden="1">
      <c r="A5544" s="4">
        <v>2.0210214411E+17</v>
      </c>
      <c r="B5544" s="4">
        <v>4571300996</v>
      </c>
      <c r="C5544" s="4" t="s">
        <v>1623</v>
      </c>
      <c r="D5544" s="4">
        <v>14411</v>
      </c>
      <c r="E5544" s="4">
        <v>20210211</v>
      </c>
      <c r="F5544" s="4">
        <v>20210211</v>
      </c>
      <c r="G5544" s="4">
        <v>20240211</v>
      </c>
      <c r="H5544" s="4" t="s">
        <v>1622</v>
      </c>
      <c r="I5544" s="4" t="s">
        <v>1064</v>
      </c>
      <c r="J5544" s="4" t="s">
        <v>1621</v>
      </c>
    </row>
    <row r="5545" spans="1:10" hidden="1">
      <c r="A5545" s="4">
        <v>2.0210222223E+17</v>
      </c>
      <c r="B5545" s="4">
        <v>2030814074</v>
      </c>
      <c r="C5545" s="4" t="s">
        <v>1620</v>
      </c>
      <c r="D5545" s="4">
        <v>22223</v>
      </c>
      <c r="E5545" s="4">
        <v>20210211</v>
      </c>
      <c r="F5545" s="4">
        <v>20210211</v>
      </c>
      <c r="G5545" s="4">
        <v>20240211</v>
      </c>
      <c r="H5545" s="4" t="s">
        <v>1619</v>
      </c>
      <c r="J5545" s="4" t="s">
        <v>1618</v>
      </c>
    </row>
    <row r="5546" spans="1:10" hidden="1">
      <c r="A5546" s="4">
        <v>2.0210228111E+17</v>
      </c>
      <c r="B5546" s="4">
        <v>1748101110</v>
      </c>
      <c r="C5546" s="4" t="s">
        <v>1617</v>
      </c>
      <c r="D5546" s="4">
        <v>28111</v>
      </c>
      <c r="E5546" s="4">
        <v>20210210</v>
      </c>
      <c r="F5546" s="4">
        <v>20210210</v>
      </c>
      <c r="G5546" s="4">
        <v>20240210</v>
      </c>
      <c r="H5546" s="4" t="s">
        <v>1616</v>
      </c>
      <c r="I5546" s="4" t="s">
        <v>1615</v>
      </c>
      <c r="J5546" s="4" t="s">
        <v>1614</v>
      </c>
    </row>
    <row r="5547" spans="1:10" hidden="1">
      <c r="A5547" s="4">
        <v>2.0210258221E+17</v>
      </c>
      <c r="B5547" s="4">
        <v>2728801261</v>
      </c>
      <c r="C5547" s="4" t="s">
        <v>1613</v>
      </c>
      <c r="D5547" s="4">
        <v>58221</v>
      </c>
      <c r="E5547" s="4">
        <v>20210210</v>
      </c>
      <c r="F5547" s="4">
        <v>20210210</v>
      </c>
      <c r="G5547" s="4">
        <v>20240210</v>
      </c>
      <c r="H5547" s="4" t="s">
        <v>1612</v>
      </c>
      <c r="I5547" s="4" t="s">
        <v>1611</v>
      </c>
      <c r="J5547" s="4" t="s">
        <v>228</v>
      </c>
    </row>
    <row r="5548" spans="1:10" hidden="1">
      <c r="A5548" s="4">
        <v>2.0210270111E+17</v>
      </c>
      <c r="B5548" s="4">
        <v>1468701612</v>
      </c>
      <c r="C5548" s="4" t="s">
        <v>1610</v>
      </c>
      <c r="D5548" s="4">
        <v>70111</v>
      </c>
      <c r="E5548" s="4">
        <v>20210210</v>
      </c>
      <c r="F5548" s="4">
        <v>20210210</v>
      </c>
      <c r="G5548" s="4">
        <v>20240210</v>
      </c>
      <c r="H5548" s="4" t="s">
        <v>1609</v>
      </c>
      <c r="I5548" s="4" t="s">
        <v>1608</v>
      </c>
      <c r="J5548" s="4" t="s">
        <v>399</v>
      </c>
    </row>
    <row r="5549" spans="1:10" hidden="1">
      <c r="A5549" s="4">
        <v>2.0210241221E+17</v>
      </c>
      <c r="B5549" s="4">
        <v>4728601154</v>
      </c>
      <c r="C5549" s="4" t="s">
        <v>1607</v>
      </c>
      <c r="D5549" s="4">
        <v>41221</v>
      </c>
      <c r="E5549" s="4">
        <v>20210210</v>
      </c>
      <c r="F5549" s="4">
        <v>20210210</v>
      </c>
      <c r="G5549" s="4">
        <v>20240210</v>
      </c>
      <c r="H5549" s="4" t="s">
        <v>1606</v>
      </c>
      <c r="I5549" s="4" t="s">
        <v>1403</v>
      </c>
      <c r="J5549" s="4" t="s">
        <v>1605</v>
      </c>
    </row>
    <row r="5550" spans="1:10" hidden="1">
      <c r="A5550" s="4">
        <v>2.021026201E+17</v>
      </c>
      <c r="B5550" s="4">
        <v>1951401416</v>
      </c>
      <c r="C5550" s="4" t="s">
        <v>1604</v>
      </c>
      <c r="D5550" s="4">
        <v>62010</v>
      </c>
      <c r="E5550" s="4">
        <v>20210210</v>
      </c>
      <c r="F5550" s="4">
        <v>20210210</v>
      </c>
      <c r="G5550" s="4">
        <v>20240210</v>
      </c>
      <c r="H5550" s="4" t="s">
        <v>1603</v>
      </c>
      <c r="I5550" s="4" t="s">
        <v>1602</v>
      </c>
      <c r="J5550" s="4" t="s">
        <v>118</v>
      </c>
    </row>
    <row r="5551" spans="1:10" hidden="1">
      <c r="A5551" s="4">
        <v>2.0210258222E+17</v>
      </c>
      <c r="B5551" s="4">
        <v>7308801826</v>
      </c>
      <c r="C5551" s="4" t="s">
        <v>1601</v>
      </c>
      <c r="D5551" s="4">
        <v>58222</v>
      </c>
      <c r="E5551" s="4">
        <v>20210210</v>
      </c>
      <c r="F5551" s="4">
        <v>20210210</v>
      </c>
      <c r="G5551" s="4">
        <v>20240210</v>
      </c>
      <c r="H5551" s="4" t="s">
        <v>1600</v>
      </c>
      <c r="I5551" s="4" t="s">
        <v>1599</v>
      </c>
      <c r="J5551" s="4" t="s">
        <v>94</v>
      </c>
    </row>
    <row r="5552" spans="1:10" hidden="1">
      <c r="A5552" s="4">
        <v>2.0210233209E+17</v>
      </c>
      <c r="B5552" s="4">
        <v>5142710358</v>
      </c>
      <c r="C5552" s="4" t="s">
        <v>1598</v>
      </c>
      <c r="D5552" s="4">
        <v>33209</v>
      </c>
      <c r="E5552" s="4">
        <v>20210210</v>
      </c>
      <c r="F5552" s="4">
        <v>20210210</v>
      </c>
      <c r="G5552" s="4">
        <v>20220109</v>
      </c>
      <c r="H5552" s="4" t="s">
        <v>1597</v>
      </c>
      <c r="I5552" s="4" t="s">
        <v>1596</v>
      </c>
      <c r="J5552" s="4" t="s">
        <v>1595</v>
      </c>
    </row>
    <row r="5553" spans="1:10" hidden="1">
      <c r="A5553" s="4">
        <v>2.0210226129E+17</v>
      </c>
      <c r="B5553" s="4">
        <v>1232589863</v>
      </c>
      <c r="C5553" s="4" t="s">
        <v>1594</v>
      </c>
      <c r="D5553" s="4">
        <v>26129</v>
      </c>
      <c r="E5553" s="4">
        <v>20210210</v>
      </c>
      <c r="F5553" s="4">
        <v>20210210</v>
      </c>
      <c r="G5553" s="4">
        <v>20210801</v>
      </c>
      <c r="H5553" s="4" t="s">
        <v>1593</v>
      </c>
      <c r="I5553" s="4" t="s">
        <v>1592</v>
      </c>
      <c r="J5553" s="4" t="s">
        <v>403</v>
      </c>
    </row>
    <row r="5554" spans="1:10" hidden="1">
      <c r="A5554" s="4">
        <v>2.0210211209E+17</v>
      </c>
      <c r="B5554" s="4">
        <v>6878100451</v>
      </c>
      <c r="C5554" s="4" t="s">
        <v>1591</v>
      </c>
      <c r="D5554" s="4">
        <v>11209</v>
      </c>
      <c r="E5554" s="4">
        <v>20210210</v>
      </c>
      <c r="F5554" s="4">
        <v>20210210</v>
      </c>
      <c r="G5554" s="4">
        <v>20230407</v>
      </c>
      <c r="H5554" s="4" t="s">
        <v>1590</v>
      </c>
      <c r="I5554" s="4" t="s">
        <v>1589</v>
      </c>
      <c r="J5554" s="4" t="s">
        <v>628</v>
      </c>
    </row>
    <row r="5555" spans="1:10" hidden="1">
      <c r="A5555" s="4">
        <v>2.0210227211E+17</v>
      </c>
      <c r="B5555" s="4">
        <v>8758601464</v>
      </c>
      <c r="C5555" s="4" t="s">
        <v>1588</v>
      </c>
      <c r="D5555" s="4">
        <v>27211</v>
      </c>
      <c r="E5555" s="4">
        <v>20210210</v>
      </c>
      <c r="F5555" s="4">
        <v>20210210</v>
      </c>
      <c r="G5555" s="4">
        <v>20240210</v>
      </c>
      <c r="H5555" s="4" t="s">
        <v>1587</v>
      </c>
      <c r="I5555" s="4" t="s">
        <v>1586</v>
      </c>
      <c r="J5555" s="4" t="s">
        <v>1585</v>
      </c>
    </row>
    <row r="5556" spans="1:10" hidden="1">
      <c r="A5556" s="4">
        <v>2.0210231312E+17</v>
      </c>
      <c r="B5556" s="4">
        <v>1510101769</v>
      </c>
      <c r="C5556" s="4" t="s">
        <v>1584</v>
      </c>
      <c r="D5556" s="4">
        <v>31312</v>
      </c>
      <c r="E5556" s="4">
        <v>20210210</v>
      </c>
      <c r="F5556" s="4">
        <v>20210210</v>
      </c>
      <c r="G5556" s="4">
        <v>20240210</v>
      </c>
      <c r="H5556" s="4" t="s">
        <v>1074</v>
      </c>
      <c r="I5556" s="4" t="s">
        <v>1583</v>
      </c>
      <c r="J5556" s="4" t="s">
        <v>748</v>
      </c>
    </row>
    <row r="5557" spans="1:10" hidden="1">
      <c r="A5557" s="4">
        <v>2.0210228123E+17</v>
      </c>
      <c r="B5557" s="4">
        <v>6201466574</v>
      </c>
      <c r="C5557" s="4" t="s">
        <v>1582</v>
      </c>
      <c r="D5557" s="4">
        <v>28123</v>
      </c>
      <c r="E5557" s="4">
        <v>20210210</v>
      </c>
      <c r="F5557" s="4">
        <v>20210210</v>
      </c>
      <c r="G5557" s="4">
        <v>20220113</v>
      </c>
      <c r="H5557" s="4" t="s">
        <v>1581</v>
      </c>
      <c r="I5557" s="4" t="s">
        <v>1580</v>
      </c>
      <c r="J5557" s="4" t="s">
        <v>640</v>
      </c>
    </row>
    <row r="5558" spans="1:10" hidden="1">
      <c r="A5558" s="4">
        <v>2.0210258222E+17</v>
      </c>
      <c r="B5558" s="4">
        <v>1063291038</v>
      </c>
      <c r="C5558" s="4" t="s">
        <v>1579</v>
      </c>
      <c r="D5558" s="4">
        <v>58222</v>
      </c>
      <c r="E5558" s="4">
        <v>20210210</v>
      </c>
      <c r="F5558" s="4">
        <v>20210210</v>
      </c>
      <c r="G5558" s="4">
        <v>20240210</v>
      </c>
      <c r="H5558" s="4" t="s">
        <v>1578</v>
      </c>
      <c r="I5558" s="4" t="s">
        <v>1577</v>
      </c>
      <c r="J5558" s="4" t="s">
        <v>94</v>
      </c>
    </row>
    <row r="5559" spans="1:10" hidden="1">
      <c r="A5559" s="4">
        <v>2.0210263991E+17</v>
      </c>
      <c r="B5559" s="4">
        <v>8768601512</v>
      </c>
      <c r="C5559" s="4" t="s">
        <v>1576</v>
      </c>
      <c r="D5559" s="4">
        <v>63991</v>
      </c>
      <c r="E5559" s="4">
        <v>20210210</v>
      </c>
      <c r="F5559" s="4">
        <v>20210210</v>
      </c>
      <c r="G5559" s="4">
        <v>20240210</v>
      </c>
      <c r="H5559" s="4" t="s">
        <v>1575</v>
      </c>
      <c r="I5559" s="4" t="s">
        <v>1574</v>
      </c>
      <c r="J5559" s="4" t="s">
        <v>395</v>
      </c>
    </row>
    <row r="5560" spans="1:10" hidden="1">
      <c r="A5560" s="4">
        <v>2.0210226519E+17</v>
      </c>
      <c r="B5560" s="4">
        <v>4088613149</v>
      </c>
      <c r="C5560" s="4" t="s">
        <v>1573</v>
      </c>
      <c r="D5560" s="4">
        <v>26519</v>
      </c>
      <c r="E5560" s="4">
        <v>20210210</v>
      </c>
      <c r="F5560" s="4">
        <v>20210210</v>
      </c>
      <c r="G5560" s="4">
        <v>20211204</v>
      </c>
      <c r="H5560" s="4" t="s">
        <v>1572</v>
      </c>
      <c r="I5560" s="4" t="s">
        <v>1571</v>
      </c>
      <c r="J5560" s="4" t="s">
        <v>668</v>
      </c>
    </row>
    <row r="5561" spans="1:10" hidden="1">
      <c r="A5561" s="4">
        <v>2.0210229174E+17</v>
      </c>
      <c r="B5561" s="4">
        <v>5388600076</v>
      </c>
      <c r="C5561" s="4" t="s">
        <v>1570</v>
      </c>
      <c r="D5561" s="4">
        <v>29174</v>
      </c>
      <c r="E5561" s="4">
        <v>20210210</v>
      </c>
      <c r="F5561" s="4">
        <v>20210210</v>
      </c>
      <c r="G5561" s="4">
        <v>20220630</v>
      </c>
      <c r="H5561" s="4" t="s">
        <v>1569</v>
      </c>
      <c r="I5561" s="4" t="s">
        <v>1568</v>
      </c>
      <c r="J5561" s="4" t="s">
        <v>877</v>
      </c>
    </row>
    <row r="5562" spans="1:10" hidden="1">
      <c r="A5562" s="4">
        <v>2.0210258222E+17</v>
      </c>
      <c r="B5562" s="4">
        <v>4478700573</v>
      </c>
      <c r="C5562" s="4" t="s">
        <v>1567</v>
      </c>
      <c r="D5562" s="4">
        <v>58222</v>
      </c>
      <c r="E5562" s="4">
        <v>20210210</v>
      </c>
      <c r="F5562" s="4">
        <v>20210210</v>
      </c>
      <c r="G5562" s="4">
        <v>20240102</v>
      </c>
      <c r="H5562" s="4" t="s">
        <v>1566</v>
      </c>
      <c r="I5562" s="4" t="s">
        <v>142</v>
      </c>
      <c r="J5562" s="4" t="s">
        <v>94</v>
      </c>
    </row>
    <row r="5563" spans="1:10" hidden="1">
      <c r="A5563" s="4">
        <v>2.0210228422E+17</v>
      </c>
      <c r="B5563" s="4">
        <v>1858601925</v>
      </c>
      <c r="C5563" s="4" t="s">
        <v>1565</v>
      </c>
      <c r="D5563" s="4">
        <v>28422</v>
      </c>
      <c r="E5563" s="4">
        <v>20210210</v>
      </c>
      <c r="F5563" s="4">
        <v>20210210</v>
      </c>
      <c r="G5563" s="4">
        <v>20240210</v>
      </c>
      <c r="H5563" s="4" t="s">
        <v>1564</v>
      </c>
      <c r="I5563" s="4" t="s">
        <v>149</v>
      </c>
      <c r="J5563" s="4" t="s">
        <v>188</v>
      </c>
    </row>
    <row r="5564" spans="1:10" hidden="1">
      <c r="A5564" s="4">
        <v>2.0210258221E+17</v>
      </c>
      <c r="B5564" s="4">
        <v>4788700596</v>
      </c>
      <c r="C5564" s="4" t="s">
        <v>1563</v>
      </c>
      <c r="D5564" s="4">
        <v>58221</v>
      </c>
      <c r="E5564" s="4">
        <v>20210210</v>
      </c>
      <c r="F5564" s="4">
        <v>20210210</v>
      </c>
      <c r="G5564" s="4">
        <v>20240210</v>
      </c>
      <c r="H5564" s="4" t="s">
        <v>1562</v>
      </c>
      <c r="I5564" s="4" t="s">
        <v>1561</v>
      </c>
      <c r="J5564" s="4" t="s">
        <v>228</v>
      </c>
    </row>
    <row r="5565" spans="1:10" hidden="1">
      <c r="A5565" s="4">
        <v>2.0210258222E+17</v>
      </c>
      <c r="B5565" s="4">
        <v>7848801240</v>
      </c>
      <c r="C5565" s="4" t="s">
        <v>1560</v>
      </c>
      <c r="D5565" s="4">
        <v>58222</v>
      </c>
      <c r="E5565" s="4">
        <v>20210210</v>
      </c>
      <c r="F5565" s="4">
        <v>20210210</v>
      </c>
      <c r="G5565" s="4">
        <v>20240210</v>
      </c>
      <c r="H5565" s="4" t="s">
        <v>1559</v>
      </c>
      <c r="J5565" s="4" t="s">
        <v>94</v>
      </c>
    </row>
    <row r="5566" spans="1:10" hidden="1">
      <c r="A5566" s="4">
        <v>2.0210231312E+17</v>
      </c>
      <c r="B5566" s="4">
        <v>7878601532</v>
      </c>
      <c r="C5566" s="4" t="s">
        <v>1558</v>
      </c>
      <c r="D5566" s="4">
        <v>31312</v>
      </c>
      <c r="E5566" s="4">
        <v>20210210</v>
      </c>
      <c r="F5566" s="4">
        <v>20210210</v>
      </c>
      <c r="G5566" s="4">
        <v>20240210</v>
      </c>
      <c r="H5566" s="4" t="s">
        <v>1557</v>
      </c>
      <c r="I5566" s="4" t="s">
        <v>1556</v>
      </c>
      <c r="J5566" s="4" t="s">
        <v>748</v>
      </c>
    </row>
    <row r="5567" spans="1:10" hidden="1">
      <c r="A5567" s="4">
        <v>2.0210225111E+17</v>
      </c>
      <c r="B5567" s="4">
        <v>3678100431</v>
      </c>
      <c r="C5567" s="4" t="s">
        <v>1555</v>
      </c>
      <c r="D5567" s="4">
        <v>25111</v>
      </c>
      <c r="E5567" s="4">
        <v>20210210</v>
      </c>
      <c r="F5567" s="4">
        <v>20210210</v>
      </c>
      <c r="G5567" s="4">
        <v>20230503</v>
      </c>
      <c r="H5567" s="4" t="s">
        <v>1554</v>
      </c>
      <c r="I5567" s="4" t="s">
        <v>1553</v>
      </c>
      <c r="J5567" s="4" t="s">
        <v>82</v>
      </c>
    </row>
    <row r="5568" spans="1:10" hidden="1">
      <c r="A5568" s="4">
        <v>2.0210273909E+17</v>
      </c>
      <c r="B5568" s="4">
        <v>6818701401</v>
      </c>
      <c r="C5568" s="4" t="s">
        <v>1552</v>
      </c>
      <c r="D5568" s="4">
        <v>73909</v>
      </c>
      <c r="E5568" s="4">
        <v>20210210</v>
      </c>
      <c r="F5568" s="4">
        <v>20210210</v>
      </c>
      <c r="G5568" s="4">
        <v>20240210</v>
      </c>
      <c r="H5568" s="4" t="s">
        <v>1551</v>
      </c>
      <c r="I5568" s="4" t="s">
        <v>1550</v>
      </c>
      <c r="J5568" s="4" t="s">
        <v>293</v>
      </c>
    </row>
    <row r="5569" spans="1:10" hidden="1">
      <c r="A5569" s="4">
        <v>2.0210228123E+17</v>
      </c>
      <c r="B5569" s="4">
        <v>8628101459</v>
      </c>
      <c r="C5569" s="4" t="s">
        <v>1549</v>
      </c>
      <c r="D5569" s="4">
        <v>28123</v>
      </c>
      <c r="E5569" s="4">
        <v>20210210</v>
      </c>
      <c r="F5569" s="4">
        <v>20210210</v>
      </c>
      <c r="G5569" s="4">
        <v>20240210</v>
      </c>
      <c r="H5569" s="4" t="s">
        <v>849</v>
      </c>
      <c r="I5569" s="4" t="s">
        <v>1548</v>
      </c>
      <c r="J5569" s="4" t="s">
        <v>640</v>
      </c>
    </row>
    <row r="5570" spans="1:10" hidden="1">
      <c r="A5570" s="4">
        <v>2.021026312E+17</v>
      </c>
      <c r="B5570" s="4">
        <v>8518600998</v>
      </c>
      <c r="C5570" s="4" t="s">
        <v>1547</v>
      </c>
      <c r="D5570" s="4">
        <v>63120</v>
      </c>
      <c r="E5570" s="4">
        <v>20210210</v>
      </c>
      <c r="F5570" s="4">
        <v>20210210</v>
      </c>
      <c r="G5570" s="4">
        <v>20240210</v>
      </c>
      <c r="H5570" s="4" t="s">
        <v>1546</v>
      </c>
      <c r="I5570" s="4" t="s">
        <v>1545</v>
      </c>
      <c r="J5570" s="4" t="s">
        <v>632</v>
      </c>
    </row>
    <row r="5571" spans="1:10" hidden="1">
      <c r="A5571" s="4">
        <v>2.0210225111E+17</v>
      </c>
      <c r="B5571" s="4">
        <v>7348100664</v>
      </c>
      <c r="C5571" s="4" t="s">
        <v>1543</v>
      </c>
      <c r="D5571" s="4">
        <v>25111</v>
      </c>
      <c r="E5571" s="4">
        <v>20210210</v>
      </c>
      <c r="F5571" s="4">
        <v>20210210</v>
      </c>
      <c r="G5571" s="4">
        <v>20240123</v>
      </c>
      <c r="H5571" s="4" t="s">
        <v>1544</v>
      </c>
      <c r="I5571" s="4" t="s">
        <v>1543</v>
      </c>
      <c r="J5571" s="4" t="s">
        <v>82</v>
      </c>
    </row>
    <row r="5572" spans="1:10" hidden="1">
      <c r="A5572" s="4">
        <v>2.0210273902E+17</v>
      </c>
      <c r="B5572" s="4">
        <v>1485400101</v>
      </c>
      <c r="C5572" s="4" t="s">
        <v>1541</v>
      </c>
      <c r="D5572" s="4">
        <v>73902</v>
      </c>
      <c r="E5572" s="4">
        <v>20210210</v>
      </c>
      <c r="F5572" s="4">
        <v>20210210</v>
      </c>
      <c r="G5572" s="4">
        <v>20230401</v>
      </c>
      <c r="H5572" s="4" t="s">
        <v>1542</v>
      </c>
      <c r="I5572" s="4" t="s">
        <v>1541</v>
      </c>
      <c r="J5572" s="4" t="s">
        <v>1540</v>
      </c>
    </row>
    <row r="5573" spans="1:10" hidden="1">
      <c r="A5573" s="4">
        <v>2.021023391E+17</v>
      </c>
      <c r="B5573" s="4">
        <v>2241749081</v>
      </c>
      <c r="C5573" s="4" t="s">
        <v>1539</v>
      </c>
      <c r="D5573" s="4">
        <v>33910</v>
      </c>
      <c r="E5573" s="4">
        <v>20210210</v>
      </c>
      <c r="F5573" s="4">
        <v>20210210</v>
      </c>
      <c r="G5573" s="4">
        <v>20211001</v>
      </c>
      <c r="H5573" s="4" t="s">
        <v>1538</v>
      </c>
      <c r="I5573" s="4" t="s">
        <v>1537</v>
      </c>
      <c r="J5573" s="4" t="s">
        <v>310</v>
      </c>
    </row>
    <row r="5574" spans="1:10" hidden="1">
      <c r="A5574" s="4">
        <v>2.0210225113E+17</v>
      </c>
      <c r="B5574" s="4">
        <v>2798701440</v>
      </c>
      <c r="C5574" s="4" t="s">
        <v>1536</v>
      </c>
      <c r="D5574" s="4">
        <v>25113</v>
      </c>
      <c r="E5574" s="4">
        <v>20210210</v>
      </c>
      <c r="F5574" s="4">
        <v>20210210</v>
      </c>
      <c r="G5574" s="4">
        <v>20240210</v>
      </c>
      <c r="H5574" s="4" t="s">
        <v>1535</v>
      </c>
      <c r="J5574" s="4" t="s">
        <v>250</v>
      </c>
    </row>
    <row r="5575" spans="1:10" hidden="1">
      <c r="A5575" s="4">
        <v>2.0210216101E+17</v>
      </c>
      <c r="B5575" s="4">
        <v>7968600240</v>
      </c>
      <c r="C5575" s="4" t="s">
        <v>1534</v>
      </c>
      <c r="D5575" s="4">
        <v>16101</v>
      </c>
      <c r="E5575" s="4">
        <v>20210210</v>
      </c>
      <c r="F5575" s="4">
        <v>20210210</v>
      </c>
      <c r="G5575" s="4">
        <v>20221215</v>
      </c>
      <c r="H5575" s="4" t="s">
        <v>1533</v>
      </c>
      <c r="I5575" s="4" t="s">
        <v>1532</v>
      </c>
      <c r="J5575" s="4" t="s">
        <v>468</v>
      </c>
    </row>
    <row r="5576" spans="1:10" hidden="1">
      <c r="A5576" s="4">
        <v>2.0210229173E+17</v>
      </c>
      <c r="B5576" s="4">
        <v>1361120693</v>
      </c>
      <c r="C5576" s="4" t="s">
        <v>1531</v>
      </c>
      <c r="D5576" s="4">
        <v>29173</v>
      </c>
      <c r="E5576" s="4">
        <v>20210210</v>
      </c>
      <c r="F5576" s="4">
        <v>20210210</v>
      </c>
      <c r="G5576" s="4">
        <v>20231001</v>
      </c>
      <c r="H5576" s="4" t="s">
        <v>1530</v>
      </c>
      <c r="I5576" s="4" t="s">
        <v>1529</v>
      </c>
      <c r="J5576" s="4" t="s">
        <v>297</v>
      </c>
    </row>
    <row r="5577" spans="1:10" hidden="1">
      <c r="A5577" s="4">
        <v>2.0210228429E+17</v>
      </c>
      <c r="B5577" s="4">
        <v>6568801703</v>
      </c>
      <c r="C5577" s="4" t="s">
        <v>1528</v>
      </c>
      <c r="D5577" s="4">
        <v>28429</v>
      </c>
      <c r="E5577" s="4">
        <v>20210209</v>
      </c>
      <c r="F5577" s="4">
        <v>20210209</v>
      </c>
      <c r="G5577" s="4">
        <v>20240209</v>
      </c>
      <c r="H5577" s="4" t="s">
        <v>935</v>
      </c>
      <c r="I5577" s="4" t="s">
        <v>1527</v>
      </c>
      <c r="J5577" s="4" t="s">
        <v>765</v>
      </c>
    </row>
    <row r="5578" spans="1:10" hidden="1">
      <c r="A5578" s="4">
        <v>2.021022928E+17</v>
      </c>
      <c r="B5578" s="4">
        <v>4618601324</v>
      </c>
      <c r="C5578" s="4" t="s">
        <v>1526</v>
      </c>
      <c r="D5578" s="4">
        <v>29280</v>
      </c>
      <c r="E5578" s="4">
        <v>20210209</v>
      </c>
      <c r="F5578" s="4">
        <v>20210209</v>
      </c>
      <c r="G5578" s="4">
        <v>20240209</v>
      </c>
      <c r="H5578" s="4" t="s">
        <v>1525</v>
      </c>
      <c r="I5578" s="4" t="s">
        <v>1524</v>
      </c>
      <c r="J5578" s="4" t="s">
        <v>533</v>
      </c>
    </row>
    <row r="5579" spans="1:10" hidden="1">
      <c r="A5579" s="4">
        <v>2.0210258222E+17</v>
      </c>
      <c r="B5579" s="4">
        <v>3378801632</v>
      </c>
      <c r="C5579" s="4" t="s">
        <v>1523</v>
      </c>
      <c r="D5579" s="4">
        <v>58222</v>
      </c>
      <c r="E5579" s="4">
        <v>20210209</v>
      </c>
      <c r="F5579" s="4">
        <v>20210209</v>
      </c>
      <c r="G5579" s="4">
        <v>20240209</v>
      </c>
      <c r="H5579" s="4" t="s">
        <v>366</v>
      </c>
      <c r="I5579" s="4" t="s">
        <v>1522</v>
      </c>
      <c r="J5579" s="4" t="s">
        <v>94</v>
      </c>
    </row>
    <row r="5580" spans="1:10" hidden="1">
      <c r="A5580" s="4">
        <v>2.0210258222E+17</v>
      </c>
      <c r="B5580" s="4">
        <v>7768801332</v>
      </c>
      <c r="C5580" s="4" t="s">
        <v>1521</v>
      </c>
      <c r="D5580" s="4">
        <v>58222</v>
      </c>
      <c r="E5580" s="4">
        <v>20210209</v>
      </c>
      <c r="F5580" s="4">
        <v>20210209</v>
      </c>
      <c r="G5580" s="4">
        <v>20240209</v>
      </c>
      <c r="H5580" s="4" t="s">
        <v>1520</v>
      </c>
      <c r="I5580" s="4" t="s">
        <v>1519</v>
      </c>
      <c r="J5580" s="4" t="s">
        <v>94</v>
      </c>
    </row>
    <row r="5581" spans="1:10" hidden="1">
      <c r="A5581" s="4">
        <v>2.0210220423E+17</v>
      </c>
      <c r="B5581" s="4">
        <v>2248602078</v>
      </c>
      <c r="C5581" s="4" t="s">
        <v>1518</v>
      </c>
      <c r="D5581" s="4">
        <v>20423</v>
      </c>
      <c r="E5581" s="4">
        <v>20210209</v>
      </c>
      <c r="F5581" s="4">
        <v>20210209</v>
      </c>
      <c r="G5581" s="4">
        <v>20240209</v>
      </c>
      <c r="H5581" s="4" t="s">
        <v>370</v>
      </c>
      <c r="I5581" s="4" t="s">
        <v>1517</v>
      </c>
      <c r="J5581" s="4" t="s">
        <v>368</v>
      </c>
    </row>
    <row r="5582" spans="1:10" hidden="1">
      <c r="A5582" s="4">
        <v>2.0210258222E+17</v>
      </c>
      <c r="B5582" s="4">
        <v>1958100817</v>
      </c>
      <c r="C5582" s="4" t="s">
        <v>1516</v>
      </c>
      <c r="D5582" s="4">
        <v>58222</v>
      </c>
      <c r="E5582" s="4">
        <v>20210209</v>
      </c>
      <c r="F5582" s="4">
        <v>20210209</v>
      </c>
      <c r="G5582" s="4">
        <v>20240209</v>
      </c>
      <c r="H5582" s="4" t="s">
        <v>1515</v>
      </c>
      <c r="I5582" s="4" t="s">
        <v>1514</v>
      </c>
      <c r="J5582" s="4" t="s">
        <v>94</v>
      </c>
    </row>
    <row r="5583" spans="1:10" hidden="1">
      <c r="A5583" s="4">
        <v>2.0210258222E+17</v>
      </c>
      <c r="B5583" s="4">
        <v>5868601394</v>
      </c>
      <c r="C5583" s="4" t="s">
        <v>1513</v>
      </c>
      <c r="D5583" s="4">
        <v>58222</v>
      </c>
      <c r="E5583" s="4">
        <v>20210209</v>
      </c>
      <c r="F5583" s="4">
        <v>20210209</v>
      </c>
      <c r="G5583" s="4">
        <v>20240209</v>
      </c>
      <c r="H5583" s="4" t="s">
        <v>1512</v>
      </c>
      <c r="I5583" s="4" t="s">
        <v>1511</v>
      </c>
      <c r="J5583" s="4" t="s">
        <v>94</v>
      </c>
    </row>
    <row r="5584" spans="1:10" hidden="1">
      <c r="A5584" s="4">
        <v>2.0210258222E+17</v>
      </c>
      <c r="B5584" s="4">
        <v>2478601960</v>
      </c>
      <c r="C5584" s="4" t="s">
        <v>1510</v>
      </c>
      <c r="D5584" s="4">
        <v>58222</v>
      </c>
      <c r="E5584" s="4">
        <v>20210209</v>
      </c>
      <c r="F5584" s="4">
        <v>20210209</v>
      </c>
      <c r="G5584" s="4">
        <v>20240209</v>
      </c>
      <c r="H5584" s="4" t="s">
        <v>1509</v>
      </c>
      <c r="I5584" s="4" t="s">
        <v>1508</v>
      </c>
      <c r="J5584" s="4" t="s">
        <v>94</v>
      </c>
    </row>
    <row r="5585" spans="1:10" hidden="1">
      <c r="A5585" s="4">
        <v>2.0210262021E+17</v>
      </c>
      <c r="B5585" s="4">
        <v>4018700956</v>
      </c>
      <c r="C5585" s="4" t="s">
        <v>1507</v>
      </c>
      <c r="D5585" s="4">
        <v>62021</v>
      </c>
      <c r="E5585" s="4">
        <v>20210209</v>
      </c>
      <c r="F5585" s="4">
        <v>20210209</v>
      </c>
      <c r="G5585" s="4">
        <v>20240209</v>
      </c>
      <c r="H5585" s="4" t="s">
        <v>1506</v>
      </c>
      <c r="I5585" s="4" t="s">
        <v>91</v>
      </c>
      <c r="J5585" s="4" t="s">
        <v>1505</v>
      </c>
    </row>
    <row r="5586" spans="1:10" hidden="1">
      <c r="A5586" s="4">
        <v>2.0210261299E+17</v>
      </c>
      <c r="B5586" s="4">
        <v>2208895263</v>
      </c>
      <c r="C5586" s="4" t="s">
        <v>1504</v>
      </c>
      <c r="D5586" s="4">
        <v>61299</v>
      </c>
      <c r="E5586" s="4">
        <v>20210209</v>
      </c>
      <c r="F5586" s="4">
        <v>20210209</v>
      </c>
      <c r="G5586" s="4">
        <v>20220113</v>
      </c>
      <c r="H5586" s="4" t="s">
        <v>1503</v>
      </c>
      <c r="I5586" s="4" t="s">
        <v>1502</v>
      </c>
      <c r="J5586" s="4" t="s">
        <v>1501</v>
      </c>
    </row>
    <row r="5587" spans="1:10">
      <c r="A5587" s="4">
        <v>2.0210446453000198E+17</v>
      </c>
      <c r="B5587" s="4">
        <v>3972001181</v>
      </c>
      <c r="C5587" s="4" t="s">
        <v>7102</v>
      </c>
      <c r="D5587" s="4">
        <v>46453</v>
      </c>
      <c r="E5587" s="4">
        <v>20210421</v>
      </c>
      <c r="F5587" s="4">
        <v>20210421</v>
      </c>
      <c r="G5587" s="4">
        <v>20240421</v>
      </c>
      <c r="H5587" s="4" t="s">
        <v>7101</v>
      </c>
      <c r="I5587" s="4" t="s">
        <v>7100</v>
      </c>
      <c r="J5587" s="4" t="s">
        <v>816</v>
      </c>
    </row>
    <row r="5588" spans="1:10" hidden="1">
      <c r="A5588" s="4">
        <v>2.0210220422E+17</v>
      </c>
      <c r="B5588" s="4">
        <v>6972201178</v>
      </c>
      <c r="C5588" s="4" t="s">
        <v>1497</v>
      </c>
      <c r="D5588" s="4">
        <v>20422</v>
      </c>
      <c r="E5588" s="4">
        <v>20210209</v>
      </c>
      <c r="F5588" s="4">
        <v>20210209</v>
      </c>
      <c r="G5588" s="4">
        <v>20240209</v>
      </c>
      <c r="H5588" s="4" t="s">
        <v>1496</v>
      </c>
      <c r="I5588" s="4" t="s">
        <v>1495</v>
      </c>
      <c r="J5588" s="4" t="s">
        <v>392</v>
      </c>
    </row>
    <row r="5589" spans="1:10" hidden="1">
      <c r="A5589" s="4">
        <v>2.0210242491E+17</v>
      </c>
      <c r="B5589" s="4">
        <v>6202283879</v>
      </c>
      <c r="C5589" s="4" t="s">
        <v>1494</v>
      </c>
      <c r="D5589" s="4">
        <v>42491</v>
      </c>
      <c r="E5589" s="4">
        <v>20210209</v>
      </c>
      <c r="F5589" s="4">
        <v>20210209</v>
      </c>
      <c r="G5589" s="4">
        <v>20240209</v>
      </c>
      <c r="H5589" s="4" t="s">
        <v>1493</v>
      </c>
      <c r="J5589" s="4" t="s">
        <v>883</v>
      </c>
    </row>
    <row r="5590" spans="1:10" hidden="1">
      <c r="A5590" s="4">
        <v>2.021027131E+17</v>
      </c>
      <c r="B5590" s="4">
        <v>8730401458</v>
      </c>
      <c r="C5590" s="4" t="s">
        <v>1492</v>
      </c>
      <c r="D5590" s="4">
        <v>71310</v>
      </c>
      <c r="E5590" s="4">
        <v>20210209</v>
      </c>
      <c r="F5590" s="4">
        <v>20210209</v>
      </c>
      <c r="G5590" s="4">
        <v>20240209</v>
      </c>
      <c r="H5590" s="4" t="s">
        <v>1491</v>
      </c>
      <c r="I5590" s="4" t="s">
        <v>1490</v>
      </c>
      <c r="J5590" s="4" t="s">
        <v>426</v>
      </c>
    </row>
    <row r="5591" spans="1:10" hidden="1">
      <c r="A5591" s="4">
        <v>2.0210225119E+17</v>
      </c>
      <c r="B5591" s="4">
        <v>6658101498</v>
      </c>
      <c r="C5591" s="4" t="s">
        <v>1489</v>
      </c>
      <c r="D5591" s="4">
        <v>25119</v>
      </c>
      <c r="E5591" s="4">
        <v>20210209</v>
      </c>
      <c r="F5591" s="4">
        <v>20210209</v>
      </c>
      <c r="G5591" s="4">
        <v>20240209</v>
      </c>
      <c r="H5591" s="4" t="s">
        <v>1488</v>
      </c>
      <c r="J5591" s="4" t="s">
        <v>679</v>
      </c>
    </row>
    <row r="5592" spans="1:10" hidden="1">
      <c r="A5592" s="4">
        <v>2.0210228123E+17</v>
      </c>
      <c r="B5592" s="4">
        <v>7778801183</v>
      </c>
      <c r="C5592" s="4" t="s">
        <v>1487</v>
      </c>
      <c r="D5592" s="4">
        <v>28123</v>
      </c>
      <c r="E5592" s="4">
        <v>20210209</v>
      </c>
      <c r="F5592" s="4">
        <v>20210209</v>
      </c>
      <c r="G5592" s="4">
        <v>20240209</v>
      </c>
      <c r="H5592" s="4" t="s">
        <v>1486</v>
      </c>
      <c r="I5592" s="4" t="s">
        <v>1485</v>
      </c>
      <c r="J5592" s="4" t="s">
        <v>640</v>
      </c>
    </row>
    <row r="5593" spans="1:10" hidden="1">
      <c r="A5593" s="4">
        <v>2.0210275999E+17</v>
      </c>
      <c r="B5593" s="4">
        <v>3830401182</v>
      </c>
      <c r="C5593" s="4" t="s">
        <v>1484</v>
      </c>
      <c r="D5593" s="4">
        <v>75999</v>
      </c>
      <c r="E5593" s="4">
        <v>20210209</v>
      </c>
      <c r="F5593" s="4">
        <v>20210209</v>
      </c>
      <c r="G5593" s="4">
        <v>20240209</v>
      </c>
      <c r="H5593" s="4" t="s">
        <v>1483</v>
      </c>
      <c r="J5593" s="4" t="s">
        <v>158</v>
      </c>
    </row>
    <row r="5594" spans="1:10" hidden="1">
      <c r="A5594" s="4">
        <v>2.0210270121E+17</v>
      </c>
      <c r="B5594" s="4">
        <v>8228101785</v>
      </c>
      <c r="C5594" s="4" t="s">
        <v>1482</v>
      </c>
      <c r="D5594" s="4">
        <v>70121</v>
      </c>
      <c r="E5594" s="4">
        <v>20210209</v>
      </c>
      <c r="F5594" s="4">
        <v>20210209</v>
      </c>
      <c r="G5594" s="4">
        <v>20240209</v>
      </c>
      <c r="H5594" s="4" t="s">
        <v>1481</v>
      </c>
      <c r="I5594" s="4" t="s">
        <v>1480</v>
      </c>
      <c r="J5594" s="4" t="s">
        <v>1267</v>
      </c>
    </row>
    <row r="5595" spans="1:10" hidden="1">
      <c r="A5595" s="4">
        <v>2.0210226299E+17</v>
      </c>
      <c r="B5595" s="4">
        <v>4396300412</v>
      </c>
      <c r="C5595" s="4" t="s">
        <v>1479</v>
      </c>
      <c r="D5595" s="4">
        <v>26299</v>
      </c>
      <c r="E5595" s="4">
        <v>20210209</v>
      </c>
      <c r="F5595" s="4">
        <v>20210209</v>
      </c>
      <c r="G5595" s="4">
        <v>20240209</v>
      </c>
      <c r="H5595" s="4" t="s">
        <v>1478</v>
      </c>
      <c r="I5595" s="4" t="s">
        <v>1477</v>
      </c>
      <c r="J5595" s="4" t="s">
        <v>339</v>
      </c>
    </row>
    <row r="5596" spans="1:10" hidden="1">
      <c r="A5596" s="4">
        <v>2.0210229199E+17</v>
      </c>
      <c r="B5596" s="4">
        <v>6195100048</v>
      </c>
      <c r="C5596" s="4" t="s">
        <v>1476</v>
      </c>
      <c r="D5596" s="4">
        <v>29199</v>
      </c>
      <c r="E5596" s="4">
        <v>20210209</v>
      </c>
      <c r="F5596" s="4">
        <v>20210209</v>
      </c>
      <c r="G5596" s="4">
        <v>20220707</v>
      </c>
      <c r="H5596" s="4" t="s">
        <v>1475</v>
      </c>
      <c r="J5596" s="4" t="s">
        <v>166</v>
      </c>
    </row>
    <row r="5597" spans="1:10" hidden="1">
      <c r="A5597" s="4">
        <v>2.0210225923E+17</v>
      </c>
      <c r="B5597" s="4">
        <v>2250765576</v>
      </c>
      <c r="C5597" s="4" t="s">
        <v>1474</v>
      </c>
      <c r="D5597" s="4">
        <v>25923</v>
      </c>
      <c r="E5597" s="4">
        <v>20210209</v>
      </c>
      <c r="F5597" s="4">
        <v>20210209</v>
      </c>
      <c r="G5597" s="4">
        <v>20240209</v>
      </c>
      <c r="H5597" s="4" t="s">
        <v>1473</v>
      </c>
      <c r="J5597" s="4" t="s">
        <v>204</v>
      </c>
    </row>
    <row r="5598" spans="1:10" hidden="1">
      <c r="A5598" s="4">
        <v>2.0210246593E+17</v>
      </c>
      <c r="B5598" s="4">
        <v>6921601167</v>
      </c>
      <c r="C5598" s="4" t="s">
        <v>1472</v>
      </c>
      <c r="D5598" s="4">
        <v>46593</v>
      </c>
      <c r="E5598" s="4">
        <v>20210209</v>
      </c>
      <c r="F5598" s="4">
        <v>20210209</v>
      </c>
      <c r="G5598" s="4">
        <v>20240209</v>
      </c>
      <c r="H5598" s="4" t="s">
        <v>1471</v>
      </c>
      <c r="I5598" s="4" t="s">
        <v>1470</v>
      </c>
      <c r="J5598" s="4" t="s">
        <v>1469</v>
      </c>
    </row>
    <row r="5599" spans="1:10" hidden="1">
      <c r="A5599" s="4">
        <v>2.0210228123E+17</v>
      </c>
      <c r="B5599" s="4">
        <v>8506700316</v>
      </c>
      <c r="C5599" s="4" t="s">
        <v>1468</v>
      </c>
      <c r="D5599" s="4">
        <v>28123</v>
      </c>
      <c r="E5599" s="4">
        <v>20210209</v>
      </c>
      <c r="F5599" s="4">
        <v>20210209</v>
      </c>
      <c r="G5599" s="4">
        <v>20240209</v>
      </c>
      <c r="H5599" s="4" t="s">
        <v>1467</v>
      </c>
      <c r="I5599" s="4" t="s">
        <v>1466</v>
      </c>
      <c r="J5599" s="4" t="s">
        <v>640</v>
      </c>
    </row>
    <row r="5600" spans="1:10" hidden="1">
      <c r="A5600" s="4">
        <v>2.0210228429E+17</v>
      </c>
      <c r="B5600" s="4">
        <v>6458100632</v>
      </c>
      <c r="C5600" s="4" t="s">
        <v>1465</v>
      </c>
      <c r="D5600" s="4">
        <v>28429</v>
      </c>
      <c r="E5600" s="4">
        <v>20210209</v>
      </c>
      <c r="F5600" s="4">
        <v>20210209</v>
      </c>
      <c r="G5600" s="4">
        <v>20240209</v>
      </c>
      <c r="H5600" s="4" t="s">
        <v>1464</v>
      </c>
      <c r="I5600" s="4" t="s">
        <v>1245</v>
      </c>
      <c r="J5600" s="4" t="s">
        <v>765</v>
      </c>
    </row>
    <row r="5601" spans="1:10" hidden="1">
      <c r="A5601" s="4">
        <v>2.0210228429E+17</v>
      </c>
      <c r="B5601" s="4">
        <v>2570301213</v>
      </c>
      <c r="C5601" s="4" t="s">
        <v>1463</v>
      </c>
      <c r="D5601" s="4">
        <v>28429</v>
      </c>
      <c r="E5601" s="4">
        <v>20210209</v>
      </c>
      <c r="F5601" s="4">
        <v>20210209</v>
      </c>
      <c r="G5601" s="4">
        <v>20240209</v>
      </c>
      <c r="H5601" s="4" t="s">
        <v>1462</v>
      </c>
      <c r="I5601" s="4" t="s">
        <v>1461</v>
      </c>
      <c r="J5601" s="4" t="s">
        <v>765</v>
      </c>
    </row>
    <row r="5602" spans="1:10" hidden="1">
      <c r="A5602" s="4">
        <v>2.0210220499E+17</v>
      </c>
      <c r="B5602" s="4">
        <v>8966300202</v>
      </c>
      <c r="C5602" s="4" t="s">
        <v>1460</v>
      </c>
      <c r="D5602" s="4">
        <v>20499</v>
      </c>
      <c r="E5602" s="4">
        <v>20210209</v>
      </c>
      <c r="F5602" s="4">
        <v>20210209</v>
      </c>
      <c r="G5602" s="4">
        <v>20240209</v>
      </c>
      <c r="H5602" s="4" t="s">
        <v>1459</v>
      </c>
      <c r="I5602" s="4" t="s">
        <v>1458</v>
      </c>
      <c r="J5602" s="4" t="s">
        <v>406</v>
      </c>
    </row>
    <row r="5603" spans="1:10" hidden="1">
      <c r="A5603" s="4">
        <v>2.0210227219E+17</v>
      </c>
      <c r="B5603" s="4">
        <v>1918801749</v>
      </c>
      <c r="C5603" s="4" t="s">
        <v>1457</v>
      </c>
      <c r="D5603" s="4">
        <v>27219</v>
      </c>
      <c r="E5603" s="4">
        <v>20210209</v>
      </c>
      <c r="F5603" s="4">
        <v>20210209</v>
      </c>
      <c r="G5603" s="4">
        <v>20240209</v>
      </c>
      <c r="H5603" s="4" t="s">
        <v>1456</v>
      </c>
      <c r="I5603" s="4" t="s">
        <v>1455</v>
      </c>
      <c r="J5603" s="4" t="s">
        <v>1454</v>
      </c>
    </row>
    <row r="5604" spans="1:10" hidden="1">
      <c r="A5604" s="4">
        <v>2.0210216229E+17</v>
      </c>
      <c r="B5604" s="4">
        <v>5888601589</v>
      </c>
      <c r="C5604" s="4" t="s">
        <v>1453</v>
      </c>
      <c r="D5604" s="4">
        <v>16229</v>
      </c>
      <c r="E5604" s="4">
        <v>20210209</v>
      </c>
      <c r="F5604" s="4">
        <v>20210209</v>
      </c>
      <c r="G5604" s="4">
        <v>20240209</v>
      </c>
      <c r="H5604" s="4" t="s">
        <v>1452</v>
      </c>
      <c r="J5604" s="4" t="s">
        <v>1451</v>
      </c>
    </row>
    <row r="5605" spans="1:10" hidden="1">
      <c r="A5605" s="4">
        <v>2.0210258222E+17</v>
      </c>
      <c r="B5605" s="4">
        <v>7708701453</v>
      </c>
      <c r="C5605" s="4" t="s">
        <v>1450</v>
      </c>
      <c r="D5605" s="4">
        <v>58222</v>
      </c>
      <c r="E5605" s="4">
        <v>20210209</v>
      </c>
      <c r="F5605" s="4">
        <v>20210209</v>
      </c>
      <c r="G5605" s="4">
        <v>20240209</v>
      </c>
      <c r="H5605" s="4" t="s">
        <v>1449</v>
      </c>
      <c r="I5605" s="4" t="s">
        <v>1448</v>
      </c>
      <c r="J5605" s="4" t="s">
        <v>94</v>
      </c>
    </row>
    <row r="5606" spans="1:10" hidden="1">
      <c r="A5606" s="4">
        <v>2.0210270209E+17</v>
      </c>
      <c r="B5606" s="4">
        <v>6158617928</v>
      </c>
      <c r="C5606" s="4" t="s">
        <v>1447</v>
      </c>
      <c r="D5606" s="4">
        <v>70209</v>
      </c>
      <c r="E5606" s="4">
        <v>20210209</v>
      </c>
      <c r="F5606" s="4">
        <v>20210209</v>
      </c>
      <c r="G5606" s="4">
        <v>20240209</v>
      </c>
      <c r="H5606" s="4" t="s">
        <v>1446</v>
      </c>
      <c r="I5606" s="4" t="s">
        <v>1445</v>
      </c>
      <c r="J5606" s="4" t="s">
        <v>242</v>
      </c>
    </row>
    <row r="5607" spans="1:10" hidden="1">
      <c r="A5607" s="4">
        <v>2.0210213224E+17</v>
      </c>
      <c r="B5607" s="4">
        <v>6328600271</v>
      </c>
      <c r="C5607" s="4" t="s">
        <v>1444</v>
      </c>
      <c r="D5607" s="4">
        <v>13224</v>
      </c>
      <c r="E5607" s="4">
        <v>20210209</v>
      </c>
      <c r="F5607" s="4">
        <v>20210209</v>
      </c>
      <c r="G5607" s="4">
        <v>20230205</v>
      </c>
      <c r="H5607" s="4" t="s">
        <v>1443</v>
      </c>
      <c r="J5607" s="4" t="s">
        <v>672</v>
      </c>
    </row>
    <row r="5608" spans="1:10" hidden="1">
      <c r="A5608" s="4">
        <v>2.0210258222E+17</v>
      </c>
      <c r="B5608" s="4">
        <v>7668801766</v>
      </c>
      <c r="C5608" s="4" t="s">
        <v>1442</v>
      </c>
      <c r="D5608" s="4">
        <v>58222</v>
      </c>
      <c r="E5608" s="4">
        <v>20210209</v>
      </c>
      <c r="F5608" s="4">
        <v>20210209</v>
      </c>
      <c r="G5608" s="4">
        <v>20240209</v>
      </c>
      <c r="H5608" s="4" t="s">
        <v>1441</v>
      </c>
      <c r="I5608" s="4" t="s">
        <v>1440</v>
      </c>
      <c r="J5608" s="4" t="s">
        <v>94</v>
      </c>
    </row>
    <row r="5609" spans="1:10" hidden="1">
      <c r="A5609" s="4">
        <v>2.0210258222E+17</v>
      </c>
      <c r="B5609" s="4">
        <v>6108630815</v>
      </c>
      <c r="C5609" s="4" t="s">
        <v>1439</v>
      </c>
      <c r="D5609" s="4">
        <v>58222</v>
      </c>
      <c r="E5609" s="4">
        <v>20210209</v>
      </c>
      <c r="F5609" s="4">
        <v>20210209</v>
      </c>
      <c r="G5609" s="4">
        <v>20211008</v>
      </c>
      <c r="H5609" s="4" t="s">
        <v>1438</v>
      </c>
      <c r="I5609" s="4" t="s">
        <v>91</v>
      </c>
      <c r="J5609" s="4" t="s">
        <v>94</v>
      </c>
    </row>
    <row r="5610" spans="1:10" hidden="1">
      <c r="A5610" s="4">
        <v>2.0210228422E+17</v>
      </c>
      <c r="B5610" s="4">
        <v>4018156986</v>
      </c>
      <c r="C5610" s="4" t="s">
        <v>1437</v>
      </c>
      <c r="D5610" s="4">
        <v>28422</v>
      </c>
      <c r="E5610" s="4">
        <v>20210209</v>
      </c>
      <c r="F5610" s="4">
        <v>20210209</v>
      </c>
      <c r="G5610" s="4">
        <v>20220119</v>
      </c>
      <c r="H5610" s="4" t="s">
        <v>1436</v>
      </c>
      <c r="I5610" s="4" t="s">
        <v>1435</v>
      </c>
      <c r="J5610" s="4" t="s">
        <v>188</v>
      </c>
    </row>
    <row r="5611" spans="1:10" hidden="1">
      <c r="A5611" s="4">
        <v>2.0210258221E+17</v>
      </c>
      <c r="B5611" s="4">
        <v>4478800997</v>
      </c>
      <c r="C5611" s="4" t="s">
        <v>1434</v>
      </c>
      <c r="D5611" s="4">
        <v>58221</v>
      </c>
      <c r="E5611" s="4">
        <v>20210209</v>
      </c>
      <c r="F5611" s="4">
        <v>20210209</v>
      </c>
      <c r="G5611" s="4">
        <v>20240209</v>
      </c>
      <c r="H5611" s="4" t="s">
        <v>1433</v>
      </c>
      <c r="I5611" s="4" t="s">
        <v>1432</v>
      </c>
      <c r="J5611" s="4" t="s">
        <v>228</v>
      </c>
    </row>
    <row r="5612" spans="1:10" hidden="1">
      <c r="A5612" s="4">
        <v>2.0210258222E+17</v>
      </c>
      <c r="B5612" s="4">
        <v>3738601707</v>
      </c>
      <c r="C5612" s="4" t="s">
        <v>1431</v>
      </c>
      <c r="D5612" s="4">
        <v>58222</v>
      </c>
      <c r="E5612" s="4">
        <v>20210209</v>
      </c>
      <c r="F5612" s="4">
        <v>20210209</v>
      </c>
      <c r="G5612" s="4">
        <v>20240209</v>
      </c>
      <c r="H5612" s="4" t="s">
        <v>1430</v>
      </c>
      <c r="I5612" s="4" t="s">
        <v>1429</v>
      </c>
      <c r="J5612" s="4" t="s">
        <v>94</v>
      </c>
    </row>
    <row r="5613" spans="1:10" hidden="1">
      <c r="A5613" s="4">
        <v>2.0210226129E+17</v>
      </c>
      <c r="B5613" s="4">
        <v>7978101873</v>
      </c>
      <c r="C5613" s="4" t="s">
        <v>1428</v>
      </c>
      <c r="D5613" s="4">
        <v>26129</v>
      </c>
      <c r="E5613" s="4">
        <v>20210209</v>
      </c>
      <c r="F5613" s="4">
        <v>20210209</v>
      </c>
      <c r="G5613" s="4">
        <v>20240209</v>
      </c>
      <c r="H5613" s="4" t="s">
        <v>1427</v>
      </c>
      <c r="I5613" s="4" t="s">
        <v>91</v>
      </c>
      <c r="J5613" s="4" t="s">
        <v>403</v>
      </c>
    </row>
    <row r="5614" spans="1:10" hidden="1">
      <c r="A5614" s="4">
        <v>2.0210258221E+17</v>
      </c>
      <c r="B5614" s="4">
        <v>1398601922</v>
      </c>
      <c r="C5614" s="4" t="s">
        <v>1426</v>
      </c>
      <c r="D5614" s="4">
        <v>58221</v>
      </c>
      <c r="E5614" s="4">
        <v>20210209</v>
      </c>
      <c r="F5614" s="4">
        <v>20210209</v>
      </c>
      <c r="G5614" s="4">
        <v>20240209</v>
      </c>
      <c r="H5614" s="4" t="s">
        <v>1425</v>
      </c>
      <c r="I5614" s="4" t="s">
        <v>149</v>
      </c>
      <c r="J5614" s="4" t="s">
        <v>228</v>
      </c>
    </row>
    <row r="5615" spans="1:10" hidden="1">
      <c r="A5615" s="4">
        <v>2.0210258222E+17</v>
      </c>
      <c r="B5615" s="4">
        <v>8508701216</v>
      </c>
      <c r="C5615" s="4" t="s">
        <v>1424</v>
      </c>
      <c r="D5615" s="4">
        <v>58222</v>
      </c>
      <c r="E5615" s="4">
        <v>20210209</v>
      </c>
      <c r="F5615" s="4">
        <v>20210209</v>
      </c>
      <c r="G5615" s="4">
        <v>20240209</v>
      </c>
      <c r="H5615" s="4" t="s">
        <v>1423</v>
      </c>
      <c r="I5615" s="4" t="s">
        <v>1422</v>
      </c>
      <c r="J5615" s="4" t="s">
        <v>94</v>
      </c>
    </row>
    <row r="5616" spans="1:10" hidden="1">
      <c r="A5616" s="4">
        <v>2.0210226329E+17</v>
      </c>
      <c r="B5616" s="4">
        <v>1028801884</v>
      </c>
      <c r="C5616" s="4" t="s">
        <v>1421</v>
      </c>
      <c r="D5616" s="4">
        <v>26329</v>
      </c>
      <c r="E5616" s="4">
        <v>20210209</v>
      </c>
      <c r="F5616" s="4">
        <v>20210209</v>
      </c>
      <c r="G5616" s="4">
        <v>20240209</v>
      </c>
      <c r="H5616" s="4" t="s">
        <v>420</v>
      </c>
      <c r="I5616" s="4" t="s">
        <v>1420</v>
      </c>
      <c r="J5616" s="4" t="s">
        <v>565</v>
      </c>
    </row>
    <row r="5617" spans="1:10" hidden="1">
      <c r="A5617" s="4">
        <v>2.0210270113E+17</v>
      </c>
      <c r="B5617" s="4">
        <v>3218601778</v>
      </c>
      <c r="C5617" s="4" t="s">
        <v>1419</v>
      </c>
      <c r="D5617" s="4">
        <v>70113</v>
      </c>
      <c r="E5617" s="4">
        <v>20210209</v>
      </c>
      <c r="F5617" s="4">
        <v>20210209</v>
      </c>
      <c r="G5617" s="4">
        <v>20240209</v>
      </c>
      <c r="H5617" s="4" t="s">
        <v>1418</v>
      </c>
      <c r="J5617" s="4" t="s">
        <v>1173</v>
      </c>
    </row>
    <row r="5618" spans="1:10" hidden="1">
      <c r="A5618" s="4">
        <v>2.0210226299E+17</v>
      </c>
      <c r="B5618" s="4">
        <v>6908100141</v>
      </c>
      <c r="C5618" s="4" t="s">
        <v>1417</v>
      </c>
      <c r="D5618" s="4">
        <v>26299</v>
      </c>
      <c r="E5618" s="4">
        <v>20210209</v>
      </c>
      <c r="F5618" s="4">
        <v>20210209</v>
      </c>
      <c r="G5618" s="4">
        <v>20220803</v>
      </c>
      <c r="H5618" s="4" t="s">
        <v>420</v>
      </c>
      <c r="I5618" s="4" t="s">
        <v>1416</v>
      </c>
      <c r="J5618" s="4" t="s">
        <v>339</v>
      </c>
    </row>
    <row r="5619" spans="1:10" hidden="1">
      <c r="A5619" s="4">
        <v>2.0210228519E+17</v>
      </c>
      <c r="B5619" s="4">
        <v>2138801689</v>
      </c>
      <c r="C5619" s="4" t="s">
        <v>1415</v>
      </c>
      <c r="D5619" s="4">
        <v>28519</v>
      </c>
      <c r="E5619" s="4">
        <v>20210209</v>
      </c>
      <c r="F5619" s="4">
        <v>20210209</v>
      </c>
      <c r="G5619" s="4">
        <v>20240209</v>
      </c>
      <c r="H5619" s="4" t="s">
        <v>1414</v>
      </c>
      <c r="I5619" s="4" t="s">
        <v>1413</v>
      </c>
      <c r="J5619" s="4" t="s">
        <v>1412</v>
      </c>
    </row>
    <row r="5620" spans="1:10">
      <c r="A5620" s="4">
        <v>2.0210418119000198E+17</v>
      </c>
      <c r="B5620" s="4">
        <v>7067500178</v>
      </c>
      <c r="C5620" s="4" t="s">
        <v>6143</v>
      </c>
      <c r="D5620" s="4">
        <v>18119</v>
      </c>
      <c r="E5620" s="4">
        <v>20210407</v>
      </c>
      <c r="F5620" s="4">
        <v>20210407</v>
      </c>
      <c r="G5620" s="4">
        <v>20240407</v>
      </c>
      <c r="H5620" s="4" t="s">
        <v>6142</v>
      </c>
      <c r="I5620" s="4" t="s">
        <v>6141</v>
      </c>
      <c r="J5620" s="4" t="s">
        <v>707</v>
      </c>
    </row>
    <row r="5621" spans="1:10" hidden="1">
      <c r="A5621" s="4">
        <v>2.0210226429E+17</v>
      </c>
      <c r="B5621" s="4">
        <v>2158801588</v>
      </c>
      <c r="C5621" s="4" t="s">
        <v>1408</v>
      </c>
      <c r="D5621" s="4">
        <v>26429</v>
      </c>
      <c r="E5621" s="4">
        <v>20210209</v>
      </c>
      <c r="F5621" s="4">
        <v>20210209</v>
      </c>
      <c r="G5621" s="4">
        <v>20240209</v>
      </c>
      <c r="H5621" s="4" t="s">
        <v>1407</v>
      </c>
      <c r="I5621" s="4" t="s">
        <v>1406</v>
      </c>
      <c r="J5621" s="4" t="s">
        <v>422</v>
      </c>
    </row>
    <row r="5622" spans="1:10" hidden="1">
      <c r="A5622" s="4">
        <v>2.0210216211E+17</v>
      </c>
      <c r="B5622" s="4">
        <v>1028145511</v>
      </c>
      <c r="C5622" s="4" t="s">
        <v>1405</v>
      </c>
      <c r="D5622" s="4">
        <v>16211</v>
      </c>
      <c r="E5622" s="4">
        <v>20210209</v>
      </c>
      <c r="F5622" s="4">
        <v>20210209</v>
      </c>
      <c r="G5622" s="4">
        <v>20240209</v>
      </c>
      <c r="H5622" s="4" t="s">
        <v>1404</v>
      </c>
      <c r="I5622" s="4" t="s">
        <v>1403</v>
      </c>
      <c r="J5622" s="4" t="s">
        <v>1402</v>
      </c>
    </row>
    <row r="5623" spans="1:10" hidden="1">
      <c r="A5623" s="4">
        <v>2.0210273209E+17</v>
      </c>
      <c r="B5623" s="4">
        <v>8708101993</v>
      </c>
      <c r="C5623" s="4" t="s">
        <v>1401</v>
      </c>
      <c r="D5623" s="4">
        <v>73209</v>
      </c>
      <c r="E5623" s="4">
        <v>20210209</v>
      </c>
      <c r="F5623" s="4">
        <v>20210209</v>
      </c>
      <c r="G5623" s="4">
        <v>20240209</v>
      </c>
      <c r="H5623" s="4" t="s">
        <v>1400</v>
      </c>
      <c r="J5623" s="4" t="s">
        <v>871</v>
      </c>
    </row>
    <row r="5624" spans="1:10" hidden="1">
      <c r="A5624" s="4">
        <v>2.0210228422E+17</v>
      </c>
      <c r="B5624" s="4">
        <v>6358600886</v>
      </c>
      <c r="C5624" s="4" t="s">
        <v>1399</v>
      </c>
      <c r="D5624" s="4">
        <v>28422</v>
      </c>
      <c r="E5624" s="4">
        <v>20210209</v>
      </c>
      <c r="F5624" s="4">
        <v>20210209</v>
      </c>
      <c r="G5624" s="4">
        <v>20240209</v>
      </c>
      <c r="H5624" s="4" t="s">
        <v>1398</v>
      </c>
      <c r="I5624" s="4" t="s">
        <v>1397</v>
      </c>
      <c r="J5624" s="4" t="s">
        <v>188</v>
      </c>
    </row>
    <row r="5625" spans="1:10" hidden="1">
      <c r="A5625" s="4">
        <v>2.0210258221E+17</v>
      </c>
      <c r="B5625" s="4">
        <v>8558102052</v>
      </c>
      <c r="C5625" s="4" t="s">
        <v>1396</v>
      </c>
      <c r="D5625" s="4">
        <v>58221</v>
      </c>
      <c r="E5625" s="4">
        <v>20210209</v>
      </c>
      <c r="F5625" s="4">
        <v>20210209</v>
      </c>
      <c r="G5625" s="4">
        <v>20240209</v>
      </c>
      <c r="H5625" s="4" t="s">
        <v>1395</v>
      </c>
      <c r="I5625" s="4" t="s">
        <v>1394</v>
      </c>
      <c r="J5625" s="4" t="s">
        <v>228</v>
      </c>
    </row>
    <row r="5626" spans="1:10" hidden="1">
      <c r="A5626" s="4">
        <v>2.0210228422E+17</v>
      </c>
      <c r="B5626" s="4">
        <v>7498700673</v>
      </c>
      <c r="C5626" s="4" t="s">
        <v>1393</v>
      </c>
      <c r="D5626" s="4">
        <v>28422</v>
      </c>
      <c r="E5626" s="4">
        <v>20210209</v>
      </c>
      <c r="F5626" s="4">
        <v>20210209</v>
      </c>
      <c r="G5626" s="4">
        <v>20240209</v>
      </c>
      <c r="H5626" s="4" t="s">
        <v>1392</v>
      </c>
      <c r="I5626" s="4" t="s">
        <v>1391</v>
      </c>
      <c r="J5626" s="4" t="s">
        <v>188</v>
      </c>
    </row>
    <row r="5627" spans="1:10" hidden="1">
      <c r="A5627" s="4">
        <v>2.0210227199E+17</v>
      </c>
      <c r="B5627" s="4">
        <v>5388601231</v>
      </c>
      <c r="C5627" s="4" t="s">
        <v>1390</v>
      </c>
      <c r="D5627" s="4">
        <v>27199</v>
      </c>
      <c r="E5627" s="4">
        <v>20210209</v>
      </c>
      <c r="F5627" s="4">
        <v>20210209</v>
      </c>
      <c r="G5627" s="4">
        <v>20240209</v>
      </c>
      <c r="H5627" s="4" t="s">
        <v>1389</v>
      </c>
      <c r="I5627" s="4" t="s">
        <v>1388</v>
      </c>
      <c r="J5627" s="4" t="s">
        <v>418</v>
      </c>
    </row>
    <row r="5628" spans="1:10" hidden="1">
      <c r="A5628" s="4">
        <v>2.0210263999E+17</v>
      </c>
      <c r="B5628" s="4">
        <v>4878801015</v>
      </c>
      <c r="C5628" s="4" t="s">
        <v>1387</v>
      </c>
      <c r="D5628" s="4">
        <v>63999</v>
      </c>
      <c r="E5628" s="4">
        <v>20210209</v>
      </c>
      <c r="F5628" s="4">
        <v>20210209</v>
      </c>
      <c r="G5628" s="4">
        <v>20240209</v>
      </c>
      <c r="H5628" s="4" t="s">
        <v>1386</v>
      </c>
      <c r="I5628" s="4" t="s">
        <v>91</v>
      </c>
      <c r="J5628" s="4" t="s">
        <v>643</v>
      </c>
    </row>
    <row r="5629" spans="1:10" hidden="1">
      <c r="A5629" s="4">
        <v>2.0210258221E+17</v>
      </c>
      <c r="B5629" s="4">
        <v>6138181526</v>
      </c>
      <c r="C5629" s="4" t="s">
        <v>1385</v>
      </c>
      <c r="D5629" s="4">
        <v>58221</v>
      </c>
      <c r="E5629" s="4">
        <v>20210209</v>
      </c>
      <c r="F5629" s="4">
        <v>20210209</v>
      </c>
      <c r="G5629" s="4">
        <v>20240209</v>
      </c>
      <c r="H5629" s="4" t="s">
        <v>1384</v>
      </c>
      <c r="I5629" s="4" t="s">
        <v>1383</v>
      </c>
      <c r="J5629" s="4" t="s">
        <v>228</v>
      </c>
    </row>
    <row r="5630" spans="1:10" hidden="1">
      <c r="A5630" s="4">
        <v>2.0210246443E+17</v>
      </c>
      <c r="B5630" s="4">
        <v>6248701640</v>
      </c>
      <c r="C5630" s="4" t="s">
        <v>1382</v>
      </c>
      <c r="D5630" s="4">
        <v>46443</v>
      </c>
      <c r="E5630" s="4">
        <v>20210209</v>
      </c>
      <c r="F5630" s="4">
        <v>20210209</v>
      </c>
      <c r="G5630" s="4">
        <v>20240209</v>
      </c>
      <c r="H5630" s="4" t="s">
        <v>1381</v>
      </c>
      <c r="I5630" s="4" t="s">
        <v>1380</v>
      </c>
      <c r="J5630" s="4" t="s">
        <v>1379</v>
      </c>
    </row>
    <row r="5631" spans="1:10" hidden="1">
      <c r="A5631" s="4">
        <v>2.0210263999E+17</v>
      </c>
      <c r="B5631" s="4">
        <v>5658100618</v>
      </c>
      <c r="C5631" s="4" t="s">
        <v>1378</v>
      </c>
      <c r="D5631" s="4">
        <v>63999</v>
      </c>
      <c r="E5631" s="4">
        <v>20210209</v>
      </c>
      <c r="F5631" s="4">
        <v>20210209</v>
      </c>
      <c r="G5631" s="4">
        <v>20240117</v>
      </c>
      <c r="H5631" s="4" t="s">
        <v>1377</v>
      </c>
      <c r="J5631" s="4" t="s">
        <v>643</v>
      </c>
    </row>
    <row r="5632" spans="1:10" hidden="1">
      <c r="A5632" s="4">
        <v>2.0210270129E+17</v>
      </c>
      <c r="B5632" s="4">
        <v>7488101847</v>
      </c>
      <c r="C5632" s="4" t="s">
        <v>1376</v>
      </c>
      <c r="D5632" s="4">
        <v>70129</v>
      </c>
      <c r="E5632" s="4">
        <v>20210209</v>
      </c>
      <c r="F5632" s="4">
        <v>20210209</v>
      </c>
      <c r="G5632" s="4">
        <v>20240209</v>
      </c>
      <c r="H5632" s="4" t="s">
        <v>1375</v>
      </c>
      <c r="I5632" s="4" t="s">
        <v>1374</v>
      </c>
      <c r="J5632" s="4" t="s">
        <v>937</v>
      </c>
    </row>
    <row r="5633" spans="1:10" hidden="1">
      <c r="A5633" s="4">
        <v>2.0210270111E+17</v>
      </c>
      <c r="B5633" s="4">
        <v>4618100897</v>
      </c>
      <c r="C5633" s="4" t="s">
        <v>1373</v>
      </c>
      <c r="D5633" s="4">
        <v>70111</v>
      </c>
      <c r="E5633" s="4">
        <v>20210209</v>
      </c>
      <c r="F5633" s="4">
        <v>20210209</v>
      </c>
      <c r="G5633" s="4">
        <v>20240209</v>
      </c>
      <c r="H5633" s="4" t="s">
        <v>1372</v>
      </c>
      <c r="I5633" s="4" t="s">
        <v>1371</v>
      </c>
      <c r="J5633" s="4" t="s">
        <v>399</v>
      </c>
    </row>
    <row r="5634" spans="1:10" hidden="1">
      <c r="A5634" s="4">
        <v>2.0210241122E+17</v>
      </c>
      <c r="B5634" s="4">
        <v>5728601702</v>
      </c>
      <c r="C5634" s="4" t="s">
        <v>1370</v>
      </c>
      <c r="D5634" s="4">
        <v>41122</v>
      </c>
      <c r="E5634" s="4">
        <v>20210209</v>
      </c>
      <c r="F5634" s="4">
        <v>20210209</v>
      </c>
      <c r="G5634" s="4">
        <v>20240209</v>
      </c>
      <c r="H5634" s="4" t="s">
        <v>1369</v>
      </c>
      <c r="J5634" s="4" t="s">
        <v>1368</v>
      </c>
    </row>
    <row r="5635" spans="1:10" hidden="1">
      <c r="A5635" s="4">
        <v>2.0210285709E+17</v>
      </c>
      <c r="B5635" s="4">
        <v>3323300899</v>
      </c>
      <c r="C5635" s="4" t="s">
        <v>1367</v>
      </c>
      <c r="D5635" s="4">
        <v>85709</v>
      </c>
      <c r="E5635" s="4">
        <v>20210209</v>
      </c>
      <c r="F5635" s="4">
        <v>20210209</v>
      </c>
      <c r="G5635" s="4">
        <v>20240209</v>
      </c>
      <c r="H5635" s="4" t="s">
        <v>1366</v>
      </c>
      <c r="I5635" s="4" t="s">
        <v>1365</v>
      </c>
      <c r="J5635" s="4" t="s">
        <v>141</v>
      </c>
    </row>
    <row r="5636" spans="1:10" hidden="1">
      <c r="A5636" s="4">
        <v>2.0210210122E+17</v>
      </c>
      <c r="B5636" s="4">
        <v>6608801963</v>
      </c>
      <c r="C5636" s="4" t="s">
        <v>1364</v>
      </c>
      <c r="D5636" s="4">
        <v>10122</v>
      </c>
      <c r="E5636" s="4">
        <v>20210209</v>
      </c>
      <c r="F5636" s="4">
        <v>20210209</v>
      </c>
      <c r="G5636" s="4">
        <v>20240209</v>
      </c>
      <c r="H5636" s="4" t="s">
        <v>1363</v>
      </c>
      <c r="I5636" s="4" t="s">
        <v>1362</v>
      </c>
      <c r="J5636" s="4" t="s">
        <v>1361</v>
      </c>
    </row>
    <row r="5637" spans="1:10" hidden="1">
      <c r="A5637" s="4">
        <v>2.0210242202E+17</v>
      </c>
      <c r="B5637" s="4">
        <v>8048800093</v>
      </c>
      <c r="C5637" s="4" t="s">
        <v>1360</v>
      </c>
      <c r="D5637" s="4">
        <v>42202</v>
      </c>
      <c r="E5637" s="4">
        <v>20210209</v>
      </c>
      <c r="F5637" s="4">
        <v>20210209</v>
      </c>
      <c r="G5637" s="4">
        <v>20220506</v>
      </c>
      <c r="H5637" s="4" t="s">
        <v>1359</v>
      </c>
      <c r="J5637" s="4" t="s">
        <v>447</v>
      </c>
    </row>
    <row r="5638" spans="1:10" hidden="1">
      <c r="A5638" s="4">
        <v>2.0210271531E+17</v>
      </c>
      <c r="B5638" s="4">
        <v>2756600293</v>
      </c>
      <c r="C5638" s="4" t="s">
        <v>1358</v>
      </c>
      <c r="D5638" s="4">
        <v>71531</v>
      </c>
      <c r="E5638" s="4">
        <v>20210209</v>
      </c>
      <c r="F5638" s="4">
        <v>20210209</v>
      </c>
      <c r="G5638" s="4">
        <v>20240209</v>
      </c>
      <c r="H5638" s="4" t="s">
        <v>1357</v>
      </c>
      <c r="I5638" s="4" t="s">
        <v>1331</v>
      </c>
      <c r="J5638" s="4" t="s">
        <v>87</v>
      </c>
    </row>
    <row r="5639" spans="1:10" hidden="1">
      <c r="A5639" s="4">
        <v>2.0210226429E+17</v>
      </c>
      <c r="B5639" s="4">
        <v>4458101555</v>
      </c>
      <c r="C5639" s="4" t="s">
        <v>1356</v>
      </c>
      <c r="D5639" s="4">
        <v>26429</v>
      </c>
      <c r="E5639" s="4">
        <v>20210209</v>
      </c>
      <c r="F5639" s="4">
        <v>20210209</v>
      </c>
      <c r="G5639" s="4">
        <v>20240209</v>
      </c>
      <c r="H5639" s="4" t="s">
        <v>1355</v>
      </c>
      <c r="I5639" s="4" t="s">
        <v>1354</v>
      </c>
      <c r="J5639" s="4" t="s">
        <v>422</v>
      </c>
    </row>
    <row r="5640" spans="1:10" hidden="1">
      <c r="A5640" s="4">
        <v>2.0210232091E+17</v>
      </c>
      <c r="B5640" s="4">
        <v>6350100517</v>
      </c>
      <c r="C5640" s="4" t="s">
        <v>1353</v>
      </c>
      <c r="D5640" s="4">
        <v>32091</v>
      </c>
      <c r="E5640" s="4">
        <v>20210209</v>
      </c>
      <c r="F5640" s="4">
        <v>20210209</v>
      </c>
      <c r="G5640" s="4">
        <v>20231017</v>
      </c>
      <c r="H5640" s="4" t="s">
        <v>1352</v>
      </c>
      <c r="J5640" s="4" t="s">
        <v>908</v>
      </c>
    </row>
    <row r="5641" spans="1:10" hidden="1">
      <c r="A5641" s="4">
        <v>2.021026312E+17</v>
      </c>
      <c r="B5641" s="4">
        <v>1771801186</v>
      </c>
      <c r="C5641" s="4" t="s">
        <v>1351</v>
      </c>
      <c r="D5641" s="4">
        <v>63120</v>
      </c>
      <c r="E5641" s="4">
        <v>20210209</v>
      </c>
      <c r="F5641" s="4">
        <v>20210209</v>
      </c>
      <c r="G5641" s="4">
        <v>20240209</v>
      </c>
      <c r="H5641" s="4" t="s">
        <v>1350</v>
      </c>
      <c r="I5641" s="4" t="s">
        <v>1349</v>
      </c>
      <c r="J5641" s="4" t="s">
        <v>632</v>
      </c>
    </row>
    <row r="5642" spans="1:10" hidden="1">
      <c r="A5642" s="4">
        <v>2.0210258222E+17</v>
      </c>
      <c r="B5642" s="4">
        <v>5478101768</v>
      </c>
      <c r="C5642" s="4" t="s">
        <v>1348</v>
      </c>
      <c r="D5642" s="4">
        <v>58222</v>
      </c>
      <c r="E5642" s="4">
        <v>20210209</v>
      </c>
      <c r="F5642" s="4">
        <v>20210209</v>
      </c>
      <c r="G5642" s="4">
        <v>20240209</v>
      </c>
      <c r="H5642" s="4" t="s">
        <v>1347</v>
      </c>
      <c r="I5642" s="4" t="s">
        <v>1346</v>
      </c>
      <c r="J5642" s="4" t="s">
        <v>94</v>
      </c>
    </row>
    <row r="5643" spans="1:10" hidden="1">
      <c r="A5643" s="4">
        <v>2.0210270129E+17</v>
      </c>
      <c r="B5643" s="4">
        <v>8718801471</v>
      </c>
      <c r="C5643" s="4" t="s">
        <v>1345</v>
      </c>
      <c r="D5643" s="4">
        <v>70129</v>
      </c>
      <c r="E5643" s="4">
        <v>20210208</v>
      </c>
      <c r="F5643" s="4">
        <v>20210208</v>
      </c>
      <c r="G5643" s="4">
        <v>20240208</v>
      </c>
      <c r="H5643" s="4" t="s">
        <v>1344</v>
      </c>
      <c r="I5643" s="4" t="s">
        <v>1343</v>
      </c>
      <c r="J5643" s="4" t="s">
        <v>937</v>
      </c>
    </row>
    <row r="5644" spans="1:10" hidden="1">
      <c r="A5644" s="4">
        <v>2.0210228903E+17</v>
      </c>
      <c r="B5644" s="4">
        <v>2188601322</v>
      </c>
      <c r="C5644" s="4" t="s">
        <v>1342</v>
      </c>
      <c r="D5644" s="4">
        <v>28903</v>
      </c>
      <c r="E5644" s="4">
        <v>20210208</v>
      </c>
      <c r="F5644" s="4">
        <v>20210208</v>
      </c>
      <c r="G5644" s="4">
        <v>20240208</v>
      </c>
      <c r="H5644" s="4" t="s">
        <v>1341</v>
      </c>
      <c r="I5644" s="4" t="s">
        <v>185</v>
      </c>
      <c r="J5644" s="4" t="s">
        <v>460</v>
      </c>
    </row>
    <row r="5645" spans="1:10" hidden="1">
      <c r="A5645" s="4">
        <v>2.0210223321E+17</v>
      </c>
      <c r="B5645" s="4">
        <v>7458801245</v>
      </c>
      <c r="C5645" s="4" t="s">
        <v>1340</v>
      </c>
      <c r="D5645" s="4">
        <v>23321</v>
      </c>
      <c r="E5645" s="4">
        <v>20210208</v>
      </c>
      <c r="F5645" s="4">
        <v>20210208</v>
      </c>
      <c r="G5645" s="4">
        <v>20240208</v>
      </c>
      <c r="H5645" s="4" t="s">
        <v>1339</v>
      </c>
      <c r="I5645" s="4" t="s">
        <v>1338</v>
      </c>
      <c r="J5645" s="4" t="s">
        <v>1337</v>
      </c>
    </row>
    <row r="5646" spans="1:10" hidden="1">
      <c r="A5646" s="4">
        <v>2.0210225944E+17</v>
      </c>
      <c r="B5646" s="4">
        <v>7138601244</v>
      </c>
      <c r="C5646" s="4" t="s">
        <v>1336</v>
      </c>
      <c r="D5646" s="4">
        <v>25944</v>
      </c>
      <c r="E5646" s="4">
        <v>20210208</v>
      </c>
      <c r="F5646" s="4">
        <v>20210208</v>
      </c>
      <c r="G5646" s="4">
        <v>20240208</v>
      </c>
      <c r="H5646" s="4" t="s">
        <v>1335</v>
      </c>
      <c r="J5646" s="4" t="s">
        <v>1334</v>
      </c>
    </row>
    <row r="5647" spans="1:10" hidden="1">
      <c r="A5647" s="4">
        <v>2.0210228422E+17</v>
      </c>
      <c r="B5647" s="4">
        <v>2918101526</v>
      </c>
      <c r="C5647" s="4" t="s">
        <v>1333</v>
      </c>
      <c r="D5647" s="4">
        <v>28422</v>
      </c>
      <c r="E5647" s="4">
        <v>20210208</v>
      </c>
      <c r="F5647" s="4">
        <v>20210208</v>
      </c>
      <c r="G5647" s="4">
        <v>20240208</v>
      </c>
      <c r="H5647" s="4" t="s">
        <v>1332</v>
      </c>
      <c r="I5647" s="4" t="s">
        <v>1331</v>
      </c>
      <c r="J5647" s="4" t="s">
        <v>188</v>
      </c>
    </row>
    <row r="5648" spans="1:10" hidden="1">
      <c r="A5648" s="4">
        <v>2.0210241226E+17</v>
      </c>
      <c r="B5648" s="4">
        <v>8198701501</v>
      </c>
      <c r="C5648" s="4" t="s">
        <v>1330</v>
      </c>
      <c r="D5648" s="4">
        <v>41226</v>
      </c>
      <c r="E5648" s="4">
        <v>20210208</v>
      </c>
      <c r="F5648" s="4">
        <v>20210208</v>
      </c>
      <c r="G5648" s="4">
        <v>20240208</v>
      </c>
      <c r="H5648" s="4" t="s">
        <v>1329</v>
      </c>
      <c r="J5648" s="4" t="s">
        <v>1063</v>
      </c>
    </row>
    <row r="5649" spans="1:10" hidden="1">
      <c r="A5649" s="4">
        <v>2.021022918E+17</v>
      </c>
      <c r="B5649" s="4">
        <v>3023211781</v>
      </c>
      <c r="C5649" s="4" t="s">
        <v>1328</v>
      </c>
      <c r="D5649" s="4">
        <v>29180</v>
      </c>
      <c r="E5649" s="4">
        <v>20210208</v>
      </c>
      <c r="F5649" s="4">
        <v>20210208</v>
      </c>
      <c r="G5649" s="4">
        <v>20240208</v>
      </c>
      <c r="H5649" s="4" t="s">
        <v>1327</v>
      </c>
      <c r="I5649" s="4" t="s">
        <v>149</v>
      </c>
      <c r="J5649" s="4" t="s">
        <v>609</v>
      </c>
    </row>
    <row r="5650" spans="1:10" hidden="1">
      <c r="A5650" s="4">
        <v>2.0210229133E+17</v>
      </c>
      <c r="B5650" s="4">
        <v>4718601530</v>
      </c>
      <c r="C5650" s="4" t="s">
        <v>1326</v>
      </c>
      <c r="D5650" s="4">
        <v>29133</v>
      </c>
      <c r="E5650" s="4">
        <v>20210208</v>
      </c>
      <c r="F5650" s="4">
        <v>20210208</v>
      </c>
      <c r="G5650" s="4">
        <v>20240208</v>
      </c>
      <c r="H5650" s="4" t="s">
        <v>1325</v>
      </c>
      <c r="J5650" s="4" t="s">
        <v>990</v>
      </c>
    </row>
    <row r="5651" spans="1:10" hidden="1">
      <c r="A5651" s="4">
        <v>2.0210227301E+17</v>
      </c>
      <c r="B5651" s="4">
        <v>3422300989</v>
      </c>
      <c r="C5651" s="4" t="s">
        <v>1324</v>
      </c>
      <c r="D5651" s="4">
        <v>27301</v>
      </c>
      <c r="E5651" s="4">
        <v>20210208</v>
      </c>
      <c r="F5651" s="4">
        <v>20210208</v>
      </c>
      <c r="G5651" s="4">
        <v>20240208</v>
      </c>
      <c r="H5651" s="4" t="s">
        <v>1323</v>
      </c>
      <c r="I5651" s="4" t="s">
        <v>1322</v>
      </c>
      <c r="J5651" s="4" t="s">
        <v>1321</v>
      </c>
    </row>
    <row r="5652" spans="1:10" hidden="1">
      <c r="A5652" s="4">
        <v>2.0210225929E+17</v>
      </c>
      <c r="B5652" s="4">
        <v>3542800745</v>
      </c>
      <c r="C5652" s="4" t="s">
        <v>1320</v>
      </c>
      <c r="D5652" s="4">
        <v>25929</v>
      </c>
      <c r="E5652" s="4">
        <v>20210208</v>
      </c>
      <c r="F5652" s="4">
        <v>20210208</v>
      </c>
      <c r="G5652" s="4">
        <v>20240208</v>
      </c>
      <c r="H5652" s="4" t="s">
        <v>1319</v>
      </c>
      <c r="I5652" s="4" t="s">
        <v>1318</v>
      </c>
      <c r="J5652" s="4" t="s">
        <v>701</v>
      </c>
    </row>
    <row r="5653" spans="1:10" hidden="1">
      <c r="A5653" s="4">
        <v>2.0210228123E+17</v>
      </c>
      <c r="B5653" s="4">
        <v>3198600927</v>
      </c>
      <c r="C5653" s="4" t="s">
        <v>1317</v>
      </c>
      <c r="D5653" s="4">
        <v>28123</v>
      </c>
      <c r="E5653" s="4">
        <v>20210208</v>
      </c>
      <c r="F5653" s="4">
        <v>20210208</v>
      </c>
      <c r="G5653" s="4">
        <v>20240208</v>
      </c>
      <c r="H5653" s="4" t="s">
        <v>1316</v>
      </c>
      <c r="J5653" s="4" t="s">
        <v>640</v>
      </c>
    </row>
    <row r="5654" spans="1:10" hidden="1">
      <c r="A5654" s="4">
        <v>2.0210228422E+17</v>
      </c>
      <c r="B5654" s="4">
        <v>2128800673</v>
      </c>
      <c r="C5654" s="4" t="s">
        <v>1315</v>
      </c>
      <c r="D5654" s="4">
        <v>28422</v>
      </c>
      <c r="E5654" s="4">
        <v>20210208</v>
      </c>
      <c r="F5654" s="4">
        <v>20210208</v>
      </c>
      <c r="G5654" s="4">
        <v>20240208</v>
      </c>
      <c r="H5654" s="4" t="s">
        <v>1314</v>
      </c>
      <c r="I5654" s="4" t="s">
        <v>1313</v>
      </c>
      <c r="J5654" s="4" t="s">
        <v>188</v>
      </c>
    </row>
    <row r="5655" spans="1:10" hidden="1">
      <c r="A5655" s="4">
        <v>2.021026312E+17</v>
      </c>
      <c r="B5655" s="4">
        <v>8640201955</v>
      </c>
      <c r="C5655" s="4" t="s">
        <v>1312</v>
      </c>
      <c r="D5655" s="4">
        <v>63120</v>
      </c>
      <c r="E5655" s="4">
        <v>20210208</v>
      </c>
      <c r="F5655" s="4">
        <v>20210208</v>
      </c>
      <c r="G5655" s="4">
        <v>20240208</v>
      </c>
      <c r="H5655" s="4" t="s">
        <v>1311</v>
      </c>
      <c r="I5655" s="4" t="s">
        <v>1310</v>
      </c>
      <c r="J5655" s="4" t="s">
        <v>632</v>
      </c>
    </row>
    <row r="5656" spans="1:10" hidden="1">
      <c r="A5656" s="4">
        <v>2.0210225119E+17</v>
      </c>
      <c r="B5656" s="4">
        <v>3401001605</v>
      </c>
      <c r="C5656" s="4" t="s">
        <v>1309</v>
      </c>
      <c r="D5656" s="4">
        <v>25119</v>
      </c>
      <c r="E5656" s="4">
        <v>20210208</v>
      </c>
      <c r="F5656" s="4">
        <v>20210208</v>
      </c>
      <c r="G5656" s="4">
        <v>20240208</v>
      </c>
      <c r="H5656" s="4" t="s">
        <v>1308</v>
      </c>
      <c r="I5656" s="4" t="s">
        <v>1307</v>
      </c>
      <c r="J5656" s="4" t="s">
        <v>679</v>
      </c>
    </row>
    <row r="5657" spans="1:10" hidden="1">
      <c r="A5657" s="4">
        <v>2.0210228422E+17</v>
      </c>
      <c r="B5657" s="4">
        <v>7570401137</v>
      </c>
      <c r="C5657" s="4" t="s">
        <v>1306</v>
      </c>
      <c r="D5657" s="4">
        <v>28422</v>
      </c>
      <c r="E5657" s="4">
        <v>20210208</v>
      </c>
      <c r="F5657" s="4">
        <v>20210208</v>
      </c>
      <c r="G5657" s="4">
        <v>20240208</v>
      </c>
      <c r="H5657" s="4" t="s">
        <v>1305</v>
      </c>
      <c r="J5657" s="4" t="s">
        <v>188</v>
      </c>
    </row>
    <row r="5658" spans="1:10" hidden="1">
      <c r="A5658" s="4">
        <v>2.0210246416E+17</v>
      </c>
      <c r="B5658" s="4">
        <v>5048620628</v>
      </c>
      <c r="C5658" s="4" t="s">
        <v>1304</v>
      </c>
      <c r="D5658" s="4">
        <v>46416</v>
      </c>
      <c r="E5658" s="4">
        <v>20210208</v>
      </c>
      <c r="F5658" s="4">
        <v>20210208</v>
      </c>
      <c r="G5658" s="4">
        <v>20240208</v>
      </c>
      <c r="H5658" s="4" t="s">
        <v>1239</v>
      </c>
      <c r="J5658" s="4" t="s">
        <v>1303</v>
      </c>
    </row>
    <row r="5659" spans="1:10" hidden="1">
      <c r="A5659" s="4">
        <v>2.0210258222E+17</v>
      </c>
      <c r="B5659" s="4">
        <v>6268601896</v>
      </c>
      <c r="C5659" s="4" t="s">
        <v>1302</v>
      </c>
      <c r="D5659" s="4">
        <v>58222</v>
      </c>
      <c r="E5659" s="4">
        <v>20210208</v>
      </c>
      <c r="F5659" s="4">
        <v>20210208</v>
      </c>
      <c r="G5659" s="4">
        <v>20240208</v>
      </c>
      <c r="H5659" s="4" t="s">
        <v>597</v>
      </c>
      <c r="I5659" s="4" t="s">
        <v>596</v>
      </c>
      <c r="J5659" s="4" t="s">
        <v>94</v>
      </c>
    </row>
    <row r="5660" spans="1:10" hidden="1">
      <c r="A5660" s="4">
        <v>2.0210258222E+17</v>
      </c>
      <c r="B5660" s="4">
        <v>2798101114</v>
      </c>
      <c r="C5660" s="4" t="s">
        <v>1301</v>
      </c>
      <c r="D5660" s="4">
        <v>58222</v>
      </c>
      <c r="E5660" s="4">
        <v>20210208</v>
      </c>
      <c r="F5660" s="4">
        <v>20210208</v>
      </c>
      <c r="G5660" s="4">
        <v>20240208</v>
      </c>
      <c r="H5660" s="4" t="s">
        <v>1300</v>
      </c>
      <c r="I5660" s="4" t="s">
        <v>1299</v>
      </c>
      <c r="J5660" s="4" t="s">
        <v>94</v>
      </c>
    </row>
    <row r="5661" spans="1:10" hidden="1">
      <c r="A5661" s="4">
        <v>2.0210270113E+17</v>
      </c>
      <c r="B5661" s="4">
        <v>8408702047</v>
      </c>
      <c r="C5661" s="4" t="s">
        <v>1298</v>
      </c>
      <c r="D5661" s="4">
        <v>70113</v>
      </c>
      <c r="E5661" s="4">
        <v>20210208</v>
      </c>
      <c r="F5661" s="4">
        <v>20210208</v>
      </c>
      <c r="G5661" s="4">
        <v>20240208</v>
      </c>
      <c r="H5661" s="4" t="s">
        <v>825</v>
      </c>
      <c r="I5661" s="4" t="s">
        <v>1297</v>
      </c>
      <c r="J5661" s="4" t="s">
        <v>1173</v>
      </c>
    </row>
    <row r="5662" spans="1:10" hidden="1">
      <c r="A5662" s="4">
        <v>2.0210228909E+17</v>
      </c>
      <c r="B5662" s="4">
        <v>3458701524</v>
      </c>
      <c r="C5662" s="4" t="s">
        <v>1296</v>
      </c>
      <c r="D5662" s="4">
        <v>28909</v>
      </c>
      <c r="E5662" s="4">
        <v>20210208</v>
      </c>
      <c r="F5662" s="4">
        <v>20210208</v>
      </c>
      <c r="G5662" s="4">
        <v>20240208</v>
      </c>
      <c r="H5662" s="4" t="s">
        <v>1295</v>
      </c>
      <c r="I5662" s="4" t="s">
        <v>1294</v>
      </c>
      <c r="J5662" s="4" t="s">
        <v>253</v>
      </c>
    </row>
    <row r="5663" spans="1:10" hidden="1">
      <c r="A5663" s="4">
        <v>2.0210258222E+17</v>
      </c>
      <c r="B5663" s="4">
        <v>6408602101</v>
      </c>
      <c r="C5663" s="4" t="s">
        <v>1293</v>
      </c>
      <c r="D5663" s="4">
        <v>58222</v>
      </c>
      <c r="E5663" s="4">
        <v>20210208</v>
      </c>
      <c r="F5663" s="4">
        <v>20210208</v>
      </c>
      <c r="G5663" s="4">
        <v>20240208</v>
      </c>
      <c r="H5663" s="4" t="s">
        <v>1292</v>
      </c>
      <c r="I5663" s="4" t="s">
        <v>1291</v>
      </c>
      <c r="J5663" s="4" t="s">
        <v>94</v>
      </c>
    </row>
    <row r="5664" spans="1:10" hidden="1">
      <c r="A5664" s="4">
        <v>2.0210226299E+17</v>
      </c>
      <c r="B5664" s="4">
        <v>7598701742</v>
      </c>
      <c r="C5664" s="4" t="s">
        <v>1290</v>
      </c>
      <c r="D5664" s="4">
        <v>26299</v>
      </c>
      <c r="E5664" s="4">
        <v>20210208</v>
      </c>
      <c r="F5664" s="4">
        <v>20210208</v>
      </c>
      <c r="G5664" s="4">
        <v>20240208</v>
      </c>
      <c r="H5664" s="4" t="s">
        <v>1222</v>
      </c>
      <c r="I5664" s="4" t="s">
        <v>1289</v>
      </c>
      <c r="J5664" s="4" t="s">
        <v>339</v>
      </c>
    </row>
    <row r="5665" spans="1:10" hidden="1">
      <c r="A5665" s="4">
        <v>2.0210229199E+17</v>
      </c>
      <c r="B5665" s="4">
        <v>5628602121</v>
      </c>
      <c r="C5665" s="4" t="s">
        <v>1288</v>
      </c>
      <c r="D5665" s="4">
        <v>29199</v>
      </c>
      <c r="E5665" s="4">
        <v>20210208</v>
      </c>
      <c r="F5665" s="4">
        <v>20210208</v>
      </c>
      <c r="G5665" s="4">
        <v>20240208</v>
      </c>
      <c r="H5665" s="4" t="s">
        <v>1287</v>
      </c>
      <c r="I5665" s="4" t="s">
        <v>1286</v>
      </c>
      <c r="J5665" s="4" t="s">
        <v>166</v>
      </c>
    </row>
    <row r="5666" spans="1:10" hidden="1">
      <c r="A5666" s="4">
        <v>2.02102213E+17</v>
      </c>
      <c r="B5666" s="4">
        <v>8918801489</v>
      </c>
      <c r="C5666" s="4" t="s">
        <v>1285</v>
      </c>
      <c r="D5666" s="4">
        <v>21300</v>
      </c>
      <c r="E5666" s="4">
        <v>20210208</v>
      </c>
      <c r="F5666" s="4">
        <v>20210208</v>
      </c>
      <c r="G5666" s="4">
        <v>20240208</v>
      </c>
      <c r="H5666" s="4" t="s">
        <v>1284</v>
      </c>
      <c r="J5666" s="4" t="s">
        <v>530</v>
      </c>
    </row>
    <row r="5667" spans="1:10" hidden="1">
      <c r="A5667" s="4">
        <v>2.0210229271E+17</v>
      </c>
      <c r="B5667" s="4">
        <v>4858101330</v>
      </c>
      <c r="C5667" s="4" t="s">
        <v>1283</v>
      </c>
      <c r="D5667" s="4">
        <v>29271</v>
      </c>
      <c r="E5667" s="4">
        <v>20210207</v>
      </c>
      <c r="F5667" s="4">
        <v>20210207</v>
      </c>
      <c r="G5667" s="4">
        <v>20240207</v>
      </c>
      <c r="H5667" s="4" t="s">
        <v>1282</v>
      </c>
      <c r="J5667" s="4" t="s">
        <v>285</v>
      </c>
    </row>
    <row r="5668" spans="1:10" hidden="1">
      <c r="A5668" s="4">
        <v>2.0210247813E+17</v>
      </c>
      <c r="B5668" s="4">
        <v>2714800486</v>
      </c>
      <c r="C5668" s="4" t="s">
        <v>1281</v>
      </c>
      <c r="D5668" s="4">
        <v>47813</v>
      </c>
      <c r="E5668" s="4">
        <v>20210206</v>
      </c>
      <c r="F5668" s="4">
        <v>20210206</v>
      </c>
      <c r="G5668" s="4">
        <v>20240206</v>
      </c>
      <c r="H5668" s="4" t="s">
        <v>1280</v>
      </c>
      <c r="I5668" s="4" t="s">
        <v>185</v>
      </c>
      <c r="J5668" s="4" t="s">
        <v>376</v>
      </c>
    </row>
    <row r="5669" spans="1:10" hidden="1">
      <c r="A5669" s="4">
        <v>2.0210242412E+17</v>
      </c>
      <c r="B5669" s="4">
        <v>6330501819</v>
      </c>
      <c r="C5669" s="4" t="s">
        <v>1279</v>
      </c>
      <c r="D5669" s="4">
        <v>42412</v>
      </c>
      <c r="E5669" s="4">
        <v>20210206</v>
      </c>
      <c r="F5669" s="4">
        <v>20210206</v>
      </c>
      <c r="G5669" s="4">
        <v>20240206</v>
      </c>
      <c r="H5669" s="4" t="s">
        <v>1278</v>
      </c>
      <c r="I5669" s="4" t="s">
        <v>1277</v>
      </c>
      <c r="J5669" s="4" t="s">
        <v>281</v>
      </c>
    </row>
    <row r="5670" spans="1:10" hidden="1">
      <c r="A5670" s="4">
        <v>2.021022921E+17</v>
      </c>
      <c r="B5670" s="4">
        <v>7268101997</v>
      </c>
      <c r="C5670" s="4" t="s">
        <v>1276</v>
      </c>
      <c r="D5670" s="4">
        <v>29210</v>
      </c>
      <c r="E5670" s="4">
        <v>20210206</v>
      </c>
      <c r="F5670" s="4">
        <v>20210206</v>
      </c>
      <c r="G5670" s="4">
        <v>20240206</v>
      </c>
      <c r="H5670" s="4" t="s">
        <v>1275</v>
      </c>
      <c r="J5670" s="4" t="s">
        <v>1274</v>
      </c>
    </row>
    <row r="5671" spans="1:10" hidden="1">
      <c r="A5671" s="4">
        <v>2.0210226121E+17</v>
      </c>
      <c r="B5671" s="4">
        <v>8248101909</v>
      </c>
      <c r="C5671" s="4" t="s">
        <v>1273</v>
      </c>
      <c r="D5671" s="4">
        <v>26121</v>
      </c>
      <c r="E5671" s="4">
        <v>20210206</v>
      </c>
      <c r="F5671" s="4">
        <v>20210206</v>
      </c>
      <c r="G5671" s="4">
        <v>20240206</v>
      </c>
      <c r="H5671" s="4" t="s">
        <v>1272</v>
      </c>
      <c r="J5671" s="4" t="s">
        <v>1271</v>
      </c>
    </row>
    <row r="5672" spans="1:10" hidden="1">
      <c r="A5672" s="4">
        <v>2.0210270121E+17</v>
      </c>
      <c r="B5672" s="4">
        <v>8298701605</v>
      </c>
      <c r="C5672" s="4" t="s">
        <v>1270</v>
      </c>
      <c r="D5672" s="4">
        <v>70121</v>
      </c>
      <c r="E5672" s="4">
        <v>20210206</v>
      </c>
      <c r="F5672" s="4">
        <v>20210206</v>
      </c>
      <c r="G5672" s="4">
        <v>20240206</v>
      </c>
      <c r="H5672" s="4" t="s">
        <v>1269</v>
      </c>
      <c r="I5672" s="4" t="s">
        <v>1268</v>
      </c>
      <c r="J5672" s="4" t="s">
        <v>1267</v>
      </c>
    </row>
    <row r="5673" spans="1:10" hidden="1">
      <c r="A5673" s="4">
        <v>2.0210228903E+17</v>
      </c>
      <c r="B5673" s="4">
        <v>1828101765</v>
      </c>
      <c r="C5673" s="4" t="s">
        <v>1266</v>
      </c>
      <c r="D5673" s="4">
        <v>28903</v>
      </c>
      <c r="E5673" s="4">
        <v>20210205</v>
      </c>
      <c r="F5673" s="4">
        <v>20210205</v>
      </c>
      <c r="G5673" s="4">
        <v>20240205</v>
      </c>
      <c r="H5673" s="4" t="s">
        <v>1265</v>
      </c>
      <c r="J5673" s="4" t="s">
        <v>460</v>
      </c>
    </row>
    <row r="5674" spans="1:10" hidden="1">
      <c r="A5674" s="4">
        <v>2.0210226322E+17</v>
      </c>
      <c r="B5674" s="4">
        <v>5598700895</v>
      </c>
      <c r="C5674" s="4" t="s">
        <v>1264</v>
      </c>
      <c r="D5674" s="4">
        <v>26322</v>
      </c>
      <c r="E5674" s="4">
        <v>20210205</v>
      </c>
      <c r="F5674" s="4">
        <v>20210205</v>
      </c>
      <c r="G5674" s="4">
        <v>20240205</v>
      </c>
      <c r="H5674" s="4" t="s">
        <v>1263</v>
      </c>
      <c r="J5674" s="4" t="s">
        <v>1262</v>
      </c>
    </row>
    <row r="5675" spans="1:10" hidden="1">
      <c r="A5675" s="4">
        <v>2.0210225111E+17</v>
      </c>
      <c r="B5675" s="4">
        <v>7328801235</v>
      </c>
      <c r="C5675" s="4" t="s">
        <v>1261</v>
      </c>
      <c r="D5675" s="4">
        <v>25111</v>
      </c>
      <c r="E5675" s="4">
        <v>20210205</v>
      </c>
      <c r="F5675" s="4">
        <v>20210205</v>
      </c>
      <c r="G5675" s="4">
        <v>20240205</v>
      </c>
      <c r="H5675" s="4" t="s">
        <v>1260</v>
      </c>
      <c r="J5675" s="4" t="s">
        <v>82</v>
      </c>
    </row>
    <row r="5676" spans="1:10" hidden="1">
      <c r="A5676" s="4">
        <v>2.0210213999E+17</v>
      </c>
      <c r="B5676" s="4">
        <v>7668800016</v>
      </c>
      <c r="C5676" s="4" t="s">
        <v>1259</v>
      </c>
      <c r="D5676" s="4">
        <v>13999</v>
      </c>
      <c r="E5676" s="4">
        <v>20210205</v>
      </c>
      <c r="F5676" s="4">
        <v>20210205</v>
      </c>
      <c r="G5676" s="4">
        <v>20220305</v>
      </c>
      <c r="H5676" s="4" t="s">
        <v>1258</v>
      </c>
      <c r="J5676" s="4" t="s">
        <v>130</v>
      </c>
    </row>
    <row r="5677" spans="1:10" hidden="1">
      <c r="A5677" s="4">
        <v>2.0210227112E+17</v>
      </c>
      <c r="B5677" s="4">
        <v>3648801823</v>
      </c>
      <c r="C5677" s="4" t="s">
        <v>1257</v>
      </c>
      <c r="D5677" s="4">
        <v>27112</v>
      </c>
      <c r="E5677" s="4">
        <v>20210205</v>
      </c>
      <c r="F5677" s="4">
        <v>20210205</v>
      </c>
      <c r="G5677" s="4">
        <v>20240205</v>
      </c>
      <c r="H5677" s="4" t="s">
        <v>1256</v>
      </c>
      <c r="I5677" s="4" t="s">
        <v>1255</v>
      </c>
      <c r="J5677" s="4" t="s">
        <v>1254</v>
      </c>
    </row>
    <row r="5678" spans="1:10" hidden="1">
      <c r="A5678" s="4">
        <v>2.0210258222E+17</v>
      </c>
      <c r="B5678" s="4">
        <v>5318702070</v>
      </c>
      <c r="C5678" s="4" t="s">
        <v>1253</v>
      </c>
      <c r="D5678" s="4">
        <v>58222</v>
      </c>
      <c r="E5678" s="4">
        <v>20210205</v>
      </c>
      <c r="F5678" s="4">
        <v>20210205</v>
      </c>
      <c r="G5678" s="4">
        <v>20240205</v>
      </c>
      <c r="H5678" s="4" t="s">
        <v>1252</v>
      </c>
      <c r="I5678" s="4" t="s">
        <v>1251</v>
      </c>
      <c r="J5678" s="4" t="s">
        <v>94</v>
      </c>
    </row>
    <row r="5679" spans="1:10" hidden="1">
      <c r="A5679" s="4">
        <v>2.0210228422E+17</v>
      </c>
      <c r="B5679" s="4">
        <v>1098655617</v>
      </c>
      <c r="C5679" s="4" t="s">
        <v>1250</v>
      </c>
      <c r="D5679" s="4">
        <v>28422</v>
      </c>
      <c r="E5679" s="4">
        <v>20210205</v>
      </c>
      <c r="F5679" s="4">
        <v>20210205</v>
      </c>
      <c r="G5679" s="4">
        <v>20240205</v>
      </c>
      <c r="H5679" s="4" t="s">
        <v>1249</v>
      </c>
      <c r="I5679" s="4" t="s">
        <v>1248</v>
      </c>
      <c r="J5679" s="4" t="s">
        <v>188</v>
      </c>
    </row>
    <row r="5680" spans="1:10">
      <c r="A5680" s="4">
        <v>2.0210318111000099E+17</v>
      </c>
      <c r="B5680" s="4">
        <v>6827200283</v>
      </c>
      <c r="C5680" s="4" t="s">
        <v>5052</v>
      </c>
      <c r="D5680" s="4">
        <v>18111</v>
      </c>
      <c r="E5680" s="4">
        <v>20210324</v>
      </c>
      <c r="F5680" s="4">
        <v>20210324</v>
      </c>
      <c r="G5680" s="4">
        <v>20240324</v>
      </c>
      <c r="H5680" s="4" t="s">
        <v>5051</v>
      </c>
      <c r="J5680" s="4" t="s">
        <v>662</v>
      </c>
    </row>
    <row r="5681" spans="1:10" hidden="1">
      <c r="A5681" s="4">
        <v>2.0210225999E+17</v>
      </c>
      <c r="B5681" s="4">
        <v>2930101549</v>
      </c>
      <c r="C5681" s="4" t="s">
        <v>1244</v>
      </c>
      <c r="D5681" s="4">
        <v>25999</v>
      </c>
      <c r="E5681" s="4">
        <v>20210205</v>
      </c>
      <c r="F5681" s="4">
        <v>20210205</v>
      </c>
      <c r="G5681" s="4">
        <v>20240205</v>
      </c>
      <c r="H5681" s="4" t="s">
        <v>1243</v>
      </c>
      <c r="J5681" s="4" t="s">
        <v>301</v>
      </c>
    </row>
    <row r="5682" spans="1:10" hidden="1">
      <c r="A5682" s="4">
        <v>2.02102468E+17</v>
      </c>
      <c r="B5682" s="4">
        <v>1346200280</v>
      </c>
      <c r="C5682" s="4" t="s">
        <v>1242</v>
      </c>
      <c r="D5682" s="4">
        <v>46800</v>
      </c>
      <c r="E5682" s="4">
        <v>20210205</v>
      </c>
      <c r="F5682" s="4">
        <v>20210205</v>
      </c>
      <c r="G5682" s="4">
        <v>20240205</v>
      </c>
      <c r="H5682" s="4" t="s">
        <v>1241</v>
      </c>
      <c r="I5682" s="4" t="s">
        <v>142</v>
      </c>
      <c r="J5682" s="4" t="s">
        <v>979</v>
      </c>
    </row>
    <row r="5683" spans="1:10" hidden="1">
      <c r="A5683" s="4">
        <v>2.0210220203E+17</v>
      </c>
      <c r="B5683" s="4">
        <v>6813200891</v>
      </c>
      <c r="C5683" s="4" t="s">
        <v>1240</v>
      </c>
      <c r="D5683" s="4">
        <v>20203</v>
      </c>
      <c r="E5683" s="4">
        <v>20210205</v>
      </c>
      <c r="F5683" s="4">
        <v>20210205</v>
      </c>
      <c r="G5683" s="4">
        <v>20240205</v>
      </c>
      <c r="H5683" s="4" t="s">
        <v>1239</v>
      </c>
      <c r="I5683" s="4" t="s">
        <v>1238</v>
      </c>
      <c r="J5683" s="4" t="s">
        <v>576</v>
      </c>
    </row>
    <row r="5684" spans="1:10" hidden="1">
      <c r="A5684" s="4">
        <v>2.0210258221E+17</v>
      </c>
      <c r="B5684" s="4">
        <v>7572401154</v>
      </c>
      <c r="C5684" s="4" t="s">
        <v>1237</v>
      </c>
      <c r="D5684" s="4">
        <v>58221</v>
      </c>
      <c r="E5684" s="4">
        <v>20210205</v>
      </c>
      <c r="F5684" s="4">
        <v>20210205</v>
      </c>
      <c r="G5684" s="4">
        <v>20240205</v>
      </c>
      <c r="H5684" s="4" t="s">
        <v>1236</v>
      </c>
      <c r="I5684" s="4" t="s">
        <v>1235</v>
      </c>
      <c r="J5684" s="4" t="s">
        <v>228</v>
      </c>
    </row>
    <row r="5685" spans="1:10" hidden="1">
      <c r="A5685" s="4">
        <v>2.0210247912E+17</v>
      </c>
      <c r="B5685" s="4">
        <v>4831001241</v>
      </c>
      <c r="C5685" s="4" t="s">
        <v>1234</v>
      </c>
      <c r="D5685" s="4">
        <v>47912</v>
      </c>
      <c r="E5685" s="4">
        <v>20210205</v>
      </c>
      <c r="F5685" s="4">
        <v>20210205</v>
      </c>
      <c r="G5685" s="4">
        <v>20240205</v>
      </c>
      <c r="H5685" s="4" t="s">
        <v>1233</v>
      </c>
      <c r="I5685" s="4" t="s">
        <v>1232</v>
      </c>
      <c r="J5685" s="4" t="s">
        <v>78</v>
      </c>
    </row>
    <row r="5686" spans="1:10" hidden="1">
      <c r="A5686" s="4">
        <v>2.0210226295E+17</v>
      </c>
      <c r="B5686" s="4">
        <v>5081561484</v>
      </c>
      <c r="C5686" s="4" t="s">
        <v>1231</v>
      </c>
      <c r="D5686" s="4">
        <v>26295</v>
      </c>
      <c r="E5686" s="4">
        <v>20210205</v>
      </c>
      <c r="F5686" s="4">
        <v>20210205</v>
      </c>
      <c r="G5686" s="4">
        <v>20240205</v>
      </c>
      <c r="H5686" s="4" t="s">
        <v>1230</v>
      </c>
      <c r="I5686" s="4" t="s">
        <v>1229</v>
      </c>
      <c r="J5686" s="4" t="s">
        <v>174</v>
      </c>
    </row>
    <row r="5687" spans="1:10">
      <c r="A5687" s="4">
        <v>2.0210218111E+17</v>
      </c>
      <c r="B5687" s="4">
        <v>6390701183</v>
      </c>
      <c r="C5687" s="4" t="s">
        <v>2249</v>
      </c>
      <c r="D5687" s="4">
        <v>18111</v>
      </c>
      <c r="E5687" s="4">
        <v>20210219</v>
      </c>
      <c r="F5687" s="4">
        <v>20210219</v>
      </c>
      <c r="G5687" s="4">
        <v>20240219</v>
      </c>
      <c r="H5687" s="4" t="s">
        <v>2248</v>
      </c>
      <c r="I5687" s="4" t="s">
        <v>2247</v>
      </c>
      <c r="J5687" s="4" t="s">
        <v>662</v>
      </c>
    </row>
    <row r="5688" spans="1:10" hidden="1">
      <c r="A5688" s="4">
        <v>2.021026201E+17</v>
      </c>
      <c r="B5688" s="4">
        <v>2716500498</v>
      </c>
      <c r="C5688" s="4" t="s">
        <v>1226</v>
      </c>
      <c r="D5688" s="4">
        <v>62010</v>
      </c>
      <c r="E5688" s="4">
        <v>20210205</v>
      </c>
      <c r="F5688" s="4">
        <v>20210205</v>
      </c>
      <c r="G5688" s="4">
        <v>20240205</v>
      </c>
      <c r="H5688" s="4" t="s">
        <v>1225</v>
      </c>
      <c r="I5688" s="4" t="s">
        <v>1224</v>
      </c>
      <c r="J5688" s="4" t="s">
        <v>118</v>
      </c>
    </row>
    <row r="5689" spans="1:10" hidden="1">
      <c r="A5689" s="4">
        <v>2.0210226299E+17</v>
      </c>
      <c r="B5689" s="4">
        <v>1638601702</v>
      </c>
      <c r="C5689" s="4" t="s">
        <v>1223</v>
      </c>
      <c r="D5689" s="4">
        <v>26299</v>
      </c>
      <c r="E5689" s="4">
        <v>20210205</v>
      </c>
      <c r="F5689" s="4">
        <v>20210205</v>
      </c>
      <c r="G5689" s="4">
        <v>20240205</v>
      </c>
      <c r="H5689" s="4" t="s">
        <v>1222</v>
      </c>
      <c r="I5689" s="4" t="s">
        <v>1221</v>
      </c>
      <c r="J5689" s="4" t="s">
        <v>339</v>
      </c>
    </row>
    <row r="5690" spans="1:10" hidden="1">
      <c r="A5690" s="4">
        <v>2.0210230201E+17</v>
      </c>
      <c r="B5690" s="4">
        <v>4061301487</v>
      </c>
      <c r="C5690" s="4" t="s">
        <v>1219</v>
      </c>
      <c r="D5690" s="4">
        <v>30201</v>
      </c>
      <c r="E5690" s="4">
        <v>20210205</v>
      </c>
      <c r="F5690" s="4">
        <v>20210205</v>
      </c>
      <c r="G5690" s="4">
        <v>20240205</v>
      </c>
      <c r="H5690" s="4" t="s">
        <v>1220</v>
      </c>
      <c r="I5690" s="4" t="s">
        <v>1219</v>
      </c>
      <c r="J5690" s="4" t="s">
        <v>1218</v>
      </c>
    </row>
    <row r="5691" spans="1:10" hidden="1">
      <c r="A5691" s="4">
        <v>2.0210229229E+17</v>
      </c>
      <c r="B5691" s="4">
        <v>1878101362</v>
      </c>
      <c r="C5691" s="4" t="s">
        <v>1217</v>
      </c>
      <c r="D5691" s="4">
        <v>29229</v>
      </c>
      <c r="E5691" s="4">
        <v>20210205</v>
      </c>
      <c r="F5691" s="4">
        <v>20210205</v>
      </c>
      <c r="G5691" s="4">
        <v>20240205</v>
      </c>
      <c r="H5691" s="4" t="s">
        <v>1216</v>
      </c>
      <c r="J5691" s="4" t="s">
        <v>1137</v>
      </c>
    </row>
    <row r="5692" spans="1:10" hidden="1">
      <c r="A5692" s="4">
        <v>2.0210227199E+17</v>
      </c>
      <c r="B5692" s="4">
        <v>7012101301</v>
      </c>
      <c r="C5692" s="4" t="s">
        <v>1215</v>
      </c>
      <c r="D5692" s="4">
        <v>27199</v>
      </c>
      <c r="E5692" s="4">
        <v>20210205</v>
      </c>
      <c r="F5692" s="4">
        <v>20210205</v>
      </c>
      <c r="G5692" s="4">
        <v>20240205</v>
      </c>
      <c r="H5692" s="4" t="s">
        <v>1214</v>
      </c>
      <c r="I5692" s="4" t="s">
        <v>1213</v>
      </c>
      <c r="J5692" s="4" t="s">
        <v>418</v>
      </c>
    </row>
    <row r="5693" spans="1:10" hidden="1">
      <c r="A5693" s="4">
        <v>2.021023391E+17</v>
      </c>
      <c r="B5693" s="4">
        <v>8624000739</v>
      </c>
      <c r="C5693" s="4" t="s">
        <v>1212</v>
      </c>
      <c r="D5693" s="4">
        <v>33910</v>
      </c>
      <c r="E5693" s="4">
        <v>20210205</v>
      </c>
      <c r="F5693" s="4">
        <v>20210205</v>
      </c>
      <c r="G5693" s="4">
        <v>20240205</v>
      </c>
      <c r="H5693" s="4" t="s">
        <v>1211</v>
      </c>
      <c r="I5693" s="4" t="s">
        <v>91</v>
      </c>
      <c r="J5693" s="4" t="s">
        <v>310</v>
      </c>
    </row>
    <row r="5694" spans="1:10" hidden="1">
      <c r="A5694" s="4">
        <v>2.0210226529E+17</v>
      </c>
      <c r="B5694" s="4">
        <v>4092650745</v>
      </c>
      <c r="C5694" s="4" t="s">
        <v>1210</v>
      </c>
      <c r="D5694" s="4">
        <v>26529</v>
      </c>
      <c r="E5694" s="4">
        <v>20210205</v>
      </c>
      <c r="F5694" s="4">
        <v>20210205</v>
      </c>
      <c r="G5694" s="4">
        <v>20240205</v>
      </c>
      <c r="H5694" s="4" t="s">
        <v>1209</v>
      </c>
      <c r="I5694" s="4" t="s">
        <v>1208</v>
      </c>
      <c r="J5694" s="4" t="s">
        <v>1207</v>
      </c>
    </row>
    <row r="5695" spans="1:10" hidden="1">
      <c r="A5695" s="4">
        <v>2.0210229172E+17</v>
      </c>
      <c r="B5695" s="4">
        <v>2428101728</v>
      </c>
      <c r="C5695" s="4" t="s">
        <v>1206</v>
      </c>
      <c r="D5695" s="4">
        <v>29172</v>
      </c>
      <c r="E5695" s="4">
        <v>20210205</v>
      </c>
      <c r="F5695" s="4">
        <v>20210205</v>
      </c>
      <c r="G5695" s="4">
        <v>20240205</v>
      </c>
      <c r="H5695" s="4" t="s">
        <v>474</v>
      </c>
      <c r="I5695" s="4" t="s">
        <v>1205</v>
      </c>
      <c r="J5695" s="4" t="s">
        <v>1204</v>
      </c>
    </row>
    <row r="5696" spans="1:10" hidden="1">
      <c r="A5696" s="4">
        <v>2.0210224199E+17</v>
      </c>
      <c r="B5696" s="4">
        <v>3138601030</v>
      </c>
      <c r="C5696" s="4" t="s">
        <v>1203</v>
      </c>
      <c r="D5696" s="4">
        <v>24199</v>
      </c>
      <c r="E5696" s="4">
        <v>20210205</v>
      </c>
      <c r="F5696" s="4">
        <v>20210205</v>
      </c>
      <c r="G5696" s="4">
        <v>20240205</v>
      </c>
      <c r="H5696" s="4" t="s">
        <v>1202</v>
      </c>
      <c r="I5696" s="4" t="s">
        <v>1201</v>
      </c>
      <c r="J5696" s="4" t="s">
        <v>454</v>
      </c>
    </row>
    <row r="5697" spans="1:10" hidden="1">
      <c r="A5697" s="4">
        <v>2.0210227309E+17</v>
      </c>
      <c r="B5697" s="4">
        <v>6798600630</v>
      </c>
      <c r="C5697" s="4" t="s">
        <v>1200</v>
      </c>
      <c r="D5697" s="4">
        <v>27309</v>
      </c>
      <c r="E5697" s="4">
        <v>20210205</v>
      </c>
      <c r="F5697" s="4">
        <v>20210205</v>
      </c>
      <c r="G5697" s="4">
        <v>20240205</v>
      </c>
      <c r="H5697" s="4" t="s">
        <v>1199</v>
      </c>
      <c r="I5697" s="4" t="s">
        <v>1198</v>
      </c>
      <c r="J5697" s="4" t="s">
        <v>268</v>
      </c>
    </row>
    <row r="5698" spans="1:10" hidden="1">
      <c r="A5698" s="4">
        <v>2.0210227199E+17</v>
      </c>
      <c r="B5698" s="4">
        <v>6918700995</v>
      </c>
      <c r="C5698" s="4" t="s">
        <v>1197</v>
      </c>
      <c r="D5698" s="4">
        <v>27199</v>
      </c>
      <c r="E5698" s="4">
        <v>20210205</v>
      </c>
      <c r="F5698" s="4">
        <v>20210205</v>
      </c>
      <c r="G5698" s="4">
        <v>20240205</v>
      </c>
      <c r="H5698" s="4" t="s">
        <v>1196</v>
      </c>
      <c r="I5698" s="4" t="s">
        <v>1195</v>
      </c>
      <c r="J5698" s="4" t="s">
        <v>418</v>
      </c>
    </row>
    <row r="5699" spans="1:10" hidden="1">
      <c r="A5699" s="4">
        <v>2.0210227212E+17</v>
      </c>
      <c r="B5699" s="4">
        <v>2688101851</v>
      </c>
      <c r="C5699" s="4" t="s">
        <v>1194</v>
      </c>
      <c r="D5699" s="4">
        <v>27212</v>
      </c>
      <c r="E5699" s="4">
        <v>20210205</v>
      </c>
      <c r="F5699" s="4">
        <v>20210205</v>
      </c>
      <c r="G5699" s="4">
        <v>20240205</v>
      </c>
      <c r="H5699" s="4" t="s">
        <v>929</v>
      </c>
      <c r="I5699" s="4" t="s">
        <v>1193</v>
      </c>
      <c r="J5699" s="4" t="s">
        <v>200</v>
      </c>
    </row>
    <row r="5700" spans="1:10" hidden="1">
      <c r="A5700" s="4">
        <v>2.0210228422E+17</v>
      </c>
      <c r="B5700" s="4">
        <v>3378801535</v>
      </c>
      <c r="C5700" s="4" t="s">
        <v>1192</v>
      </c>
      <c r="D5700" s="4">
        <v>28422</v>
      </c>
      <c r="E5700" s="4">
        <v>20210205</v>
      </c>
      <c r="F5700" s="4">
        <v>20210205</v>
      </c>
      <c r="G5700" s="4">
        <v>20240205</v>
      </c>
      <c r="H5700" s="4" t="s">
        <v>1191</v>
      </c>
      <c r="J5700" s="4" t="s">
        <v>188</v>
      </c>
    </row>
    <row r="5701" spans="1:10" hidden="1">
      <c r="A5701" s="4">
        <v>2.021022912E+17</v>
      </c>
      <c r="B5701" s="4">
        <v>8128601541</v>
      </c>
      <c r="C5701" s="4" t="s">
        <v>1190</v>
      </c>
      <c r="D5701" s="4">
        <v>29120</v>
      </c>
      <c r="E5701" s="4">
        <v>20210205</v>
      </c>
      <c r="F5701" s="4">
        <v>20210205</v>
      </c>
      <c r="G5701" s="4">
        <v>20240205</v>
      </c>
      <c r="H5701" s="4" t="s">
        <v>1189</v>
      </c>
      <c r="J5701" s="4" t="s">
        <v>1188</v>
      </c>
    </row>
    <row r="5702" spans="1:10" hidden="1">
      <c r="A5702" s="4">
        <v>2.0210228903E+17</v>
      </c>
      <c r="B5702" s="4">
        <v>1118601598</v>
      </c>
      <c r="C5702" s="4" t="s">
        <v>1187</v>
      </c>
      <c r="D5702" s="4">
        <v>28903</v>
      </c>
      <c r="E5702" s="4">
        <v>20210205</v>
      </c>
      <c r="F5702" s="4">
        <v>20210205</v>
      </c>
      <c r="G5702" s="4">
        <v>20240205</v>
      </c>
      <c r="H5702" s="4" t="s">
        <v>1186</v>
      </c>
      <c r="I5702" s="4" t="s">
        <v>1185</v>
      </c>
      <c r="J5702" s="4" t="s">
        <v>460</v>
      </c>
    </row>
    <row r="5703" spans="1:10" hidden="1">
      <c r="A5703" s="4">
        <v>2.0210246452E+17</v>
      </c>
      <c r="B5703" s="4">
        <v>5568600583</v>
      </c>
      <c r="C5703" s="4" t="s">
        <v>1184</v>
      </c>
      <c r="D5703" s="4">
        <v>46452</v>
      </c>
      <c r="E5703" s="4">
        <v>20210205</v>
      </c>
      <c r="F5703" s="4">
        <v>20210205</v>
      </c>
      <c r="G5703" s="4">
        <v>20240202</v>
      </c>
      <c r="H5703" s="4" t="s">
        <v>1183</v>
      </c>
      <c r="I5703" s="4" t="s">
        <v>1182</v>
      </c>
      <c r="J5703" s="4" t="s">
        <v>516</v>
      </c>
    </row>
    <row r="5704" spans="1:10" hidden="1">
      <c r="A5704" s="4">
        <v>2.0210258221E+17</v>
      </c>
      <c r="B5704" s="4">
        <v>5308800718</v>
      </c>
      <c r="C5704" s="4" t="s">
        <v>1181</v>
      </c>
      <c r="D5704" s="4">
        <v>58221</v>
      </c>
      <c r="E5704" s="4">
        <v>20210205</v>
      </c>
      <c r="F5704" s="4">
        <v>20210205</v>
      </c>
      <c r="G5704" s="4">
        <v>20240205</v>
      </c>
      <c r="H5704" s="4" t="s">
        <v>1180</v>
      </c>
      <c r="I5704" s="4" t="s">
        <v>175</v>
      </c>
      <c r="J5704" s="4" t="s">
        <v>228</v>
      </c>
    </row>
    <row r="5705" spans="1:10" hidden="1">
      <c r="A5705" s="4">
        <v>2.0210213224E+17</v>
      </c>
      <c r="B5705" s="4">
        <v>5808700749</v>
      </c>
      <c r="C5705" s="4" t="s">
        <v>1179</v>
      </c>
      <c r="D5705" s="4">
        <v>13224</v>
      </c>
      <c r="E5705" s="4">
        <v>20210205</v>
      </c>
      <c r="F5705" s="4">
        <v>20210205</v>
      </c>
      <c r="G5705" s="4">
        <v>20240205</v>
      </c>
      <c r="H5705" s="4" t="s">
        <v>1178</v>
      </c>
      <c r="I5705" s="4" t="s">
        <v>1177</v>
      </c>
      <c r="J5705" s="4" t="s">
        <v>672</v>
      </c>
    </row>
    <row r="5706" spans="1:10" hidden="1">
      <c r="A5706" s="4">
        <v>2.0210270113E+17</v>
      </c>
      <c r="B5706" s="4">
        <v>8978701573</v>
      </c>
      <c r="C5706" s="4" t="s">
        <v>1176</v>
      </c>
      <c r="D5706" s="4">
        <v>70113</v>
      </c>
      <c r="E5706" s="4">
        <v>20210205</v>
      </c>
      <c r="F5706" s="4">
        <v>20210205</v>
      </c>
      <c r="G5706" s="4">
        <v>20240205</v>
      </c>
      <c r="H5706" s="4" t="s">
        <v>1175</v>
      </c>
      <c r="I5706" s="4" t="s">
        <v>1174</v>
      </c>
      <c r="J5706" s="4" t="s">
        <v>1173</v>
      </c>
    </row>
    <row r="5707" spans="1:10" hidden="1">
      <c r="A5707" s="4">
        <v>2.0210258222E+17</v>
      </c>
      <c r="B5707" s="4">
        <v>3498100729</v>
      </c>
      <c r="C5707" s="4" t="s">
        <v>1172</v>
      </c>
      <c r="D5707" s="4">
        <v>58222</v>
      </c>
      <c r="E5707" s="4">
        <v>20210205</v>
      </c>
      <c r="F5707" s="4">
        <v>20210205</v>
      </c>
      <c r="G5707" s="4">
        <v>20240205</v>
      </c>
      <c r="H5707" s="4" t="s">
        <v>1171</v>
      </c>
      <c r="J5707" s="4" t="s">
        <v>94</v>
      </c>
    </row>
    <row r="5708" spans="1:10" hidden="1">
      <c r="A5708" s="4">
        <v>2.0210220312E+17</v>
      </c>
      <c r="B5708" s="4">
        <v>6540401269</v>
      </c>
      <c r="C5708" s="4" t="s">
        <v>1170</v>
      </c>
      <c r="D5708" s="4">
        <v>20312</v>
      </c>
      <c r="E5708" s="4">
        <v>20210205</v>
      </c>
      <c r="F5708" s="4">
        <v>20210205</v>
      </c>
      <c r="G5708" s="4">
        <v>20240205</v>
      </c>
      <c r="H5708" s="4" t="s">
        <v>1169</v>
      </c>
      <c r="I5708" s="4" t="s">
        <v>1168</v>
      </c>
      <c r="J5708" s="4" t="s">
        <v>1167</v>
      </c>
    </row>
    <row r="5709" spans="1:10" hidden="1">
      <c r="A5709" s="4">
        <v>2.0210242491E+17</v>
      </c>
      <c r="B5709" s="4">
        <v>5368601157</v>
      </c>
      <c r="C5709" s="4" t="s">
        <v>1166</v>
      </c>
      <c r="D5709" s="4">
        <v>42491</v>
      </c>
      <c r="E5709" s="4">
        <v>20210205</v>
      </c>
      <c r="F5709" s="4">
        <v>20210205</v>
      </c>
      <c r="G5709" s="4">
        <v>20240205</v>
      </c>
      <c r="H5709" s="4" t="s">
        <v>1122</v>
      </c>
      <c r="I5709" s="4" t="s">
        <v>149</v>
      </c>
      <c r="J5709" s="4" t="s">
        <v>883</v>
      </c>
    </row>
    <row r="5710" spans="1:10" hidden="1">
      <c r="A5710" s="4">
        <v>2.0210220203E+17</v>
      </c>
      <c r="B5710" s="4">
        <v>5158601223</v>
      </c>
      <c r="C5710" s="4" t="s">
        <v>1165</v>
      </c>
      <c r="D5710" s="4">
        <v>20203</v>
      </c>
      <c r="E5710" s="4">
        <v>20210204</v>
      </c>
      <c r="F5710" s="4">
        <v>20210204</v>
      </c>
      <c r="G5710" s="4">
        <v>20240204</v>
      </c>
      <c r="H5710" s="4" t="s">
        <v>1164</v>
      </c>
      <c r="I5710" s="4" t="s">
        <v>1163</v>
      </c>
      <c r="J5710" s="4" t="s">
        <v>576</v>
      </c>
    </row>
    <row r="5711" spans="1:10" hidden="1">
      <c r="A5711" s="4">
        <v>2.021024744E+17</v>
      </c>
      <c r="B5711" s="4">
        <v>2878102088</v>
      </c>
      <c r="C5711" s="4" t="s">
        <v>1162</v>
      </c>
      <c r="D5711" s="4">
        <v>47440</v>
      </c>
      <c r="E5711" s="4">
        <v>20210204</v>
      </c>
      <c r="F5711" s="4">
        <v>20210204</v>
      </c>
      <c r="G5711" s="4">
        <v>20240204</v>
      </c>
      <c r="H5711" s="4" t="s">
        <v>1161</v>
      </c>
      <c r="I5711" s="4" t="s">
        <v>1160</v>
      </c>
      <c r="J5711" s="4" t="s">
        <v>1159</v>
      </c>
    </row>
    <row r="5712" spans="1:10" hidden="1">
      <c r="A5712" s="4">
        <v>2.0210246329E+17</v>
      </c>
      <c r="B5712" s="4">
        <v>5118801735</v>
      </c>
      <c r="C5712" s="4" t="s">
        <v>1158</v>
      </c>
      <c r="D5712" s="4">
        <v>46329</v>
      </c>
      <c r="E5712" s="4">
        <v>20210204</v>
      </c>
      <c r="F5712" s="4">
        <v>20210204</v>
      </c>
      <c r="G5712" s="4">
        <v>20240204</v>
      </c>
      <c r="H5712" s="4" t="s">
        <v>1157</v>
      </c>
      <c r="I5712" s="4" t="s">
        <v>1156</v>
      </c>
      <c r="J5712" s="4" t="s">
        <v>830</v>
      </c>
    </row>
    <row r="5713" spans="1:10" hidden="1">
      <c r="A5713" s="4">
        <v>2.0210228423E+17</v>
      </c>
      <c r="B5713" s="4">
        <v>7328100106</v>
      </c>
      <c r="C5713" s="4" t="s">
        <v>1155</v>
      </c>
      <c r="D5713" s="4">
        <v>28423</v>
      </c>
      <c r="E5713" s="4">
        <v>20210204</v>
      </c>
      <c r="F5713" s="4">
        <v>20210204</v>
      </c>
      <c r="G5713" s="4">
        <v>20220529</v>
      </c>
      <c r="H5713" s="4" t="s">
        <v>1154</v>
      </c>
      <c r="I5713" s="4" t="s">
        <v>1153</v>
      </c>
      <c r="J5713" s="4" t="s">
        <v>485</v>
      </c>
    </row>
    <row r="5714" spans="1:10" hidden="1">
      <c r="A5714" s="4">
        <v>2.0210233999E+17</v>
      </c>
      <c r="B5714" s="4">
        <v>8430400647</v>
      </c>
      <c r="C5714" s="4" t="s">
        <v>1152</v>
      </c>
      <c r="D5714" s="4">
        <v>33999</v>
      </c>
      <c r="E5714" s="4">
        <v>20210204</v>
      </c>
      <c r="F5714" s="4">
        <v>20210204</v>
      </c>
      <c r="G5714" s="4">
        <v>20231220</v>
      </c>
      <c r="H5714" s="4" t="s">
        <v>1151</v>
      </c>
      <c r="J5714" s="4" t="s">
        <v>780</v>
      </c>
    </row>
    <row r="5715" spans="1:10" hidden="1">
      <c r="A5715" s="4">
        <v>2.0210233993E+17</v>
      </c>
      <c r="B5715" s="4">
        <v>5431201474</v>
      </c>
      <c r="C5715" s="4" t="s">
        <v>1150</v>
      </c>
      <c r="D5715" s="4">
        <v>33993</v>
      </c>
      <c r="E5715" s="4">
        <v>20210204</v>
      </c>
      <c r="F5715" s="4">
        <v>20210204</v>
      </c>
      <c r="G5715" s="4">
        <v>20240204</v>
      </c>
      <c r="H5715" s="4" t="s">
        <v>1149</v>
      </c>
      <c r="I5715" s="4" t="s">
        <v>1148</v>
      </c>
      <c r="J5715" s="4" t="s">
        <v>1147</v>
      </c>
    </row>
    <row r="5716" spans="1:10" hidden="1">
      <c r="A5716" s="4">
        <v>2.0210226511E+17</v>
      </c>
      <c r="B5716" s="4">
        <v>1368701269</v>
      </c>
      <c r="C5716" s="4" t="s">
        <v>1146</v>
      </c>
      <c r="D5716" s="4">
        <v>26511</v>
      </c>
      <c r="E5716" s="4">
        <v>20210204</v>
      </c>
      <c r="F5716" s="4">
        <v>20210204</v>
      </c>
      <c r="G5716" s="4">
        <v>20240204</v>
      </c>
      <c r="H5716" s="4" t="s">
        <v>1145</v>
      </c>
      <c r="J5716" s="4" t="s">
        <v>1144</v>
      </c>
    </row>
    <row r="5717" spans="1:10" hidden="1">
      <c r="A5717" s="4">
        <v>2.0210247311E+17</v>
      </c>
      <c r="B5717" s="4">
        <v>4628101943</v>
      </c>
      <c r="C5717" s="4" t="s">
        <v>1143</v>
      </c>
      <c r="D5717" s="4">
        <v>47311</v>
      </c>
      <c r="E5717" s="4">
        <v>20210204</v>
      </c>
      <c r="F5717" s="4">
        <v>20210204</v>
      </c>
      <c r="G5717" s="4">
        <v>20240204</v>
      </c>
      <c r="H5717" s="4" t="s">
        <v>1142</v>
      </c>
      <c r="I5717" s="4" t="s">
        <v>1141</v>
      </c>
      <c r="J5717" s="4" t="s">
        <v>588</v>
      </c>
    </row>
    <row r="5718" spans="1:10" hidden="1">
      <c r="A5718" s="4">
        <v>2.0210229229E+17</v>
      </c>
      <c r="B5718" s="4">
        <v>1334300535</v>
      </c>
      <c r="C5718" s="4" t="s">
        <v>1140</v>
      </c>
      <c r="D5718" s="4">
        <v>29229</v>
      </c>
      <c r="E5718" s="4">
        <v>20210204</v>
      </c>
      <c r="F5718" s="4">
        <v>20210204</v>
      </c>
      <c r="G5718" s="4">
        <v>20240204</v>
      </c>
      <c r="H5718" s="4" t="s">
        <v>1139</v>
      </c>
      <c r="I5718" s="4" t="s">
        <v>1138</v>
      </c>
      <c r="J5718" s="4" t="s">
        <v>1137</v>
      </c>
    </row>
    <row r="5719" spans="1:10" hidden="1">
      <c r="A5719" s="4">
        <v>2.0210258222E+17</v>
      </c>
      <c r="B5719" s="4">
        <v>7808601827</v>
      </c>
      <c r="C5719" s="4" t="s">
        <v>1136</v>
      </c>
      <c r="D5719" s="4">
        <v>58222</v>
      </c>
      <c r="E5719" s="4">
        <v>20210204</v>
      </c>
      <c r="F5719" s="4">
        <v>20210204</v>
      </c>
      <c r="G5719" s="4">
        <v>20240204</v>
      </c>
      <c r="H5719" s="4" t="s">
        <v>1135</v>
      </c>
      <c r="I5719" s="4" t="s">
        <v>1134</v>
      </c>
      <c r="J5719" s="4" t="s">
        <v>94</v>
      </c>
    </row>
    <row r="5720" spans="1:10" hidden="1">
      <c r="A5720" s="4">
        <v>2.0210227199E+17</v>
      </c>
      <c r="B5720" s="4">
        <v>1668101569</v>
      </c>
      <c r="C5720" s="4" t="s">
        <v>1133</v>
      </c>
      <c r="D5720" s="4">
        <v>27199</v>
      </c>
      <c r="E5720" s="4">
        <v>20210204</v>
      </c>
      <c r="F5720" s="4">
        <v>20210204</v>
      </c>
      <c r="G5720" s="4">
        <v>20240204</v>
      </c>
      <c r="H5720" s="4" t="s">
        <v>1132</v>
      </c>
      <c r="I5720" s="4" t="s">
        <v>1131</v>
      </c>
      <c r="J5720" s="4" t="s">
        <v>418</v>
      </c>
    </row>
    <row r="5721" spans="1:10" hidden="1">
      <c r="A5721" s="4">
        <v>2.0210273203E+17</v>
      </c>
      <c r="B5721" s="4">
        <v>2201026355</v>
      </c>
      <c r="C5721" s="4" t="s">
        <v>1130</v>
      </c>
      <c r="D5721" s="4">
        <v>73203</v>
      </c>
      <c r="E5721" s="4">
        <v>20210204</v>
      </c>
      <c r="F5721" s="4">
        <v>20210204</v>
      </c>
      <c r="G5721" s="4">
        <v>20220106</v>
      </c>
      <c r="H5721" s="4" t="s">
        <v>1129</v>
      </c>
      <c r="I5721" s="4" t="s">
        <v>1128</v>
      </c>
      <c r="J5721" s="4" t="s">
        <v>260</v>
      </c>
    </row>
    <row r="5722" spans="1:10" hidden="1">
      <c r="A5722" s="4">
        <v>2.0210229272E+17</v>
      </c>
      <c r="B5722" s="4">
        <v>6388801587</v>
      </c>
      <c r="C5722" s="4" t="s">
        <v>1127</v>
      </c>
      <c r="D5722" s="4">
        <v>29272</v>
      </c>
      <c r="E5722" s="4">
        <v>20210204</v>
      </c>
      <c r="F5722" s="4">
        <v>20210204</v>
      </c>
      <c r="G5722" s="4">
        <v>20240204</v>
      </c>
      <c r="H5722" s="4" t="s">
        <v>1126</v>
      </c>
      <c r="I5722" s="4" t="s">
        <v>1125</v>
      </c>
      <c r="J5722" s="4" t="s">
        <v>1124</v>
      </c>
    </row>
    <row r="5723" spans="1:10" hidden="1">
      <c r="A5723" s="4">
        <v>2.0210242491E+17</v>
      </c>
      <c r="B5723" s="4">
        <v>2138641519</v>
      </c>
      <c r="C5723" s="4" t="s">
        <v>1123</v>
      </c>
      <c r="D5723" s="4">
        <v>42491</v>
      </c>
      <c r="E5723" s="4">
        <v>20210204</v>
      </c>
      <c r="F5723" s="4">
        <v>20210204</v>
      </c>
      <c r="G5723" s="4">
        <v>20240204</v>
      </c>
      <c r="H5723" s="4" t="s">
        <v>1122</v>
      </c>
      <c r="I5723" s="4" t="s">
        <v>1064</v>
      </c>
      <c r="J5723" s="4" t="s">
        <v>883</v>
      </c>
    </row>
    <row r="5724" spans="1:10" hidden="1">
      <c r="A5724" s="4">
        <v>2.0210226429E+17</v>
      </c>
      <c r="B5724" s="4">
        <v>5078801658</v>
      </c>
      <c r="C5724" s="4" t="s">
        <v>1121</v>
      </c>
      <c r="D5724" s="4">
        <v>26429</v>
      </c>
      <c r="E5724" s="4">
        <v>20210204</v>
      </c>
      <c r="F5724" s="4">
        <v>20210204</v>
      </c>
      <c r="G5724" s="4">
        <v>20240204</v>
      </c>
      <c r="H5724" s="4" t="s">
        <v>1120</v>
      </c>
      <c r="J5724" s="4" t="s">
        <v>422</v>
      </c>
    </row>
    <row r="5725" spans="1:10" hidden="1">
      <c r="A5725" s="4">
        <v>2.0210233309E+17</v>
      </c>
      <c r="B5725" s="4">
        <v>5993400086</v>
      </c>
      <c r="C5725" s="4" t="s">
        <v>1119</v>
      </c>
      <c r="D5725" s="4">
        <v>33309</v>
      </c>
      <c r="E5725" s="4">
        <v>20210204</v>
      </c>
      <c r="F5725" s="4">
        <v>20210204</v>
      </c>
      <c r="G5725" s="4">
        <v>20220820</v>
      </c>
      <c r="H5725" s="4" t="s">
        <v>1118</v>
      </c>
      <c r="I5725" s="4" t="s">
        <v>1117</v>
      </c>
      <c r="J5725" s="4" t="s">
        <v>238</v>
      </c>
    </row>
    <row r="5726" spans="1:10" hidden="1">
      <c r="A5726" s="4">
        <v>2.0210246499E+17</v>
      </c>
      <c r="B5726" s="4">
        <v>3904100546</v>
      </c>
      <c r="C5726" s="4" t="s">
        <v>1116</v>
      </c>
      <c r="D5726" s="4">
        <v>46499</v>
      </c>
      <c r="E5726" s="4">
        <v>20210204</v>
      </c>
      <c r="F5726" s="4">
        <v>20210204</v>
      </c>
      <c r="G5726" s="4">
        <v>20240204</v>
      </c>
      <c r="H5726" s="4" t="s">
        <v>1115</v>
      </c>
      <c r="I5726" s="4" t="s">
        <v>91</v>
      </c>
      <c r="J5726" s="4" t="s">
        <v>184</v>
      </c>
    </row>
    <row r="5727" spans="1:10" hidden="1">
      <c r="A5727" s="4">
        <v>2.0210228422E+17</v>
      </c>
      <c r="B5727" s="4">
        <v>4518602044</v>
      </c>
      <c r="C5727" s="4" t="s">
        <v>1114</v>
      </c>
      <c r="D5727" s="4">
        <v>28422</v>
      </c>
      <c r="E5727" s="4">
        <v>20210204</v>
      </c>
      <c r="F5727" s="4">
        <v>20210204</v>
      </c>
      <c r="G5727" s="4">
        <v>20240204</v>
      </c>
      <c r="H5727" s="4" t="s">
        <v>1113</v>
      </c>
      <c r="I5727" s="4" t="s">
        <v>549</v>
      </c>
      <c r="J5727" s="4" t="s">
        <v>188</v>
      </c>
    </row>
    <row r="5728" spans="1:10" hidden="1">
      <c r="A5728" s="4">
        <v>2.0210220321E+17</v>
      </c>
      <c r="B5728" s="4">
        <v>4818601333</v>
      </c>
      <c r="C5728" s="4" t="s">
        <v>1112</v>
      </c>
      <c r="D5728" s="4">
        <v>20321</v>
      </c>
      <c r="E5728" s="4">
        <v>20210204</v>
      </c>
      <c r="F5728" s="4">
        <v>20210204</v>
      </c>
      <c r="G5728" s="4">
        <v>20240204</v>
      </c>
      <c r="H5728" s="4" t="s">
        <v>1111</v>
      </c>
      <c r="J5728" s="4" t="s">
        <v>192</v>
      </c>
    </row>
    <row r="5729" spans="1:10" hidden="1">
      <c r="A5729" s="4">
        <v>2.0210210797E+17</v>
      </c>
      <c r="B5729" s="4">
        <v>7768801384</v>
      </c>
      <c r="C5729" s="4" t="s">
        <v>1110</v>
      </c>
      <c r="D5729" s="4">
        <v>10797</v>
      </c>
      <c r="E5729" s="4">
        <v>20210204</v>
      </c>
      <c r="F5729" s="4">
        <v>20210204</v>
      </c>
      <c r="G5729" s="4">
        <v>20240204</v>
      </c>
      <c r="H5729" s="4" t="s">
        <v>1109</v>
      </c>
      <c r="I5729" s="4" t="s">
        <v>185</v>
      </c>
      <c r="J5729" s="4" t="s">
        <v>1108</v>
      </c>
    </row>
    <row r="5730" spans="1:10" hidden="1">
      <c r="A5730" s="4">
        <v>2.021027013E+17</v>
      </c>
      <c r="B5730" s="4">
        <v>4748601242</v>
      </c>
      <c r="C5730" s="4" t="s">
        <v>1107</v>
      </c>
      <c r="D5730" s="4">
        <v>70130</v>
      </c>
      <c r="E5730" s="4">
        <v>20210204</v>
      </c>
      <c r="F5730" s="4">
        <v>20210204</v>
      </c>
      <c r="G5730" s="4">
        <v>20240204</v>
      </c>
      <c r="H5730" s="4" t="s">
        <v>1106</v>
      </c>
      <c r="I5730" s="4" t="s">
        <v>1105</v>
      </c>
      <c r="J5730" s="4" t="s">
        <v>170</v>
      </c>
    </row>
    <row r="5731" spans="1:10" hidden="1">
      <c r="A5731" s="4">
        <v>2.021022641E+17</v>
      </c>
      <c r="B5731" s="4">
        <v>8538700254</v>
      </c>
      <c r="C5731" s="4" t="s">
        <v>1104</v>
      </c>
      <c r="D5731" s="4">
        <v>26410</v>
      </c>
      <c r="E5731" s="4">
        <v>20210204</v>
      </c>
      <c r="F5731" s="4">
        <v>20210204</v>
      </c>
      <c r="G5731" s="4">
        <v>20221002</v>
      </c>
      <c r="H5731" s="4" t="s">
        <v>563</v>
      </c>
      <c r="I5731" s="4" t="s">
        <v>1103</v>
      </c>
      <c r="J5731" s="4" t="s">
        <v>1102</v>
      </c>
    </row>
    <row r="5732" spans="1:10" hidden="1">
      <c r="A5732" s="4">
        <v>2.0210228422E+17</v>
      </c>
      <c r="B5732" s="4">
        <v>6178622316</v>
      </c>
      <c r="C5732" s="4" t="s">
        <v>1101</v>
      </c>
      <c r="D5732" s="4">
        <v>28422</v>
      </c>
      <c r="E5732" s="4">
        <v>20210204</v>
      </c>
      <c r="F5732" s="4">
        <v>20210204</v>
      </c>
      <c r="G5732" s="4">
        <v>20211010</v>
      </c>
      <c r="H5732" s="4" t="s">
        <v>1100</v>
      </c>
      <c r="J5732" s="4" t="s">
        <v>188</v>
      </c>
    </row>
    <row r="5733" spans="1:10" hidden="1">
      <c r="A5733" s="4">
        <v>2.0210225112E+17</v>
      </c>
      <c r="B5733" s="4">
        <v>8628101779</v>
      </c>
      <c r="C5733" s="4" t="s">
        <v>1099</v>
      </c>
      <c r="D5733" s="4">
        <v>25112</v>
      </c>
      <c r="E5733" s="4">
        <v>20210204</v>
      </c>
      <c r="F5733" s="4">
        <v>20210204</v>
      </c>
      <c r="G5733" s="4">
        <v>20240204</v>
      </c>
      <c r="H5733" s="4" t="s">
        <v>1098</v>
      </c>
      <c r="J5733" s="4" t="s">
        <v>320</v>
      </c>
    </row>
    <row r="5734" spans="1:10" hidden="1">
      <c r="A5734" s="4">
        <v>2.0210227213E+17</v>
      </c>
      <c r="B5734" s="4">
        <v>1618801734</v>
      </c>
      <c r="C5734" s="4" t="s">
        <v>1097</v>
      </c>
      <c r="D5734" s="4">
        <v>27213</v>
      </c>
      <c r="E5734" s="4">
        <v>20210204</v>
      </c>
      <c r="F5734" s="4">
        <v>20210204</v>
      </c>
      <c r="G5734" s="4">
        <v>20240204</v>
      </c>
      <c r="H5734" s="4" t="s">
        <v>1096</v>
      </c>
      <c r="I5734" s="4" t="s">
        <v>1095</v>
      </c>
      <c r="J5734" s="4" t="s">
        <v>264</v>
      </c>
    </row>
    <row r="5735" spans="1:10" hidden="1">
      <c r="A5735" s="4">
        <v>2.0210258222E+17</v>
      </c>
      <c r="B5735" s="4">
        <v>3208800921</v>
      </c>
      <c r="C5735" s="4" t="s">
        <v>1094</v>
      </c>
      <c r="D5735" s="4">
        <v>58222</v>
      </c>
      <c r="E5735" s="4">
        <v>20210204</v>
      </c>
      <c r="F5735" s="4">
        <v>20210204</v>
      </c>
      <c r="G5735" s="4">
        <v>20240204</v>
      </c>
      <c r="H5735" s="4" t="s">
        <v>1093</v>
      </c>
      <c r="I5735" s="4" t="s">
        <v>1092</v>
      </c>
      <c r="J5735" s="4" t="s">
        <v>94</v>
      </c>
    </row>
    <row r="5736" spans="1:10" hidden="1">
      <c r="A5736" s="4">
        <v>2.0210213999E+17</v>
      </c>
      <c r="B5736" s="4">
        <v>5508602074</v>
      </c>
      <c r="C5736" s="4" t="s">
        <v>1091</v>
      </c>
      <c r="D5736" s="4">
        <v>13999</v>
      </c>
      <c r="E5736" s="4">
        <v>20210204</v>
      </c>
      <c r="F5736" s="4">
        <v>20210204</v>
      </c>
      <c r="G5736" s="4">
        <v>20240204</v>
      </c>
      <c r="H5736" s="4" t="s">
        <v>1090</v>
      </c>
      <c r="I5736" s="4" t="s">
        <v>1089</v>
      </c>
      <c r="J5736" s="4" t="s">
        <v>130</v>
      </c>
    </row>
    <row r="5737" spans="1:10" hidden="1">
      <c r="A5737" s="4">
        <v>2.0210220202E+17</v>
      </c>
      <c r="B5737" s="4">
        <v>7158600367</v>
      </c>
      <c r="C5737" s="4" t="s">
        <v>1088</v>
      </c>
      <c r="D5737" s="4">
        <v>20202</v>
      </c>
      <c r="E5737" s="4">
        <v>20210204</v>
      </c>
      <c r="F5737" s="4">
        <v>20210204</v>
      </c>
      <c r="G5737" s="4">
        <v>20230603</v>
      </c>
      <c r="H5737" s="4" t="s">
        <v>1087</v>
      </c>
      <c r="I5737" s="4" t="s">
        <v>1086</v>
      </c>
      <c r="J5737" s="4" t="s">
        <v>224</v>
      </c>
    </row>
    <row r="5738" spans="1:10" hidden="1">
      <c r="A5738" s="4">
        <v>2.0210229132E+17</v>
      </c>
      <c r="B5738" s="4">
        <v>5458800758</v>
      </c>
      <c r="C5738" s="4" t="s">
        <v>1085</v>
      </c>
      <c r="D5738" s="4">
        <v>29132</v>
      </c>
      <c r="E5738" s="4">
        <v>20210204</v>
      </c>
      <c r="F5738" s="4">
        <v>20210204</v>
      </c>
      <c r="G5738" s="4">
        <v>20240204</v>
      </c>
      <c r="H5738" s="4" t="s">
        <v>1084</v>
      </c>
      <c r="J5738" s="4" t="s">
        <v>1083</v>
      </c>
    </row>
    <row r="5739" spans="1:10" hidden="1">
      <c r="A5739" s="4">
        <v>2.0210258222E+17</v>
      </c>
      <c r="B5739" s="4">
        <v>2768802049</v>
      </c>
      <c r="C5739" s="4" t="s">
        <v>1082</v>
      </c>
      <c r="D5739" s="4">
        <v>58222</v>
      </c>
      <c r="E5739" s="4">
        <v>20210204</v>
      </c>
      <c r="F5739" s="4">
        <v>20210204</v>
      </c>
      <c r="G5739" s="4">
        <v>20240204</v>
      </c>
      <c r="H5739" s="4" t="s">
        <v>1081</v>
      </c>
      <c r="I5739" s="4" t="s">
        <v>1080</v>
      </c>
      <c r="J5739" s="4" t="s">
        <v>94</v>
      </c>
    </row>
    <row r="5740" spans="1:10" hidden="1">
      <c r="A5740" s="4">
        <v>2.0210258212E+17</v>
      </c>
      <c r="B5740" s="4">
        <v>6808702014</v>
      </c>
      <c r="C5740" s="4" t="s">
        <v>1079</v>
      </c>
      <c r="D5740" s="4">
        <v>58212</v>
      </c>
      <c r="E5740" s="4">
        <v>20210204</v>
      </c>
      <c r="F5740" s="4">
        <v>20210204</v>
      </c>
      <c r="G5740" s="4">
        <v>20240204</v>
      </c>
      <c r="H5740" s="4" t="s">
        <v>1078</v>
      </c>
      <c r="I5740" s="4" t="s">
        <v>1077</v>
      </c>
      <c r="J5740" s="4" t="s">
        <v>1076</v>
      </c>
    </row>
    <row r="5741" spans="1:10" hidden="1">
      <c r="A5741" s="4">
        <v>2.0210226295E+17</v>
      </c>
      <c r="B5741" s="4">
        <v>2767800299</v>
      </c>
      <c r="C5741" s="4" t="s">
        <v>1075</v>
      </c>
      <c r="D5741" s="4">
        <v>26295</v>
      </c>
      <c r="E5741" s="4">
        <v>20210204</v>
      </c>
      <c r="F5741" s="4">
        <v>20210204</v>
      </c>
      <c r="G5741" s="4">
        <v>20240204</v>
      </c>
      <c r="H5741" s="4" t="s">
        <v>1074</v>
      </c>
      <c r="I5741" s="4" t="s">
        <v>1073</v>
      </c>
      <c r="J5741" s="4" t="s">
        <v>174</v>
      </c>
    </row>
    <row r="5742" spans="1:10" hidden="1">
      <c r="A5742" s="4">
        <v>2.0210231114E+17</v>
      </c>
      <c r="B5742" s="4">
        <v>5108800941</v>
      </c>
      <c r="C5742" s="4" t="s">
        <v>1072</v>
      </c>
      <c r="D5742" s="4">
        <v>31114</v>
      </c>
      <c r="E5742" s="4">
        <v>20210203</v>
      </c>
      <c r="F5742" s="4">
        <v>20210203</v>
      </c>
      <c r="G5742" s="4">
        <v>20240203</v>
      </c>
      <c r="H5742" s="4" t="s">
        <v>1071</v>
      </c>
      <c r="J5742" s="4" t="s">
        <v>1070</v>
      </c>
    </row>
    <row r="5743" spans="1:10" hidden="1">
      <c r="A5743" s="4">
        <v>2.0210242412E+17</v>
      </c>
      <c r="B5743" s="4">
        <v>3168601266</v>
      </c>
      <c r="C5743" s="4" t="s">
        <v>1069</v>
      </c>
      <c r="D5743" s="4">
        <v>42412</v>
      </c>
      <c r="E5743" s="4">
        <v>20210203</v>
      </c>
      <c r="F5743" s="4">
        <v>20210203</v>
      </c>
      <c r="G5743" s="4">
        <v>20240203</v>
      </c>
      <c r="H5743" s="4" t="s">
        <v>1068</v>
      </c>
      <c r="I5743" s="4" t="s">
        <v>1067</v>
      </c>
      <c r="J5743" s="4" t="s">
        <v>281</v>
      </c>
    </row>
    <row r="5744" spans="1:10" hidden="1">
      <c r="A5744" s="4">
        <v>2.0210241226E+17</v>
      </c>
      <c r="B5744" s="4">
        <v>1728101813</v>
      </c>
      <c r="C5744" s="4" t="s">
        <v>1066</v>
      </c>
      <c r="D5744" s="4">
        <v>41226</v>
      </c>
      <c r="E5744" s="4">
        <v>20210203</v>
      </c>
      <c r="F5744" s="4">
        <v>20210203</v>
      </c>
      <c r="G5744" s="4">
        <v>20240203</v>
      </c>
      <c r="H5744" s="4" t="s">
        <v>1065</v>
      </c>
      <c r="I5744" s="4" t="s">
        <v>1064</v>
      </c>
      <c r="J5744" s="4" t="s">
        <v>1063</v>
      </c>
    </row>
    <row r="5745" spans="1:10" hidden="1">
      <c r="A5745" s="4">
        <v>2.0210258222E+17</v>
      </c>
      <c r="B5745" s="4">
        <v>4628701829</v>
      </c>
      <c r="C5745" s="4" t="s">
        <v>1062</v>
      </c>
      <c r="D5745" s="4">
        <v>58222</v>
      </c>
      <c r="E5745" s="4">
        <v>20210203</v>
      </c>
      <c r="F5745" s="4">
        <v>20210203</v>
      </c>
      <c r="G5745" s="4">
        <v>20240203</v>
      </c>
      <c r="H5745" s="4" t="s">
        <v>1061</v>
      </c>
      <c r="I5745" s="4" t="s">
        <v>1060</v>
      </c>
      <c r="J5745" s="4" t="s">
        <v>94</v>
      </c>
    </row>
    <row r="5746" spans="1:10" hidden="1">
      <c r="A5746" s="4">
        <v>2.0210225119E+17</v>
      </c>
      <c r="B5746" s="4">
        <v>4770200295</v>
      </c>
      <c r="C5746" s="4" t="s">
        <v>1059</v>
      </c>
      <c r="D5746" s="4">
        <v>25119</v>
      </c>
      <c r="E5746" s="4">
        <v>20210203</v>
      </c>
      <c r="F5746" s="4">
        <v>20210203</v>
      </c>
      <c r="G5746" s="4">
        <v>20221015</v>
      </c>
      <c r="H5746" s="4" t="s">
        <v>1058</v>
      </c>
      <c r="J5746" s="4" t="s">
        <v>679</v>
      </c>
    </row>
    <row r="5747" spans="1:10" hidden="1">
      <c r="A5747" s="4">
        <v>2.0210225119E+17</v>
      </c>
      <c r="B5747" s="4">
        <v>3448600068</v>
      </c>
      <c r="C5747" s="4" t="s">
        <v>1057</v>
      </c>
      <c r="D5747" s="4">
        <v>25119</v>
      </c>
      <c r="E5747" s="4">
        <v>20210203</v>
      </c>
      <c r="F5747" s="4">
        <v>20210203</v>
      </c>
      <c r="G5747" s="4">
        <v>20220514</v>
      </c>
      <c r="H5747" s="4" t="s">
        <v>1056</v>
      </c>
      <c r="I5747" s="4" t="s">
        <v>1055</v>
      </c>
      <c r="J5747" s="4" t="s">
        <v>679</v>
      </c>
    </row>
    <row r="5748" spans="1:10" hidden="1">
      <c r="A5748" s="4">
        <v>2.0210246499E+17</v>
      </c>
      <c r="B5748" s="4">
        <v>2262361044</v>
      </c>
      <c r="C5748" s="4" t="s">
        <v>1054</v>
      </c>
      <c r="D5748" s="4">
        <v>46499</v>
      </c>
      <c r="E5748" s="4">
        <v>20210203</v>
      </c>
      <c r="F5748" s="4">
        <v>20210203</v>
      </c>
      <c r="G5748" s="4">
        <v>20240203</v>
      </c>
      <c r="H5748" s="4" t="s">
        <v>1053</v>
      </c>
      <c r="I5748" s="4" t="s">
        <v>1052</v>
      </c>
      <c r="J5748" s="4" t="s">
        <v>184</v>
      </c>
    </row>
    <row r="5749" spans="1:10" hidden="1">
      <c r="A5749" s="4">
        <v>2.0210228909E+17</v>
      </c>
      <c r="B5749" s="4">
        <v>3583100669</v>
      </c>
      <c r="C5749" s="4" t="s">
        <v>1051</v>
      </c>
      <c r="D5749" s="4">
        <v>28909</v>
      </c>
      <c r="E5749" s="4">
        <v>20210203</v>
      </c>
      <c r="F5749" s="4">
        <v>20210203</v>
      </c>
      <c r="G5749" s="4">
        <v>20240203</v>
      </c>
      <c r="H5749" s="4" t="s">
        <v>992</v>
      </c>
      <c r="J5749" s="4" t="s">
        <v>253</v>
      </c>
    </row>
    <row r="5750" spans="1:10" hidden="1">
      <c r="A5750" s="4">
        <v>2.0210229299E+17</v>
      </c>
      <c r="B5750" s="4">
        <v>5568800200</v>
      </c>
      <c r="C5750" s="4" t="s">
        <v>1050</v>
      </c>
      <c r="D5750" s="4">
        <v>29299</v>
      </c>
      <c r="E5750" s="4">
        <v>20210203</v>
      </c>
      <c r="F5750" s="4">
        <v>20210203</v>
      </c>
      <c r="G5750" s="4">
        <v>20221201</v>
      </c>
      <c r="H5750" s="4" t="s">
        <v>1049</v>
      </c>
      <c r="J5750" s="4" t="s">
        <v>137</v>
      </c>
    </row>
    <row r="5751" spans="1:10" hidden="1">
      <c r="A5751" s="4">
        <v>2.0210247912E+17</v>
      </c>
      <c r="B5751" s="4">
        <v>5381300825</v>
      </c>
      <c r="C5751" s="4" t="s">
        <v>1048</v>
      </c>
      <c r="D5751" s="4">
        <v>47912</v>
      </c>
      <c r="E5751" s="4">
        <v>20210203</v>
      </c>
      <c r="F5751" s="4">
        <v>20210203</v>
      </c>
      <c r="G5751" s="4">
        <v>20240203</v>
      </c>
      <c r="H5751" s="4" t="s">
        <v>1047</v>
      </c>
      <c r="I5751" s="4" t="s">
        <v>1046</v>
      </c>
      <c r="J5751" s="4" t="s">
        <v>78</v>
      </c>
    </row>
    <row r="5752" spans="1:10" hidden="1">
      <c r="A5752" s="4">
        <v>2.021024651E+17</v>
      </c>
      <c r="B5752" s="4">
        <v>3163800489</v>
      </c>
      <c r="C5752" s="4" t="s">
        <v>1045</v>
      </c>
      <c r="D5752" s="4">
        <v>46510</v>
      </c>
      <c r="E5752" s="4">
        <v>20210203</v>
      </c>
      <c r="F5752" s="4">
        <v>20210203</v>
      </c>
      <c r="G5752" s="4">
        <v>20240203</v>
      </c>
      <c r="H5752" s="4" t="s">
        <v>1044</v>
      </c>
      <c r="I5752" s="4" t="s">
        <v>1043</v>
      </c>
      <c r="J5752" s="4" t="s">
        <v>126</v>
      </c>
    </row>
    <row r="5753" spans="1:10" hidden="1">
      <c r="A5753" s="4">
        <v>2.021022928E+17</v>
      </c>
      <c r="B5753" s="4">
        <v>8171400201</v>
      </c>
      <c r="C5753" s="4" t="s">
        <v>1042</v>
      </c>
      <c r="D5753" s="4">
        <v>29280</v>
      </c>
      <c r="E5753" s="4">
        <v>20210203</v>
      </c>
      <c r="F5753" s="4">
        <v>20210203</v>
      </c>
      <c r="G5753" s="4">
        <v>20221105</v>
      </c>
      <c r="H5753" s="4" t="s">
        <v>1041</v>
      </c>
      <c r="I5753" s="4" t="s">
        <v>1040</v>
      </c>
      <c r="J5753" s="4" t="s">
        <v>533</v>
      </c>
    </row>
    <row r="5754" spans="1:10" hidden="1">
      <c r="A5754" s="4">
        <v>2.0210228902E+17</v>
      </c>
      <c r="B5754" s="4">
        <v>6172336284</v>
      </c>
      <c r="C5754" s="4" t="s">
        <v>1039</v>
      </c>
      <c r="D5754" s="4">
        <v>28902</v>
      </c>
      <c r="E5754" s="4">
        <v>20210203</v>
      </c>
      <c r="F5754" s="4">
        <v>20210203</v>
      </c>
      <c r="G5754" s="4">
        <v>20220120</v>
      </c>
      <c r="H5754" s="4" t="s">
        <v>474</v>
      </c>
      <c r="I5754" s="4" t="s">
        <v>1038</v>
      </c>
      <c r="J5754" s="4" t="s">
        <v>1037</v>
      </c>
    </row>
    <row r="5755" spans="1:10" hidden="1">
      <c r="A5755" s="4">
        <v>2.0210227192E+17</v>
      </c>
      <c r="B5755" s="4">
        <v>5139901187</v>
      </c>
      <c r="C5755" s="4" t="s">
        <v>1036</v>
      </c>
      <c r="D5755" s="4">
        <v>27192</v>
      </c>
      <c r="E5755" s="4">
        <v>20210203</v>
      </c>
      <c r="F5755" s="4">
        <v>20210203</v>
      </c>
      <c r="G5755" s="4">
        <v>20240203</v>
      </c>
      <c r="H5755" s="4" t="s">
        <v>1035</v>
      </c>
      <c r="I5755" s="4" t="s">
        <v>1034</v>
      </c>
      <c r="J5755" s="4" t="s">
        <v>1033</v>
      </c>
    </row>
    <row r="5756" spans="1:10" hidden="1">
      <c r="A5756" s="4">
        <v>2.0210220202E+17</v>
      </c>
      <c r="B5756" s="4">
        <v>5090430218</v>
      </c>
      <c r="C5756" s="4" t="s">
        <v>1032</v>
      </c>
      <c r="D5756" s="4">
        <v>20202</v>
      </c>
      <c r="E5756" s="4">
        <v>20210203</v>
      </c>
      <c r="F5756" s="4">
        <v>20210203</v>
      </c>
      <c r="G5756" s="4">
        <v>20231005</v>
      </c>
      <c r="H5756" s="4" t="s">
        <v>1031</v>
      </c>
      <c r="I5756" s="4" t="s">
        <v>1030</v>
      </c>
      <c r="J5756" s="4" t="s">
        <v>224</v>
      </c>
    </row>
    <row r="5757" spans="1:10" hidden="1">
      <c r="A5757" s="4">
        <v>2.021023391E+17</v>
      </c>
      <c r="B5757" s="4">
        <v>2241759139</v>
      </c>
      <c r="C5757" s="4" t="s">
        <v>1028</v>
      </c>
      <c r="D5757" s="4">
        <v>33910</v>
      </c>
      <c r="E5757" s="4">
        <v>20210203</v>
      </c>
      <c r="F5757" s="4">
        <v>20210203</v>
      </c>
      <c r="G5757" s="4">
        <v>20211226</v>
      </c>
      <c r="H5757" s="4" t="s">
        <v>1029</v>
      </c>
      <c r="I5757" s="4" t="s">
        <v>1028</v>
      </c>
      <c r="J5757" s="4" t="s">
        <v>310</v>
      </c>
    </row>
    <row r="5758" spans="1:10" hidden="1">
      <c r="A5758" s="4">
        <v>2.021026201E+17</v>
      </c>
      <c r="B5758" s="4">
        <v>3647500367</v>
      </c>
      <c r="C5758" s="4" t="s">
        <v>1027</v>
      </c>
      <c r="D5758" s="4">
        <v>62010</v>
      </c>
      <c r="E5758" s="4">
        <v>20210203</v>
      </c>
      <c r="F5758" s="4">
        <v>20210203</v>
      </c>
      <c r="G5758" s="4">
        <v>20240203</v>
      </c>
      <c r="H5758" s="4" t="s">
        <v>1026</v>
      </c>
      <c r="J5758" s="4" t="s">
        <v>118</v>
      </c>
    </row>
    <row r="5759" spans="1:10" hidden="1">
      <c r="A5759" s="4">
        <v>2.0210225112E+17</v>
      </c>
      <c r="B5759" s="4">
        <v>8268100658</v>
      </c>
      <c r="C5759" s="4" t="s">
        <v>1025</v>
      </c>
      <c r="D5759" s="4">
        <v>25112</v>
      </c>
      <c r="E5759" s="4">
        <v>20210203</v>
      </c>
      <c r="F5759" s="4">
        <v>20210203</v>
      </c>
      <c r="G5759" s="4">
        <v>20240203</v>
      </c>
      <c r="H5759" s="4" t="s">
        <v>1024</v>
      </c>
      <c r="J5759" s="4" t="s">
        <v>320</v>
      </c>
    </row>
    <row r="5760" spans="1:10" hidden="1">
      <c r="A5760" s="4">
        <v>2.0210228429E+17</v>
      </c>
      <c r="B5760" s="4">
        <v>1821900624</v>
      </c>
      <c r="C5760" s="4" t="s">
        <v>1023</v>
      </c>
      <c r="D5760" s="4">
        <v>28429</v>
      </c>
      <c r="E5760" s="4">
        <v>20210203</v>
      </c>
      <c r="F5760" s="4">
        <v>20210203</v>
      </c>
      <c r="G5760" s="4">
        <v>20240203</v>
      </c>
      <c r="H5760" s="4" t="s">
        <v>1022</v>
      </c>
      <c r="I5760" s="4" t="s">
        <v>1021</v>
      </c>
      <c r="J5760" s="4" t="s">
        <v>765</v>
      </c>
    </row>
    <row r="5761" spans="1:10" hidden="1">
      <c r="A5761" s="4">
        <v>2.0210258221E+17</v>
      </c>
      <c r="B5761" s="4">
        <v>2870401171</v>
      </c>
      <c r="C5761" s="4" t="s">
        <v>1020</v>
      </c>
      <c r="D5761" s="4">
        <v>58221</v>
      </c>
      <c r="E5761" s="4">
        <v>20210203</v>
      </c>
      <c r="F5761" s="4">
        <v>20210203</v>
      </c>
      <c r="G5761" s="4">
        <v>20240203</v>
      </c>
      <c r="H5761" s="4" t="s">
        <v>1019</v>
      </c>
      <c r="I5761" s="4" t="s">
        <v>1018</v>
      </c>
      <c r="J5761" s="4" t="s">
        <v>228</v>
      </c>
    </row>
    <row r="5762" spans="1:10" hidden="1">
      <c r="A5762" s="4">
        <v>2.0210233999E+17</v>
      </c>
      <c r="B5762" s="4">
        <v>8638101452</v>
      </c>
      <c r="C5762" s="4" t="s">
        <v>1017</v>
      </c>
      <c r="D5762" s="4">
        <v>33999</v>
      </c>
      <c r="E5762" s="4">
        <v>20210202</v>
      </c>
      <c r="F5762" s="4">
        <v>20210202</v>
      </c>
      <c r="G5762" s="4">
        <v>20240202</v>
      </c>
      <c r="H5762" s="4" t="s">
        <v>1016</v>
      </c>
      <c r="J5762" s="4" t="s">
        <v>780</v>
      </c>
    </row>
    <row r="5763" spans="1:10" hidden="1">
      <c r="A5763" s="4">
        <v>2.0210225914E+17</v>
      </c>
      <c r="B5763" s="4">
        <v>6128702044</v>
      </c>
      <c r="C5763" s="4" t="s">
        <v>1015</v>
      </c>
      <c r="D5763" s="4">
        <v>25914</v>
      </c>
      <c r="E5763" s="4">
        <v>20210202</v>
      </c>
      <c r="F5763" s="4">
        <v>20210202</v>
      </c>
      <c r="G5763" s="4">
        <v>20240202</v>
      </c>
      <c r="H5763" s="4" t="s">
        <v>1014</v>
      </c>
      <c r="I5763" s="4" t="s">
        <v>1013</v>
      </c>
      <c r="J5763" s="4" t="s">
        <v>1012</v>
      </c>
    </row>
    <row r="5764" spans="1:10" hidden="1">
      <c r="A5764" s="4">
        <v>2.0210228422E+17</v>
      </c>
      <c r="B5764" s="4">
        <v>5414800478</v>
      </c>
      <c r="C5764" s="4" t="s">
        <v>1011</v>
      </c>
      <c r="D5764" s="4">
        <v>28422</v>
      </c>
      <c r="E5764" s="4">
        <v>20210202</v>
      </c>
      <c r="F5764" s="4">
        <v>20210202</v>
      </c>
      <c r="G5764" s="4">
        <v>20240202</v>
      </c>
      <c r="H5764" s="4" t="s">
        <v>1010</v>
      </c>
      <c r="I5764" s="4" t="s">
        <v>1009</v>
      </c>
      <c r="J5764" s="4" t="s">
        <v>188</v>
      </c>
    </row>
    <row r="5765" spans="1:10" hidden="1">
      <c r="A5765" s="4">
        <v>2.0210228422E+17</v>
      </c>
      <c r="B5765" s="4">
        <v>8650701609</v>
      </c>
      <c r="C5765" s="4" t="s">
        <v>1008</v>
      </c>
      <c r="D5765" s="4">
        <v>28422</v>
      </c>
      <c r="E5765" s="4">
        <v>20210202</v>
      </c>
      <c r="F5765" s="4">
        <v>20210202</v>
      </c>
      <c r="G5765" s="4">
        <v>20240202</v>
      </c>
      <c r="H5765" s="4" t="s">
        <v>525</v>
      </c>
      <c r="I5765" s="4" t="s">
        <v>1007</v>
      </c>
      <c r="J5765" s="4" t="s">
        <v>188</v>
      </c>
    </row>
    <row r="5766" spans="1:10" hidden="1">
      <c r="A5766" s="4">
        <v>2.0210225119E+17</v>
      </c>
      <c r="B5766" s="4">
        <v>3393100727</v>
      </c>
      <c r="C5766" s="4" t="s">
        <v>1006</v>
      </c>
      <c r="D5766" s="4">
        <v>25119</v>
      </c>
      <c r="E5766" s="4">
        <v>20210202</v>
      </c>
      <c r="F5766" s="4">
        <v>20210202</v>
      </c>
      <c r="G5766" s="4">
        <v>20240202</v>
      </c>
      <c r="H5766" s="4" t="s">
        <v>1005</v>
      </c>
      <c r="J5766" s="4" t="s">
        <v>679</v>
      </c>
    </row>
    <row r="5767" spans="1:10" hidden="1">
      <c r="A5767" s="4">
        <v>2.0210263991E+17</v>
      </c>
      <c r="B5767" s="4">
        <v>3568101838</v>
      </c>
      <c r="C5767" s="4" t="s">
        <v>1004</v>
      </c>
      <c r="D5767" s="4">
        <v>63991</v>
      </c>
      <c r="E5767" s="4">
        <v>20210202</v>
      </c>
      <c r="F5767" s="4">
        <v>20210202</v>
      </c>
      <c r="G5767" s="4">
        <v>20240202</v>
      </c>
      <c r="H5767" s="4" t="s">
        <v>1003</v>
      </c>
      <c r="I5767" s="4" t="s">
        <v>1002</v>
      </c>
      <c r="J5767" s="4" t="s">
        <v>395</v>
      </c>
    </row>
    <row r="5768" spans="1:10" hidden="1">
      <c r="A5768" s="4">
        <v>2.0210258222E+17</v>
      </c>
      <c r="B5768" s="4">
        <v>1502300492</v>
      </c>
      <c r="C5768" s="4" t="s">
        <v>1001</v>
      </c>
      <c r="D5768" s="4">
        <v>58222</v>
      </c>
      <c r="E5768" s="4">
        <v>20210202</v>
      </c>
      <c r="F5768" s="4">
        <v>20210202</v>
      </c>
      <c r="G5768" s="4">
        <v>20240202</v>
      </c>
      <c r="H5768" s="4" t="s">
        <v>1000</v>
      </c>
      <c r="I5768" s="4" t="s">
        <v>999</v>
      </c>
      <c r="J5768" s="4" t="s">
        <v>94</v>
      </c>
    </row>
    <row r="5769" spans="1:10" hidden="1">
      <c r="A5769" s="4">
        <v>2.0210225111E+17</v>
      </c>
      <c r="B5769" s="4">
        <v>8958800084</v>
      </c>
      <c r="C5769" s="4" t="s">
        <v>998</v>
      </c>
      <c r="D5769" s="4">
        <v>25111</v>
      </c>
      <c r="E5769" s="4">
        <v>20210202</v>
      </c>
      <c r="F5769" s="4">
        <v>20210202</v>
      </c>
      <c r="G5769" s="4">
        <v>20220608</v>
      </c>
      <c r="H5769" s="4" t="s">
        <v>997</v>
      </c>
      <c r="J5769" s="4" t="s">
        <v>82</v>
      </c>
    </row>
    <row r="5770" spans="1:10" hidden="1">
      <c r="A5770" s="4">
        <v>2.0210233309E+17</v>
      </c>
      <c r="B5770" s="4">
        <v>2052269945</v>
      </c>
      <c r="C5770" s="4" t="s">
        <v>996</v>
      </c>
      <c r="D5770" s="4">
        <v>33309</v>
      </c>
      <c r="E5770" s="4">
        <v>20210202</v>
      </c>
      <c r="F5770" s="4">
        <v>20210202</v>
      </c>
      <c r="G5770" s="4">
        <v>20240202</v>
      </c>
      <c r="H5770" s="4" t="s">
        <v>995</v>
      </c>
      <c r="I5770" s="4" t="s">
        <v>994</v>
      </c>
      <c r="J5770" s="4" t="s">
        <v>238</v>
      </c>
    </row>
    <row r="5771" spans="1:10" hidden="1">
      <c r="A5771" s="4">
        <v>2.0210229133E+17</v>
      </c>
      <c r="B5771" s="4">
        <v>7494300816</v>
      </c>
      <c r="C5771" s="4" t="s">
        <v>993</v>
      </c>
      <c r="D5771" s="4">
        <v>29133</v>
      </c>
      <c r="E5771" s="4">
        <v>20210202</v>
      </c>
      <c r="F5771" s="4">
        <v>20210202</v>
      </c>
      <c r="G5771" s="4">
        <v>20240202</v>
      </c>
      <c r="H5771" s="4" t="s">
        <v>992</v>
      </c>
      <c r="I5771" s="4" t="s">
        <v>991</v>
      </c>
      <c r="J5771" s="4" t="s">
        <v>990</v>
      </c>
    </row>
    <row r="5772" spans="1:10" hidden="1">
      <c r="A5772" s="4">
        <v>2.0210228422E+17</v>
      </c>
      <c r="B5772" s="4">
        <v>3528600962</v>
      </c>
      <c r="C5772" s="4" t="s">
        <v>989</v>
      </c>
      <c r="D5772" s="4">
        <v>28422</v>
      </c>
      <c r="E5772" s="4">
        <v>20210202</v>
      </c>
      <c r="F5772" s="4">
        <v>20210202</v>
      </c>
      <c r="G5772" s="4">
        <v>20240202</v>
      </c>
      <c r="H5772" s="4" t="s">
        <v>988</v>
      </c>
      <c r="J5772" s="4" t="s">
        <v>188</v>
      </c>
    </row>
    <row r="5773" spans="1:10" hidden="1">
      <c r="A5773" s="4">
        <v>2.0210246591E+17</v>
      </c>
      <c r="B5773" s="4">
        <v>1850900115</v>
      </c>
      <c r="C5773" s="4" t="s">
        <v>987</v>
      </c>
      <c r="D5773" s="4">
        <v>46591</v>
      </c>
      <c r="E5773" s="4">
        <v>20210202</v>
      </c>
      <c r="F5773" s="4">
        <v>20210202</v>
      </c>
      <c r="G5773" s="4">
        <v>20220501</v>
      </c>
      <c r="H5773" s="4" t="s">
        <v>986</v>
      </c>
      <c r="J5773" s="4" t="s">
        <v>985</v>
      </c>
    </row>
    <row r="5774" spans="1:10" hidden="1">
      <c r="A5774" s="4">
        <v>2.0210228123E+17</v>
      </c>
      <c r="B5774" s="4">
        <v>3423800168</v>
      </c>
      <c r="C5774" s="4" t="s">
        <v>983</v>
      </c>
      <c r="D5774" s="4">
        <v>28123</v>
      </c>
      <c r="E5774" s="4">
        <v>20210202</v>
      </c>
      <c r="F5774" s="4">
        <v>20210202</v>
      </c>
      <c r="G5774" s="4">
        <v>20231101</v>
      </c>
      <c r="H5774" s="4" t="s">
        <v>984</v>
      </c>
      <c r="I5774" s="4" t="s">
        <v>983</v>
      </c>
      <c r="J5774" s="4" t="s">
        <v>640</v>
      </c>
    </row>
    <row r="5775" spans="1:10" hidden="1">
      <c r="A5775" s="4">
        <v>2.02102468E+17</v>
      </c>
      <c r="B5775" s="4">
        <v>5180801393</v>
      </c>
      <c r="C5775" s="4" t="s">
        <v>982</v>
      </c>
      <c r="D5775" s="4">
        <v>46800</v>
      </c>
      <c r="E5775" s="4">
        <v>20210202</v>
      </c>
      <c r="F5775" s="4">
        <v>20210202</v>
      </c>
      <c r="G5775" s="4">
        <v>20240202</v>
      </c>
      <c r="H5775" s="4" t="s">
        <v>981</v>
      </c>
      <c r="I5775" s="4" t="s">
        <v>980</v>
      </c>
      <c r="J5775" s="4" t="s">
        <v>979</v>
      </c>
    </row>
    <row r="5776" spans="1:10" hidden="1">
      <c r="A5776" s="4">
        <v>2.0210273203E+17</v>
      </c>
      <c r="B5776" s="4">
        <v>1752101123</v>
      </c>
      <c r="C5776" s="4" t="s">
        <v>978</v>
      </c>
      <c r="D5776" s="4">
        <v>73203</v>
      </c>
      <c r="E5776" s="4">
        <v>20210202</v>
      </c>
      <c r="F5776" s="4">
        <v>20210202</v>
      </c>
      <c r="G5776" s="4">
        <v>20240202</v>
      </c>
      <c r="H5776" s="4" t="s">
        <v>977</v>
      </c>
      <c r="I5776" s="4" t="s">
        <v>146</v>
      </c>
      <c r="J5776" s="4" t="s">
        <v>260</v>
      </c>
    </row>
    <row r="5777" spans="1:10" hidden="1">
      <c r="A5777" s="4">
        <v>2.0210210802E+17</v>
      </c>
      <c r="B5777" s="4">
        <v>2545800419</v>
      </c>
      <c r="C5777" s="4" t="s">
        <v>976</v>
      </c>
      <c r="D5777" s="4">
        <v>10802</v>
      </c>
      <c r="E5777" s="4">
        <v>20210202</v>
      </c>
      <c r="F5777" s="4">
        <v>20210202</v>
      </c>
      <c r="G5777" s="4">
        <v>20240202</v>
      </c>
      <c r="H5777" s="4" t="s">
        <v>975</v>
      </c>
      <c r="I5777" s="4" t="s">
        <v>974</v>
      </c>
      <c r="J5777" s="4" t="s">
        <v>973</v>
      </c>
    </row>
    <row r="5778" spans="1:10" hidden="1">
      <c r="A5778" s="4">
        <v>2.0210228123E+17</v>
      </c>
      <c r="B5778" s="4">
        <v>7610701383</v>
      </c>
      <c r="C5778" s="4" t="s">
        <v>972</v>
      </c>
      <c r="D5778" s="4">
        <v>28123</v>
      </c>
      <c r="E5778" s="4">
        <v>20210202</v>
      </c>
      <c r="F5778" s="4">
        <v>20210202</v>
      </c>
      <c r="G5778" s="4">
        <v>20240202</v>
      </c>
      <c r="H5778" s="4" t="s">
        <v>971</v>
      </c>
      <c r="I5778" s="4" t="s">
        <v>970</v>
      </c>
      <c r="J5778" s="4" t="s">
        <v>640</v>
      </c>
    </row>
    <row r="5779" spans="1:10" hidden="1">
      <c r="A5779" s="4">
        <v>2.0210222259E+17</v>
      </c>
      <c r="B5779" s="4">
        <v>6697900237</v>
      </c>
      <c r="C5779" s="4" t="s">
        <v>969</v>
      </c>
      <c r="D5779" s="4">
        <v>22259</v>
      </c>
      <c r="E5779" s="4">
        <v>20210202</v>
      </c>
      <c r="F5779" s="4">
        <v>20210202</v>
      </c>
      <c r="G5779" s="4">
        <v>20240202</v>
      </c>
      <c r="H5779" s="4" t="s">
        <v>968</v>
      </c>
      <c r="I5779" s="4" t="s">
        <v>967</v>
      </c>
      <c r="J5779" s="4" t="s">
        <v>966</v>
      </c>
    </row>
    <row r="5780" spans="1:10" hidden="1">
      <c r="A5780" s="4">
        <v>2.0210233301E+17</v>
      </c>
      <c r="B5780" s="4">
        <v>2108801147</v>
      </c>
      <c r="C5780" s="4" t="s">
        <v>965</v>
      </c>
      <c r="D5780" s="4">
        <v>33301</v>
      </c>
      <c r="E5780" s="4">
        <v>20210202</v>
      </c>
      <c r="F5780" s="4">
        <v>20210202</v>
      </c>
      <c r="G5780" s="4">
        <v>20220429</v>
      </c>
      <c r="H5780" s="4" t="s">
        <v>964</v>
      </c>
      <c r="J5780" s="4" t="s">
        <v>902</v>
      </c>
    </row>
    <row r="5781" spans="1:10" hidden="1">
      <c r="A5781" s="4">
        <v>2.0210246595E+17</v>
      </c>
      <c r="B5781" s="4">
        <v>5010885546</v>
      </c>
      <c r="C5781" s="4" t="s">
        <v>963</v>
      </c>
      <c r="D5781" s="4">
        <v>46595</v>
      </c>
      <c r="E5781" s="4">
        <v>20210202</v>
      </c>
      <c r="F5781" s="4">
        <v>20210202</v>
      </c>
      <c r="G5781" s="4">
        <v>20240202</v>
      </c>
      <c r="H5781" s="4" t="s">
        <v>962</v>
      </c>
      <c r="I5781" s="4" t="s">
        <v>961</v>
      </c>
      <c r="J5781" s="4" t="s">
        <v>960</v>
      </c>
    </row>
    <row r="5782" spans="1:10" hidden="1">
      <c r="A5782" s="4">
        <v>2.0210232029E+17</v>
      </c>
      <c r="B5782" s="4">
        <v>7678601668</v>
      </c>
      <c r="C5782" s="4" t="s">
        <v>959</v>
      </c>
      <c r="D5782" s="4">
        <v>32029</v>
      </c>
      <c r="E5782" s="4">
        <v>20210202</v>
      </c>
      <c r="F5782" s="4">
        <v>20210202</v>
      </c>
      <c r="G5782" s="4">
        <v>20240202</v>
      </c>
      <c r="H5782" s="4" t="s">
        <v>958</v>
      </c>
      <c r="J5782" s="4" t="s">
        <v>637</v>
      </c>
    </row>
    <row r="5783" spans="1:10" hidden="1">
      <c r="A5783" s="4">
        <v>2.0210228512E+17</v>
      </c>
      <c r="B5783" s="4">
        <v>6736800190</v>
      </c>
      <c r="C5783" s="4" t="s">
        <v>957</v>
      </c>
      <c r="D5783" s="4">
        <v>28512</v>
      </c>
      <c r="E5783" s="4">
        <v>20210202</v>
      </c>
      <c r="F5783" s="4">
        <v>20210202</v>
      </c>
      <c r="G5783" s="4">
        <v>20240202</v>
      </c>
      <c r="H5783" s="4" t="s">
        <v>956</v>
      </c>
      <c r="J5783" s="4" t="s">
        <v>955</v>
      </c>
    </row>
    <row r="5784" spans="1:10" hidden="1">
      <c r="A5784" s="4">
        <v>2.0210229271E+17</v>
      </c>
      <c r="B5784" s="4">
        <v>2488801744</v>
      </c>
      <c r="C5784" s="4" t="s">
        <v>954</v>
      </c>
      <c r="D5784" s="4">
        <v>29271</v>
      </c>
      <c r="E5784" s="4">
        <v>20210202</v>
      </c>
      <c r="F5784" s="4">
        <v>20210202</v>
      </c>
      <c r="G5784" s="4">
        <v>20240202</v>
      </c>
      <c r="H5784" s="4" t="s">
        <v>953</v>
      </c>
      <c r="I5784" s="4" t="s">
        <v>952</v>
      </c>
      <c r="J5784" s="4" t="s">
        <v>285</v>
      </c>
    </row>
    <row r="5785" spans="1:10" hidden="1">
      <c r="A5785" s="4">
        <v>2.0210222299E+17</v>
      </c>
      <c r="B5785" s="4">
        <v>8621701176</v>
      </c>
      <c r="C5785" s="4" t="s">
        <v>951</v>
      </c>
      <c r="D5785" s="4">
        <v>22299</v>
      </c>
      <c r="E5785" s="4">
        <v>20210202</v>
      </c>
      <c r="F5785" s="4">
        <v>20210202</v>
      </c>
      <c r="G5785" s="4">
        <v>20240202</v>
      </c>
      <c r="H5785" s="4" t="s">
        <v>950</v>
      </c>
      <c r="J5785" s="4" t="s">
        <v>384</v>
      </c>
    </row>
    <row r="5786" spans="1:10" hidden="1">
      <c r="A5786" s="4">
        <v>2.0210228422E+17</v>
      </c>
      <c r="B5786" s="4">
        <v>2628601687</v>
      </c>
      <c r="C5786" s="4" t="s">
        <v>949</v>
      </c>
      <c r="D5786" s="4">
        <v>28422</v>
      </c>
      <c r="E5786" s="4">
        <v>20210201</v>
      </c>
      <c r="F5786" s="4">
        <v>20210201</v>
      </c>
      <c r="G5786" s="4">
        <v>20240201</v>
      </c>
      <c r="H5786" s="4" t="s">
        <v>948</v>
      </c>
      <c r="I5786" s="4" t="s">
        <v>947</v>
      </c>
      <c r="J5786" s="4" t="s">
        <v>188</v>
      </c>
    </row>
    <row r="5787" spans="1:10" hidden="1">
      <c r="A5787" s="4">
        <v>2.0210271392E+17</v>
      </c>
      <c r="B5787" s="4">
        <v>3388601951</v>
      </c>
      <c r="C5787" s="4" t="s">
        <v>946</v>
      </c>
      <c r="D5787" s="4">
        <v>71392</v>
      </c>
      <c r="E5787" s="4">
        <v>20210201</v>
      </c>
      <c r="F5787" s="4">
        <v>20210201</v>
      </c>
      <c r="G5787" s="4">
        <v>20240201</v>
      </c>
      <c r="H5787" s="4" t="s">
        <v>945</v>
      </c>
      <c r="I5787" s="4" t="s">
        <v>944</v>
      </c>
      <c r="J5787" s="4" t="s">
        <v>943</v>
      </c>
    </row>
    <row r="5788" spans="1:10" hidden="1">
      <c r="A5788" s="4">
        <v>2.0210228422E+17</v>
      </c>
      <c r="B5788" s="4">
        <v>1304753235</v>
      </c>
      <c r="C5788" s="4" t="s">
        <v>942</v>
      </c>
      <c r="D5788" s="4">
        <v>28422</v>
      </c>
      <c r="E5788" s="4">
        <v>20210201</v>
      </c>
      <c r="F5788" s="4">
        <v>20210201</v>
      </c>
      <c r="G5788" s="4">
        <v>20220127</v>
      </c>
      <c r="H5788" s="4" t="s">
        <v>941</v>
      </c>
      <c r="J5788" s="4" t="s">
        <v>188</v>
      </c>
    </row>
    <row r="5789" spans="1:10" hidden="1">
      <c r="A5789" s="4">
        <v>2.0210270129E+17</v>
      </c>
      <c r="B5789" s="4">
        <v>3484900314</v>
      </c>
      <c r="C5789" s="4" t="s">
        <v>940</v>
      </c>
      <c r="D5789" s="4">
        <v>70129</v>
      </c>
      <c r="E5789" s="4">
        <v>20210201</v>
      </c>
      <c r="F5789" s="4">
        <v>20210201</v>
      </c>
      <c r="G5789" s="4">
        <v>20240201</v>
      </c>
      <c r="H5789" s="4" t="s">
        <v>939</v>
      </c>
      <c r="I5789" s="4" t="s">
        <v>938</v>
      </c>
      <c r="J5789" s="4" t="s">
        <v>937</v>
      </c>
    </row>
    <row r="5790" spans="1:10" hidden="1">
      <c r="A5790" s="4">
        <v>2.0210273203E+17</v>
      </c>
      <c r="B5790" s="4">
        <v>6730401125</v>
      </c>
      <c r="C5790" s="4" t="s">
        <v>936</v>
      </c>
      <c r="D5790" s="4">
        <v>73203</v>
      </c>
      <c r="E5790" s="4">
        <v>20210201</v>
      </c>
      <c r="F5790" s="4">
        <v>20210201</v>
      </c>
      <c r="G5790" s="4">
        <v>20240201</v>
      </c>
      <c r="H5790" s="4" t="s">
        <v>935</v>
      </c>
      <c r="I5790" s="4" t="s">
        <v>934</v>
      </c>
      <c r="J5790" s="4" t="s">
        <v>260</v>
      </c>
    </row>
    <row r="5791" spans="1:10" hidden="1">
      <c r="A5791" s="4">
        <v>2.0210229193E+17</v>
      </c>
      <c r="B5791" s="4">
        <v>3868801537</v>
      </c>
      <c r="C5791" s="4" t="s">
        <v>933</v>
      </c>
      <c r="D5791" s="4">
        <v>29193</v>
      </c>
      <c r="E5791" s="4">
        <v>20210201</v>
      </c>
      <c r="F5791" s="4">
        <v>20210201</v>
      </c>
      <c r="G5791" s="4">
        <v>20240201</v>
      </c>
      <c r="H5791" s="4" t="s">
        <v>932</v>
      </c>
      <c r="I5791" s="4" t="s">
        <v>931</v>
      </c>
      <c r="J5791" s="4" t="s">
        <v>721</v>
      </c>
    </row>
    <row r="5792" spans="1:10" hidden="1">
      <c r="A5792" s="4">
        <v>2.0210228511E+17</v>
      </c>
      <c r="B5792" s="4">
        <v>6198701503</v>
      </c>
      <c r="C5792" s="4" t="s">
        <v>930</v>
      </c>
      <c r="D5792" s="4">
        <v>28511</v>
      </c>
      <c r="E5792" s="4">
        <v>20210201</v>
      </c>
      <c r="F5792" s="4">
        <v>20210201</v>
      </c>
      <c r="G5792" s="4">
        <v>20240201</v>
      </c>
      <c r="H5792" s="4" t="s">
        <v>929</v>
      </c>
      <c r="J5792" s="4" t="s">
        <v>928</v>
      </c>
    </row>
    <row r="5793" spans="1:10" hidden="1">
      <c r="A5793" s="4">
        <v>2.0210225119E+17</v>
      </c>
      <c r="B5793" s="4">
        <v>1828101066</v>
      </c>
      <c r="C5793" s="4" t="s">
        <v>927</v>
      </c>
      <c r="D5793" s="4">
        <v>25119</v>
      </c>
      <c r="E5793" s="4">
        <v>20210201</v>
      </c>
      <c r="F5793" s="4">
        <v>20210201</v>
      </c>
      <c r="G5793" s="4">
        <v>20240201</v>
      </c>
      <c r="H5793" s="4" t="s">
        <v>926</v>
      </c>
      <c r="J5793" s="4" t="s">
        <v>679</v>
      </c>
    </row>
    <row r="5794" spans="1:10" hidden="1">
      <c r="A5794" s="4">
        <v>2.0210226224E+17</v>
      </c>
      <c r="B5794" s="4">
        <v>7061701217</v>
      </c>
      <c r="C5794" s="4" t="s">
        <v>925</v>
      </c>
      <c r="D5794" s="4">
        <v>26224</v>
      </c>
      <c r="E5794" s="4">
        <v>20210201</v>
      </c>
      <c r="F5794" s="4">
        <v>20210201</v>
      </c>
      <c r="G5794" s="4">
        <v>20240201</v>
      </c>
      <c r="H5794" s="4" t="s">
        <v>924</v>
      </c>
      <c r="I5794" s="4" t="s">
        <v>91</v>
      </c>
      <c r="J5794" s="4" t="s">
        <v>923</v>
      </c>
    </row>
    <row r="5795" spans="1:10" hidden="1">
      <c r="A5795" s="4">
        <v>2.0210228422E+17</v>
      </c>
      <c r="B5795" s="4">
        <v>4228700574</v>
      </c>
      <c r="C5795" s="4" t="s">
        <v>922</v>
      </c>
      <c r="D5795" s="4">
        <v>28422</v>
      </c>
      <c r="E5795" s="4">
        <v>20210201</v>
      </c>
      <c r="F5795" s="4">
        <v>20210201</v>
      </c>
      <c r="G5795" s="4">
        <v>20240201</v>
      </c>
      <c r="H5795" s="4" t="s">
        <v>921</v>
      </c>
      <c r="J5795" s="4" t="s">
        <v>188</v>
      </c>
    </row>
    <row r="5796" spans="1:10" hidden="1">
      <c r="A5796" s="4">
        <v>2.021024651E+17</v>
      </c>
      <c r="B5796" s="4">
        <v>4268701385</v>
      </c>
      <c r="C5796" s="4" t="s">
        <v>920</v>
      </c>
      <c r="D5796" s="4">
        <v>46510</v>
      </c>
      <c r="E5796" s="4">
        <v>20210201</v>
      </c>
      <c r="F5796" s="4">
        <v>20210201</v>
      </c>
      <c r="G5796" s="4">
        <v>20240201</v>
      </c>
      <c r="H5796" s="4" t="s">
        <v>919</v>
      </c>
      <c r="I5796" s="4" t="s">
        <v>918</v>
      </c>
      <c r="J5796" s="4" t="s">
        <v>126</v>
      </c>
    </row>
    <row r="5797" spans="1:10" hidden="1">
      <c r="A5797" s="4">
        <v>2.0210263111E+17</v>
      </c>
      <c r="B5797" s="4">
        <v>5148199748</v>
      </c>
      <c r="C5797" s="4" t="s">
        <v>917</v>
      </c>
      <c r="D5797" s="4">
        <v>63111</v>
      </c>
      <c r="E5797" s="4">
        <v>20210201</v>
      </c>
      <c r="F5797" s="4">
        <v>20210201</v>
      </c>
      <c r="G5797" s="4">
        <v>20240201</v>
      </c>
      <c r="H5797" s="4" t="s">
        <v>716</v>
      </c>
      <c r="I5797" s="4" t="s">
        <v>916</v>
      </c>
      <c r="J5797" s="4" t="s">
        <v>915</v>
      </c>
    </row>
    <row r="5798" spans="1:10" hidden="1">
      <c r="A5798" s="4">
        <v>2.0210216103E+17</v>
      </c>
      <c r="B5798" s="4">
        <v>7488801152</v>
      </c>
      <c r="C5798" s="4" t="s">
        <v>914</v>
      </c>
      <c r="D5798" s="4">
        <v>16103</v>
      </c>
      <c r="E5798" s="4">
        <v>20210201</v>
      </c>
      <c r="F5798" s="4">
        <v>20210201</v>
      </c>
      <c r="G5798" s="4">
        <v>20240201</v>
      </c>
      <c r="H5798" s="4" t="s">
        <v>913</v>
      </c>
      <c r="J5798" s="4" t="s">
        <v>912</v>
      </c>
    </row>
    <row r="5799" spans="1:10" hidden="1">
      <c r="A5799" s="4">
        <v>2.0210232091E+17</v>
      </c>
      <c r="B5799" s="4">
        <v>5278700904</v>
      </c>
      <c r="C5799" s="4" t="s">
        <v>911</v>
      </c>
      <c r="D5799" s="4">
        <v>32091</v>
      </c>
      <c r="E5799" s="4">
        <v>20210201</v>
      </c>
      <c r="F5799" s="4">
        <v>20210201</v>
      </c>
      <c r="G5799" s="4">
        <v>20240201</v>
      </c>
      <c r="H5799" s="4" t="s">
        <v>910</v>
      </c>
      <c r="I5799" s="4" t="s">
        <v>909</v>
      </c>
      <c r="J5799" s="4" t="s">
        <v>908</v>
      </c>
    </row>
    <row r="5800" spans="1:10" hidden="1">
      <c r="A5800" s="4">
        <v>2.0210228422E+17</v>
      </c>
      <c r="B5800" s="4">
        <v>7568701189</v>
      </c>
      <c r="C5800" s="4" t="s">
        <v>907</v>
      </c>
      <c r="D5800" s="4">
        <v>28422</v>
      </c>
      <c r="E5800" s="4">
        <v>20210201</v>
      </c>
      <c r="F5800" s="4">
        <v>20210201</v>
      </c>
      <c r="G5800" s="4">
        <v>20240201</v>
      </c>
      <c r="H5800" s="4" t="s">
        <v>906</v>
      </c>
      <c r="I5800" s="4" t="s">
        <v>905</v>
      </c>
      <c r="J5800" s="4" t="s">
        <v>188</v>
      </c>
    </row>
    <row r="5801" spans="1:10" hidden="1">
      <c r="A5801" s="4">
        <v>2.0210233301E+17</v>
      </c>
      <c r="B5801" s="4">
        <v>1638801308</v>
      </c>
      <c r="C5801" s="4" t="s">
        <v>903</v>
      </c>
      <c r="D5801" s="4">
        <v>33301</v>
      </c>
      <c r="E5801" s="4">
        <v>20210201</v>
      </c>
      <c r="F5801" s="4">
        <v>20210201</v>
      </c>
      <c r="G5801" s="4">
        <v>20240201</v>
      </c>
      <c r="H5801" s="4" t="s">
        <v>904</v>
      </c>
      <c r="I5801" s="4" t="s">
        <v>903</v>
      </c>
      <c r="J5801" s="4" t="s">
        <v>902</v>
      </c>
    </row>
    <row r="5802" spans="1:10" hidden="1">
      <c r="A5802" s="4">
        <v>2.0210228422E+17</v>
      </c>
      <c r="B5802" s="4">
        <v>7198701690</v>
      </c>
      <c r="C5802" s="4" t="s">
        <v>901</v>
      </c>
      <c r="D5802" s="4">
        <v>28422</v>
      </c>
      <c r="E5802" s="4">
        <v>20210201</v>
      </c>
      <c r="F5802" s="4">
        <v>20210201</v>
      </c>
      <c r="G5802" s="4">
        <v>20240201</v>
      </c>
      <c r="H5802" s="4" t="s">
        <v>900</v>
      </c>
      <c r="I5802" s="4" t="s">
        <v>91</v>
      </c>
      <c r="J5802" s="4" t="s">
        <v>188</v>
      </c>
    </row>
    <row r="5803" spans="1:10" hidden="1">
      <c r="A5803" s="4">
        <v>2.0210228422E+17</v>
      </c>
      <c r="B5803" s="4">
        <v>7468800180</v>
      </c>
      <c r="C5803" s="4" t="s">
        <v>899</v>
      </c>
      <c r="D5803" s="4">
        <v>28422</v>
      </c>
      <c r="E5803" s="4">
        <v>20210201</v>
      </c>
      <c r="F5803" s="4">
        <v>20210201</v>
      </c>
      <c r="G5803" s="4">
        <v>20230105</v>
      </c>
      <c r="H5803" s="4" t="s">
        <v>898</v>
      </c>
      <c r="J5803" s="4" t="s">
        <v>188</v>
      </c>
    </row>
    <row r="5804" spans="1:10" hidden="1">
      <c r="A5804" s="4">
        <v>2.021023391E+17</v>
      </c>
      <c r="B5804" s="4">
        <v>5428601337</v>
      </c>
      <c r="C5804" s="4" t="s">
        <v>897</v>
      </c>
      <c r="D5804" s="4">
        <v>33910</v>
      </c>
      <c r="E5804" s="4">
        <v>20210201</v>
      </c>
      <c r="F5804" s="4">
        <v>20210201</v>
      </c>
      <c r="G5804" s="4">
        <v>20240201</v>
      </c>
      <c r="H5804" s="4" t="s">
        <v>896</v>
      </c>
      <c r="J5804" s="4" t="s">
        <v>310</v>
      </c>
    </row>
    <row r="5805" spans="1:10" hidden="1">
      <c r="A5805" s="4">
        <v>2.0210222212E+17</v>
      </c>
      <c r="B5805" s="4">
        <v>7038701512</v>
      </c>
      <c r="C5805" s="4" t="s">
        <v>895</v>
      </c>
      <c r="D5805" s="4">
        <v>22212</v>
      </c>
      <c r="E5805" s="4">
        <v>20210201</v>
      </c>
      <c r="F5805" s="4">
        <v>20210201</v>
      </c>
      <c r="G5805" s="4">
        <v>20240201</v>
      </c>
      <c r="H5805" s="4" t="s">
        <v>894</v>
      </c>
      <c r="J5805" s="4" t="s">
        <v>893</v>
      </c>
    </row>
    <row r="5806" spans="1:10" hidden="1">
      <c r="A5806" s="4">
        <v>2.0210258221E+17</v>
      </c>
      <c r="B5806" s="4">
        <v>6308701136</v>
      </c>
      <c r="C5806" s="4" t="s">
        <v>892</v>
      </c>
      <c r="D5806" s="4">
        <v>58221</v>
      </c>
      <c r="E5806" s="4">
        <v>20210201</v>
      </c>
      <c r="F5806" s="4">
        <v>20210201</v>
      </c>
      <c r="G5806" s="4">
        <v>20240201</v>
      </c>
      <c r="H5806" s="4" t="s">
        <v>891</v>
      </c>
      <c r="I5806" s="4" t="s">
        <v>890</v>
      </c>
      <c r="J5806" s="4" t="s">
        <v>228</v>
      </c>
    </row>
    <row r="5807" spans="1:10" hidden="1">
      <c r="A5807" s="4">
        <v>2.0210258211E+17</v>
      </c>
      <c r="B5807" s="4">
        <v>8628600154</v>
      </c>
      <c r="C5807" s="4" t="s">
        <v>889</v>
      </c>
      <c r="D5807" s="4">
        <v>58211</v>
      </c>
      <c r="E5807" s="4">
        <v>20210201</v>
      </c>
      <c r="F5807" s="4">
        <v>20210201</v>
      </c>
      <c r="G5807" s="4">
        <v>20221001</v>
      </c>
      <c r="H5807" s="4" t="s">
        <v>888</v>
      </c>
      <c r="I5807" s="4" t="s">
        <v>91</v>
      </c>
      <c r="J5807" s="4" t="s">
        <v>887</v>
      </c>
    </row>
    <row r="5808" spans="1:10" hidden="1">
      <c r="A5808" s="4">
        <v>2.0210242491E+17</v>
      </c>
      <c r="B5808" s="4">
        <v>1818101379</v>
      </c>
      <c r="C5808" s="4" t="s">
        <v>886</v>
      </c>
      <c r="D5808" s="4">
        <v>42491</v>
      </c>
      <c r="E5808" s="4">
        <v>20210201</v>
      </c>
      <c r="F5808" s="4">
        <v>20210201</v>
      </c>
      <c r="G5808" s="4">
        <v>20240201</v>
      </c>
      <c r="H5808" s="4" t="s">
        <v>885</v>
      </c>
      <c r="I5808" s="4" t="s">
        <v>884</v>
      </c>
      <c r="J5808" s="4" t="s">
        <v>883</v>
      </c>
    </row>
    <row r="5809" spans="1:10" hidden="1">
      <c r="A5809" s="4">
        <v>2.0210273909E+17</v>
      </c>
      <c r="B5809" s="4">
        <v>8728801789</v>
      </c>
      <c r="C5809" s="4" t="s">
        <v>882</v>
      </c>
      <c r="D5809" s="4">
        <v>73909</v>
      </c>
      <c r="E5809" s="4">
        <v>20210201</v>
      </c>
      <c r="F5809" s="4">
        <v>20210201</v>
      </c>
      <c r="G5809" s="4">
        <v>20240201</v>
      </c>
      <c r="H5809" s="4" t="s">
        <v>881</v>
      </c>
      <c r="I5809" s="4" t="s">
        <v>880</v>
      </c>
      <c r="J5809" s="4" t="s">
        <v>293</v>
      </c>
    </row>
    <row r="5810" spans="1:10" hidden="1">
      <c r="A5810" s="4">
        <v>2.0210129174E+17</v>
      </c>
      <c r="B5810" s="4">
        <v>7923200527</v>
      </c>
      <c r="C5810" s="4" t="s">
        <v>878</v>
      </c>
      <c r="D5810" s="4">
        <v>29174</v>
      </c>
      <c r="E5810" s="4">
        <v>20210131</v>
      </c>
      <c r="F5810" s="4">
        <v>20210131</v>
      </c>
      <c r="G5810" s="4">
        <v>20240131</v>
      </c>
      <c r="H5810" s="4" t="s">
        <v>879</v>
      </c>
      <c r="I5810" s="4" t="s">
        <v>878</v>
      </c>
      <c r="J5810" s="4" t="s">
        <v>877</v>
      </c>
    </row>
    <row r="5811" spans="1:10" hidden="1">
      <c r="A5811" s="4">
        <v>2.0210125111E+17</v>
      </c>
      <c r="B5811" s="4">
        <v>1568601325</v>
      </c>
      <c r="C5811" s="4" t="s">
        <v>876</v>
      </c>
      <c r="D5811" s="4">
        <v>25111</v>
      </c>
      <c r="E5811" s="4">
        <v>20210131</v>
      </c>
      <c r="F5811" s="4">
        <v>20210131</v>
      </c>
      <c r="G5811" s="4">
        <v>20240131</v>
      </c>
      <c r="H5811" s="4" t="s">
        <v>875</v>
      </c>
      <c r="J5811" s="4" t="s">
        <v>82</v>
      </c>
    </row>
    <row r="5812" spans="1:10" hidden="1">
      <c r="A5812" s="4">
        <v>2.0210173209E+17</v>
      </c>
      <c r="B5812" s="4">
        <v>8750101531</v>
      </c>
      <c r="C5812" s="4" t="s">
        <v>874</v>
      </c>
      <c r="D5812" s="4">
        <v>73209</v>
      </c>
      <c r="E5812" s="4">
        <v>20210130</v>
      </c>
      <c r="F5812" s="4">
        <v>20210130</v>
      </c>
      <c r="G5812" s="4">
        <v>20240130</v>
      </c>
      <c r="H5812" s="4" t="s">
        <v>873</v>
      </c>
      <c r="I5812" s="4" t="s">
        <v>872</v>
      </c>
      <c r="J5812" s="4" t="s">
        <v>871</v>
      </c>
    </row>
    <row r="5813" spans="1:10" hidden="1">
      <c r="A5813" s="4">
        <v>2.0210158222E+17</v>
      </c>
      <c r="B5813" s="4">
        <v>1868101904</v>
      </c>
      <c r="C5813" s="4" t="s">
        <v>870</v>
      </c>
      <c r="D5813" s="4">
        <v>58222</v>
      </c>
      <c r="E5813" s="4">
        <v>20210130</v>
      </c>
      <c r="F5813" s="4">
        <v>20210130</v>
      </c>
      <c r="G5813" s="4">
        <v>20240130</v>
      </c>
      <c r="H5813" s="4" t="s">
        <v>869</v>
      </c>
      <c r="I5813" s="4" t="s">
        <v>868</v>
      </c>
      <c r="J5813" s="4" t="s">
        <v>94</v>
      </c>
    </row>
    <row r="5814" spans="1:10" hidden="1">
      <c r="A5814" s="4">
        <v>2.0210146109E+17</v>
      </c>
      <c r="B5814" s="4">
        <v>4152100890</v>
      </c>
      <c r="C5814" s="4" t="s">
        <v>867</v>
      </c>
      <c r="D5814" s="4">
        <v>46109</v>
      </c>
      <c r="E5814" s="4">
        <v>20210130</v>
      </c>
      <c r="F5814" s="4">
        <v>20210130</v>
      </c>
      <c r="G5814" s="4">
        <v>20240130</v>
      </c>
      <c r="H5814" s="4" t="s">
        <v>866</v>
      </c>
      <c r="I5814" s="4" t="s">
        <v>865</v>
      </c>
      <c r="J5814" s="4" t="s">
        <v>133</v>
      </c>
    </row>
    <row r="5815" spans="1:10" hidden="1">
      <c r="A5815" s="4">
        <v>2.0210125993E+17</v>
      </c>
      <c r="B5815" s="4">
        <v>5778101925</v>
      </c>
      <c r="C5815" s="4" t="s">
        <v>864</v>
      </c>
      <c r="D5815" s="4">
        <v>25993</v>
      </c>
      <c r="E5815" s="4">
        <v>20210130</v>
      </c>
      <c r="F5815" s="4">
        <v>20210130</v>
      </c>
      <c r="G5815" s="4">
        <v>20240130</v>
      </c>
      <c r="H5815" s="4" t="s">
        <v>863</v>
      </c>
      <c r="J5815" s="4" t="s">
        <v>862</v>
      </c>
    </row>
    <row r="5816" spans="1:10" hidden="1">
      <c r="A5816" s="4">
        <v>2.0210120119E+17</v>
      </c>
      <c r="B5816" s="4">
        <v>4112891442</v>
      </c>
      <c r="C5816" s="4" t="s">
        <v>861</v>
      </c>
      <c r="D5816" s="4">
        <v>20119</v>
      </c>
      <c r="E5816" s="4">
        <v>20210130</v>
      </c>
      <c r="F5816" s="4">
        <v>20210130</v>
      </c>
      <c r="G5816" s="4">
        <v>20220901</v>
      </c>
      <c r="H5816" s="4" t="s">
        <v>860</v>
      </c>
      <c r="I5816" s="4" t="s">
        <v>859</v>
      </c>
      <c r="J5816" s="4" t="s">
        <v>858</v>
      </c>
    </row>
    <row r="5817" spans="1:10" hidden="1">
      <c r="A5817" s="4">
        <v>2.0210173202E+17</v>
      </c>
      <c r="B5817" s="4">
        <v>6950502039</v>
      </c>
      <c r="C5817" s="4" t="s">
        <v>857</v>
      </c>
      <c r="D5817" s="4">
        <v>73202</v>
      </c>
      <c r="E5817" s="4">
        <v>20210130</v>
      </c>
      <c r="F5817" s="4">
        <v>20210130</v>
      </c>
      <c r="G5817" s="4">
        <v>20240130</v>
      </c>
      <c r="H5817" s="4" t="s">
        <v>856</v>
      </c>
      <c r="I5817" s="4" t="s">
        <v>855</v>
      </c>
      <c r="J5817" s="4" t="s">
        <v>605</v>
      </c>
    </row>
    <row r="5818" spans="1:10" hidden="1">
      <c r="A5818" s="4">
        <v>2.0210110795E+17</v>
      </c>
      <c r="B5818" s="4">
        <v>3878801656</v>
      </c>
      <c r="C5818" s="4" t="s">
        <v>854</v>
      </c>
      <c r="D5818" s="4">
        <v>10795</v>
      </c>
      <c r="E5818" s="4">
        <v>20210129</v>
      </c>
      <c r="F5818" s="4">
        <v>20210129</v>
      </c>
      <c r="G5818" s="4">
        <v>20240129</v>
      </c>
      <c r="H5818" s="4" t="s">
        <v>853</v>
      </c>
      <c r="I5818" s="4" t="s">
        <v>852</v>
      </c>
      <c r="J5818" s="4" t="s">
        <v>851</v>
      </c>
    </row>
    <row r="5819" spans="1:10" hidden="1">
      <c r="A5819" s="4">
        <v>2.0210125994E+17</v>
      </c>
      <c r="B5819" s="4">
        <v>2204500435</v>
      </c>
      <c r="C5819" s="4" t="s">
        <v>850</v>
      </c>
      <c r="D5819" s="4">
        <v>25994</v>
      </c>
      <c r="E5819" s="4">
        <v>20210129</v>
      </c>
      <c r="F5819" s="4">
        <v>20210129</v>
      </c>
      <c r="G5819" s="4">
        <v>20240129</v>
      </c>
      <c r="H5819" s="4" t="s">
        <v>849</v>
      </c>
      <c r="I5819" s="4" t="s">
        <v>848</v>
      </c>
      <c r="J5819" s="4" t="s">
        <v>847</v>
      </c>
    </row>
    <row r="5820" spans="1:10" hidden="1">
      <c r="A5820" s="4">
        <v>2.0210133999E+17</v>
      </c>
      <c r="B5820" s="4">
        <v>7246500385</v>
      </c>
      <c r="C5820" s="4" t="s">
        <v>846</v>
      </c>
      <c r="D5820" s="4">
        <v>33999</v>
      </c>
      <c r="E5820" s="4">
        <v>20210129</v>
      </c>
      <c r="F5820" s="4">
        <v>20210129</v>
      </c>
      <c r="G5820" s="4">
        <v>20240129</v>
      </c>
      <c r="H5820" s="4" t="s">
        <v>845</v>
      </c>
      <c r="I5820" s="4" t="s">
        <v>844</v>
      </c>
      <c r="J5820" s="4" t="s">
        <v>780</v>
      </c>
    </row>
    <row r="5821" spans="1:10" hidden="1">
      <c r="A5821" s="4">
        <v>2.0210128429E+17</v>
      </c>
      <c r="B5821" s="4">
        <v>3377700165</v>
      </c>
      <c r="C5821" s="4" t="s">
        <v>843</v>
      </c>
      <c r="D5821" s="4">
        <v>28429</v>
      </c>
      <c r="E5821" s="4">
        <v>20210129</v>
      </c>
      <c r="F5821" s="4">
        <v>20210129</v>
      </c>
      <c r="G5821" s="4">
        <v>20240129</v>
      </c>
      <c r="H5821" s="4" t="s">
        <v>842</v>
      </c>
      <c r="I5821" s="4" t="s">
        <v>841</v>
      </c>
      <c r="J5821" s="4" t="s">
        <v>765</v>
      </c>
    </row>
    <row r="5822" spans="1:10" hidden="1">
      <c r="A5822" s="4">
        <v>2.0210128122E+17</v>
      </c>
      <c r="B5822" s="4">
        <v>8805700448</v>
      </c>
      <c r="C5822" s="4" t="s">
        <v>840</v>
      </c>
      <c r="D5822" s="4">
        <v>28122</v>
      </c>
      <c r="E5822" s="4">
        <v>20210129</v>
      </c>
      <c r="F5822" s="4">
        <v>20210129</v>
      </c>
      <c r="G5822" s="4">
        <v>20240129</v>
      </c>
      <c r="H5822" s="4" t="s">
        <v>839</v>
      </c>
      <c r="I5822" s="4" t="s">
        <v>838</v>
      </c>
      <c r="J5822" s="4" t="s">
        <v>837</v>
      </c>
    </row>
    <row r="5823" spans="1:10" hidden="1">
      <c r="A5823" s="4">
        <v>2.0210125932E+17</v>
      </c>
      <c r="B5823" s="4">
        <v>5972300842</v>
      </c>
      <c r="C5823" s="4" t="s">
        <v>836</v>
      </c>
      <c r="D5823" s="4">
        <v>25932</v>
      </c>
      <c r="E5823" s="4">
        <v>20210129</v>
      </c>
      <c r="F5823" s="4">
        <v>20210129</v>
      </c>
      <c r="G5823" s="4">
        <v>20240129</v>
      </c>
      <c r="H5823" s="4" t="s">
        <v>835</v>
      </c>
      <c r="I5823" s="4" t="s">
        <v>834</v>
      </c>
      <c r="J5823" s="4" t="s">
        <v>246</v>
      </c>
    </row>
    <row r="5824" spans="1:10" hidden="1">
      <c r="A5824" s="4">
        <v>2.0210146329E+17</v>
      </c>
      <c r="B5824" s="4">
        <v>2968101763</v>
      </c>
      <c r="C5824" s="4" t="s">
        <v>833</v>
      </c>
      <c r="D5824" s="4">
        <v>46329</v>
      </c>
      <c r="E5824" s="4">
        <v>20210129</v>
      </c>
      <c r="F5824" s="4">
        <v>20210129</v>
      </c>
      <c r="G5824" s="4">
        <v>20240129</v>
      </c>
      <c r="H5824" s="4" t="s">
        <v>832</v>
      </c>
      <c r="I5824" s="4" t="s">
        <v>831</v>
      </c>
      <c r="J5824" s="4" t="s">
        <v>830</v>
      </c>
    </row>
    <row r="5825" spans="1:10" hidden="1">
      <c r="A5825" s="4">
        <v>2.0210125932E+17</v>
      </c>
      <c r="B5825" s="4">
        <v>5948600324</v>
      </c>
      <c r="C5825" s="4" t="s">
        <v>829</v>
      </c>
      <c r="D5825" s="4">
        <v>25932</v>
      </c>
      <c r="E5825" s="4">
        <v>20210129</v>
      </c>
      <c r="F5825" s="4">
        <v>20210129</v>
      </c>
      <c r="G5825" s="4">
        <v>20221028</v>
      </c>
      <c r="H5825" s="4" t="s">
        <v>828</v>
      </c>
      <c r="I5825" s="4" t="s">
        <v>827</v>
      </c>
      <c r="J5825" s="4" t="s">
        <v>246</v>
      </c>
    </row>
    <row r="5826" spans="1:10" hidden="1">
      <c r="A5826" s="4">
        <v>2.0210118122E+17</v>
      </c>
      <c r="B5826" s="4">
        <v>8028701333</v>
      </c>
      <c r="C5826" s="4" t="s">
        <v>826</v>
      </c>
      <c r="D5826" s="4">
        <v>18122</v>
      </c>
      <c r="E5826" s="4">
        <v>20210129</v>
      </c>
      <c r="F5826" s="4">
        <v>20210129</v>
      </c>
      <c r="G5826" s="4">
        <v>20240129</v>
      </c>
      <c r="H5826" s="4" t="s">
        <v>825</v>
      </c>
      <c r="I5826" s="4" t="s">
        <v>824</v>
      </c>
      <c r="J5826" s="4" t="s">
        <v>823</v>
      </c>
    </row>
    <row r="5827" spans="1:10" hidden="1">
      <c r="A5827" s="4">
        <v>2.0210171531E+17</v>
      </c>
      <c r="B5827" s="4">
        <v>4083078451</v>
      </c>
      <c r="C5827" s="4" t="s">
        <v>822</v>
      </c>
      <c r="D5827" s="4">
        <v>71531</v>
      </c>
      <c r="E5827" s="4">
        <v>20210129</v>
      </c>
      <c r="F5827" s="4">
        <v>20210129</v>
      </c>
      <c r="G5827" s="4">
        <v>20240129</v>
      </c>
      <c r="H5827" s="4" t="s">
        <v>821</v>
      </c>
      <c r="J5827" s="4" t="s">
        <v>87</v>
      </c>
    </row>
    <row r="5828" spans="1:10" hidden="1">
      <c r="A5828" s="4">
        <v>2.0210125119E+17</v>
      </c>
      <c r="B5828" s="4">
        <v>8262500856</v>
      </c>
      <c r="C5828" s="4" t="s">
        <v>820</v>
      </c>
      <c r="D5828" s="4">
        <v>25119</v>
      </c>
      <c r="E5828" s="4">
        <v>20210129</v>
      </c>
      <c r="F5828" s="4">
        <v>20210129</v>
      </c>
      <c r="G5828" s="4">
        <v>20240129</v>
      </c>
      <c r="H5828" s="4" t="s">
        <v>774</v>
      </c>
      <c r="I5828" s="4" t="s">
        <v>773</v>
      </c>
      <c r="J5828" s="4" t="s">
        <v>679</v>
      </c>
    </row>
    <row r="5829" spans="1:10">
      <c r="A5829" s="4">
        <v>2.0210218119E+17</v>
      </c>
      <c r="B5829" s="4">
        <v>5421701291</v>
      </c>
      <c r="C5829" s="4" t="s">
        <v>1795</v>
      </c>
      <c r="D5829" s="4">
        <v>18119</v>
      </c>
      <c r="E5829" s="4">
        <v>20210216</v>
      </c>
      <c r="F5829" s="4">
        <v>20210216</v>
      </c>
      <c r="G5829" s="4">
        <v>20240216</v>
      </c>
      <c r="H5829" s="4" t="s">
        <v>1794</v>
      </c>
      <c r="I5829" s="4" t="s">
        <v>239</v>
      </c>
      <c r="J5829" s="4" t="s">
        <v>707</v>
      </c>
    </row>
    <row r="5830" spans="1:10" hidden="1">
      <c r="A5830" s="4">
        <v>2.0210158113E+17</v>
      </c>
      <c r="B5830" s="4">
        <v>4874200468</v>
      </c>
      <c r="C5830" s="4" t="s">
        <v>815</v>
      </c>
      <c r="D5830" s="4">
        <v>58113</v>
      </c>
      <c r="E5830" s="4">
        <v>20210128</v>
      </c>
      <c r="F5830" s="4">
        <v>20210128</v>
      </c>
      <c r="G5830" s="4">
        <v>20240128</v>
      </c>
      <c r="H5830" s="4" t="s">
        <v>583</v>
      </c>
      <c r="I5830" s="4" t="s">
        <v>814</v>
      </c>
      <c r="J5830" s="4" t="s">
        <v>512</v>
      </c>
    </row>
    <row r="5831" spans="1:10" hidden="1">
      <c r="A5831" s="4">
        <v>2.0210147911E+17</v>
      </c>
      <c r="B5831" s="4">
        <v>5460701843</v>
      </c>
      <c r="C5831" s="4" t="s">
        <v>813</v>
      </c>
      <c r="D5831" s="4">
        <v>47911</v>
      </c>
      <c r="E5831" s="4">
        <v>20210128</v>
      </c>
      <c r="F5831" s="4">
        <v>20210128</v>
      </c>
      <c r="G5831" s="4">
        <v>20240128</v>
      </c>
      <c r="H5831" s="4" t="s">
        <v>812</v>
      </c>
      <c r="I5831" s="4" t="s">
        <v>811</v>
      </c>
      <c r="J5831" s="4" t="s">
        <v>440</v>
      </c>
    </row>
    <row r="5832" spans="1:10" hidden="1">
      <c r="A5832" s="4">
        <v>2.02101213E+17</v>
      </c>
      <c r="B5832" s="4">
        <v>5931601287</v>
      </c>
      <c r="C5832" s="4" t="s">
        <v>810</v>
      </c>
      <c r="D5832" s="4">
        <v>21300</v>
      </c>
      <c r="E5832" s="4">
        <v>20210128</v>
      </c>
      <c r="F5832" s="4">
        <v>20210128</v>
      </c>
      <c r="G5832" s="4">
        <v>20240128</v>
      </c>
      <c r="H5832" s="4" t="s">
        <v>809</v>
      </c>
      <c r="I5832" s="4" t="s">
        <v>808</v>
      </c>
      <c r="J5832" s="4" t="s">
        <v>530</v>
      </c>
    </row>
    <row r="5833" spans="1:10" hidden="1">
      <c r="A5833" s="4">
        <v>2.0210113229E+17</v>
      </c>
      <c r="B5833" s="4">
        <v>4428101992</v>
      </c>
      <c r="C5833" s="4" t="s">
        <v>807</v>
      </c>
      <c r="D5833" s="4">
        <v>13229</v>
      </c>
      <c r="E5833" s="4">
        <v>20210128</v>
      </c>
      <c r="F5833" s="4">
        <v>20210128</v>
      </c>
      <c r="G5833" s="4">
        <v>20240128</v>
      </c>
      <c r="H5833" s="4" t="s">
        <v>806</v>
      </c>
      <c r="I5833" s="4" t="s">
        <v>805</v>
      </c>
      <c r="J5833" s="4" t="s">
        <v>115</v>
      </c>
    </row>
    <row r="5834" spans="1:10" hidden="1">
      <c r="A5834" s="4">
        <v>2.0210125119E+17</v>
      </c>
      <c r="B5834" s="4">
        <v>4148800304</v>
      </c>
      <c r="C5834" s="4" t="s">
        <v>804</v>
      </c>
      <c r="D5834" s="4">
        <v>25119</v>
      </c>
      <c r="E5834" s="4">
        <v>20210128</v>
      </c>
      <c r="F5834" s="4">
        <v>20210128</v>
      </c>
      <c r="G5834" s="4">
        <v>20230325</v>
      </c>
      <c r="H5834" s="4" t="s">
        <v>803</v>
      </c>
      <c r="J5834" s="4" t="s">
        <v>679</v>
      </c>
    </row>
    <row r="5835" spans="1:10" hidden="1">
      <c r="A5835" s="4">
        <v>2.0210173909E+17</v>
      </c>
      <c r="B5835" s="4">
        <v>6684600648</v>
      </c>
      <c r="C5835" s="4" t="s">
        <v>802</v>
      </c>
      <c r="D5835" s="4">
        <v>73909</v>
      </c>
      <c r="E5835" s="4">
        <v>20210128</v>
      </c>
      <c r="F5835" s="4">
        <v>20210128</v>
      </c>
      <c r="G5835" s="4">
        <v>20240128</v>
      </c>
      <c r="H5835" s="4" t="s">
        <v>801</v>
      </c>
      <c r="J5835" s="4" t="s">
        <v>293</v>
      </c>
    </row>
    <row r="5836" spans="1:10" hidden="1">
      <c r="A5836" s="4">
        <v>2.0210129299E+17</v>
      </c>
      <c r="B5836" s="4">
        <v>8748101563</v>
      </c>
      <c r="C5836" s="4" t="s">
        <v>800</v>
      </c>
      <c r="D5836" s="4">
        <v>29299</v>
      </c>
      <c r="E5836" s="4">
        <v>20210128</v>
      </c>
      <c r="F5836" s="4">
        <v>20210128</v>
      </c>
      <c r="G5836" s="4">
        <v>20240128</v>
      </c>
      <c r="H5836" s="4" t="s">
        <v>799</v>
      </c>
      <c r="I5836" s="4" t="s">
        <v>149</v>
      </c>
      <c r="J5836" s="4" t="s">
        <v>137</v>
      </c>
    </row>
    <row r="5837" spans="1:10" hidden="1">
      <c r="A5837" s="4">
        <v>2.021016201E+17</v>
      </c>
      <c r="B5837" s="4">
        <v>4428701126</v>
      </c>
      <c r="C5837" s="4" t="s">
        <v>798</v>
      </c>
      <c r="D5837" s="4">
        <v>62010</v>
      </c>
      <c r="E5837" s="4">
        <v>20210128</v>
      </c>
      <c r="F5837" s="4">
        <v>20210128</v>
      </c>
      <c r="G5837" s="4">
        <v>20240128</v>
      </c>
      <c r="H5837" s="4" t="s">
        <v>797</v>
      </c>
      <c r="I5837" s="4" t="s">
        <v>796</v>
      </c>
      <c r="J5837" s="4" t="s">
        <v>118</v>
      </c>
    </row>
    <row r="5838" spans="1:10" hidden="1">
      <c r="A5838" s="4">
        <v>2.0210129199E+17</v>
      </c>
      <c r="B5838" s="4">
        <v>5068602117</v>
      </c>
      <c r="C5838" s="4" t="s">
        <v>795</v>
      </c>
      <c r="D5838" s="4">
        <v>29199</v>
      </c>
      <c r="E5838" s="4">
        <v>20210128</v>
      </c>
      <c r="F5838" s="4">
        <v>20210128</v>
      </c>
      <c r="G5838" s="4">
        <v>20240128</v>
      </c>
      <c r="H5838" s="4" t="s">
        <v>794</v>
      </c>
      <c r="I5838" s="4" t="s">
        <v>793</v>
      </c>
      <c r="J5838" s="4" t="s">
        <v>166</v>
      </c>
    </row>
    <row r="5839" spans="1:10" hidden="1">
      <c r="A5839" s="4">
        <v>2.0210128903E+17</v>
      </c>
      <c r="B5839" s="4">
        <v>5668100931</v>
      </c>
      <c r="C5839" s="4" t="s">
        <v>792</v>
      </c>
      <c r="D5839" s="4">
        <v>28903</v>
      </c>
      <c r="E5839" s="4">
        <v>20210128</v>
      </c>
      <c r="F5839" s="4">
        <v>20210128</v>
      </c>
      <c r="G5839" s="4">
        <v>20240128</v>
      </c>
      <c r="H5839" s="4" t="s">
        <v>791</v>
      </c>
      <c r="J5839" s="4" t="s">
        <v>460</v>
      </c>
    </row>
    <row r="5840" spans="1:10">
      <c r="A5840" s="4">
        <v>2.0210758190000602E+17</v>
      </c>
      <c r="B5840" s="4">
        <v>5112800673</v>
      </c>
      <c r="C5840" s="4" t="s">
        <v>14641</v>
      </c>
      <c r="D5840" s="4">
        <v>58190</v>
      </c>
      <c r="E5840" s="4">
        <v>20210707</v>
      </c>
      <c r="F5840" s="4">
        <v>20210707</v>
      </c>
      <c r="G5840" s="4">
        <v>20240707</v>
      </c>
      <c r="H5840" s="4" t="s">
        <v>14640</v>
      </c>
      <c r="I5840" s="4" t="s">
        <v>14639</v>
      </c>
      <c r="J5840" s="4" t="s">
        <v>196</v>
      </c>
    </row>
    <row r="5841" spans="1:10" hidden="1">
      <c r="A5841" s="4">
        <v>2.0210158222E+17</v>
      </c>
      <c r="B5841" s="4">
        <v>3968801612</v>
      </c>
      <c r="C5841" s="4" t="s">
        <v>788</v>
      </c>
      <c r="D5841" s="4">
        <v>58222</v>
      </c>
      <c r="E5841" s="4">
        <v>20210127</v>
      </c>
      <c r="F5841" s="4">
        <v>20210127</v>
      </c>
      <c r="G5841" s="4">
        <v>20240127</v>
      </c>
      <c r="H5841" s="4" t="s">
        <v>787</v>
      </c>
      <c r="I5841" s="4" t="s">
        <v>786</v>
      </c>
      <c r="J5841" s="4" t="s">
        <v>94</v>
      </c>
    </row>
    <row r="5842" spans="1:10" hidden="1">
      <c r="A5842" s="4">
        <v>2.0210113229E+17</v>
      </c>
      <c r="B5842" s="4">
        <v>7488701780</v>
      </c>
      <c r="C5842" s="4" t="s">
        <v>785</v>
      </c>
      <c r="D5842" s="4">
        <v>13229</v>
      </c>
      <c r="E5842" s="4">
        <v>20210127</v>
      </c>
      <c r="F5842" s="4">
        <v>20210127</v>
      </c>
      <c r="G5842" s="4">
        <v>20240127</v>
      </c>
      <c r="H5842" s="4" t="s">
        <v>784</v>
      </c>
      <c r="I5842" s="4" t="s">
        <v>783</v>
      </c>
      <c r="J5842" s="4" t="s">
        <v>115</v>
      </c>
    </row>
    <row r="5843" spans="1:10" hidden="1">
      <c r="A5843" s="4">
        <v>2.0210133999E+17</v>
      </c>
      <c r="B5843" s="4">
        <v>7830601372</v>
      </c>
      <c r="C5843" s="4" t="s">
        <v>782</v>
      </c>
      <c r="D5843" s="4">
        <v>33999</v>
      </c>
      <c r="E5843" s="4">
        <v>20210127</v>
      </c>
      <c r="F5843" s="4">
        <v>20210127</v>
      </c>
      <c r="G5843" s="4">
        <v>20240127</v>
      </c>
      <c r="H5843" s="4" t="s">
        <v>781</v>
      </c>
      <c r="J5843" s="4" t="s">
        <v>780</v>
      </c>
    </row>
    <row r="5844" spans="1:10" hidden="1">
      <c r="A5844" s="4">
        <v>2.0210162022E+17</v>
      </c>
      <c r="B5844" s="4">
        <v>5716700335</v>
      </c>
      <c r="C5844" s="4" t="s">
        <v>779</v>
      </c>
      <c r="D5844" s="4">
        <v>62022</v>
      </c>
      <c r="E5844" s="4">
        <v>20210127</v>
      </c>
      <c r="F5844" s="4">
        <v>20210127</v>
      </c>
      <c r="G5844" s="4">
        <v>20240127</v>
      </c>
      <c r="H5844" s="4" t="s">
        <v>778</v>
      </c>
      <c r="I5844" s="4" t="s">
        <v>777</v>
      </c>
      <c r="J5844" s="4" t="s">
        <v>776</v>
      </c>
    </row>
    <row r="5845" spans="1:10" hidden="1">
      <c r="A5845" s="4">
        <v>2.0210142131E+17</v>
      </c>
      <c r="B5845" s="4">
        <v>5203800545</v>
      </c>
      <c r="C5845" s="4" t="s">
        <v>775</v>
      </c>
      <c r="D5845" s="4">
        <v>42131</v>
      </c>
      <c r="E5845" s="4">
        <v>20210127</v>
      </c>
      <c r="F5845" s="4">
        <v>20210127</v>
      </c>
      <c r="G5845" s="4">
        <v>20240127</v>
      </c>
      <c r="H5845" s="4" t="s">
        <v>774</v>
      </c>
      <c r="I5845" s="4" t="s">
        <v>773</v>
      </c>
      <c r="J5845" s="4" t="s">
        <v>772</v>
      </c>
    </row>
    <row r="5846" spans="1:10">
      <c r="A5846" s="4">
        <v>2.0210618111000499E+17</v>
      </c>
      <c r="B5846" s="4">
        <v>5873600864</v>
      </c>
      <c r="C5846" s="4" t="s">
        <v>12767</v>
      </c>
      <c r="D5846" s="4">
        <v>18111</v>
      </c>
      <c r="E5846" s="4">
        <v>20210623</v>
      </c>
      <c r="F5846" s="4">
        <v>20210623</v>
      </c>
      <c r="G5846" s="4">
        <v>20240623</v>
      </c>
      <c r="H5846" s="4" t="s">
        <v>12766</v>
      </c>
      <c r="I5846" s="4" t="s">
        <v>12765</v>
      </c>
      <c r="J5846" s="4" t="s">
        <v>662</v>
      </c>
    </row>
    <row r="5847" spans="1:10" hidden="1">
      <c r="A5847" s="4">
        <v>2.0210128429E+17</v>
      </c>
      <c r="B5847" s="4">
        <v>3378800588</v>
      </c>
      <c r="C5847" s="4" t="s">
        <v>768</v>
      </c>
      <c r="D5847" s="4">
        <v>28429</v>
      </c>
      <c r="E5847" s="4">
        <v>20210127</v>
      </c>
      <c r="F5847" s="4">
        <v>20210127</v>
      </c>
      <c r="G5847" s="4">
        <v>20231014</v>
      </c>
      <c r="H5847" s="4" t="s">
        <v>767</v>
      </c>
      <c r="I5847" s="4" t="s">
        <v>766</v>
      </c>
      <c r="J5847" s="4" t="s">
        <v>765</v>
      </c>
    </row>
    <row r="5848" spans="1:10" hidden="1">
      <c r="A5848" s="4">
        <v>2.0210125111E+17</v>
      </c>
      <c r="B5848" s="4">
        <v>3378601303</v>
      </c>
      <c r="C5848" s="4" t="s">
        <v>764</v>
      </c>
      <c r="D5848" s="4">
        <v>25111</v>
      </c>
      <c r="E5848" s="4">
        <v>20210127</v>
      </c>
      <c r="F5848" s="4">
        <v>20210127</v>
      </c>
      <c r="G5848" s="4">
        <v>20240127</v>
      </c>
      <c r="H5848" s="4" t="s">
        <v>763</v>
      </c>
      <c r="I5848" s="4" t="s">
        <v>762</v>
      </c>
      <c r="J5848" s="4" t="s">
        <v>82</v>
      </c>
    </row>
    <row r="5849" spans="1:10" hidden="1">
      <c r="A5849" s="4">
        <v>2.02101425E+17</v>
      </c>
      <c r="B5849" s="4">
        <v>2093065572</v>
      </c>
      <c r="C5849" s="4" t="s">
        <v>761</v>
      </c>
      <c r="D5849" s="4">
        <v>42500</v>
      </c>
      <c r="E5849" s="4">
        <v>20210126</v>
      </c>
      <c r="F5849" s="4">
        <v>20210126</v>
      </c>
      <c r="G5849" s="4">
        <v>20240126</v>
      </c>
      <c r="H5849" s="4" t="s">
        <v>760</v>
      </c>
      <c r="J5849" s="4" t="s">
        <v>740</v>
      </c>
    </row>
    <row r="5850" spans="1:10" hidden="1">
      <c r="A5850" s="4">
        <v>2.0210125924E+17</v>
      </c>
      <c r="B5850" s="4">
        <v>4674300461</v>
      </c>
      <c r="C5850" s="4" t="s">
        <v>759</v>
      </c>
      <c r="D5850" s="4">
        <v>25924</v>
      </c>
      <c r="E5850" s="4">
        <v>20210126</v>
      </c>
      <c r="F5850" s="4">
        <v>20210126</v>
      </c>
      <c r="G5850" s="4">
        <v>20240126</v>
      </c>
      <c r="H5850" s="4" t="s">
        <v>758</v>
      </c>
      <c r="J5850" s="4" t="s">
        <v>757</v>
      </c>
    </row>
    <row r="5851" spans="1:10" hidden="1">
      <c r="A5851" s="4">
        <v>2.0210173203E+17</v>
      </c>
      <c r="B5851" s="4">
        <v>5848602043</v>
      </c>
      <c r="C5851" s="4" t="s">
        <v>756</v>
      </c>
      <c r="D5851" s="4">
        <v>73203</v>
      </c>
      <c r="E5851" s="4">
        <v>20210126</v>
      </c>
      <c r="F5851" s="4">
        <v>20210126</v>
      </c>
      <c r="G5851" s="4">
        <v>20240126</v>
      </c>
      <c r="H5851" s="4" t="s">
        <v>755</v>
      </c>
      <c r="I5851" s="4" t="s">
        <v>754</v>
      </c>
      <c r="J5851" s="4" t="s">
        <v>260</v>
      </c>
    </row>
    <row r="5852" spans="1:10" hidden="1">
      <c r="A5852" s="4">
        <v>2.0210129175E+17</v>
      </c>
      <c r="B5852" s="4">
        <v>8552900769</v>
      </c>
      <c r="C5852" s="4" t="s">
        <v>753</v>
      </c>
      <c r="D5852" s="4">
        <v>29175</v>
      </c>
      <c r="E5852" s="4">
        <v>20210126</v>
      </c>
      <c r="F5852" s="4">
        <v>20210126</v>
      </c>
      <c r="G5852" s="4">
        <v>20240126</v>
      </c>
      <c r="H5852" s="4" t="s">
        <v>752</v>
      </c>
      <c r="J5852" s="4" t="s">
        <v>232</v>
      </c>
    </row>
    <row r="5853" spans="1:10" hidden="1">
      <c r="A5853" s="4">
        <v>2.0210131312E+17</v>
      </c>
      <c r="B5853" s="4">
        <v>1062166756</v>
      </c>
      <c r="C5853" s="4" t="s">
        <v>751</v>
      </c>
      <c r="D5853" s="4">
        <v>31312</v>
      </c>
      <c r="E5853" s="4">
        <v>20210126</v>
      </c>
      <c r="F5853" s="4">
        <v>20210126</v>
      </c>
      <c r="G5853" s="4">
        <v>20230223</v>
      </c>
      <c r="H5853" s="4" t="s">
        <v>750</v>
      </c>
      <c r="I5853" s="4" t="s">
        <v>749</v>
      </c>
      <c r="J5853" s="4" t="s">
        <v>748</v>
      </c>
    </row>
    <row r="5854" spans="1:10" hidden="1">
      <c r="A5854" s="4">
        <v>2.021013312E+17</v>
      </c>
      <c r="B5854" s="4">
        <v>7373600794</v>
      </c>
      <c r="C5854" s="4" t="s">
        <v>747</v>
      </c>
      <c r="D5854" s="4">
        <v>33120</v>
      </c>
      <c r="E5854" s="4">
        <v>20210126</v>
      </c>
      <c r="F5854" s="4">
        <v>20210126</v>
      </c>
      <c r="G5854" s="4">
        <v>20240126</v>
      </c>
      <c r="H5854" s="4" t="s">
        <v>746</v>
      </c>
      <c r="I5854" s="4" t="s">
        <v>175</v>
      </c>
      <c r="J5854" s="4" t="s">
        <v>145</v>
      </c>
    </row>
    <row r="5855" spans="1:10" hidden="1">
      <c r="A5855" s="4">
        <v>2.0210158222E+17</v>
      </c>
      <c r="B5855" s="4">
        <v>5387900267</v>
      </c>
      <c r="C5855" s="4" t="s">
        <v>745</v>
      </c>
      <c r="D5855" s="4">
        <v>58222</v>
      </c>
      <c r="E5855" s="4">
        <v>20210126</v>
      </c>
      <c r="F5855" s="4">
        <v>20210126</v>
      </c>
      <c r="G5855" s="4">
        <v>20240126</v>
      </c>
      <c r="H5855" s="4" t="s">
        <v>744</v>
      </c>
      <c r="I5855" s="4" t="s">
        <v>743</v>
      </c>
      <c r="J5855" s="4" t="s">
        <v>94</v>
      </c>
    </row>
    <row r="5856" spans="1:10" hidden="1">
      <c r="A5856" s="4">
        <v>2.02101425E+17</v>
      </c>
      <c r="B5856" s="4">
        <v>1638600760</v>
      </c>
      <c r="C5856" s="4" t="s">
        <v>742</v>
      </c>
      <c r="D5856" s="4">
        <v>42500</v>
      </c>
      <c r="E5856" s="4">
        <v>20210126</v>
      </c>
      <c r="F5856" s="4">
        <v>20210126</v>
      </c>
      <c r="G5856" s="4">
        <v>20240126</v>
      </c>
      <c r="H5856" s="4" t="s">
        <v>741</v>
      </c>
      <c r="I5856" s="4" t="s">
        <v>149</v>
      </c>
      <c r="J5856" s="4" t="s">
        <v>740</v>
      </c>
    </row>
    <row r="5857" spans="1:10" hidden="1">
      <c r="A5857" s="4">
        <v>2.0210132029E+17</v>
      </c>
      <c r="B5857" s="4">
        <v>3521400494</v>
      </c>
      <c r="C5857" s="4" t="s">
        <v>739</v>
      </c>
      <c r="D5857" s="4">
        <v>32029</v>
      </c>
      <c r="E5857" s="4">
        <v>20210126</v>
      </c>
      <c r="F5857" s="4">
        <v>20210126</v>
      </c>
      <c r="G5857" s="4">
        <v>20240126</v>
      </c>
      <c r="H5857" s="4" t="s">
        <v>738</v>
      </c>
      <c r="I5857" s="4" t="s">
        <v>737</v>
      </c>
      <c r="J5857" s="4" t="s">
        <v>637</v>
      </c>
    </row>
    <row r="5858" spans="1:10" hidden="1">
      <c r="A5858" s="4">
        <v>2.0210127215E+17</v>
      </c>
      <c r="B5858" s="4">
        <v>6318801010</v>
      </c>
      <c r="C5858" s="4" t="s">
        <v>736</v>
      </c>
      <c r="D5858" s="4">
        <v>27215</v>
      </c>
      <c r="E5858" s="4">
        <v>20210126</v>
      </c>
      <c r="F5858" s="4">
        <v>20210126</v>
      </c>
      <c r="G5858" s="4">
        <v>20240126</v>
      </c>
      <c r="H5858" s="4" t="s">
        <v>735</v>
      </c>
      <c r="J5858" s="4" t="s">
        <v>734</v>
      </c>
    </row>
    <row r="5859" spans="1:10" hidden="1">
      <c r="A5859" s="4">
        <v>2.0210128422E+17</v>
      </c>
      <c r="B5859" s="4">
        <v>8468801548</v>
      </c>
      <c r="C5859" s="4" t="s">
        <v>733</v>
      </c>
      <c r="D5859" s="4">
        <v>28422</v>
      </c>
      <c r="E5859" s="4">
        <v>20210126</v>
      </c>
      <c r="F5859" s="4">
        <v>20210126</v>
      </c>
      <c r="G5859" s="4">
        <v>20240126</v>
      </c>
      <c r="H5859" s="4" t="s">
        <v>732</v>
      </c>
      <c r="J5859" s="4" t="s">
        <v>188</v>
      </c>
    </row>
    <row r="5860" spans="1:10" hidden="1">
      <c r="A5860" s="4">
        <v>2.0210147591E+17</v>
      </c>
      <c r="B5860" s="4">
        <v>3358801484</v>
      </c>
      <c r="C5860" s="4" t="s">
        <v>731</v>
      </c>
      <c r="D5860" s="4">
        <v>47591</v>
      </c>
      <c r="E5860" s="4">
        <v>20210126</v>
      </c>
      <c r="F5860" s="4">
        <v>20210126</v>
      </c>
      <c r="G5860" s="4">
        <v>20240126</v>
      </c>
      <c r="H5860" s="4" t="s">
        <v>730</v>
      </c>
      <c r="J5860" s="4" t="s">
        <v>476</v>
      </c>
    </row>
    <row r="5861" spans="1:10">
      <c r="A5861" s="4">
        <v>2.0210617122000499E+17</v>
      </c>
      <c r="B5861" s="4">
        <v>8530301383</v>
      </c>
      <c r="C5861" s="4" t="s">
        <v>12925</v>
      </c>
      <c r="D5861" s="4">
        <v>17122</v>
      </c>
      <c r="E5861" s="4">
        <v>20210625</v>
      </c>
      <c r="F5861" s="4">
        <v>20210625</v>
      </c>
      <c r="G5861" s="4">
        <v>20240625</v>
      </c>
      <c r="H5861" s="4" t="s">
        <v>12924</v>
      </c>
      <c r="I5861" s="4" t="s">
        <v>12923</v>
      </c>
      <c r="J5861" s="4" t="s">
        <v>5437</v>
      </c>
    </row>
    <row r="5862" spans="1:10" hidden="1">
      <c r="A5862" s="4">
        <v>2.0210158221E+17</v>
      </c>
      <c r="B5862" s="4">
        <v>3078148563</v>
      </c>
      <c r="C5862" s="4" t="s">
        <v>726</v>
      </c>
      <c r="D5862" s="4">
        <v>58221</v>
      </c>
      <c r="E5862" s="4">
        <v>20210126</v>
      </c>
      <c r="F5862" s="4">
        <v>20210126</v>
      </c>
      <c r="G5862" s="4">
        <v>20220114</v>
      </c>
      <c r="H5862" s="4" t="s">
        <v>725</v>
      </c>
      <c r="I5862" s="4" t="s">
        <v>724</v>
      </c>
      <c r="J5862" s="4" t="s">
        <v>228</v>
      </c>
    </row>
    <row r="5863" spans="1:10" hidden="1">
      <c r="A5863" s="4">
        <v>2.0210129193E+17</v>
      </c>
      <c r="B5863" s="4">
        <v>2198800602</v>
      </c>
      <c r="C5863" s="4" t="s">
        <v>723</v>
      </c>
      <c r="D5863" s="4">
        <v>29193</v>
      </c>
      <c r="E5863" s="4">
        <v>20210126</v>
      </c>
      <c r="F5863" s="4">
        <v>20210126</v>
      </c>
      <c r="G5863" s="4">
        <v>20231209</v>
      </c>
      <c r="H5863" s="4" t="s">
        <v>722</v>
      </c>
      <c r="J5863" s="4" t="s">
        <v>721</v>
      </c>
    </row>
    <row r="5864" spans="1:10" hidden="1">
      <c r="A5864" s="4">
        <v>2.0210142311E+17</v>
      </c>
      <c r="B5864" s="4">
        <v>3528700580</v>
      </c>
      <c r="C5864" s="4" t="s">
        <v>720</v>
      </c>
      <c r="D5864" s="4">
        <v>42311</v>
      </c>
      <c r="E5864" s="4">
        <v>20210125</v>
      </c>
      <c r="F5864" s="4">
        <v>20210125</v>
      </c>
      <c r="G5864" s="4">
        <v>20231129</v>
      </c>
      <c r="H5864" s="4" t="s">
        <v>194</v>
      </c>
      <c r="I5864" s="4" t="s">
        <v>719</v>
      </c>
      <c r="J5864" s="4" t="s">
        <v>718</v>
      </c>
    </row>
    <row r="5865" spans="1:10" hidden="1">
      <c r="A5865" s="4">
        <v>2.0210110713E+17</v>
      </c>
      <c r="B5865" s="4">
        <v>3418800966</v>
      </c>
      <c r="C5865" s="4" t="s">
        <v>717</v>
      </c>
      <c r="D5865" s="4">
        <v>10713</v>
      </c>
      <c r="E5865" s="4">
        <v>20210125</v>
      </c>
      <c r="F5865" s="4">
        <v>20210125</v>
      </c>
      <c r="G5865" s="4">
        <v>20240125</v>
      </c>
      <c r="H5865" s="4" t="s">
        <v>716</v>
      </c>
      <c r="J5865" s="4" t="s">
        <v>715</v>
      </c>
    </row>
    <row r="5866" spans="1:10" hidden="1">
      <c r="A5866" s="4">
        <v>2.0210158221E+17</v>
      </c>
      <c r="B5866" s="4">
        <v>5450301352</v>
      </c>
      <c r="C5866" s="4" t="s">
        <v>714</v>
      </c>
      <c r="D5866" s="4">
        <v>58221</v>
      </c>
      <c r="E5866" s="4">
        <v>20210125</v>
      </c>
      <c r="F5866" s="4">
        <v>20210125</v>
      </c>
      <c r="G5866" s="4">
        <v>20240125</v>
      </c>
      <c r="H5866" s="4" t="s">
        <v>713</v>
      </c>
      <c r="I5866" s="4" t="s">
        <v>712</v>
      </c>
      <c r="J5866" s="4" t="s">
        <v>228</v>
      </c>
    </row>
    <row r="5867" spans="1:10" hidden="1">
      <c r="A5867" s="4">
        <v>2.0210120423E+17</v>
      </c>
      <c r="B5867" s="4">
        <v>2160520469</v>
      </c>
      <c r="C5867" s="4" t="s">
        <v>711</v>
      </c>
      <c r="D5867" s="4">
        <v>20423</v>
      </c>
      <c r="E5867" s="4">
        <v>20210125</v>
      </c>
      <c r="F5867" s="4">
        <v>20210125</v>
      </c>
      <c r="G5867" s="4">
        <v>20240125</v>
      </c>
      <c r="H5867" s="4" t="s">
        <v>449</v>
      </c>
      <c r="I5867" s="4" t="s">
        <v>710</v>
      </c>
      <c r="J5867" s="4" t="s">
        <v>368</v>
      </c>
    </row>
    <row r="5868" spans="1:10">
      <c r="A5868" s="4">
        <v>2.0210458190000198E+17</v>
      </c>
      <c r="B5868" s="4">
        <v>8978101227</v>
      </c>
      <c r="C5868" s="4" t="s">
        <v>7202</v>
      </c>
      <c r="D5868" s="4">
        <v>58190</v>
      </c>
      <c r="E5868" s="4">
        <v>20210422</v>
      </c>
      <c r="F5868" s="4">
        <v>20210422</v>
      </c>
      <c r="G5868" s="4">
        <v>20240422</v>
      </c>
      <c r="H5868" s="4" t="s">
        <v>7201</v>
      </c>
      <c r="J5868" s="4" t="s">
        <v>196</v>
      </c>
    </row>
    <row r="5869" spans="1:10" hidden="1">
      <c r="A5869" s="4">
        <v>2.0210132029E+17</v>
      </c>
      <c r="B5869" s="4">
        <v>8962600565</v>
      </c>
      <c r="C5869" s="4" t="s">
        <v>705</v>
      </c>
      <c r="D5869" s="4">
        <v>32029</v>
      </c>
      <c r="E5869" s="4">
        <v>20210125</v>
      </c>
      <c r="F5869" s="4">
        <v>20210125</v>
      </c>
      <c r="G5869" s="4">
        <v>20240125</v>
      </c>
      <c r="H5869" s="4" t="s">
        <v>706</v>
      </c>
      <c r="I5869" s="4" t="s">
        <v>705</v>
      </c>
      <c r="J5869" s="4" t="s">
        <v>637</v>
      </c>
    </row>
    <row r="5870" spans="1:10" hidden="1">
      <c r="A5870" s="4">
        <v>2.0210125929E+17</v>
      </c>
      <c r="B5870" s="4">
        <v>8778600535</v>
      </c>
      <c r="C5870" s="4" t="s">
        <v>704</v>
      </c>
      <c r="D5870" s="4">
        <v>25929</v>
      </c>
      <c r="E5870" s="4">
        <v>20210125</v>
      </c>
      <c r="F5870" s="4">
        <v>20210125</v>
      </c>
      <c r="G5870" s="4">
        <v>20230707</v>
      </c>
      <c r="H5870" s="4" t="s">
        <v>703</v>
      </c>
      <c r="I5870" s="4" t="s">
        <v>702</v>
      </c>
      <c r="J5870" s="4" t="s">
        <v>701</v>
      </c>
    </row>
    <row r="5871" spans="1:10" hidden="1">
      <c r="A5871" s="4">
        <v>2.0210142321E+17</v>
      </c>
      <c r="B5871" s="4">
        <v>2898101353</v>
      </c>
      <c r="C5871" s="4" t="s">
        <v>700</v>
      </c>
      <c r="D5871" s="4">
        <v>42321</v>
      </c>
      <c r="E5871" s="4">
        <v>20210125</v>
      </c>
      <c r="F5871" s="4">
        <v>20210125</v>
      </c>
      <c r="G5871" s="4">
        <v>20240125</v>
      </c>
      <c r="H5871" s="4" t="s">
        <v>699</v>
      </c>
      <c r="J5871" s="4" t="s">
        <v>698</v>
      </c>
    </row>
    <row r="5872" spans="1:10" hidden="1">
      <c r="A5872" s="4">
        <v>2.0210120411E+17</v>
      </c>
      <c r="B5872" s="4">
        <v>7098101712</v>
      </c>
      <c r="C5872" s="4" t="s">
        <v>697</v>
      </c>
      <c r="D5872" s="4">
        <v>20411</v>
      </c>
      <c r="E5872" s="4">
        <v>20210125</v>
      </c>
      <c r="F5872" s="4">
        <v>20210125</v>
      </c>
      <c r="G5872" s="4">
        <v>20240125</v>
      </c>
      <c r="H5872" s="4" t="s">
        <v>696</v>
      </c>
      <c r="I5872" s="4" t="s">
        <v>695</v>
      </c>
      <c r="J5872" s="4" t="s">
        <v>694</v>
      </c>
    </row>
    <row r="5873" spans="1:10" hidden="1">
      <c r="A5873" s="4">
        <v>2.0210122241E+17</v>
      </c>
      <c r="B5873" s="4">
        <v>3058701467</v>
      </c>
      <c r="C5873" s="4" t="s">
        <v>692</v>
      </c>
      <c r="D5873" s="4">
        <v>22241</v>
      </c>
      <c r="E5873" s="4">
        <v>20210125</v>
      </c>
      <c r="F5873" s="4">
        <v>20210125</v>
      </c>
      <c r="G5873" s="4">
        <v>20240125</v>
      </c>
      <c r="H5873" s="4" t="s">
        <v>693</v>
      </c>
      <c r="I5873" s="4" t="s">
        <v>692</v>
      </c>
      <c r="J5873" s="4" t="s">
        <v>691</v>
      </c>
    </row>
    <row r="5874" spans="1:10" hidden="1">
      <c r="A5874" s="4">
        <v>2.0210158222E+17</v>
      </c>
      <c r="B5874" s="4">
        <v>8448701996</v>
      </c>
      <c r="C5874" s="4" t="s">
        <v>690</v>
      </c>
      <c r="D5874" s="4">
        <v>58222</v>
      </c>
      <c r="E5874" s="4">
        <v>20210125</v>
      </c>
      <c r="F5874" s="4">
        <v>20210125</v>
      </c>
      <c r="G5874" s="4">
        <v>20240125</v>
      </c>
      <c r="H5874" s="4" t="s">
        <v>689</v>
      </c>
      <c r="I5874" s="4" t="s">
        <v>688</v>
      </c>
      <c r="J5874" s="4" t="s">
        <v>94</v>
      </c>
    </row>
    <row r="5875" spans="1:10" hidden="1">
      <c r="A5875" s="4">
        <v>2.0210120412E+17</v>
      </c>
      <c r="B5875" s="4">
        <v>1518701934</v>
      </c>
      <c r="C5875" s="4" t="s">
        <v>687</v>
      </c>
      <c r="D5875" s="4">
        <v>20412</v>
      </c>
      <c r="E5875" s="4">
        <v>20210125</v>
      </c>
      <c r="F5875" s="4">
        <v>20210125</v>
      </c>
      <c r="G5875" s="4">
        <v>20240125</v>
      </c>
      <c r="H5875" s="4" t="s">
        <v>686</v>
      </c>
      <c r="J5875" s="4" t="s">
        <v>685</v>
      </c>
    </row>
    <row r="5876" spans="1:10" hidden="1">
      <c r="A5876" s="4">
        <v>2.0210128121E+17</v>
      </c>
      <c r="B5876" s="4">
        <v>2938700414</v>
      </c>
      <c r="C5876" s="4" t="s">
        <v>684</v>
      </c>
      <c r="D5876" s="4">
        <v>28121</v>
      </c>
      <c r="E5876" s="4">
        <v>20210125</v>
      </c>
      <c r="F5876" s="4">
        <v>20210125</v>
      </c>
      <c r="G5876" s="4">
        <v>20230622</v>
      </c>
      <c r="H5876" s="4" t="s">
        <v>683</v>
      </c>
      <c r="J5876" s="4" t="s">
        <v>682</v>
      </c>
    </row>
    <row r="5877" spans="1:10" hidden="1">
      <c r="A5877" s="4">
        <v>2.0210125119E+17</v>
      </c>
      <c r="B5877" s="4">
        <v>4048601582</v>
      </c>
      <c r="C5877" s="4" t="s">
        <v>681</v>
      </c>
      <c r="D5877" s="4">
        <v>25119</v>
      </c>
      <c r="E5877" s="4">
        <v>20210125</v>
      </c>
      <c r="F5877" s="4">
        <v>20210125</v>
      </c>
      <c r="G5877" s="4">
        <v>20240125</v>
      </c>
      <c r="H5877" s="4" t="s">
        <v>680</v>
      </c>
      <c r="I5877" s="4">
        <v>162</v>
      </c>
      <c r="J5877" s="4" t="s">
        <v>679</v>
      </c>
    </row>
    <row r="5878" spans="1:10" hidden="1">
      <c r="A5878" s="4">
        <v>2.0210115219E+17</v>
      </c>
      <c r="B5878" s="4">
        <v>1108700142</v>
      </c>
      <c r="C5878" s="4" t="s">
        <v>678</v>
      </c>
      <c r="D5878" s="4">
        <v>15219</v>
      </c>
      <c r="E5878" s="4">
        <v>20210125</v>
      </c>
      <c r="F5878" s="4">
        <v>20210125</v>
      </c>
      <c r="G5878" s="4">
        <v>20220731</v>
      </c>
      <c r="H5878" s="4" t="s">
        <v>677</v>
      </c>
      <c r="I5878" s="4" t="s">
        <v>676</v>
      </c>
      <c r="J5878" s="4" t="s">
        <v>675</v>
      </c>
    </row>
    <row r="5879" spans="1:10" hidden="1">
      <c r="A5879" s="4">
        <v>2.0210113224E+17</v>
      </c>
      <c r="B5879" s="4">
        <v>6098625480</v>
      </c>
      <c r="C5879" s="4" t="s">
        <v>674</v>
      </c>
      <c r="D5879" s="4">
        <v>13224</v>
      </c>
      <c r="E5879" s="4">
        <v>20210125</v>
      </c>
      <c r="F5879" s="4">
        <v>20210125</v>
      </c>
      <c r="G5879" s="4">
        <v>20230808</v>
      </c>
      <c r="H5879" s="4" t="s">
        <v>673</v>
      </c>
      <c r="J5879" s="4" t="s">
        <v>672</v>
      </c>
    </row>
    <row r="5880" spans="1:10" hidden="1">
      <c r="A5880" s="4">
        <v>2.0210126519E+17</v>
      </c>
      <c r="B5880" s="4">
        <v>7758601204</v>
      </c>
      <c r="C5880" s="4" t="s">
        <v>671</v>
      </c>
      <c r="D5880" s="4">
        <v>26519</v>
      </c>
      <c r="E5880" s="4">
        <v>20210123</v>
      </c>
      <c r="F5880" s="4">
        <v>20210123</v>
      </c>
      <c r="G5880" s="4">
        <v>20240123</v>
      </c>
      <c r="H5880" s="4" t="s">
        <v>670</v>
      </c>
      <c r="I5880" s="4" t="s">
        <v>669</v>
      </c>
      <c r="J5880" s="4" t="s">
        <v>668</v>
      </c>
    </row>
    <row r="5881" spans="1:10" hidden="1">
      <c r="A5881" s="4">
        <v>2.0210158222E+17</v>
      </c>
      <c r="B5881" s="4">
        <v>2334700089</v>
      </c>
      <c r="C5881" s="4" t="s">
        <v>667</v>
      </c>
      <c r="D5881" s="4">
        <v>58222</v>
      </c>
      <c r="E5881" s="4">
        <v>20210123</v>
      </c>
      <c r="F5881" s="4">
        <v>20210123</v>
      </c>
      <c r="G5881" s="4">
        <v>20220722</v>
      </c>
      <c r="H5881" s="4" t="s">
        <v>666</v>
      </c>
      <c r="I5881" s="4" t="s">
        <v>665</v>
      </c>
      <c r="J5881" s="4" t="s">
        <v>94</v>
      </c>
    </row>
    <row r="5882" spans="1:10">
      <c r="A5882" s="4">
        <v>2.0210446453000198E+17</v>
      </c>
      <c r="B5882" s="4">
        <v>1982100388</v>
      </c>
      <c r="C5882" s="4" t="s">
        <v>7600</v>
      </c>
      <c r="D5882" s="4">
        <v>46453</v>
      </c>
      <c r="E5882" s="4">
        <v>20210426</v>
      </c>
      <c r="F5882" s="4">
        <v>20210426</v>
      </c>
      <c r="G5882" s="4">
        <v>20231114</v>
      </c>
      <c r="H5882" s="4" t="s">
        <v>7599</v>
      </c>
      <c r="I5882" s="4" t="s">
        <v>7598</v>
      </c>
      <c r="J5882" s="4" t="s">
        <v>816</v>
      </c>
    </row>
    <row r="5883" spans="1:10" hidden="1">
      <c r="A5883" s="4">
        <v>2.0210158222E+17</v>
      </c>
      <c r="B5883" s="4">
        <v>2078199383</v>
      </c>
      <c r="C5883" s="4" t="s">
        <v>661</v>
      </c>
      <c r="D5883" s="4">
        <v>58222</v>
      </c>
      <c r="E5883" s="4">
        <v>20210122</v>
      </c>
      <c r="F5883" s="4">
        <v>20210122</v>
      </c>
      <c r="G5883" s="4">
        <v>20240122</v>
      </c>
      <c r="H5883" s="4" t="s">
        <v>660</v>
      </c>
      <c r="J5883" s="4" t="s">
        <v>94</v>
      </c>
    </row>
    <row r="5884" spans="1:10" hidden="1">
      <c r="A5884" s="4">
        <v>2.0210173202E+17</v>
      </c>
      <c r="B5884" s="4">
        <v>8128700947</v>
      </c>
      <c r="C5884" s="4" t="s">
        <v>659</v>
      </c>
      <c r="D5884" s="4">
        <v>73202</v>
      </c>
      <c r="E5884" s="4">
        <v>20210122</v>
      </c>
      <c r="F5884" s="4">
        <v>20210122</v>
      </c>
      <c r="G5884" s="4">
        <v>20240122</v>
      </c>
      <c r="H5884" s="4" t="s">
        <v>658</v>
      </c>
      <c r="I5884" s="4" t="s">
        <v>657</v>
      </c>
      <c r="J5884" s="4" t="s">
        <v>605</v>
      </c>
    </row>
    <row r="5885" spans="1:10" hidden="1">
      <c r="A5885" s="4">
        <v>2.0210128422E+17</v>
      </c>
      <c r="B5885" s="4">
        <v>3728701171</v>
      </c>
      <c r="C5885" s="4" t="s">
        <v>656</v>
      </c>
      <c r="D5885" s="4">
        <v>28422</v>
      </c>
      <c r="E5885" s="4">
        <v>20210122</v>
      </c>
      <c r="F5885" s="4">
        <v>20210122</v>
      </c>
      <c r="G5885" s="4">
        <v>20240122</v>
      </c>
      <c r="H5885" s="4" t="s">
        <v>655</v>
      </c>
      <c r="J5885" s="4" t="s">
        <v>188</v>
      </c>
    </row>
    <row r="5886" spans="1:10" hidden="1">
      <c r="A5886" s="4">
        <v>2.0210113229E+17</v>
      </c>
      <c r="B5886" s="4">
        <v>6048801487</v>
      </c>
      <c r="C5886" s="4" t="s">
        <v>654</v>
      </c>
      <c r="D5886" s="4">
        <v>13229</v>
      </c>
      <c r="E5886" s="4">
        <v>20210122</v>
      </c>
      <c r="F5886" s="4">
        <v>20210122</v>
      </c>
      <c r="G5886" s="4">
        <v>20240122</v>
      </c>
      <c r="H5886" s="4" t="s">
        <v>653</v>
      </c>
      <c r="I5886" s="4" t="s">
        <v>652</v>
      </c>
      <c r="J5886" s="4" t="s">
        <v>115</v>
      </c>
    </row>
    <row r="5887" spans="1:10" hidden="1">
      <c r="A5887" s="4">
        <v>2.0210158222E+17</v>
      </c>
      <c r="B5887" s="4">
        <v>3656900210</v>
      </c>
      <c r="C5887" s="4" t="s">
        <v>651</v>
      </c>
      <c r="D5887" s="4">
        <v>58222</v>
      </c>
      <c r="E5887" s="4">
        <v>20210122</v>
      </c>
      <c r="F5887" s="4">
        <v>20210122</v>
      </c>
      <c r="G5887" s="4">
        <v>20240122</v>
      </c>
      <c r="H5887" s="4" t="s">
        <v>650</v>
      </c>
      <c r="J5887" s="4" t="s">
        <v>94</v>
      </c>
    </row>
    <row r="5888" spans="1:10" hidden="1">
      <c r="A5888" s="4">
        <v>2.0210170111E+17</v>
      </c>
      <c r="B5888" s="4">
        <v>5300800512</v>
      </c>
      <c r="C5888" s="4" t="s">
        <v>649</v>
      </c>
      <c r="D5888" s="4">
        <v>70111</v>
      </c>
      <c r="E5888" s="4">
        <v>20210122</v>
      </c>
      <c r="F5888" s="4">
        <v>20210122</v>
      </c>
      <c r="G5888" s="4">
        <v>20231207</v>
      </c>
      <c r="H5888" s="4" t="s">
        <v>648</v>
      </c>
      <c r="I5888" s="4" t="s">
        <v>647</v>
      </c>
      <c r="J5888" s="4" t="s">
        <v>399</v>
      </c>
    </row>
    <row r="5889" spans="1:10" hidden="1">
      <c r="A5889" s="4">
        <v>2.0210163999E+17</v>
      </c>
      <c r="B5889" s="4">
        <v>2998101665</v>
      </c>
      <c r="C5889" s="4" t="s">
        <v>646</v>
      </c>
      <c r="D5889" s="4">
        <v>63999</v>
      </c>
      <c r="E5889" s="4">
        <v>20210122</v>
      </c>
      <c r="F5889" s="4">
        <v>20210122</v>
      </c>
      <c r="G5889" s="4">
        <v>20240122</v>
      </c>
      <c r="H5889" s="4" t="s">
        <v>645</v>
      </c>
      <c r="I5889" s="4" t="s">
        <v>644</v>
      </c>
      <c r="J5889" s="4" t="s">
        <v>643</v>
      </c>
    </row>
    <row r="5890" spans="1:10" hidden="1">
      <c r="A5890" s="4">
        <v>2.0210128123E+17</v>
      </c>
      <c r="B5890" s="4">
        <v>5988700527</v>
      </c>
      <c r="C5890" s="4" t="s">
        <v>642</v>
      </c>
      <c r="D5890" s="4">
        <v>28123</v>
      </c>
      <c r="E5890" s="4">
        <v>20210122</v>
      </c>
      <c r="F5890" s="4">
        <v>20210122</v>
      </c>
      <c r="G5890" s="4">
        <v>20240122</v>
      </c>
      <c r="H5890" s="4" t="s">
        <v>641</v>
      </c>
      <c r="J5890" s="4" t="s">
        <v>640</v>
      </c>
    </row>
    <row r="5891" spans="1:10" hidden="1">
      <c r="A5891" s="4">
        <v>2.0210132029E+17</v>
      </c>
      <c r="B5891" s="4">
        <v>4308200250</v>
      </c>
      <c r="C5891" s="4" t="s">
        <v>639</v>
      </c>
      <c r="D5891" s="4">
        <v>32029</v>
      </c>
      <c r="E5891" s="4">
        <v>20210122</v>
      </c>
      <c r="F5891" s="4">
        <v>20210122</v>
      </c>
      <c r="G5891" s="4">
        <v>20240122</v>
      </c>
      <c r="H5891" s="4" t="s">
        <v>638</v>
      </c>
      <c r="J5891" s="4" t="s">
        <v>637</v>
      </c>
    </row>
    <row r="5892" spans="1:10" hidden="1">
      <c r="A5892" s="4">
        <v>2.0210124199E+17</v>
      </c>
      <c r="B5892" s="4">
        <v>6668100599</v>
      </c>
      <c r="C5892" s="4" t="s">
        <v>636</v>
      </c>
      <c r="D5892" s="4">
        <v>24199</v>
      </c>
      <c r="E5892" s="4">
        <v>20210122</v>
      </c>
      <c r="F5892" s="4">
        <v>20210122</v>
      </c>
      <c r="G5892" s="4">
        <v>20230920</v>
      </c>
      <c r="H5892" s="4" t="s">
        <v>635</v>
      </c>
      <c r="J5892" s="4" t="s">
        <v>454</v>
      </c>
    </row>
    <row r="5893" spans="1:10" hidden="1">
      <c r="A5893" s="4">
        <v>2.021016312E+17</v>
      </c>
      <c r="B5893" s="4">
        <v>5338801171</v>
      </c>
      <c r="C5893" s="4" t="s">
        <v>634</v>
      </c>
      <c r="D5893" s="4">
        <v>63120</v>
      </c>
      <c r="E5893" s="4">
        <v>20210122</v>
      </c>
      <c r="F5893" s="4">
        <v>20210122</v>
      </c>
      <c r="G5893" s="4">
        <v>20240122</v>
      </c>
      <c r="H5893" s="4" t="s">
        <v>366</v>
      </c>
      <c r="I5893" s="4" t="s">
        <v>633</v>
      </c>
      <c r="J5893" s="4" t="s">
        <v>632</v>
      </c>
    </row>
    <row r="5894" spans="1:10" hidden="1">
      <c r="A5894" s="4">
        <v>2.0210111209E+17</v>
      </c>
      <c r="B5894" s="4">
        <v>4051600943</v>
      </c>
      <c r="C5894" s="4" t="s">
        <v>631</v>
      </c>
      <c r="D5894" s="4">
        <v>11209</v>
      </c>
      <c r="E5894" s="4">
        <v>20210122</v>
      </c>
      <c r="F5894" s="4">
        <v>20210122</v>
      </c>
      <c r="G5894" s="4">
        <v>20240122</v>
      </c>
      <c r="H5894" s="4" t="s">
        <v>630</v>
      </c>
      <c r="I5894" s="4" t="s">
        <v>629</v>
      </c>
      <c r="J5894" s="4" t="s">
        <v>628</v>
      </c>
    </row>
    <row r="5895" spans="1:10" hidden="1">
      <c r="A5895" s="4">
        <v>2.0210131991E+17</v>
      </c>
      <c r="B5895" s="4">
        <v>1430400775</v>
      </c>
      <c r="C5895" s="4" t="s">
        <v>627</v>
      </c>
      <c r="D5895" s="4">
        <v>31991</v>
      </c>
      <c r="E5895" s="4">
        <v>20210122</v>
      </c>
      <c r="F5895" s="4">
        <v>20210122</v>
      </c>
      <c r="G5895" s="4">
        <v>20240122</v>
      </c>
      <c r="H5895" s="4" t="s">
        <v>626</v>
      </c>
      <c r="I5895" s="4" t="s">
        <v>185</v>
      </c>
      <c r="J5895" s="4" t="s">
        <v>625</v>
      </c>
    </row>
    <row r="5896" spans="1:10" hidden="1">
      <c r="A5896" s="4">
        <v>2.021016201E+17</v>
      </c>
      <c r="B5896" s="4">
        <v>2498102150</v>
      </c>
      <c r="C5896" s="4" t="s">
        <v>624</v>
      </c>
      <c r="D5896" s="4">
        <v>62010</v>
      </c>
      <c r="E5896" s="4">
        <v>20210122</v>
      </c>
      <c r="F5896" s="4">
        <v>20210122</v>
      </c>
      <c r="G5896" s="4">
        <v>20240122</v>
      </c>
      <c r="H5896" s="4" t="s">
        <v>623</v>
      </c>
      <c r="J5896" s="4" t="s">
        <v>118</v>
      </c>
    </row>
    <row r="5897" spans="1:10" hidden="1">
      <c r="A5897" s="4">
        <v>2.021017013E+17</v>
      </c>
      <c r="B5897" s="4">
        <v>5280401863</v>
      </c>
      <c r="C5897" s="4" t="s">
        <v>622</v>
      </c>
      <c r="D5897" s="4">
        <v>70130</v>
      </c>
      <c r="E5897" s="4">
        <v>20210122</v>
      </c>
      <c r="F5897" s="4">
        <v>20210122</v>
      </c>
      <c r="G5897" s="4">
        <v>20240122</v>
      </c>
      <c r="H5897" s="4" t="s">
        <v>621</v>
      </c>
      <c r="I5897" s="4" t="s">
        <v>620</v>
      </c>
      <c r="J5897" s="4" t="s">
        <v>170</v>
      </c>
    </row>
    <row r="5898" spans="1:10" hidden="1">
      <c r="A5898" s="4">
        <v>2.0210158221E+17</v>
      </c>
      <c r="B5898" s="4">
        <v>2848800800</v>
      </c>
      <c r="C5898" s="4" t="s">
        <v>619</v>
      </c>
      <c r="D5898" s="4">
        <v>58221</v>
      </c>
      <c r="E5898" s="4">
        <v>20210122</v>
      </c>
      <c r="F5898" s="4">
        <v>20210122</v>
      </c>
      <c r="G5898" s="4">
        <v>20240122</v>
      </c>
      <c r="H5898" s="4" t="s">
        <v>618</v>
      </c>
      <c r="J5898" s="4" t="s">
        <v>228</v>
      </c>
    </row>
    <row r="5899" spans="1:10" hidden="1">
      <c r="A5899" s="4">
        <v>2.0210128422E+17</v>
      </c>
      <c r="B5899" s="4">
        <v>3298601656</v>
      </c>
      <c r="C5899" s="4" t="s">
        <v>617</v>
      </c>
      <c r="D5899" s="4">
        <v>28422</v>
      </c>
      <c r="E5899" s="4">
        <v>20210122</v>
      </c>
      <c r="F5899" s="4">
        <v>20210122</v>
      </c>
      <c r="G5899" s="4">
        <v>20240122</v>
      </c>
      <c r="H5899" s="4" t="s">
        <v>616</v>
      </c>
      <c r="I5899" s="4" t="s">
        <v>615</v>
      </c>
      <c r="J5899" s="4" t="s">
        <v>188</v>
      </c>
    </row>
    <row r="5900" spans="1:10" hidden="1">
      <c r="A5900" s="4">
        <v>2.0210158222E+17</v>
      </c>
      <c r="B5900" s="4">
        <v>1158701447</v>
      </c>
      <c r="C5900" s="4" t="s">
        <v>614</v>
      </c>
      <c r="D5900" s="4">
        <v>58222</v>
      </c>
      <c r="E5900" s="4">
        <v>20210122</v>
      </c>
      <c r="F5900" s="4">
        <v>20210122</v>
      </c>
      <c r="G5900" s="4">
        <v>20240122</v>
      </c>
      <c r="H5900" s="4" t="s">
        <v>613</v>
      </c>
      <c r="I5900" s="4" t="s">
        <v>612</v>
      </c>
      <c r="J5900" s="4" t="s">
        <v>94</v>
      </c>
    </row>
    <row r="5901" spans="1:10" hidden="1">
      <c r="A5901" s="4">
        <v>2.021012918E+17</v>
      </c>
      <c r="B5901" s="4">
        <v>8568701024</v>
      </c>
      <c r="C5901" s="4" t="s">
        <v>611</v>
      </c>
      <c r="D5901" s="4">
        <v>29180</v>
      </c>
      <c r="E5901" s="4">
        <v>20210122</v>
      </c>
      <c r="F5901" s="4">
        <v>20210122</v>
      </c>
      <c r="G5901" s="4">
        <v>20240122</v>
      </c>
      <c r="H5901" s="4" t="s">
        <v>610</v>
      </c>
      <c r="J5901" s="4" t="s">
        <v>609</v>
      </c>
    </row>
    <row r="5902" spans="1:10" hidden="1">
      <c r="A5902" s="4">
        <v>2.0210173202E+17</v>
      </c>
      <c r="B5902" s="4">
        <v>3718801781</v>
      </c>
      <c r="C5902" s="4" t="s">
        <v>608</v>
      </c>
      <c r="D5902" s="4">
        <v>73202</v>
      </c>
      <c r="E5902" s="4">
        <v>20210122</v>
      </c>
      <c r="F5902" s="4">
        <v>20210122</v>
      </c>
      <c r="G5902" s="4">
        <v>20240122</v>
      </c>
      <c r="H5902" s="4" t="s">
        <v>607</v>
      </c>
      <c r="I5902" s="4" t="s">
        <v>606</v>
      </c>
      <c r="J5902" s="4" t="s">
        <v>605</v>
      </c>
    </row>
    <row r="5903" spans="1:10" hidden="1">
      <c r="A5903" s="4">
        <v>2.0210129299E+17</v>
      </c>
      <c r="B5903" s="4">
        <v>5088141917</v>
      </c>
      <c r="C5903" s="4" t="s">
        <v>604</v>
      </c>
      <c r="D5903" s="4">
        <v>29299</v>
      </c>
      <c r="E5903" s="4">
        <v>20210122</v>
      </c>
      <c r="F5903" s="4">
        <v>20210122</v>
      </c>
      <c r="G5903" s="4">
        <v>20240122</v>
      </c>
      <c r="H5903" s="4" t="s">
        <v>603</v>
      </c>
      <c r="I5903" s="4" t="s">
        <v>602</v>
      </c>
      <c r="J5903" s="4" t="s">
        <v>137</v>
      </c>
    </row>
    <row r="5904" spans="1:10" hidden="1">
      <c r="A5904" s="4">
        <v>2.0210129223E+17</v>
      </c>
      <c r="B5904" s="4">
        <v>3248601990</v>
      </c>
      <c r="C5904" s="4" t="s">
        <v>601</v>
      </c>
      <c r="D5904" s="4">
        <v>29223</v>
      </c>
      <c r="E5904" s="4">
        <v>20210122</v>
      </c>
      <c r="F5904" s="4">
        <v>20210122</v>
      </c>
      <c r="G5904" s="4">
        <v>20240122</v>
      </c>
      <c r="H5904" s="4" t="s">
        <v>600</v>
      </c>
      <c r="I5904" s="4">
        <v>2</v>
      </c>
      <c r="J5904" s="4" t="s">
        <v>599</v>
      </c>
    </row>
    <row r="5905" spans="1:10" hidden="1">
      <c r="A5905" s="4">
        <v>2.0210125999E+17</v>
      </c>
      <c r="B5905" s="4">
        <v>6468701790</v>
      </c>
      <c r="C5905" s="4" t="s">
        <v>598</v>
      </c>
      <c r="D5905" s="4">
        <v>25999</v>
      </c>
      <c r="E5905" s="4">
        <v>20210122</v>
      </c>
      <c r="F5905" s="4">
        <v>20210122</v>
      </c>
      <c r="G5905" s="4">
        <v>20240122</v>
      </c>
      <c r="H5905" s="4" t="s">
        <v>597</v>
      </c>
      <c r="I5905" s="4" t="s">
        <v>596</v>
      </c>
      <c r="J5905" s="4" t="s">
        <v>301</v>
      </c>
    </row>
    <row r="5906" spans="1:10" hidden="1">
      <c r="A5906" s="4">
        <v>2.0210158222E+17</v>
      </c>
      <c r="B5906" s="4">
        <v>1198706013</v>
      </c>
      <c r="C5906" s="4" t="s">
        <v>595</v>
      </c>
      <c r="D5906" s="4">
        <v>58222</v>
      </c>
      <c r="E5906" s="4">
        <v>20210121</v>
      </c>
      <c r="F5906" s="4">
        <v>20210121</v>
      </c>
      <c r="G5906" s="4">
        <v>20220116</v>
      </c>
      <c r="H5906" s="4" t="s">
        <v>374</v>
      </c>
      <c r="I5906" s="4" t="s">
        <v>594</v>
      </c>
      <c r="J5906" s="4" t="s">
        <v>94</v>
      </c>
    </row>
    <row r="5907" spans="1:10" hidden="1">
      <c r="A5907" s="4">
        <v>2.0210158222E+17</v>
      </c>
      <c r="B5907" s="4">
        <v>4288801258</v>
      </c>
      <c r="C5907" s="4" t="s">
        <v>593</v>
      </c>
      <c r="D5907" s="4">
        <v>58222</v>
      </c>
      <c r="E5907" s="4">
        <v>20210121</v>
      </c>
      <c r="F5907" s="4">
        <v>20210121</v>
      </c>
      <c r="G5907" s="4">
        <v>20240121</v>
      </c>
      <c r="H5907" s="4" t="s">
        <v>592</v>
      </c>
      <c r="I5907" s="4" t="s">
        <v>591</v>
      </c>
      <c r="J5907" s="4" t="s">
        <v>94</v>
      </c>
    </row>
    <row r="5908" spans="1:10" hidden="1">
      <c r="A5908" s="4">
        <v>2.0210147311E+17</v>
      </c>
      <c r="B5908" s="4">
        <v>3554400302</v>
      </c>
      <c r="C5908" s="4" t="s">
        <v>590</v>
      </c>
      <c r="D5908" s="4">
        <v>47311</v>
      </c>
      <c r="E5908" s="4">
        <v>20210121</v>
      </c>
      <c r="F5908" s="4">
        <v>20210121</v>
      </c>
      <c r="G5908" s="4">
        <v>20240121</v>
      </c>
      <c r="H5908" s="4" t="s">
        <v>589</v>
      </c>
      <c r="I5908" s="4" t="s">
        <v>175</v>
      </c>
      <c r="J5908" s="4" t="s">
        <v>588</v>
      </c>
    </row>
    <row r="5909" spans="1:10" hidden="1">
      <c r="A5909" s="4">
        <v>2.0210110212E+17</v>
      </c>
      <c r="B5909" s="4">
        <v>3699800662</v>
      </c>
      <c r="C5909" s="4" t="s">
        <v>587</v>
      </c>
      <c r="D5909" s="4">
        <v>10212</v>
      </c>
      <c r="E5909" s="4">
        <v>20210121</v>
      </c>
      <c r="F5909" s="4">
        <v>20210121</v>
      </c>
      <c r="G5909" s="4">
        <v>20240121</v>
      </c>
      <c r="H5909" s="4" t="s">
        <v>586</v>
      </c>
      <c r="J5909" s="4" t="s">
        <v>585</v>
      </c>
    </row>
    <row r="5910" spans="1:10" hidden="1">
      <c r="A5910" s="4">
        <v>2.0210120499E+17</v>
      </c>
      <c r="B5910" s="4">
        <v>7674600440</v>
      </c>
      <c r="C5910" s="4" t="s">
        <v>584</v>
      </c>
      <c r="D5910" s="4">
        <v>20499</v>
      </c>
      <c r="E5910" s="4">
        <v>20210121</v>
      </c>
      <c r="F5910" s="4">
        <v>20210121</v>
      </c>
      <c r="G5910" s="4">
        <v>20240121</v>
      </c>
      <c r="H5910" s="4" t="s">
        <v>583</v>
      </c>
      <c r="I5910" s="4" t="s">
        <v>582</v>
      </c>
      <c r="J5910" s="4" t="s">
        <v>406</v>
      </c>
    </row>
    <row r="5911" spans="1:10" hidden="1">
      <c r="A5911" s="4">
        <v>2.0210173203E+17</v>
      </c>
      <c r="B5911" s="4">
        <v>6141301133</v>
      </c>
      <c r="C5911" s="4" t="s">
        <v>581</v>
      </c>
      <c r="D5911" s="4">
        <v>73203</v>
      </c>
      <c r="E5911" s="4">
        <v>20210121</v>
      </c>
      <c r="F5911" s="4">
        <v>20210121</v>
      </c>
      <c r="G5911" s="4">
        <v>20240121</v>
      </c>
      <c r="H5911" s="4" t="s">
        <v>580</v>
      </c>
      <c r="I5911" s="4" t="s">
        <v>579</v>
      </c>
      <c r="J5911" s="4" t="s">
        <v>260</v>
      </c>
    </row>
    <row r="5912" spans="1:10" hidden="1">
      <c r="A5912" s="4">
        <v>2.0210120203E+17</v>
      </c>
      <c r="B5912" s="4">
        <v>4188702200</v>
      </c>
      <c r="C5912" s="4" t="s">
        <v>578</v>
      </c>
      <c r="D5912" s="4">
        <v>20203</v>
      </c>
      <c r="E5912" s="4">
        <v>20210121</v>
      </c>
      <c r="F5912" s="4">
        <v>20210121</v>
      </c>
      <c r="G5912" s="4">
        <v>20240121</v>
      </c>
      <c r="H5912" s="4" t="s">
        <v>577</v>
      </c>
      <c r="J5912" s="4" t="s">
        <v>576</v>
      </c>
    </row>
    <row r="5913" spans="1:10" hidden="1">
      <c r="A5913" s="4">
        <v>2.021011519E+17</v>
      </c>
      <c r="B5913" s="4">
        <v>7532600875</v>
      </c>
      <c r="C5913" s="4" t="s">
        <v>575</v>
      </c>
      <c r="D5913" s="4">
        <v>15190</v>
      </c>
      <c r="E5913" s="4">
        <v>20210121</v>
      </c>
      <c r="F5913" s="4">
        <v>20210121</v>
      </c>
      <c r="G5913" s="4">
        <v>20240121</v>
      </c>
      <c r="H5913" s="4" t="s">
        <v>574</v>
      </c>
      <c r="I5913" s="4" t="s">
        <v>573</v>
      </c>
      <c r="J5913" s="4" t="s">
        <v>572</v>
      </c>
    </row>
    <row r="5914" spans="1:10" hidden="1">
      <c r="A5914" s="4">
        <v>2.0210173201E+17</v>
      </c>
      <c r="B5914" s="4">
        <v>8732600766</v>
      </c>
      <c r="C5914" s="4" t="s">
        <v>571</v>
      </c>
      <c r="D5914" s="4">
        <v>73201</v>
      </c>
      <c r="E5914" s="4">
        <v>20210121</v>
      </c>
      <c r="F5914" s="4">
        <v>20210121</v>
      </c>
      <c r="G5914" s="4">
        <v>20240121</v>
      </c>
      <c r="H5914" s="4" t="s">
        <v>570</v>
      </c>
      <c r="I5914" s="4" t="s">
        <v>146</v>
      </c>
      <c r="J5914" s="4" t="s">
        <v>569</v>
      </c>
    </row>
    <row r="5915" spans="1:10" hidden="1">
      <c r="A5915" s="4">
        <v>2.0210126329E+17</v>
      </c>
      <c r="B5915" s="4">
        <v>6610101698</v>
      </c>
      <c r="C5915" s="4" t="s">
        <v>568</v>
      </c>
      <c r="D5915" s="4">
        <v>26329</v>
      </c>
      <c r="E5915" s="4">
        <v>20210121</v>
      </c>
      <c r="F5915" s="4">
        <v>20210121</v>
      </c>
      <c r="G5915" s="4">
        <v>20240121</v>
      </c>
      <c r="H5915" s="4" t="s">
        <v>567</v>
      </c>
      <c r="I5915" s="4" t="s">
        <v>566</v>
      </c>
      <c r="J5915" s="4" t="s">
        <v>565</v>
      </c>
    </row>
    <row r="5916" spans="1:10" hidden="1">
      <c r="A5916" s="4">
        <v>2.0210113229E+17</v>
      </c>
      <c r="B5916" s="4">
        <v>4112951224</v>
      </c>
      <c r="C5916" s="4" t="s">
        <v>564</v>
      </c>
      <c r="D5916" s="4">
        <v>13229</v>
      </c>
      <c r="E5916" s="4">
        <v>20210121</v>
      </c>
      <c r="F5916" s="4">
        <v>20210121</v>
      </c>
      <c r="G5916" s="4">
        <v>20240121</v>
      </c>
      <c r="H5916" s="4" t="s">
        <v>563</v>
      </c>
      <c r="I5916" s="4" t="s">
        <v>562</v>
      </c>
      <c r="J5916" s="4" t="s">
        <v>115</v>
      </c>
    </row>
    <row r="5917" spans="1:10" hidden="1">
      <c r="A5917" s="4">
        <v>2.0210120423E+17</v>
      </c>
      <c r="B5917" s="4">
        <v>2552900877</v>
      </c>
      <c r="C5917" s="4" t="s">
        <v>561</v>
      </c>
      <c r="D5917" s="4">
        <v>20423</v>
      </c>
      <c r="E5917" s="4">
        <v>20210121</v>
      </c>
      <c r="F5917" s="4">
        <v>20210121</v>
      </c>
      <c r="G5917" s="4">
        <v>20240121</v>
      </c>
      <c r="H5917" s="4" t="s">
        <v>560</v>
      </c>
      <c r="I5917" s="4" t="s">
        <v>559</v>
      </c>
      <c r="J5917" s="4" t="s">
        <v>368</v>
      </c>
    </row>
    <row r="5918" spans="1:10" hidden="1">
      <c r="A5918" s="4">
        <v>2.0210122299E+17</v>
      </c>
      <c r="B5918" s="4">
        <v>5918100505</v>
      </c>
      <c r="C5918" s="4" t="s">
        <v>557</v>
      </c>
      <c r="D5918" s="4">
        <v>22299</v>
      </c>
      <c r="E5918" s="4">
        <v>20210121</v>
      </c>
      <c r="F5918" s="4">
        <v>20210121</v>
      </c>
      <c r="G5918" s="4">
        <v>20230819</v>
      </c>
      <c r="H5918" s="4" t="s">
        <v>558</v>
      </c>
      <c r="I5918" s="4" t="s">
        <v>557</v>
      </c>
      <c r="J5918" s="4" t="s">
        <v>384</v>
      </c>
    </row>
    <row r="5919" spans="1:10" hidden="1">
      <c r="A5919" s="4">
        <v>2.0210122229E+17</v>
      </c>
      <c r="B5919" s="4">
        <v>2908701578</v>
      </c>
      <c r="C5919" s="4" t="s">
        <v>556</v>
      </c>
      <c r="D5919" s="4">
        <v>22229</v>
      </c>
      <c r="E5919" s="4">
        <v>20210121</v>
      </c>
      <c r="F5919" s="4">
        <v>20210121</v>
      </c>
      <c r="G5919" s="4">
        <v>20240121</v>
      </c>
      <c r="H5919" s="4" t="s">
        <v>555</v>
      </c>
      <c r="J5919" s="4" t="s">
        <v>554</v>
      </c>
    </row>
    <row r="5920" spans="1:10" hidden="1">
      <c r="A5920" s="4">
        <v>2.0210158222E+17</v>
      </c>
      <c r="B5920" s="4">
        <v>2048701621</v>
      </c>
      <c r="C5920" s="4" t="s">
        <v>553</v>
      </c>
      <c r="D5920" s="4">
        <v>58222</v>
      </c>
      <c r="E5920" s="4">
        <v>20210121</v>
      </c>
      <c r="F5920" s="4">
        <v>20210121</v>
      </c>
      <c r="G5920" s="4">
        <v>20240121</v>
      </c>
      <c r="H5920" s="4" t="s">
        <v>552</v>
      </c>
      <c r="J5920" s="4" t="s">
        <v>94</v>
      </c>
    </row>
    <row r="5921" spans="1:10" hidden="1">
      <c r="A5921" s="4">
        <v>2.0210146322E+17</v>
      </c>
      <c r="B5921" s="4">
        <v>2768601842</v>
      </c>
      <c r="C5921" s="4" t="s">
        <v>551</v>
      </c>
      <c r="D5921" s="4">
        <v>46322</v>
      </c>
      <c r="E5921" s="4">
        <v>20210121</v>
      </c>
      <c r="F5921" s="4">
        <v>20210121</v>
      </c>
      <c r="G5921" s="4">
        <v>20240121</v>
      </c>
      <c r="H5921" s="4" t="s">
        <v>550</v>
      </c>
      <c r="I5921" s="4" t="s">
        <v>549</v>
      </c>
      <c r="J5921" s="4" t="s">
        <v>548</v>
      </c>
    </row>
    <row r="5922" spans="1:10" hidden="1">
      <c r="A5922" s="4">
        <v>2.0210128202E+17</v>
      </c>
      <c r="B5922" s="4">
        <v>7650600754</v>
      </c>
      <c r="C5922" s="4" t="s">
        <v>547</v>
      </c>
      <c r="D5922" s="4">
        <v>28202</v>
      </c>
      <c r="E5922" s="4">
        <v>20210120</v>
      </c>
      <c r="F5922" s="4">
        <v>20210120</v>
      </c>
      <c r="G5922" s="4">
        <v>20240119</v>
      </c>
      <c r="H5922" s="4" t="s">
        <v>546</v>
      </c>
      <c r="I5922" s="4" t="s">
        <v>545</v>
      </c>
      <c r="J5922" s="4" t="s">
        <v>544</v>
      </c>
    </row>
    <row r="5923" spans="1:10" hidden="1">
      <c r="A5923" s="4">
        <v>2.0210123993E+17</v>
      </c>
      <c r="B5923" s="4">
        <v>8338700871</v>
      </c>
      <c r="C5923" s="4" t="s">
        <v>543</v>
      </c>
      <c r="D5923" s="4">
        <v>23993</v>
      </c>
      <c r="E5923" s="4">
        <v>20210120</v>
      </c>
      <c r="F5923" s="4">
        <v>20210120</v>
      </c>
      <c r="G5923" s="4">
        <v>20240119</v>
      </c>
      <c r="H5923" s="4" t="s">
        <v>542</v>
      </c>
      <c r="I5923" s="4" t="s">
        <v>541</v>
      </c>
      <c r="J5923" s="4" t="s">
        <v>540</v>
      </c>
    </row>
    <row r="5924" spans="1:10" hidden="1">
      <c r="A5924" s="4">
        <v>2.021017131E+17</v>
      </c>
      <c r="B5924" s="4">
        <v>2091770362</v>
      </c>
      <c r="C5924" s="4" t="s">
        <v>539</v>
      </c>
      <c r="D5924" s="4">
        <v>71310</v>
      </c>
      <c r="E5924" s="4">
        <v>20210120</v>
      </c>
      <c r="F5924" s="4">
        <v>20210120</v>
      </c>
      <c r="G5924" s="4">
        <v>20211016</v>
      </c>
      <c r="H5924" s="4" t="s">
        <v>538</v>
      </c>
      <c r="I5924" s="4" t="s">
        <v>537</v>
      </c>
      <c r="J5924" s="4" t="s">
        <v>426</v>
      </c>
    </row>
    <row r="5925" spans="1:10" hidden="1">
      <c r="A5925" s="4">
        <v>2.021012928E+17</v>
      </c>
      <c r="B5925" s="4">
        <v>4408100925</v>
      </c>
      <c r="C5925" s="4" t="s">
        <v>536</v>
      </c>
      <c r="D5925" s="4">
        <v>29280</v>
      </c>
      <c r="E5925" s="4">
        <v>20210120</v>
      </c>
      <c r="F5925" s="4">
        <v>20210120</v>
      </c>
      <c r="G5925" s="4">
        <v>20240119</v>
      </c>
      <c r="H5925" s="4" t="s">
        <v>535</v>
      </c>
      <c r="I5925" s="4" t="s">
        <v>534</v>
      </c>
      <c r="J5925" s="4" t="s">
        <v>533</v>
      </c>
    </row>
    <row r="5926" spans="1:10" hidden="1">
      <c r="A5926" s="4">
        <v>2.02101213E+17</v>
      </c>
      <c r="B5926" s="4">
        <v>4111747182</v>
      </c>
      <c r="C5926" s="4" t="s">
        <v>532</v>
      </c>
      <c r="D5926" s="4">
        <v>21300</v>
      </c>
      <c r="E5926" s="4">
        <v>20210120</v>
      </c>
      <c r="F5926" s="4">
        <v>20210120</v>
      </c>
      <c r="G5926" s="4">
        <v>20240119</v>
      </c>
      <c r="H5926" s="4" t="s">
        <v>531</v>
      </c>
      <c r="J5926" s="4" t="s">
        <v>530</v>
      </c>
    </row>
    <row r="5927" spans="1:10" hidden="1">
      <c r="A5927" s="4">
        <v>2.0210127216E+17</v>
      </c>
      <c r="B5927" s="4">
        <v>3568701825</v>
      </c>
      <c r="C5927" s="4" t="s">
        <v>529</v>
      </c>
      <c r="D5927" s="4">
        <v>27216</v>
      </c>
      <c r="E5927" s="4">
        <v>20210120</v>
      </c>
      <c r="F5927" s="4">
        <v>20210120</v>
      </c>
      <c r="G5927" s="4">
        <v>20240119</v>
      </c>
      <c r="H5927" s="4" t="s">
        <v>528</v>
      </c>
      <c r="I5927" s="4" t="s">
        <v>142</v>
      </c>
      <c r="J5927" s="4" t="s">
        <v>527</v>
      </c>
    </row>
    <row r="5928" spans="1:10" hidden="1">
      <c r="A5928" s="4">
        <v>2.021011522E+17</v>
      </c>
      <c r="B5928" s="4">
        <v>1228801608</v>
      </c>
      <c r="C5928" s="4" t="s">
        <v>526</v>
      </c>
      <c r="D5928" s="4">
        <v>15220</v>
      </c>
      <c r="E5928" s="4">
        <v>20210120</v>
      </c>
      <c r="F5928" s="4">
        <v>20210120</v>
      </c>
      <c r="G5928" s="4">
        <v>20240119</v>
      </c>
      <c r="H5928" s="4" t="s">
        <v>525</v>
      </c>
      <c r="I5928" s="4" t="s">
        <v>524</v>
      </c>
      <c r="J5928" s="4" t="s">
        <v>523</v>
      </c>
    </row>
    <row r="5929" spans="1:10" hidden="1">
      <c r="A5929" s="4">
        <v>2.0210110309E+17</v>
      </c>
      <c r="B5929" s="4">
        <v>8818800538</v>
      </c>
      <c r="C5929" s="4" t="s">
        <v>522</v>
      </c>
      <c r="D5929" s="4">
        <v>10309</v>
      </c>
      <c r="E5929" s="4">
        <v>20210120</v>
      </c>
      <c r="F5929" s="4">
        <v>20210120</v>
      </c>
      <c r="G5929" s="4">
        <v>20230905</v>
      </c>
      <c r="H5929" s="4" t="s">
        <v>521</v>
      </c>
      <c r="I5929" s="4" t="s">
        <v>520</v>
      </c>
      <c r="J5929" s="4" t="s">
        <v>519</v>
      </c>
    </row>
    <row r="5930" spans="1:10" hidden="1">
      <c r="A5930" s="4">
        <v>2.0210146452E+17</v>
      </c>
      <c r="B5930" s="4">
        <v>1978101748</v>
      </c>
      <c r="C5930" s="4" t="s">
        <v>518</v>
      </c>
      <c r="D5930" s="4">
        <v>46452</v>
      </c>
      <c r="E5930" s="4">
        <v>20210119</v>
      </c>
      <c r="F5930" s="4">
        <v>20210119</v>
      </c>
      <c r="G5930" s="4">
        <v>20240118</v>
      </c>
      <c r="H5930" s="4" t="s">
        <v>517</v>
      </c>
      <c r="I5930" s="4" t="s">
        <v>91</v>
      </c>
      <c r="J5930" s="4" t="s">
        <v>516</v>
      </c>
    </row>
    <row r="5931" spans="1:10" hidden="1">
      <c r="A5931" s="4">
        <v>2.0210158113E+17</v>
      </c>
      <c r="B5931" s="4">
        <v>6826700334</v>
      </c>
      <c r="C5931" s="4" t="s">
        <v>515</v>
      </c>
      <c r="D5931" s="4">
        <v>58113</v>
      </c>
      <c r="E5931" s="4">
        <v>20210119</v>
      </c>
      <c r="F5931" s="4">
        <v>20210119</v>
      </c>
      <c r="G5931" s="4">
        <v>20240118</v>
      </c>
      <c r="H5931" s="4" t="s">
        <v>514</v>
      </c>
      <c r="I5931" s="4" t="s">
        <v>513</v>
      </c>
      <c r="J5931" s="4" t="s">
        <v>512</v>
      </c>
    </row>
    <row r="5932" spans="1:10" hidden="1">
      <c r="A5932" s="4">
        <v>2.0210158222E+17</v>
      </c>
      <c r="B5932" s="4">
        <v>7724500498</v>
      </c>
      <c r="C5932" s="4" t="s">
        <v>511</v>
      </c>
      <c r="D5932" s="4">
        <v>58222</v>
      </c>
      <c r="E5932" s="4">
        <v>20210119</v>
      </c>
      <c r="F5932" s="4">
        <v>20210119</v>
      </c>
      <c r="G5932" s="4">
        <v>20240118</v>
      </c>
      <c r="H5932" s="4" t="s">
        <v>510</v>
      </c>
      <c r="I5932" s="4" t="s">
        <v>509</v>
      </c>
      <c r="J5932" s="4" t="s">
        <v>94</v>
      </c>
    </row>
    <row r="5933" spans="1:10" hidden="1">
      <c r="A5933" s="4">
        <v>2.0210142499E+17</v>
      </c>
      <c r="B5933" s="4">
        <v>3178144278</v>
      </c>
      <c r="C5933" s="4" t="s">
        <v>508</v>
      </c>
      <c r="D5933" s="4">
        <v>42499</v>
      </c>
      <c r="E5933" s="4">
        <v>20210119</v>
      </c>
      <c r="F5933" s="4">
        <v>20210119</v>
      </c>
      <c r="G5933" s="4">
        <v>20210928</v>
      </c>
      <c r="H5933" s="4" t="s">
        <v>507</v>
      </c>
      <c r="I5933" s="4" t="s">
        <v>506</v>
      </c>
      <c r="J5933" s="4" t="s">
        <v>505</v>
      </c>
    </row>
    <row r="5934" spans="1:10" hidden="1">
      <c r="A5934" s="4">
        <v>2.0210114499E+17</v>
      </c>
      <c r="B5934" s="4">
        <v>8165900290</v>
      </c>
      <c r="C5934" s="4" t="s">
        <v>504</v>
      </c>
      <c r="D5934" s="4">
        <v>14499</v>
      </c>
      <c r="E5934" s="4">
        <v>20210119</v>
      </c>
      <c r="F5934" s="4">
        <v>20210119</v>
      </c>
      <c r="G5934" s="4">
        <v>20240118</v>
      </c>
      <c r="H5934" s="4" t="s">
        <v>503</v>
      </c>
      <c r="J5934" s="4" t="s">
        <v>502</v>
      </c>
    </row>
    <row r="5935" spans="1:10">
      <c r="A5935" s="4">
        <v>2.0210446453000198E+17</v>
      </c>
      <c r="B5935" s="4">
        <v>1392800447</v>
      </c>
      <c r="C5935" s="4" t="s">
        <v>7533</v>
      </c>
      <c r="D5935" s="4">
        <v>46453</v>
      </c>
      <c r="E5935" s="4">
        <v>20210426</v>
      </c>
      <c r="F5935" s="4">
        <v>20210426</v>
      </c>
      <c r="G5935" s="4">
        <v>20240426</v>
      </c>
      <c r="H5935" s="4" t="s">
        <v>4062</v>
      </c>
      <c r="I5935" s="4" t="s">
        <v>7532</v>
      </c>
      <c r="J5935" s="4" t="s">
        <v>816</v>
      </c>
    </row>
    <row r="5936" spans="1:10" hidden="1">
      <c r="A5936" s="4">
        <v>2.021012631E+17</v>
      </c>
      <c r="B5936" s="4">
        <v>4330200844</v>
      </c>
      <c r="C5936" s="4" t="s">
        <v>498</v>
      </c>
      <c r="D5936" s="4">
        <v>26310</v>
      </c>
      <c r="E5936" s="4">
        <v>20210119</v>
      </c>
      <c r="F5936" s="4">
        <v>20210119</v>
      </c>
      <c r="G5936" s="4">
        <v>20240118</v>
      </c>
      <c r="H5936" s="4" t="s">
        <v>497</v>
      </c>
      <c r="I5936" s="4" t="s">
        <v>496</v>
      </c>
      <c r="J5936" s="4" t="s">
        <v>372</v>
      </c>
    </row>
    <row r="5937" spans="1:10" hidden="1">
      <c r="A5937" s="4">
        <v>2.0210158222E+17</v>
      </c>
      <c r="B5937" s="4">
        <v>8138700969</v>
      </c>
      <c r="C5937" s="4" t="s">
        <v>495</v>
      </c>
      <c r="D5937" s="4">
        <v>58222</v>
      </c>
      <c r="E5937" s="4">
        <v>20210119</v>
      </c>
      <c r="F5937" s="4">
        <v>20210119</v>
      </c>
      <c r="G5937" s="4">
        <v>20240118</v>
      </c>
      <c r="H5937" s="4" t="s">
        <v>494</v>
      </c>
      <c r="I5937" s="4" t="s">
        <v>493</v>
      </c>
      <c r="J5937" s="4" t="s">
        <v>94</v>
      </c>
    </row>
    <row r="5938" spans="1:10" hidden="1">
      <c r="A5938" s="4">
        <v>2.0210125999E+17</v>
      </c>
      <c r="B5938" s="4">
        <v>5418801395</v>
      </c>
      <c r="C5938" s="4" t="s">
        <v>492</v>
      </c>
      <c r="D5938" s="4">
        <v>25999</v>
      </c>
      <c r="E5938" s="4">
        <v>20210119</v>
      </c>
      <c r="F5938" s="4">
        <v>20210119</v>
      </c>
      <c r="G5938" s="4">
        <v>20240118</v>
      </c>
      <c r="H5938" s="4" t="s">
        <v>491</v>
      </c>
      <c r="I5938" s="4" t="s">
        <v>490</v>
      </c>
      <c r="J5938" s="4" t="s">
        <v>301</v>
      </c>
    </row>
    <row r="5939" spans="1:10" hidden="1">
      <c r="A5939" s="4">
        <v>2.0210125113E+17</v>
      </c>
      <c r="B5939" s="4">
        <v>3998102057</v>
      </c>
      <c r="C5939" s="4" t="s">
        <v>489</v>
      </c>
      <c r="D5939" s="4">
        <v>25113</v>
      </c>
      <c r="E5939" s="4">
        <v>20210119</v>
      </c>
      <c r="F5939" s="4">
        <v>20210119</v>
      </c>
      <c r="G5939" s="4">
        <v>20240118</v>
      </c>
      <c r="H5939" s="4" t="s">
        <v>488</v>
      </c>
      <c r="J5939" s="4" t="s">
        <v>250</v>
      </c>
    </row>
    <row r="5940" spans="1:10" hidden="1">
      <c r="A5940" s="4">
        <v>2.0210128423E+17</v>
      </c>
      <c r="B5940" s="4">
        <v>1988101853</v>
      </c>
      <c r="C5940" s="4" t="s">
        <v>487</v>
      </c>
      <c r="D5940" s="4">
        <v>28423</v>
      </c>
      <c r="E5940" s="4">
        <v>20210119</v>
      </c>
      <c r="F5940" s="4">
        <v>20210119</v>
      </c>
      <c r="G5940" s="4">
        <v>20240118</v>
      </c>
      <c r="H5940" s="4" t="s">
        <v>486</v>
      </c>
      <c r="I5940" s="4" t="s">
        <v>134</v>
      </c>
      <c r="J5940" s="4" t="s">
        <v>485</v>
      </c>
    </row>
    <row r="5941" spans="1:10" hidden="1">
      <c r="A5941" s="4">
        <v>2.021017131E+17</v>
      </c>
      <c r="B5941" s="4">
        <v>2242069262</v>
      </c>
      <c r="C5941" s="4" t="s">
        <v>484</v>
      </c>
      <c r="D5941" s="4">
        <v>71310</v>
      </c>
      <c r="E5941" s="4">
        <v>20210119</v>
      </c>
      <c r="F5941" s="4">
        <v>20210119</v>
      </c>
      <c r="G5941" s="4">
        <v>20240118</v>
      </c>
      <c r="H5941" s="4" t="s">
        <v>483</v>
      </c>
      <c r="I5941" s="4" t="s">
        <v>482</v>
      </c>
      <c r="J5941" s="4" t="s">
        <v>426</v>
      </c>
    </row>
    <row r="5942" spans="1:10" hidden="1">
      <c r="A5942" s="4">
        <v>2.0210147912E+17</v>
      </c>
      <c r="B5942" s="4">
        <v>1082121342</v>
      </c>
      <c r="C5942" s="4" t="s">
        <v>481</v>
      </c>
      <c r="D5942" s="4">
        <v>47912</v>
      </c>
      <c r="E5942" s="4">
        <v>20210119</v>
      </c>
      <c r="F5942" s="4">
        <v>20210119</v>
      </c>
      <c r="G5942" s="4">
        <v>20210727</v>
      </c>
      <c r="H5942" s="4" t="s">
        <v>480</v>
      </c>
      <c r="I5942" s="4" t="s">
        <v>479</v>
      </c>
      <c r="J5942" s="4" t="s">
        <v>78</v>
      </c>
    </row>
    <row r="5943" spans="1:10" hidden="1">
      <c r="A5943" s="4">
        <v>2.0210147591E+17</v>
      </c>
      <c r="B5943" s="4">
        <v>8658701203</v>
      </c>
      <c r="C5943" s="4" t="s">
        <v>478</v>
      </c>
      <c r="D5943" s="4">
        <v>47591</v>
      </c>
      <c r="E5943" s="4">
        <v>20210118</v>
      </c>
      <c r="F5943" s="4">
        <v>20210118</v>
      </c>
      <c r="G5943" s="4">
        <v>20240117</v>
      </c>
      <c r="H5943" s="4" t="s">
        <v>477</v>
      </c>
      <c r="I5943" s="4" t="s">
        <v>149</v>
      </c>
      <c r="J5943" s="4" t="s">
        <v>476</v>
      </c>
    </row>
    <row r="5944" spans="1:10" hidden="1">
      <c r="A5944" s="4">
        <v>2.0210120493E+17</v>
      </c>
      <c r="B5944" s="4">
        <v>6961900822</v>
      </c>
      <c r="C5944" s="4" t="s">
        <v>475</v>
      </c>
      <c r="D5944" s="4">
        <v>20493</v>
      </c>
      <c r="E5944" s="4">
        <v>20210118</v>
      </c>
      <c r="F5944" s="4">
        <v>20210118</v>
      </c>
      <c r="G5944" s="4">
        <v>20240117</v>
      </c>
      <c r="H5944" s="4" t="s">
        <v>474</v>
      </c>
      <c r="I5944" s="4" t="s">
        <v>473</v>
      </c>
      <c r="J5944" s="4" t="s">
        <v>472</v>
      </c>
    </row>
    <row r="5945" spans="1:10" hidden="1">
      <c r="A5945" s="4">
        <v>2.0210116101E+17</v>
      </c>
      <c r="B5945" s="4">
        <v>5558601046</v>
      </c>
      <c r="C5945" s="4" t="s">
        <v>471</v>
      </c>
      <c r="D5945" s="4">
        <v>16101</v>
      </c>
      <c r="E5945" s="4">
        <v>20210118</v>
      </c>
      <c r="F5945" s="4">
        <v>20210118</v>
      </c>
      <c r="G5945" s="4">
        <v>20240117</v>
      </c>
      <c r="H5945" s="4" t="s">
        <v>470</v>
      </c>
      <c r="I5945" s="4" t="s">
        <v>469</v>
      </c>
      <c r="J5945" s="4" t="s">
        <v>468</v>
      </c>
    </row>
    <row r="5946" spans="1:10" hidden="1">
      <c r="A5946" s="4">
        <v>2.0210125111E+17</v>
      </c>
      <c r="B5946" s="4">
        <v>1298801410</v>
      </c>
      <c r="C5946" s="4" t="s">
        <v>467</v>
      </c>
      <c r="D5946" s="4">
        <v>25111</v>
      </c>
      <c r="E5946" s="4">
        <v>20210118</v>
      </c>
      <c r="F5946" s="4">
        <v>20210118</v>
      </c>
      <c r="G5946" s="4">
        <v>20240117</v>
      </c>
      <c r="H5946" s="4" t="s">
        <v>466</v>
      </c>
      <c r="J5946" s="4" t="s">
        <v>82</v>
      </c>
    </row>
    <row r="5947" spans="1:10" hidden="1">
      <c r="A5947" s="4">
        <v>2.0210175992E+17</v>
      </c>
      <c r="B5947" s="4">
        <v>6544400475</v>
      </c>
      <c r="C5947" s="4" t="s">
        <v>465</v>
      </c>
      <c r="D5947" s="4">
        <v>75992</v>
      </c>
      <c r="E5947" s="4">
        <v>20210118</v>
      </c>
      <c r="F5947" s="4">
        <v>20210118</v>
      </c>
      <c r="G5947" s="4">
        <v>20240117</v>
      </c>
      <c r="H5947" s="4" t="s">
        <v>464</v>
      </c>
      <c r="I5947" s="4" t="s">
        <v>463</v>
      </c>
      <c r="J5947" s="4" t="s">
        <v>111</v>
      </c>
    </row>
    <row r="5948" spans="1:10" hidden="1">
      <c r="A5948" s="4">
        <v>2.0210128903E+17</v>
      </c>
      <c r="B5948" s="4">
        <v>5158156228</v>
      </c>
      <c r="C5948" s="4" t="s">
        <v>462</v>
      </c>
      <c r="D5948" s="4">
        <v>28903</v>
      </c>
      <c r="E5948" s="4">
        <v>20210118</v>
      </c>
      <c r="F5948" s="4">
        <v>20210118</v>
      </c>
      <c r="G5948" s="4">
        <v>20240117</v>
      </c>
      <c r="H5948" s="4" t="s">
        <v>461</v>
      </c>
      <c r="J5948" s="4" t="s">
        <v>460</v>
      </c>
    </row>
    <row r="5949" spans="1:10" hidden="1">
      <c r="A5949" s="4">
        <v>2.0210122299E+17</v>
      </c>
      <c r="B5949" s="4">
        <v>6298701854</v>
      </c>
      <c r="C5949" s="4" t="s">
        <v>459</v>
      </c>
      <c r="D5949" s="4">
        <v>22299</v>
      </c>
      <c r="E5949" s="4">
        <v>20210118</v>
      </c>
      <c r="F5949" s="4">
        <v>20210118</v>
      </c>
      <c r="G5949" s="4">
        <v>20240117</v>
      </c>
      <c r="H5949" s="4" t="s">
        <v>458</v>
      </c>
      <c r="I5949" s="4" t="s">
        <v>457</v>
      </c>
      <c r="J5949" s="4" t="s">
        <v>384</v>
      </c>
    </row>
    <row r="5950" spans="1:10" hidden="1">
      <c r="A5950" s="4">
        <v>2.0210124199E+17</v>
      </c>
      <c r="B5950" s="4">
        <v>4220401681</v>
      </c>
      <c r="C5950" s="4" t="s">
        <v>456</v>
      </c>
      <c r="D5950" s="4">
        <v>24199</v>
      </c>
      <c r="E5950" s="4">
        <v>20210118</v>
      </c>
      <c r="F5950" s="4">
        <v>20210118</v>
      </c>
      <c r="G5950" s="4">
        <v>20240117</v>
      </c>
      <c r="H5950" s="4" t="s">
        <v>315</v>
      </c>
      <c r="I5950" s="4" t="s">
        <v>455</v>
      </c>
      <c r="J5950" s="4" t="s">
        <v>454</v>
      </c>
    </row>
    <row r="5951" spans="1:10" hidden="1">
      <c r="A5951" s="4">
        <v>2.0210116102E+17</v>
      </c>
      <c r="B5951" s="4">
        <v>4011230694</v>
      </c>
      <c r="C5951" s="4" t="s">
        <v>453</v>
      </c>
      <c r="D5951" s="4">
        <v>16102</v>
      </c>
      <c r="E5951" s="4">
        <v>20210118</v>
      </c>
      <c r="F5951" s="4">
        <v>20210118</v>
      </c>
      <c r="G5951" s="4">
        <v>20211208</v>
      </c>
      <c r="H5951" s="4" t="s">
        <v>452</v>
      </c>
      <c r="J5951" s="4" t="s">
        <v>451</v>
      </c>
    </row>
    <row r="5952" spans="1:10" hidden="1">
      <c r="A5952" s="4">
        <v>2.0210142202E+17</v>
      </c>
      <c r="B5952" s="4">
        <v>7408601402</v>
      </c>
      <c r="C5952" s="4" t="s">
        <v>450</v>
      </c>
      <c r="D5952" s="4">
        <v>42202</v>
      </c>
      <c r="E5952" s="4">
        <v>20210118</v>
      </c>
      <c r="F5952" s="4">
        <v>20210118</v>
      </c>
      <c r="G5952" s="4">
        <v>20240117</v>
      </c>
      <c r="H5952" s="4" t="s">
        <v>449</v>
      </c>
      <c r="I5952" s="4" t="s">
        <v>448</v>
      </c>
      <c r="J5952" s="4" t="s">
        <v>447</v>
      </c>
    </row>
    <row r="5953" spans="1:10" hidden="1">
      <c r="A5953" s="4">
        <v>2.0210152104E+17</v>
      </c>
      <c r="B5953" s="4">
        <v>7698601418</v>
      </c>
      <c r="C5953" s="4" t="s">
        <v>446</v>
      </c>
      <c r="D5953" s="4">
        <v>52104</v>
      </c>
      <c r="E5953" s="4">
        <v>20210116</v>
      </c>
      <c r="F5953" s="4">
        <v>20210116</v>
      </c>
      <c r="G5953" s="4">
        <v>20240115</v>
      </c>
      <c r="H5953" s="4" t="s">
        <v>445</v>
      </c>
      <c r="I5953" s="4" t="s">
        <v>91</v>
      </c>
      <c r="J5953" s="4" t="s">
        <v>444</v>
      </c>
    </row>
    <row r="5954" spans="1:10" hidden="1">
      <c r="A5954" s="4">
        <v>2.0210147911E+17</v>
      </c>
      <c r="B5954" s="4">
        <v>8458601181</v>
      </c>
      <c r="C5954" s="4" t="s">
        <v>443</v>
      </c>
      <c r="D5954" s="4">
        <v>47911</v>
      </c>
      <c r="E5954" s="4">
        <v>20210116</v>
      </c>
      <c r="F5954" s="4">
        <v>20210116</v>
      </c>
      <c r="G5954" s="4">
        <v>20240115</v>
      </c>
      <c r="H5954" s="4" t="s">
        <v>442</v>
      </c>
      <c r="I5954" s="4" t="s">
        <v>441</v>
      </c>
      <c r="J5954" s="4" t="s">
        <v>440</v>
      </c>
    </row>
    <row r="5955" spans="1:10" hidden="1">
      <c r="A5955" s="4">
        <v>2.0210173203E+17</v>
      </c>
      <c r="B5955" s="4">
        <v>2011899192</v>
      </c>
      <c r="C5955" s="4" t="s">
        <v>439</v>
      </c>
      <c r="D5955" s="4">
        <v>73203</v>
      </c>
      <c r="E5955" s="4">
        <v>20210115</v>
      </c>
      <c r="F5955" s="4">
        <v>20210115</v>
      </c>
      <c r="G5955" s="4">
        <v>20240114</v>
      </c>
      <c r="H5955" s="4" t="s">
        <v>438</v>
      </c>
      <c r="I5955" s="4" t="s">
        <v>91</v>
      </c>
      <c r="J5955" s="4" t="s">
        <v>260</v>
      </c>
    </row>
    <row r="5956" spans="1:10" hidden="1">
      <c r="A5956" s="4">
        <v>2.0210158222E+17</v>
      </c>
      <c r="B5956" s="4">
        <v>4113765062</v>
      </c>
      <c r="C5956" s="4" t="s">
        <v>437</v>
      </c>
      <c r="D5956" s="4">
        <v>58222</v>
      </c>
      <c r="E5956" s="4">
        <v>20210115</v>
      </c>
      <c r="F5956" s="4">
        <v>20210115</v>
      </c>
      <c r="G5956" s="4">
        <v>20240114</v>
      </c>
      <c r="H5956" s="4" t="s">
        <v>436</v>
      </c>
      <c r="I5956" s="4" t="s">
        <v>239</v>
      </c>
      <c r="J5956" s="4" t="s">
        <v>94</v>
      </c>
    </row>
    <row r="5957" spans="1:10" hidden="1">
      <c r="A5957" s="4">
        <v>2.0210158222E+17</v>
      </c>
      <c r="B5957" s="4">
        <v>5538601448</v>
      </c>
      <c r="C5957" s="4" t="s">
        <v>435</v>
      </c>
      <c r="D5957" s="4">
        <v>58222</v>
      </c>
      <c r="E5957" s="4">
        <v>20210115</v>
      </c>
      <c r="F5957" s="4">
        <v>20210115</v>
      </c>
      <c r="G5957" s="4">
        <v>20240114</v>
      </c>
      <c r="H5957" s="4" t="s">
        <v>434</v>
      </c>
      <c r="I5957" s="4" t="s">
        <v>433</v>
      </c>
      <c r="J5957" s="4" t="s">
        <v>94</v>
      </c>
    </row>
    <row r="5958" spans="1:10" hidden="1">
      <c r="A5958" s="4">
        <v>2.0210147912E+17</v>
      </c>
      <c r="B5958" s="4">
        <v>7350901471</v>
      </c>
      <c r="C5958" s="4" t="s">
        <v>432</v>
      </c>
      <c r="D5958" s="4">
        <v>47912</v>
      </c>
      <c r="E5958" s="4">
        <v>20210115</v>
      </c>
      <c r="F5958" s="4">
        <v>20210115</v>
      </c>
      <c r="G5958" s="4">
        <v>20240114</v>
      </c>
      <c r="H5958" s="4" t="s">
        <v>431</v>
      </c>
      <c r="I5958" s="4" t="s">
        <v>430</v>
      </c>
      <c r="J5958" s="4" t="s">
        <v>78</v>
      </c>
    </row>
    <row r="5959" spans="1:10" hidden="1">
      <c r="A5959" s="4">
        <v>2.021017131E+17</v>
      </c>
      <c r="B5959" s="4">
        <v>8438802169</v>
      </c>
      <c r="C5959" s="4" t="s">
        <v>429</v>
      </c>
      <c r="D5959" s="4">
        <v>71310</v>
      </c>
      <c r="E5959" s="4">
        <v>20210115</v>
      </c>
      <c r="F5959" s="4">
        <v>20210115</v>
      </c>
      <c r="G5959" s="4">
        <v>20240114</v>
      </c>
      <c r="H5959" s="4" t="s">
        <v>428</v>
      </c>
      <c r="I5959" s="4" t="s">
        <v>427</v>
      </c>
      <c r="J5959" s="4" t="s">
        <v>426</v>
      </c>
    </row>
    <row r="5960" spans="1:10" hidden="1">
      <c r="A5960" s="4">
        <v>2.0210126429E+17</v>
      </c>
      <c r="B5960" s="4">
        <v>7918100425</v>
      </c>
      <c r="C5960" s="4" t="s">
        <v>425</v>
      </c>
      <c r="D5960" s="4">
        <v>26429</v>
      </c>
      <c r="E5960" s="4">
        <v>20210115</v>
      </c>
      <c r="F5960" s="4">
        <v>20210115</v>
      </c>
      <c r="G5960" s="4">
        <v>20230829</v>
      </c>
      <c r="H5960" s="4" t="s">
        <v>424</v>
      </c>
      <c r="I5960" s="4" t="s">
        <v>423</v>
      </c>
      <c r="J5960" s="4" t="s">
        <v>422</v>
      </c>
    </row>
    <row r="5961" spans="1:10" hidden="1">
      <c r="A5961" s="4">
        <v>2.0210127199E+17</v>
      </c>
      <c r="B5961" s="4">
        <v>3331600691</v>
      </c>
      <c r="C5961" s="4" t="s">
        <v>421</v>
      </c>
      <c r="D5961" s="4">
        <v>27199</v>
      </c>
      <c r="E5961" s="4">
        <v>20210115</v>
      </c>
      <c r="F5961" s="4">
        <v>20210115</v>
      </c>
      <c r="G5961" s="4">
        <v>20240114</v>
      </c>
      <c r="H5961" s="4" t="s">
        <v>420</v>
      </c>
      <c r="I5961" s="4" t="s">
        <v>419</v>
      </c>
      <c r="J5961" s="4" t="s">
        <v>418</v>
      </c>
    </row>
    <row r="5962" spans="1:10" hidden="1">
      <c r="A5962" s="4">
        <v>2.0210146432E+17</v>
      </c>
      <c r="B5962" s="4">
        <v>5188702233</v>
      </c>
      <c r="C5962" s="4" t="s">
        <v>417</v>
      </c>
      <c r="D5962" s="4">
        <v>46432</v>
      </c>
      <c r="E5962" s="4">
        <v>20210114</v>
      </c>
      <c r="F5962" s="4">
        <v>20210114</v>
      </c>
      <c r="G5962" s="4">
        <v>20240113</v>
      </c>
      <c r="H5962" s="4" t="s">
        <v>416</v>
      </c>
      <c r="I5962" s="4" t="s">
        <v>415</v>
      </c>
      <c r="J5962" s="4" t="s">
        <v>414</v>
      </c>
    </row>
    <row r="5963" spans="1:10" hidden="1">
      <c r="A5963" s="4">
        <v>2.0210138312E+17</v>
      </c>
      <c r="B5963" s="4">
        <v>8488800337</v>
      </c>
      <c r="C5963" s="4" t="s">
        <v>413</v>
      </c>
      <c r="D5963" s="4">
        <v>38312</v>
      </c>
      <c r="E5963" s="4">
        <v>20210114</v>
      </c>
      <c r="F5963" s="4">
        <v>20210114</v>
      </c>
      <c r="G5963" s="4">
        <v>20221110</v>
      </c>
      <c r="H5963" s="4" t="s">
        <v>412</v>
      </c>
      <c r="J5963" s="4" t="s">
        <v>411</v>
      </c>
    </row>
    <row r="5964" spans="1:10" hidden="1">
      <c r="A5964" s="4">
        <v>2.0210122299E+17</v>
      </c>
      <c r="B5964" s="4">
        <v>2688801694</v>
      </c>
      <c r="C5964" s="4" t="s">
        <v>410</v>
      </c>
      <c r="D5964" s="4">
        <v>22299</v>
      </c>
      <c r="E5964" s="4">
        <v>20210114</v>
      </c>
      <c r="F5964" s="4">
        <v>20210114</v>
      </c>
      <c r="G5964" s="4">
        <v>20240113</v>
      </c>
      <c r="H5964" s="4" t="s">
        <v>409</v>
      </c>
      <c r="I5964" s="4" t="s">
        <v>185</v>
      </c>
      <c r="J5964" s="4" t="s">
        <v>384</v>
      </c>
    </row>
    <row r="5965" spans="1:10" hidden="1">
      <c r="A5965" s="4">
        <v>2.0210120499E+17</v>
      </c>
      <c r="B5965" s="4">
        <v>4082093088</v>
      </c>
      <c r="C5965" s="4" t="s">
        <v>408</v>
      </c>
      <c r="D5965" s="4">
        <v>20499</v>
      </c>
      <c r="E5965" s="4">
        <v>20210114</v>
      </c>
      <c r="F5965" s="4">
        <v>20210114</v>
      </c>
      <c r="G5965" s="4">
        <v>20240113</v>
      </c>
      <c r="H5965" s="4" t="s">
        <v>407</v>
      </c>
      <c r="J5965" s="4" t="s">
        <v>406</v>
      </c>
    </row>
    <row r="5966" spans="1:10" hidden="1">
      <c r="A5966" s="4">
        <v>2.0210126129E+17</v>
      </c>
      <c r="B5966" s="4">
        <v>1998601360</v>
      </c>
      <c r="C5966" s="4" t="s">
        <v>404</v>
      </c>
      <c r="D5966" s="4">
        <v>26129</v>
      </c>
      <c r="E5966" s="4">
        <v>20210114</v>
      </c>
      <c r="F5966" s="4">
        <v>20210114</v>
      </c>
      <c r="G5966" s="4">
        <v>20240113</v>
      </c>
      <c r="H5966" s="4" t="s">
        <v>405</v>
      </c>
      <c r="I5966" s="4" t="s">
        <v>404</v>
      </c>
      <c r="J5966" s="4" t="s">
        <v>403</v>
      </c>
    </row>
    <row r="5967" spans="1:10" hidden="1">
      <c r="A5967" s="4">
        <v>2.0210170111E+17</v>
      </c>
      <c r="B5967" s="4">
        <v>6108634728</v>
      </c>
      <c r="C5967" s="4" t="s">
        <v>402</v>
      </c>
      <c r="D5967" s="4">
        <v>70111</v>
      </c>
      <c r="E5967" s="4">
        <v>20210114</v>
      </c>
      <c r="F5967" s="4">
        <v>20210114</v>
      </c>
      <c r="G5967" s="4">
        <v>20240113</v>
      </c>
      <c r="H5967" s="4" t="s">
        <v>401</v>
      </c>
      <c r="I5967" s="4" t="s">
        <v>400</v>
      </c>
      <c r="J5967" s="4" t="s">
        <v>399</v>
      </c>
    </row>
    <row r="5968" spans="1:10" hidden="1">
      <c r="A5968" s="4">
        <v>2.0210163991E+17</v>
      </c>
      <c r="B5968" s="4">
        <v>1228647686</v>
      </c>
      <c r="C5968" s="4" t="s">
        <v>398</v>
      </c>
      <c r="D5968" s="4">
        <v>63991</v>
      </c>
      <c r="E5968" s="4">
        <v>20210114</v>
      </c>
      <c r="F5968" s="4">
        <v>20210114</v>
      </c>
      <c r="G5968" s="4">
        <v>20240113</v>
      </c>
      <c r="H5968" s="4" t="s">
        <v>397</v>
      </c>
      <c r="I5968" s="4" t="s">
        <v>396</v>
      </c>
      <c r="J5968" s="4" t="s">
        <v>395</v>
      </c>
    </row>
    <row r="5969" spans="1:10" hidden="1">
      <c r="A5969" s="4">
        <v>2.0210120422E+17</v>
      </c>
      <c r="B5969" s="4">
        <v>5918701511</v>
      </c>
      <c r="C5969" s="4" t="s">
        <v>394</v>
      </c>
      <c r="D5969" s="4">
        <v>20422</v>
      </c>
      <c r="E5969" s="4">
        <v>20210114</v>
      </c>
      <c r="F5969" s="4">
        <v>20210114</v>
      </c>
      <c r="G5969" s="4">
        <v>20240113</v>
      </c>
      <c r="H5969" s="4" t="s">
        <v>393</v>
      </c>
      <c r="J5969" s="4" t="s">
        <v>392</v>
      </c>
    </row>
    <row r="5970" spans="1:10" hidden="1">
      <c r="A5970" s="4">
        <v>2.0210114193E+17</v>
      </c>
      <c r="B5970" s="4">
        <v>6918701714</v>
      </c>
      <c r="C5970" s="4" t="s">
        <v>391</v>
      </c>
      <c r="D5970" s="4">
        <v>14193</v>
      </c>
      <c r="E5970" s="4">
        <v>20210114</v>
      </c>
      <c r="F5970" s="4">
        <v>20210114</v>
      </c>
      <c r="G5970" s="4">
        <v>20240113</v>
      </c>
      <c r="H5970" s="4" t="s">
        <v>390</v>
      </c>
      <c r="I5970" s="4" t="s">
        <v>389</v>
      </c>
      <c r="J5970" s="4" t="s">
        <v>388</v>
      </c>
    </row>
    <row r="5971" spans="1:10" hidden="1">
      <c r="A5971" s="4">
        <v>2.0210122299E+17</v>
      </c>
      <c r="B5971" s="4">
        <v>5498601342</v>
      </c>
      <c r="C5971" s="4" t="s">
        <v>387</v>
      </c>
      <c r="D5971" s="4">
        <v>22299</v>
      </c>
      <c r="E5971" s="4">
        <v>20210114</v>
      </c>
      <c r="F5971" s="4">
        <v>20210114</v>
      </c>
      <c r="G5971" s="4">
        <v>20240113</v>
      </c>
      <c r="H5971" s="4" t="s">
        <v>386</v>
      </c>
      <c r="I5971" s="4" t="s">
        <v>385</v>
      </c>
      <c r="J5971" s="4" t="s">
        <v>384</v>
      </c>
    </row>
    <row r="5972" spans="1:10" hidden="1">
      <c r="A5972" s="4">
        <v>2.0210125932E+17</v>
      </c>
      <c r="B5972" s="4">
        <v>5518101530</v>
      </c>
      <c r="C5972" s="4" t="s">
        <v>383</v>
      </c>
      <c r="D5972" s="4">
        <v>25932</v>
      </c>
      <c r="E5972" s="4">
        <v>20210114</v>
      </c>
      <c r="F5972" s="4">
        <v>20210114</v>
      </c>
      <c r="G5972" s="4">
        <v>20240113</v>
      </c>
      <c r="H5972" s="4" t="s">
        <v>382</v>
      </c>
      <c r="I5972" s="4" t="s">
        <v>381</v>
      </c>
      <c r="J5972" s="4" t="s">
        <v>246</v>
      </c>
    </row>
    <row r="5973" spans="1:10" hidden="1">
      <c r="A5973" s="4">
        <v>2.0210158221E+17</v>
      </c>
      <c r="B5973" s="4">
        <v>2728800205</v>
      </c>
      <c r="C5973" s="4" t="s">
        <v>380</v>
      </c>
      <c r="D5973" s="4">
        <v>58221</v>
      </c>
      <c r="E5973" s="4">
        <v>20210114</v>
      </c>
      <c r="F5973" s="4">
        <v>20210114</v>
      </c>
      <c r="G5973" s="4">
        <v>20221028</v>
      </c>
      <c r="H5973" s="4" t="s">
        <v>379</v>
      </c>
      <c r="J5973" s="4" t="s">
        <v>228</v>
      </c>
    </row>
    <row r="5974" spans="1:10" hidden="1">
      <c r="A5974" s="4">
        <v>2.0210147813E+17</v>
      </c>
      <c r="B5974" s="4">
        <v>1738601320</v>
      </c>
      <c r="C5974" s="4" t="s">
        <v>378</v>
      </c>
      <c r="D5974" s="4">
        <v>47813</v>
      </c>
      <c r="E5974" s="4">
        <v>20210114</v>
      </c>
      <c r="F5974" s="4">
        <v>20210114</v>
      </c>
      <c r="G5974" s="4">
        <v>20240113</v>
      </c>
      <c r="H5974" s="4" t="s">
        <v>377</v>
      </c>
      <c r="I5974" s="4" t="s">
        <v>185</v>
      </c>
      <c r="J5974" s="4" t="s">
        <v>376</v>
      </c>
    </row>
    <row r="5975" spans="1:10" hidden="1">
      <c r="A5975" s="4">
        <v>2.021012631E+17</v>
      </c>
      <c r="B5975" s="4">
        <v>4028225218</v>
      </c>
      <c r="C5975" s="4" t="s">
        <v>375</v>
      </c>
      <c r="D5975" s="4">
        <v>26310</v>
      </c>
      <c r="E5975" s="4">
        <v>20210113</v>
      </c>
      <c r="F5975" s="4">
        <v>20210113</v>
      </c>
      <c r="G5975" s="4">
        <v>20231011</v>
      </c>
      <c r="H5975" s="4" t="s">
        <v>374</v>
      </c>
      <c r="I5975" s="4" t="s">
        <v>373</v>
      </c>
      <c r="J5975" s="4" t="s">
        <v>372</v>
      </c>
    </row>
    <row r="5976" spans="1:10" hidden="1">
      <c r="A5976" s="4">
        <v>2.0210120423E+17</v>
      </c>
      <c r="B5976" s="4">
        <v>6858601615</v>
      </c>
      <c r="C5976" s="4" t="s">
        <v>371</v>
      </c>
      <c r="D5976" s="4">
        <v>20423</v>
      </c>
      <c r="E5976" s="4">
        <v>20210113</v>
      </c>
      <c r="F5976" s="4">
        <v>20210113</v>
      </c>
      <c r="G5976" s="4">
        <v>20240112</v>
      </c>
      <c r="H5976" s="4" t="s">
        <v>370</v>
      </c>
      <c r="I5976" s="4" t="s">
        <v>369</v>
      </c>
      <c r="J5976" s="4" t="s">
        <v>368</v>
      </c>
    </row>
    <row r="5977" spans="1:10" hidden="1">
      <c r="A5977" s="4">
        <v>2.0210133401E+17</v>
      </c>
      <c r="B5977" s="4">
        <v>2020851585</v>
      </c>
      <c r="C5977" s="4" t="s">
        <v>367</v>
      </c>
      <c r="D5977" s="4">
        <v>33401</v>
      </c>
      <c r="E5977" s="4">
        <v>20210113</v>
      </c>
      <c r="F5977" s="4">
        <v>20210113</v>
      </c>
      <c r="G5977" s="4">
        <v>20240112</v>
      </c>
      <c r="H5977" s="4" t="s">
        <v>366</v>
      </c>
      <c r="I5977" s="4" t="s">
        <v>365</v>
      </c>
      <c r="J5977" s="4" t="s">
        <v>364</v>
      </c>
    </row>
    <row r="5978" spans="1:10" hidden="1">
      <c r="A5978" s="4">
        <v>2.0210126299E+17</v>
      </c>
      <c r="B5978" s="4">
        <v>3972800887</v>
      </c>
      <c r="C5978" s="4" t="s">
        <v>363</v>
      </c>
      <c r="D5978" s="4">
        <v>26299</v>
      </c>
      <c r="E5978" s="4">
        <v>20210113</v>
      </c>
      <c r="F5978" s="4">
        <v>20210113</v>
      </c>
      <c r="G5978" s="4">
        <v>20240112</v>
      </c>
      <c r="H5978" s="4" t="s">
        <v>362</v>
      </c>
      <c r="I5978" s="4" t="s">
        <v>361</v>
      </c>
      <c r="J5978" s="4" t="s">
        <v>339</v>
      </c>
    </row>
    <row r="5979" spans="1:10" hidden="1">
      <c r="A5979" s="4">
        <v>2.0210158221E+17</v>
      </c>
      <c r="B5979" s="4">
        <v>3728701088</v>
      </c>
      <c r="C5979" s="4" t="s">
        <v>360</v>
      </c>
      <c r="D5979" s="4">
        <v>58221</v>
      </c>
      <c r="E5979" s="4">
        <v>20210112</v>
      </c>
      <c r="F5979" s="4">
        <v>20210112</v>
      </c>
      <c r="G5979" s="4">
        <v>20240111</v>
      </c>
      <c r="H5979" s="4" t="s">
        <v>359</v>
      </c>
      <c r="I5979" s="4" t="s">
        <v>358</v>
      </c>
      <c r="J5979" s="4" t="s">
        <v>228</v>
      </c>
    </row>
    <row r="5980" spans="1:10" hidden="1">
      <c r="A5980" s="4">
        <v>2.0210158222E+17</v>
      </c>
      <c r="B5980" s="4">
        <v>7128801376</v>
      </c>
      <c r="C5980" s="4" t="s">
        <v>357</v>
      </c>
      <c r="D5980" s="4">
        <v>58222</v>
      </c>
      <c r="E5980" s="4">
        <v>20210112</v>
      </c>
      <c r="F5980" s="4">
        <v>20210112</v>
      </c>
      <c r="G5980" s="4">
        <v>20240111</v>
      </c>
      <c r="H5980" s="4" t="s">
        <v>356</v>
      </c>
      <c r="J5980" s="4" t="s">
        <v>94</v>
      </c>
    </row>
    <row r="5981" spans="1:10" hidden="1">
      <c r="A5981" s="4">
        <v>2.0210146325E+17</v>
      </c>
      <c r="B5981" s="4">
        <v>1520701027</v>
      </c>
      <c r="C5981" s="4" t="s">
        <v>355</v>
      </c>
      <c r="D5981" s="4">
        <v>46325</v>
      </c>
      <c r="E5981" s="4">
        <v>20210112</v>
      </c>
      <c r="F5981" s="4">
        <v>20210112</v>
      </c>
      <c r="G5981" s="4">
        <v>20240111</v>
      </c>
      <c r="H5981" s="4" t="s">
        <v>354</v>
      </c>
      <c r="I5981" s="4" t="s">
        <v>353</v>
      </c>
      <c r="J5981" s="4" t="s">
        <v>352</v>
      </c>
    </row>
    <row r="5982" spans="1:10" hidden="1">
      <c r="A5982" s="4">
        <v>2.0210127213E+17</v>
      </c>
      <c r="B5982" s="4">
        <v>7668701492</v>
      </c>
      <c r="C5982" s="4" t="s">
        <v>351</v>
      </c>
      <c r="D5982" s="4">
        <v>27213</v>
      </c>
      <c r="E5982" s="4">
        <v>20210112</v>
      </c>
      <c r="F5982" s="4">
        <v>20210112</v>
      </c>
      <c r="G5982" s="4">
        <v>20240111</v>
      </c>
      <c r="H5982" s="4" t="s">
        <v>350</v>
      </c>
      <c r="I5982" s="4" t="s">
        <v>349</v>
      </c>
      <c r="J5982" s="4" t="s">
        <v>264</v>
      </c>
    </row>
    <row r="5983" spans="1:10" hidden="1">
      <c r="A5983" s="4">
        <v>2.0210175992E+17</v>
      </c>
      <c r="B5983" s="4">
        <v>2868800179</v>
      </c>
      <c r="C5983" s="4" t="s">
        <v>348</v>
      </c>
      <c r="D5983" s="4">
        <v>75992</v>
      </c>
      <c r="E5983" s="4">
        <v>20210111</v>
      </c>
      <c r="F5983" s="4">
        <v>20210111</v>
      </c>
      <c r="G5983" s="4">
        <v>20220730</v>
      </c>
      <c r="H5983" s="4" t="s">
        <v>347</v>
      </c>
      <c r="I5983" s="4" t="s">
        <v>346</v>
      </c>
      <c r="J5983" s="4" t="s">
        <v>111</v>
      </c>
    </row>
    <row r="5984" spans="1:10" hidden="1">
      <c r="A5984" s="4">
        <v>2.0210129271E+17</v>
      </c>
      <c r="B5984" s="4">
        <v>8908701927</v>
      </c>
      <c r="C5984" s="4" t="s">
        <v>345</v>
      </c>
      <c r="D5984" s="4">
        <v>29271</v>
      </c>
      <c r="E5984" s="4">
        <v>20210111</v>
      </c>
      <c r="F5984" s="4">
        <v>20210111</v>
      </c>
      <c r="G5984" s="4">
        <v>20240110</v>
      </c>
      <c r="H5984" s="4" t="s">
        <v>344</v>
      </c>
      <c r="I5984" s="4" t="s">
        <v>343</v>
      </c>
      <c r="J5984" s="4" t="s">
        <v>285</v>
      </c>
    </row>
    <row r="5985" spans="1:10" hidden="1">
      <c r="A5985" s="4">
        <v>2.0210126299E+17</v>
      </c>
      <c r="B5985" s="4">
        <v>8638700042</v>
      </c>
      <c r="C5985" s="4" t="s">
        <v>342</v>
      </c>
      <c r="D5985" s="4">
        <v>26299</v>
      </c>
      <c r="E5985" s="4">
        <v>20210111</v>
      </c>
      <c r="F5985" s="4">
        <v>20210111</v>
      </c>
      <c r="G5985" s="4">
        <v>20220330</v>
      </c>
      <c r="H5985" s="4" t="s">
        <v>341</v>
      </c>
      <c r="I5985" s="4" t="s">
        <v>340</v>
      </c>
      <c r="J5985" s="4" t="s">
        <v>339</v>
      </c>
    </row>
    <row r="5986" spans="1:10" hidden="1">
      <c r="A5986" s="4">
        <v>2.0210110791E+17</v>
      </c>
      <c r="B5986" s="4">
        <v>6542601072</v>
      </c>
      <c r="C5986" s="4" t="s">
        <v>338</v>
      </c>
      <c r="D5986" s="4">
        <v>10791</v>
      </c>
      <c r="E5986" s="4">
        <v>20210111</v>
      </c>
      <c r="F5986" s="4">
        <v>20210111</v>
      </c>
      <c r="G5986" s="4">
        <v>20240110</v>
      </c>
      <c r="H5986" s="4" t="s">
        <v>337</v>
      </c>
      <c r="I5986" s="4" t="s">
        <v>336</v>
      </c>
      <c r="J5986" s="4" t="s">
        <v>335</v>
      </c>
    </row>
    <row r="5987" spans="1:10" hidden="1">
      <c r="A5987" s="4">
        <v>2.0210129299E+17</v>
      </c>
      <c r="B5987" s="4">
        <v>5461800684</v>
      </c>
      <c r="C5987" s="4" t="s">
        <v>334</v>
      </c>
      <c r="D5987" s="4">
        <v>29299</v>
      </c>
      <c r="E5987" s="4">
        <v>20210111</v>
      </c>
      <c r="F5987" s="4">
        <v>20210111</v>
      </c>
      <c r="G5987" s="4">
        <v>20240110</v>
      </c>
      <c r="H5987" s="4" t="s">
        <v>202</v>
      </c>
      <c r="I5987" s="4" t="s">
        <v>333</v>
      </c>
      <c r="J5987" s="4" t="s">
        <v>137</v>
      </c>
    </row>
    <row r="5988" spans="1:10" hidden="1">
      <c r="A5988" s="4">
        <v>2.0210146499E+17</v>
      </c>
      <c r="B5988" s="4">
        <v>1503700524</v>
      </c>
      <c r="C5988" s="4" t="s">
        <v>332</v>
      </c>
      <c r="D5988" s="4">
        <v>46499</v>
      </c>
      <c r="E5988" s="4">
        <v>20210111</v>
      </c>
      <c r="F5988" s="4">
        <v>20210111</v>
      </c>
      <c r="G5988" s="4">
        <v>20240110</v>
      </c>
      <c r="H5988" s="4" t="s">
        <v>331</v>
      </c>
      <c r="I5988" s="4" t="s">
        <v>330</v>
      </c>
      <c r="J5988" s="4" t="s">
        <v>184</v>
      </c>
    </row>
    <row r="5989" spans="1:10" hidden="1">
      <c r="A5989" s="4">
        <v>2.0210129199E+17</v>
      </c>
      <c r="B5989" s="4">
        <v>5418701404</v>
      </c>
      <c r="C5989" s="4" t="s">
        <v>329</v>
      </c>
      <c r="D5989" s="4">
        <v>29199</v>
      </c>
      <c r="E5989" s="4">
        <v>20210111</v>
      </c>
      <c r="F5989" s="4">
        <v>20210111</v>
      </c>
      <c r="G5989" s="4">
        <v>20240110</v>
      </c>
      <c r="H5989" s="4" t="s">
        <v>328</v>
      </c>
      <c r="J5989" s="4" t="s">
        <v>166</v>
      </c>
    </row>
    <row r="5990" spans="1:10" hidden="1">
      <c r="A5990" s="4">
        <v>2.021012429E+17</v>
      </c>
      <c r="B5990" s="4">
        <v>5968800789</v>
      </c>
      <c r="C5990" s="4" t="s">
        <v>327</v>
      </c>
      <c r="D5990" s="4">
        <v>24290</v>
      </c>
      <c r="E5990" s="4">
        <v>20210111</v>
      </c>
      <c r="F5990" s="4">
        <v>20210111</v>
      </c>
      <c r="G5990" s="4">
        <v>20240110</v>
      </c>
      <c r="H5990" s="4" t="s">
        <v>326</v>
      </c>
      <c r="J5990" s="4" t="s">
        <v>325</v>
      </c>
    </row>
    <row r="5991" spans="1:10" hidden="1">
      <c r="A5991" s="4">
        <v>2.0210146109E+17</v>
      </c>
      <c r="B5991" s="4">
        <v>2648144770</v>
      </c>
      <c r="C5991" s="4" t="s">
        <v>324</v>
      </c>
      <c r="D5991" s="4">
        <v>46109</v>
      </c>
      <c r="E5991" s="4">
        <v>20210111</v>
      </c>
      <c r="F5991" s="4">
        <v>20210111</v>
      </c>
      <c r="G5991" s="4">
        <v>20211103</v>
      </c>
      <c r="H5991" s="4" t="s">
        <v>323</v>
      </c>
      <c r="I5991" s="4" t="s">
        <v>91</v>
      </c>
      <c r="J5991" s="4" t="s">
        <v>133</v>
      </c>
    </row>
    <row r="5992" spans="1:10" hidden="1">
      <c r="A5992" s="4">
        <v>2.0210125112E+17</v>
      </c>
      <c r="B5992" s="4">
        <v>4698801486</v>
      </c>
      <c r="C5992" s="4" t="s">
        <v>321</v>
      </c>
      <c r="D5992" s="4">
        <v>25112</v>
      </c>
      <c r="E5992" s="4">
        <v>20210111</v>
      </c>
      <c r="F5992" s="4">
        <v>20210111</v>
      </c>
      <c r="G5992" s="4">
        <v>20240110</v>
      </c>
      <c r="H5992" s="4" t="s">
        <v>322</v>
      </c>
      <c r="I5992" s="4" t="s">
        <v>321</v>
      </c>
      <c r="J5992" s="4" t="s">
        <v>320</v>
      </c>
    </row>
    <row r="5993" spans="1:10" hidden="1">
      <c r="A5993" s="4">
        <v>2.0210158221E+17</v>
      </c>
      <c r="B5993" s="4">
        <v>3731801353</v>
      </c>
      <c r="C5993" s="4" t="s">
        <v>319</v>
      </c>
      <c r="D5993" s="4">
        <v>58221</v>
      </c>
      <c r="E5993" s="4">
        <v>20210111</v>
      </c>
      <c r="F5993" s="4">
        <v>20210111</v>
      </c>
      <c r="G5993" s="4">
        <v>20240110</v>
      </c>
      <c r="H5993" s="4" t="s">
        <v>318</v>
      </c>
      <c r="I5993" s="4" t="s">
        <v>317</v>
      </c>
      <c r="J5993" s="4" t="s">
        <v>228</v>
      </c>
    </row>
    <row r="5994" spans="1:10" hidden="1">
      <c r="A5994" s="4">
        <v>2.0210129163E+17</v>
      </c>
      <c r="B5994" s="4">
        <v>6870601166</v>
      </c>
      <c r="C5994" s="4" t="s">
        <v>316</v>
      </c>
      <c r="D5994" s="4">
        <v>29163</v>
      </c>
      <c r="E5994" s="4">
        <v>20210109</v>
      </c>
      <c r="F5994" s="4">
        <v>20210109</v>
      </c>
      <c r="G5994" s="4">
        <v>20240108</v>
      </c>
      <c r="H5994" s="4" t="s">
        <v>315</v>
      </c>
      <c r="I5994" s="4" t="s">
        <v>314</v>
      </c>
      <c r="J5994" s="4" t="s">
        <v>313</v>
      </c>
    </row>
    <row r="5995" spans="1:10" hidden="1">
      <c r="A5995" s="4">
        <v>2.021013391E+17</v>
      </c>
      <c r="B5995" s="4">
        <v>2020972587</v>
      </c>
      <c r="C5995" s="4" t="s">
        <v>311</v>
      </c>
      <c r="D5995" s="4">
        <v>33910</v>
      </c>
      <c r="E5995" s="4">
        <v>20210109</v>
      </c>
      <c r="F5995" s="4">
        <v>20210109</v>
      </c>
      <c r="G5995" s="4">
        <v>20240108</v>
      </c>
      <c r="H5995" s="4" t="s">
        <v>312</v>
      </c>
      <c r="I5995" s="4" t="s">
        <v>311</v>
      </c>
      <c r="J5995" s="4" t="s">
        <v>310</v>
      </c>
    </row>
    <row r="5996" spans="1:10" hidden="1">
      <c r="A5996" s="4">
        <v>2.0210113221E+17</v>
      </c>
      <c r="B5996" s="4">
        <v>7172000940</v>
      </c>
      <c r="C5996" s="4" t="s">
        <v>308</v>
      </c>
      <c r="D5996" s="4">
        <v>13221</v>
      </c>
      <c r="E5996" s="4">
        <v>20210109</v>
      </c>
      <c r="F5996" s="4">
        <v>20210109</v>
      </c>
      <c r="G5996" s="4">
        <v>20240108</v>
      </c>
      <c r="H5996" s="4" t="s">
        <v>309</v>
      </c>
      <c r="I5996" s="4" t="s">
        <v>308</v>
      </c>
      <c r="J5996" s="4" t="s">
        <v>307</v>
      </c>
    </row>
    <row r="5997" spans="1:10" hidden="1">
      <c r="A5997" s="4">
        <v>2.0210168223E+17</v>
      </c>
      <c r="B5997" s="4">
        <v>4318702033</v>
      </c>
      <c r="C5997" s="4" t="s">
        <v>306</v>
      </c>
      <c r="D5997" s="4">
        <v>68223</v>
      </c>
      <c r="E5997" s="4">
        <v>20210109</v>
      </c>
      <c r="F5997" s="4">
        <v>20210109</v>
      </c>
      <c r="G5997" s="4">
        <v>20240108</v>
      </c>
      <c r="H5997" s="4" t="s">
        <v>305</v>
      </c>
      <c r="J5997" s="4" t="s">
        <v>304</v>
      </c>
    </row>
    <row r="5998" spans="1:10" hidden="1">
      <c r="A5998" s="4">
        <v>2.0210125999E+17</v>
      </c>
      <c r="B5998" s="4">
        <v>5788601409</v>
      </c>
      <c r="C5998" s="4" t="s">
        <v>302</v>
      </c>
      <c r="D5998" s="4">
        <v>25999</v>
      </c>
      <c r="E5998" s="4">
        <v>20210108</v>
      </c>
      <c r="F5998" s="4">
        <v>20210108</v>
      </c>
      <c r="G5998" s="4">
        <v>20240107</v>
      </c>
      <c r="H5998" s="4" t="s">
        <v>303</v>
      </c>
      <c r="I5998" s="4" t="s">
        <v>302</v>
      </c>
      <c r="J5998" s="4" t="s">
        <v>301</v>
      </c>
    </row>
    <row r="5999" spans="1:10" hidden="1">
      <c r="A5999" s="4">
        <v>2.0210129173E+17</v>
      </c>
      <c r="B5999" s="4">
        <v>3128671042</v>
      </c>
      <c r="C5999" s="4" t="s">
        <v>300</v>
      </c>
      <c r="D5999" s="4">
        <v>29173</v>
      </c>
      <c r="E5999" s="4">
        <v>20210108</v>
      </c>
      <c r="F5999" s="4">
        <v>20210108</v>
      </c>
      <c r="G5999" s="4">
        <v>20211006</v>
      </c>
      <c r="H5999" s="4" t="s">
        <v>299</v>
      </c>
      <c r="I5999" s="4" t="s">
        <v>298</v>
      </c>
      <c r="J5999" s="4" t="s">
        <v>297</v>
      </c>
    </row>
    <row r="6000" spans="1:10" hidden="1">
      <c r="A6000" s="4">
        <v>2.0210173909E+17</v>
      </c>
      <c r="B6000" s="4">
        <v>2988101037</v>
      </c>
      <c r="C6000" s="4" t="s">
        <v>296</v>
      </c>
      <c r="D6000" s="4">
        <v>73909</v>
      </c>
      <c r="E6000" s="4">
        <v>20210108</v>
      </c>
      <c r="F6000" s="4">
        <v>20210108</v>
      </c>
      <c r="G6000" s="4">
        <v>20240107</v>
      </c>
      <c r="H6000" s="4" t="s">
        <v>295</v>
      </c>
      <c r="I6000" s="4" t="s">
        <v>294</v>
      </c>
      <c r="J6000" s="4" t="s">
        <v>293</v>
      </c>
    </row>
    <row r="6001" spans="1:10" hidden="1">
      <c r="A6001" s="4">
        <v>2.0210147912E+17</v>
      </c>
      <c r="B6001" s="4">
        <v>5800101142</v>
      </c>
      <c r="C6001" s="4" t="s">
        <v>292</v>
      </c>
      <c r="D6001" s="4">
        <v>47912</v>
      </c>
      <c r="E6001" s="4">
        <v>20210108</v>
      </c>
      <c r="F6001" s="4">
        <v>20210108</v>
      </c>
      <c r="G6001" s="4">
        <v>20240107</v>
      </c>
      <c r="H6001" s="4" t="s">
        <v>291</v>
      </c>
      <c r="I6001" s="4" t="s">
        <v>290</v>
      </c>
      <c r="J6001" s="4" t="s">
        <v>78</v>
      </c>
    </row>
    <row r="6002" spans="1:10" hidden="1">
      <c r="A6002" s="4">
        <v>2.0210120202E+17</v>
      </c>
      <c r="B6002" s="4">
        <v>4478800565</v>
      </c>
      <c r="C6002" s="4" t="s">
        <v>289</v>
      </c>
      <c r="D6002" s="4">
        <v>20202</v>
      </c>
      <c r="E6002" s="4">
        <v>20210108</v>
      </c>
      <c r="F6002" s="4">
        <v>20210108</v>
      </c>
      <c r="G6002" s="4">
        <v>20231130</v>
      </c>
      <c r="H6002" s="4" t="s">
        <v>288</v>
      </c>
      <c r="J6002" s="4" t="s">
        <v>224</v>
      </c>
    </row>
    <row r="6003" spans="1:10" hidden="1">
      <c r="A6003" s="4">
        <v>2.0210129271E+17</v>
      </c>
      <c r="B6003" s="4">
        <v>4978701937</v>
      </c>
      <c r="C6003" s="4" t="s">
        <v>287</v>
      </c>
      <c r="D6003" s="4">
        <v>29271</v>
      </c>
      <c r="E6003" s="4">
        <v>20210108</v>
      </c>
      <c r="F6003" s="4">
        <v>20210108</v>
      </c>
      <c r="G6003" s="4">
        <v>20240107</v>
      </c>
      <c r="H6003" s="4" t="s">
        <v>286</v>
      </c>
      <c r="I6003" s="4" t="s">
        <v>149</v>
      </c>
      <c r="J6003" s="4" t="s">
        <v>285</v>
      </c>
    </row>
    <row r="6004" spans="1:10" hidden="1">
      <c r="A6004" s="4">
        <v>2.0210142412E+17</v>
      </c>
      <c r="B6004" s="4">
        <v>4548601476</v>
      </c>
      <c r="C6004" s="4" t="s">
        <v>284</v>
      </c>
      <c r="D6004" s="4">
        <v>42412</v>
      </c>
      <c r="E6004" s="4">
        <v>20210108</v>
      </c>
      <c r="F6004" s="4">
        <v>20210108</v>
      </c>
      <c r="G6004" s="4">
        <v>20240107</v>
      </c>
      <c r="H6004" s="4" t="s">
        <v>283</v>
      </c>
      <c r="I6004" s="4" t="s">
        <v>282</v>
      </c>
      <c r="J6004" s="4" t="s">
        <v>281</v>
      </c>
    </row>
    <row r="6005" spans="1:10" hidden="1">
      <c r="A6005" s="4">
        <v>2.0210110619E+17</v>
      </c>
      <c r="B6005" s="4">
        <v>1758701662</v>
      </c>
      <c r="C6005" s="4" t="s">
        <v>280</v>
      </c>
      <c r="D6005" s="4">
        <v>10619</v>
      </c>
      <c r="E6005" s="4">
        <v>20210108</v>
      </c>
      <c r="F6005" s="4">
        <v>20210108</v>
      </c>
      <c r="G6005" s="4">
        <v>20240107</v>
      </c>
      <c r="H6005" s="4" t="s">
        <v>279</v>
      </c>
      <c r="I6005" s="4" t="s">
        <v>91</v>
      </c>
      <c r="J6005" s="4" t="s">
        <v>278</v>
      </c>
    </row>
    <row r="6006" spans="1:10" hidden="1">
      <c r="A6006" s="4">
        <v>2.0210133309E+17</v>
      </c>
      <c r="B6006" s="4">
        <v>5838701301</v>
      </c>
      <c r="C6006" s="4" t="s">
        <v>277</v>
      </c>
      <c r="D6006" s="4">
        <v>33309</v>
      </c>
      <c r="E6006" s="4">
        <v>20210108</v>
      </c>
      <c r="F6006" s="4">
        <v>20210108</v>
      </c>
      <c r="G6006" s="4">
        <v>20240107</v>
      </c>
      <c r="H6006" s="4" t="s">
        <v>276</v>
      </c>
      <c r="J6006" s="4" t="s">
        <v>238</v>
      </c>
    </row>
    <row r="6007" spans="1:10" hidden="1">
      <c r="A6007" s="4">
        <v>2.0210128909E+17</v>
      </c>
      <c r="B6007" s="4">
        <v>5076064703</v>
      </c>
      <c r="C6007" s="4" t="s">
        <v>275</v>
      </c>
      <c r="D6007" s="4">
        <v>28909</v>
      </c>
      <c r="E6007" s="4">
        <v>20210107</v>
      </c>
      <c r="F6007" s="4">
        <v>20210107</v>
      </c>
      <c r="G6007" s="4">
        <v>20240106</v>
      </c>
      <c r="H6007" s="4" t="s">
        <v>274</v>
      </c>
      <c r="I6007" s="4" t="s">
        <v>273</v>
      </c>
      <c r="J6007" s="4" t="s">
        <v>253</v>
      </c>
    </row>
    <row r="6008" spans="1:10" hidden="1">
      <c r="A6008" s="4">
        <v>2.0210125111E+17</v>
      </c>
      <c r="B6008" s="4">
        <v>3213700145</v>
      </c>
      <c r="C6008" s="4" t="s">
        <v>272</v>
      </c>
      <c r="D6008" s="4">
        <v>25111</v>
      </c>
      <c r="E6008" s="4">
        <v>20210107</v>
      </c>
      <c r="F6008" s="4">
        <v>20210107</v>
      </c>
      <c r="G6008" s="4">
        <v>20230428</v>
      </c>
      <c r="H6008" s="4" t="s">
        <v>271</v>
      </c>
      <c r="I6008" s="4" t="s">
        <v>149</v>
      </c>
      <c r="J6008" s="4" t="s">
        <v>82</v>
      </c>
    </row>
    <row r="6009" spans="1:10" hidden="1">
      <c r="A6009" s="4">
        <v>2.0210127309E+17</v>
      </c>
      <c r="B6009" s="4">
        <v>4363100483</v>
      </c>
      <c r="C6009" s="4" t="s">
        <v>270</v>
      </c>
      <c r="D6009" s="4">
        <v>27309</v>
      </c>
      <c r="E6009" s="4">
        <v>20210107</v>
      </c>
      <c r="F6009" s="4">
        <v>20210107</v>
      </c>
      <c r="G6009" s="4">
        <v>20240106</v>
      </c>
      <c r="H6009" s="4" t="s">
        <v>269</v>
      </c>
      <c r="J6009" s="4" t="s">
        <v>268</v>
      </c>
    </row>
    <row r="6010" spans="1:10" hidden="1">
      <c r="A6010" s="4">
        <v>2.0210127213E+17</v>
      </c>
      <c r="B6010" s="4">
        <v>2535400077</v>
      </c>
      <c r="C6010" s="4" t="s">
        <v>267</v>
      </c>
      <c r="D6010" s="4">
        <v>27213</v>
      </c>
      <c r="E6010" s="4">
        <v>20210107</v>
      </c>
      <c r="F6010" s="4">
        <v>20210107</v>
      </c>
      <c r="G6010" s="4">
        <v>20230131</v>
      </c>
      <c r="H6010" s="4" t="s">
        <v>266</v>
      </c>
      <c r="I6010" s="4" t="s">
        <v>265</v>
      </c>
      <c r="J6010" s="4" t="s">
        <v>264</v>
      </c>
    </row>
    <row r="6011" spans="1:10" hidden="1">
      <c r="A6011" s="4">
        <v>2.0210173203E+17</v>
      </c>
      <c r="B6011" s="4">
        <v>7883200926</v>
      </c>
      <c r="C6011" s="4" t="s">
        <v>263</v>
      </c>
      <c r="D6011" s="4">
        <v>73203</v>
      </c>
      <c r="E6011" s="4">
        <v>20210106</v>
      </c>
      <c r="F6011" s="4">
        <v>20210106</v>
      </c>
      <c r="G6011" s="4">
        <v>20240105</v>
      </c>
      <c r="H6011" s="4" t="s">
        <v>262</v>
      </c>
      <c r="I6011" s="4" t="s">
        <v>261</v>
      </c>
      <c r="J6011" s="4" t="s">
        <v>260</v>
      </c>
    </row>
    <row r="6012" spans="1:10" hidden="1">
      <c r="A6012" s="4">
        <v>2.0210147912E+17</v>
      </c>
      <c r="B6012" s="4">
        <v>8551401202</v>
      </c>
      <c r="C6012" s="4" t="s">
        <v>259</v>
      </c>
      <c r="D6012" s="4">
        <v>47912</v>
      </c>
      <c r="E6012" s="4">
        <v>20210106</v>
      </c>
      <c r="F6012" s="4">
        <v>20210106</v>
      </c>
      <c r="G6012" s="4">
        <v>20240105</v>
      </c>
      <c r="H6012" s="4" t="s">
        <v>258</v>
      </c>
      <c r="I6012" s="4" t="s">
        <v>257</v>
      </c>
      <c r="J6012" s="4" t="s">
        <v>78</v>
      </c>
    </row>
    <row r="6013" spans="1:10" hidden="1">
      <c r="A6013" s="4">
        <v>2.0210128909E+17</v>
      </c>
      <c r="B6013" s="4">
        <v>3843000943</v>
      </c>
      <c r="C6013" s="4" t="s">
        <v>256</v>
      </c>
      <c r="D6013" s="4">
        <v>28909</v>
      </c>
      <c r="E6013" s="4">
        <v>20210106</v>
      </c>
      <c r="F6013" s="4">
        <v>20210106</v>
      </c>
      <c r="G6013" s="4">
        <v>20240105</v>
      </c>
      <c r="H6013" s="4" t="s">
        <v>255</v>
      </c>
      <c r="I6013" s="4" t="s">
        <v>254</v>
      </c>
      <c r="J6013" s="4" t="s">
        <v>253</v>
      </c>
    </row>
    <row r="6014" spans="1:10" hidden="1">
      <c r="A6014" s="4">
        <v>2.0210125113E+17</v>
      </c>
      <c r="B6014" s="4">
        <v>5978801141</v>
      </c>
      <c r="C6014" s="4" t="s">
        <v>252</v>
      </c>
      <c r="D6014" s="4">
        <v>25113</v>
      </c>
      <c r="E6014" s="4">
        <v>20210105</v>
      </c>
      <c r="F6014" s="4">
        <v>20210105</v>
      </c>
      <c r="G6014" s="4">
        <v>20240104</v>
      </c>
      <c r="H6014" s="4" t="s">
        <v>251</v>
      </c>
      <c r="I6014" s="4" t="s">
        <v>247</v>
      </c>
      <c r="J6014" s="4" t="s">
        <v>250</v>
      </c>
    </row>
    <row r="6015" spans="1:10" hidden="1">
      <c r="A6015" s="4">
        <v>2.0210125932E+17</v>
      </c>
      <c r="B6015" s="4">
        <v>8848601871</v>
      </c>
      <c r="C6015" s="4" t="s">
        <v>249</v>
      </c>
      <c r="D6015" s="4">
        <v>25932</v>
      </c>
      <c r="E6015" s="4">
        <v>20210105</v>
      </c>
      <c r="F6015" s="4">
        <v>20210105</v>
      </c>
      <c r="G6015" s="4">
        <v>20240104</v>
      </c>
      <c r="H6015" s="4" t="s">
        <v>248</v>
      </c>
      <c r="I6015" s="4" t="s">
        <v>247</v>
      </c>
      <c r="J6015" s="4" t="s">
        <v>246</v>
      </c>
    </row>
    <row r="6016" spans="1:10" hidden="1">
      <c r="A6016" s="4">
        <v>2.0210170209E+17</v>
      </c>
      <c r="B6016" s="4">
        <v>2054426313</v>
      </c>
      <c r="C6016" s="4" t="s">
        <v>245</v>
      </c>
      <c r="D6016" s="4">
        <v>70209</v>
      </c>
      <c r="E6016" s="4">
        <v>20210105</v>
      </c>
      <c r="F6016" s="4">
        <v>20210105</v>
      </c>
      <c r="G6016" s="4">
        <v>20240104</v>
      </c>
      <c r="H6016" s="4" t="s">
        <v>244</v>
      </c>
      <c r="I6016" s="4" t="s">
        <v>243</v>
      </c>
      <c r="J6016" s="4" t="s">
        <v>242</v>
      </c>
    </row>
    <row r="6017" spans="1:10" hidden="1">
      <c r="A6017" s="4">
        <v>2.0210133309E+17</v>
      </c>
      <c r="B6017" s="4">
        <v>1533200284</v>
      </c>
      <c r="C6017" s="4" t="s">
        <v>241</v>
      </c>
      <c r="D6017" s="4">
        <v>33309</v>
      </c>
      <c r="E6017" s="4">
        <v>20210105</v>
      </c>
      <c r="F6017" s="4">
        <v>20210105</v>
      </c>
      <c r="G6017" s="4">
        <v>20240101</v>
      </c>
      <c r="H6017" s="4" t="s">
        <v>240</v>
      </c>
      <c r="I6017" s="4" t="s">
        <v>239</v>
      </c>
      <c r="J6017" s="4" t="s">
        <v>238</v>
      </c>
    </row>
    <row r="6018" spans="1:10" hidden="1">
      <c r="A6018" s="4">
        <v>2.0210120322E+17</v>
      </c>
      <c r="B6018" s="4">
        <v>2658801787</v>
      </c>
      <c r="C6018" s="4" t="s">
        <v>237</v>
      </c>
      <c r="D6018" s="4">
        <v>20322</v>
      </c>
      <c r="E6018" s="4">
        <v>20210105</v>
      </c>
      <c r="F6018" s="4">
        <v>20210105</v>
      </c>
      <c r="G6018" s="4">
        <v>20240104</v>
      </c>
      <c r="H6018" s="4" t="s">
        <v>236</v>
      </c>
      <c r="I6018" s="4">
        <v>230</v>
      </c>
      <c r="J6018" s="4" t="s">
        <v>105</v>
      </c>
    </row>
    <row r="6019" spans="1:10" hidden="1">
      <c r="A6019" s="4">
        <v>2.0210129175E+17</v>
      </c>
      <c r="B6019" s="4">
        <v>2478101820</v>
      </c>
      <c r="C6019" s="4" t="s">
        <v>235</v>
      </c>
      <c r="D6019" s="4">
        <v>29175</v>
      </c>
      <c r="E6019" s="4">
        <v>20210105</v>
      </c>
      <c r="F6019" s="4">
        <v>20210105</v>
      </c>
      <c r="G6019" s="4">
        <v>20240104</v>
      </c>
      <c r="H6019" s="4" t="s">
        <v>234</v>
      </c>
      <c r="I6019" s="4" t="s">
        <v>233</v>
      </c>
      <c r="J6019" s="4" t="s">
        <v>232</v>
      </c>
    </row>
    <row r="6020" spans="1:10" hidden="1">
      <c r="A6020" s="4">
        <v>2.0210158221E+17</v>
      </c>
      <c r="B6020" s="4">
        <v>6351601543</v>
      </c>
      <c r="C6020" s="4" t="s">
        <v>231</v>
      </c>
      <c r="D6020" s="4">
        <v>58221</v>
      </c>
      <c r="E6020" s="4">
        <v>20210105</v>
      </c>
      <c r="F6020" s="4">
        <v>20210105</v>
      </c>
      <c r="G6020" s="4">
        <v>20240104</v>
      </c>
      <c r="H6020" s="4" t="s">
        <v>230</v>
      </c>
      <c r="I6020" s="4" t="s">
        <v>229</v>
      </c>
      <c r="J6020" s="4" t="s">
        <v>228</v>
      </c>
    </row>
    <row r="6021" spans="1:10" hidden="1">
      <c r="A6021" s="4">
        <v>2.0210120202E+17</v>
      </c>
      <c r="B6021" s="4">
        <v>2918601860</v>
      </c>
      <c r="C6021" s="4" t="s">
        <v>227</v>
      </c>
      <c r="D6021" s="4">
        <v>20202</v>
      </c>
      <c r="E6021" s="4">
        <v>20210105</v>
      </c>
      <c r="F6021" s="4">
        <v>20210105</v>
      </c>
      <c r="G6021" s="4">
        <v>20240104</v>
      </c>
      <c r="H6021" s="4" t="s">
        <v>226</v>
      </c>
      <c r="I6021" s="4" t="s">
        <v>225</v>
      </c>
      <c r="J6021" s="4" t="s">
        <v>224</v>
      </c>
    </row>
    <row r="6022" spans="1:10" hidden="1">
      <c r="A6022" s="4">
        <v>2.0210158222E+17</v>
      </c>
      <c r="B6022" s="4">
        <v>8328600696</v>
      </c>
      <c r="C6022" s="4" t="s">
        <v>223</v>
      </c>
      <c r="D6022" s="4">
        <v>58222</v>
      </c>
      <c r="E6022" s="4">
        <v>20210105</v>
      </c>
      <c r="F6022" s="4">
        <v>20210105</v>
      </c>
      <c r="G6022" s="4">
        <v>20240104</v>
      </c>
      <c r="H6022" s="4" t="s">
        <v>222</v>
      </c>
      <c r="I6022" s="4" t="s">
        <v>221</v>
      </c>
      <c r="J6022" s="4" t="s">
        <v>94</v>
      </c>
    </row>
    <row r="6023" spans="1:10" hidden="1">
      <c r="A6023" s="4">
        <v>2.0210171399E+17</v>
      </c>
      <c r="B6023" s="4">
        <v>4640601898</v>
      </c>
      <c r="C6023" s="4" t="s">
        <v>220</v>
      </c>
      <c r="D6023" s="4">
        <v>71399</v>
      </c>
      <c r="E6023" s="4">
        <v>20210105</v>
      </c>
      <c r="F6023" s="4">
        <v>20210105</v>
      </c>
      <c r="G6023" s="4">
        <v>20240104</v>
      </c>
      <c r="H6023" s="4" t="s">
        <v>219</v>
      </c>
      <c r="I6023" s="4" t="s">
        <v>218</v>
      </c>
      <c r="J6023" s="4" t="s">
        <v>217</v>
      </c>
    </row>
    <row r="6024" spans="1:10" hidden="1">
      <c r="A6024" s="4">
        <v>2.0210158222E+17</v>
      </c>
      <c r="B6024" s="4">
        <v>4708101148</v>
      </c>
      <c r="C6024" s="4" t="s">
        <v>216</v>
      </c>
      <c r="D6024" s="4">
        <v>58222</v>
      </c>
      <c r="E6024" s="4">
        <v>20210105</v>
      </c>
      <c r="F6024" s="4">
        <v>20210105</v>
      </c>
      <c r="G6024" s="4">
        <v>20240104</v>
      </c>
      <c r="H6024" s="4" t="s">
        <v>215</v>
      </c>
      <c r="I6024" s="4" t="s">
        <v>185</v>
      </c>
      <c r="J6024" s="4" t="s">
        <v>94</v>
      </c>
    </row>
    <row r="6025" spans="1:10" hidden="1">
      <c r="A6025" s="4">
        <v>2.0210147912E+17</v>
      </c>
      <c r="B6025" s="4">
        <v>5795900289</v>
      </c>
      <c r="C6025" s="4" t="s">
        <v>214</v>
      </c>
      <c r="D6025" s="4">
        <v>47912</v>
      </c>
      <c r="E6025" s="4">
        <v>20210105</v>
      </c>
      <c r="F6025" s="4">
        <v>20210105</v>
      </c>
      <c r="G6025" s="4">
        <v>20240104</v>
      </c>
      <c r="H6025" s="4" t="s">
        <v>213</v>
      </c>
      <c r="I6025" s="4" t="s">
        <v>212</v>
      </c>
      <c r="J6025" s="4" t="s">
        <v>78</v>
      </c>
    </row>
    <row r="6026" spans="1:10" hidden="1">
      <c r="A6026" s="4">
        <v>2.0210146699E+17</v>
      </c>
      <c r="B6026" s="4">
        <v>4372300900</v>
      </c>
      <c r="C6026" s="4" t="s">
        <v>211</v>
      </c>
      <c r="D6026" s="4">
        <v>46699</v>
      </c>
      <c r="E6026" s="4">
        <v>20210105</v>
      </c>
      <c r="F6026" s="4">
        <v>20210105</v>
      </c>
      <c r="G6026" s="4">
        <v>20240104</v>
      </c>
      <c r="H6026" s="4" t="s">
        <v>210</v>
      </c>
      <c r="I6026" s="4" t="s">
        <v>209</v>
      </c>
      <c r="J6026" s="4" t="s">
        <v>208</v>
      </c>
    </row>
    <row r="6027" spans="1:10" hidden="1">
      <c r="A6027" s="4">
        <v>2.0210125923E+17</v>
      </c>
      <c r="B6027" s="4">
        <v>8228701598</v>
      </c>
      <c r="C6027" s="4" t="s">
        <v>207</v>
      </c>
      <c r="D6027" s="4">
        <v>25923</v>
      </c>
      <c r="E6027" s="4">
        <v>20210105</v>
      </c>
      <c r="F6027" s="4">
        <v>20210105</v>
      </c>
      <c r="G6027" s="4">
        <v>20240104</v>
      </c>
      <c r="H6027" s="4" t="s">
        <v>206</v>
      </c>
      <c r="I6027" s="4" t="s">
        <v>205</v>
      </c>
      <c r="J6027" s="4" t="s">
        <v>204</v>
      </c>
    </row>
    <row r="6028" spans="1:10" hidden="1">
      <c r="A6028" s="4">
        <v>2.0210127212E+17</v>
      </c>
      <c r="B6028" s="4">
        <v>2788701597</v>
      </c>
      <c r="C6028" s="4" t="s">
        <v>203</v>
      </c>
      <c r="D6028" s="4">
        <v>27212</v>
      </c>
      <c r="E6028" s="4">
        <v>20210105</v>
      </c>
      <c r="F6028" s="4">
        <v>20210105</v>
      </c>
      <c r="G6028" s="4">
        <v>20240104</v>
      </c>
      <c r="H6028" s="4" t="s">
        <v>202</v>
      </c>
      <c r="I6028" s="4" t="s">
        <v>201</v>
      </c>
      <c r="J6028" s="4" t="s">
        <v>200</v>
      </c>
    </row>
    <row r="6029" spans="1:10">
      <c r="A6029" s="4">
        <v>2.0210458190000198E+17</v>
      </c>
      <c r="B6029" s="4">
        <v>8038800144</v>
      </c>
      <c r="C6029" s="4" t="s">
        <v>6366</v>
      </c>
      <c r="D6029" s="4">
        <v>58190</v>
      </c>
      <c r="E6029" s="4">
        <v>20210409</v>
      </c>
      <c r="F6029" s="4">
        <v>20210409</v>
      </c>
      <c r="G6029" s="4">
        <v>20221102</v>
      </c>
      <c r="H6029" s="4" t="s">
        <v>6365</v>
      </c>
      <c r="I6029" s="4" t="s">
        <v>6364</v>
      </c>
      <c r="J6029" s="4" t="s">
        <v>196</v>
      </c>
    </row>
    <row r="6030" spans="1:10" hidden="1">
      <c r="A6030" s="4">
        <v>2.0210120321E+17</v>
      </c>
      <c r="B6030" s="4">
        <v>5468701831</v>
      </c>
      <c r="C6030" s="4" t="s">
        <v>195</v>
      </c>
      <c r="D6030" s="4">
        <v>20321</v>
      </c>
      <c r="E6030" s="4">
        <v>20210105</v>
      </c>
      <c r="F6030" s="4">
        <v>20210105</v>
      </c>
      <c r="G6030" s="4">
        <v>20240104</v>
      </c>
      <c r="H6030" s="4" t="s">
        <v>194</v>
      </c>
      <c r="I6030" s="4" t="s">
        <v>193</v>
      </c>
      <c r="J6030" s="4" t="s">
        <v>192</v>
      </c>
    </row>
    <row r="6031" spans="1:10" hidden="1">
      <c r="A6031" s="4">
        <v>2.0210128422E+17</v>
      </c>
      <c r="B6031" s="4">
        <v>4420601700</v>
      </c>
      <c r="C6031" s="4" t="s">
        <v>191</v>
      </c>
      <c r="D6031" s="4">
        <v>28422</v>
      </c>
      <c r="E6031" s="4">
        <v>20210105</v>
      </c>
      <c r="F6031" s="4">
        <v>20210105</v>
      </c>
      <c r="G6031" s="4">
        <v>20240104</v>
      </c>
      <c r="H6031" s="4" t="s">
        <v>190</v>
      </c>
      <c r="I6031" s="4" t="s">
        <v>189</v>
      </c>
      <c r="J6031" s="4" t="s">
        <v>188</v>
      </c>
    </row>
    <row r="6032" spans="1:10" hidden="1">
      <c r="A6032" s="4">
        <v>2.0210146499E+17</v>
      </c>
      <c r="B6032" s="4">
        <v>2525700298</v>
      </c>
      <c r="C6032" s="4" t="s">
        <v>187</v>
      </c>
      <c r="D6032" s="4">
        <v>46499</v>
      </c>
      <c r="E6032" s="4">
        <v>20210104</v>
      </c>
      <c r="F6032" s="4">
        <v>20210104</v>
      </c>
      <c r="G6032" s="4">
        <v>20240103</v>
      </c>
      <c r="H6032" s="4" t="s">
        <v>186</v>
      </c>
      <c r="I6032" s="4" t="s">
        <v>185</v>
      </c>
      <c r="J6032" s="4" t="s">
        <v>184</v>
      </c>
    </row>
    <row r="6033" spans="1:10" hidden="1">
      <c r="A6033" s="4">
        <v>2.0210158222E+17</v>
      </c>
      <c r="B6033" s="4">
        <v>7202500048</v>
      </c>
      <c r="C6033" s="4" t="s">
        <v>183</v>
      </c>
      <c r="D6033" s="4">
        <v>58222</v>
      </c>
      <c r="E6033" s="4">
        <v>20210104</v>
      </c>
      <c r="F6033" s="4">
        <v>20210104</v>
      </c>
      <c r="G6033" s="4">
        <v>20220507</v>
      </c>
      <c r="H6033" s="4" t="s">
        <v>182</v>
      </c>
      <c r="I6033" s="4" t="s">
        <v>181</v>
      </c>
      <c r="J6033" s="4" t="s">
        <v>94</v>
      </c>
    </row>
    <row r="6034" spans="1:10" hidden="1">
      <c r="A6034" s="4">
        <v>2.0210133932E+17</v>
      </c>
      <c r="B6034" s="4">
        <v>1110732984</v>
      </c>
      <c r="C6034" s="4" t="s">
        <v>180</v>
      </c>
      <c r="D6034" s="4">
        <v>33932</v>
      </c>
      <c r="E6034" s="4">
        <v>20210104</v>
      </c>
      <c r="F6034" s="4">
        <v>20210104</v>
      </c>
      <c r="G6034" s="4">
        <v>20240103</v>
      </c>
      <c r="H6034" s="4" t="s">
        <v>179</v>
      </c>
      <c r="J6034" s="4" t="s">
        <v>178</v>
      </c>
    </row>
    <row r="6035" spans="1:10" hidden="1">
      <c r="A6035" s="4">
        <v>2.0210126295E+17</v>
      </c>
      <c r="B6035" s="4">
        <v>2081418192</v>
      </c>
      <c r="C6035" s="4" t="s">
        <v>177</v>
      </c>
      <c r="D6035" s="4">
        <v>26295</v>
      </c>
      <c r="E6035" s="4">
        <v>20210104</v>
      </c>
      <c r="F6035" s="4">
        <v>20210104</v>
      </c>
      <c r="G6035" s="4">
        <v>20240103</v>
      </c>
      <c r="H6035" s="4" t="s">
        <v>176</v>
      </c>
      <c r="I6035" s="4" t="s">
        <v>175</v>
      </c>
      <c r="J6035" s="4" t="s">
        <v>174</v>
      </c>
    </row>
    <row r="6036" spans="1:10" hidden="1">
      <c r="A6036" s="4">
        <v>2.021017013E+17</v>
      </c>
      <c r="B6036" s="4">
        <v>7247500268</v>
      </c>
      <c r="C6036" s="4" t="s">
        <v>173</v>
      </c>
      <c r="D6036" s="4">
        <v>70130</v>
      </c>
      <c r="E6036" s="4">
        <v>20210104</v>
      </c>
      <c r="F6036" s="4">
        <v>20210104</v>
      </c>
      <c r="G6036" s="4">
        <v>20240103</v>
      </c>
      <c r="H6036" s="4" t="s">
        <v>172</v>
      </c>
      <c r="I6036" s="4" t="s">
        <v>171</v>
      </c>
      <c r="J6036" s="4" t="s">
        <v>170</v>
      </c>
    </row>
    <row r="6037" spans="1:10" hidden="1">
      <c r="A6037" s="4">
        <v>2.0210129199E+17</v>
      </c>
      <c r="B6037" s="4">
        <v>7652300294</v>
      </c>
      <c r="C6037" s="4" t="s">
        <v>169</v>
      </c>
      <c r="D6037" s="4">
        <v>29199</v>
      </c>
      <c r="E6037" s="4">
        <v>20210104</v>
      </c>
      <c r="F6037" s="4">
        <v>20210104</v>
      </c>
      <c r="G6037" s="4">
        <v>20230418</v>
      </c>
      <c r="H6037" s="4" t="s">
        <v>168</v>
      </c>
      <c r="I6037" s="4" t="s">
        <v>167</v>
      </c>
      <c r="J6037" s="4" t="s">
        <v>166</v>
      </c>
    </row>
    <row r="6038" spans="1:10" hidden="1">
      <c r="A6038" s="4">
        <v>2.0210132099E+17</v>
      </c>
      <c r="B6038" s="4">
        <v>8241201242</v>
      </c>
      <c r="C6038" s="4" t="s">
        <v>165</v>
      </c>
      <c r="D6038" s="4">
        <v>32099</v>
      </c>
      <c r="E6038" s="4">
        <v>20210104</v>
      </c>
      <c r="F6038" s="4">
        <v>20210104</v>
      </c>
      <c r="G6038" s="4">
        <v>20240103</v>
      </c>
      <c r="H6038" s="4" t="s">
        <v>164</v>
      </c>
      <c r="I6038" s="4" t="s">
        <v>163</v>
      </c>
      <c r="J6038" s="4" t="s">
        <v>162</v>
      </c>
    </row>
    <row r="6039" spans="1:10" hidden="1">
      <c r="A6039" s="4">
        <v>2.0210175999E+17</v>
      </c>
      <c r="B6039" s="4">
        <v>4242700974</v>
      </c>
      <c r="C6039" s="4" t="s">
        <v>161</v>
      </c>
      <c r="D6039" s="4">
        <v>75999</v>
      </c>
      <c r="E6039" s="4">
        <v>20210104</v>
      </c>
      <c r="F6039" s="4">
        <v>20210104</v>
      </c>
      <c r="G6039" s="4">
        <v>20240103</v>
      </c>
      <c r="H6039" s="4" t="s">
        <v>160</v>
      </c>
      <c r="I6039" s="4" t="s">
        <v>159</v>
      </c>
      <c r="J6039" s="4" t="s">
        <v>158</v>
      </c>
    </row>
    <row r="6040" spans="1:10" hidden="1">
      <c r="A6040" s="4">
        <v>2.021017521E+17</v>
      </c>
      <c r="B6040" s="4">
        <v>3521001078</v>
      </c>
      <c r="C6040" s="4" t="s">
        <v>157</v>
      </c>
      <c r="D6040" s="4">
        <v>75210</v>
      </c>
      <c r="E6040" s="4">
        <v>20210104</v>
      </c>
      <c r="F6040" s="4">
        <v>20210104</v>
      </c>
      <c r="G6040" s="4">
        <v>20240103</v>
      </c>
      <c r="H6040" s="4" t="s">
        <v>156</v>
      </c>
      <c r="J6040" s="4" t="s">
        <v>155</v>
      </c>
    </row>
    <row r="6041" spans="1:10" hidden="1">
      <c r="A6041" s="4">
        <v>2.021014121E+17</v>
      </c>
      <c r="B6041" s="4">
        <v>1794700674</v>
      </c>
      <c r="C6041" s="4" t="s">
        <v>154</v>
      </c>
      <c r="D6041" s="4">
        <v>41210</v>
      </c>
      <c r="E6041" s="4">
        <v>20210104</v>
      </c>
      <c r="F6041" s="4">
        <v>20210104</v>
      </c>
      <c r="G6041" s="4">
        <v>20240103</v>
      </c>
      <c r="H6041" s="4" t="s">
        <v>153</v>
      </c>
      <c r="J6041" s="4" t="s">
        <v>152</v>
      </c>
    </row>
    <row r="6042" spans="1:10" hidden="1">
      <c r="A6042" s="4">
        <v>2.0210146592E+17</v>
      </c>
      <c r="B6042" s="4">
        <v>8025500065</v>
      </c>
      <c r="C6042" s="4" t="s">
        <v>151</v>
      </c>
      <c r="D6042" s="4">
        <v>46592</v>
      </c>
      <c r="E6042" s="4">
        <v>20210104</v>
      </c>
      <c r="F6042" s="4">
        <v>20210104</v>
      </c>
      <c r="G6042" s="4">
        <v>20220930</v>
      </c>
      <c r="H6042" s="4" t="s">
        <v>150</v>
      </c>
      <c r="I6042" s="4" t="s">
        <v>149</v>
      </c>
      <c r="J6042" s="4" t="s">
        <v>148</v>
      </c>
    </row>
    <row r="6043" spans="1:10" hidden="1">
      <c r="A6043" s="4">
        <v>2.020123312E+17</v>
      </c>
      <c r="B6043" s="4">
        <v>6711300404</v>
      </c>
      <c r="C6043" s="4" t="s">
        <v>147</v>
      </c>
      <c r="D6043" s="4">
        <v>33120</v>
      </c>
      <c r="E6043" s="4">
        <v>20201231</v>
      </c>
      <c r="F6043" s="4">
        <v>20201231</v>
      </c>
      <c r="G6043" s="4">
        <v>20230831</v>
      </c>
      <c r="H6043" s="4" t="s">
        <v>143</v>
      </c>
      <c r="I6043" s="4" t="s">
        <v>146</v>
      </c>
      <c r="J6043" s="4" t="s">
        <v>145</v>
      </c>
    </row>
    <row r="6044" spans="1:10" hidden="1">
      <c r="A6044" s="4">
        <v>2.0201285709E+17</v>
      </c>
      <c r="B6044" s="4">
        <v>4658601684</v>
      </c>
      <c r="C6044" s="4" t="s">
        <v>144</v>
      </c>
      <c r="D6044" s="4">
        <v>85709</v>
      </c>
      <c r="E6044" s="4">
        <v>20201231</v>
      </c>
      <c r="F6044" s="4">
        <v>20201231</v>
      </c>
      <c r="G6044" s="4">
        <v>20231230</v>
      </c>
      <c r="H6044" s="4" t="s">
        <v>143</v>
      </c>
      <c r="I6044" s="4" t="s">
        <v>142</v>
      </c>
      <c r="J6044" s="4" t="s">
        <v>141</v>
      </c>
    </row>
    <row r="6045" spans="1:10" hidden="1">
      <c r="A6045" s="4">
        <v>2.0201229299E+17</v>
      </c>
      <c r="B6045" s="4">
        <v>6108701715</v>
      </c>
      <c r="C6045" s="4" t="s">
        <v>140</v>
      </c>
      <c r="D6045" s="4">
        <v>29299</v>
      </c>
      <c r="E6045" s="4">
        <v>20201231</v>
      </c>
      <c r="F6045" s="4">
        <v>20201231</v>
      </c>
      <c r="G6045" s="4">
        <v>20231230</v>
      </c>
      <c r="H6045" s="4" t="s">
        <v>139</v>
      </c>
      <c r="I6045" s="4" t="s">
        <v>138</v>
      </c>
      <c r="J6045" s="4" t="s">
        <v>137</v>
      </c>
    </row>
    <row r="6046" spans="1:10" hidden="1">
      <c r="A6046" s="4">
        <v>2.0201246109E+17</v>
      </c>
      <c r="B6046" s="4">
        <v>4168701772</v>
      </c>
      <c r="C6046" s="4" t="s">
        <v>136</v>
      </c>
      <c r="D6046" s="4">
        <v>46109</v>
      </c>
      <c r="E6046" s="4">
        <v>20201231</v>
      </c>
      <c r="F6046" s="4">
        <v>20201231</v>
      </c>
      <c r="G6046" s="4">
        <v>20231230</v>
      </c>
      <c r="H6046" s="4" t="s">
        <v>135</v>
      </c>
      <c r="I6046" s="4" t="s">
        <v>134</v>
      </c>
      <c r="J6046" s="4" t="s">
        <v>133</v>
      </c>
    </row>
    <row r="6047" spans="1:10" hidden="1">
      <c r="A6047" s="4">
        <v>2.0201213999E+17</v>
      </c>
      <c r="B6047" s="4">
        <v>1568801237</v>
      </c>
      <c r="C6047" s="4" t="s">
        <v>132</v>
      </c>
      <c r="D6047" s="4">
        <v>13999</v>
      </c>
      <c r="E6047" s="4">
        <v>20201231</v>
      </c>
      <c r="F6047" s="4">
        <v>20201231</v>
      </c>
      <c r="G6047" s="4">
        <v>20231230</v>
      </c>
      <c r="H6047" s="4" t="s">
        <v>131</v>
      </c>
      <c r="J6047" s="4" t="s">
        <v>130</v>
      </c>
    </row>
    <row r="6048" spans="1:10" hidden="1">
      <c r="A6048" s="4">
        <v>2.020124651E+17</v>
      </c>
      <c r="B6048" s="4">
        <v>2618602043</v>
      </c>
      <c r="C6048" s="4" t="s">
        <v>129</v>
      </c>
      <c r="D6048" s="4">
        <v>46510</v>
      </c>
      <c r="E6048" s="4">
        <v>20201231</v>
      </c>
      <c r="F6048" s="4">
        <v>20201231</v>
      </c>
      <c r="G6048" s="4">
        <v>20231230</v>
      </c>
      <c r="H6048" s="4" t="s">
        <v>128</v>
      </c>
      <c r="I6048" s="4" t="s">
        <v>127</v>
      </c>
      <c r="J6048" s="4" t="s">
        <v>126</v>
      </c>
    </row>
    <row r="6049" spans="1:10" hidden="1">
      <c r="A6049" s="4">
        <v>2.0201220492E+17</v>
      </c>
      <c r="B6049" s="4">
        <v>8538700953</v>
      </c>
      <c r="C6049" s="4" t="s">
        <v>125</v>
      </c>
      <c r="D6049" s="4">
        <v>20492</v>
      </c>
      <c r="E6049" s="4">
        <v>20201231</v>
      </c>
      <c r="F6049" s="4">
        <v>20201231</v>
      </c>
      <c r="G6049" s="4">
        <v>20231230</v>
      </c>
      <c r="H6049" s="4" t="s">
        <v>124</v>
      </c>
      <c r="I6049" s="4" t="s">
        <v>123</v>
      </c>
      <c r="J6049" s="4" t="s">
        <v>122</v>
      </c>
    </row>
    <row r="6050" spans="1:10" hidden="1">
      <c r="A6050" s="4">
        <v>2.020126201E+17</v>
      </c>
      <c r="B6050" s="4">
        <v>5638802055</v>
      </c>
      <c r="C6050" s="4" t="s">
        <v>121</v>
      </c>
      <c r="D6050" s="4">
        <v>62010</v>
      </c>
      <c r="E6050" s="4">
        <v>20201231</v>
      </c>
      <c r="F6050" s="4">
        <v>20201231</v>
      </c>
      <c r="G6050" s="4">
        <v>20231230</v>
      </c>
      <c r="H6050" s="4" t="s">
        <v>120</v>
      </c>
      <c r="I6050" s="4" t="s">
        <v>119</v>
      </c>
      <c r="J6050" s="4" t="s">
        <v>118</v>
      </c>
    </row>
    <row r="6051" spans="1:10" hidden="1">
      <c r="A6051" s="4">
        <v>2.0201213229E+17</v>
      </c>
      <c r="B6051" s="4">
        <v>7558601817</v>
      </c>
      <c r="C6051" s="4" t="s">
        <v>117</v>
      </c>
      <c r="D6051" s="4">
        <v>13229</v>
      </c>
      <c r="E6051" s="4">
        <v>20201231</v>
      </c>
      <c r="F6051" s="4">
        <v>20201231</v>
      </c>
      <c r="G6051" s="4">
        <v>20231230</v>
      </c>
      <c r="H6051" s="4" t="s">
        <v>116</v>
      </c>
      <c r="J6051" s="4" t="s">
        <v>115</v>
      </c>
    </row>
    <row r="6052" spans="1:10" hidden="1">
      <c r="A6052" s="4">
        <v>2.0201275992E+17</v>
      </c>
      <c r="B6052" s="4">
        <v>1978800641</v>
      </c>
      <c r="C6052" s="4" t="s">
        <v>114</v>
      </c>
      <c r="D6052" s="4">
        <v>75992</v>
      </c>
      <c r="E6052" s="4">
        <v>20201231</v>
      </c>
      <c r="F6052" s="4">
        <v>20201231</v>
      </c>
      <c r="G6052" s="4">
        <v>20231230</v>
      </c>
      <c r="H6052" s="4" t="s">
        <v>113</v>
      </c>
      <c r="I6052" s="4" t="s">
        <v>112</v>
      </c>
      <c r="J6052" s="4" t="s">
        <v>111</v>
      </c>
    </row>
    <row r="6053" spans="1:10" hidden="1">
      <c r="A6053" s="4">
        <v>2.0201258222E+17</v>
      </c>
      <c r="B6053" s="4">
        <v>8278601878</v>
      </c>
      <c r="C6053" s="4" t="s">
        <v>110</v>
      </c>
      <c r="D6053" s="4">
        <v>58222</v>
      </c>
      <c r="E6053" s="4">
        <v>20201231</v>
      </c>
      <c r="F6053" s="4">
        <v>20201231</v>
      </c>
      <c r="G6053" s="4">
        <v>20231230</v>
      </c>
      <c r="H6053" s="4" t="s">
        <v>109</v>
      </c>
      <c r="I6053" s="4" t="s">
        <v>108</v>
      </c>
      <c r="J6053" s="4" t="s">
        <v>94</v>
      </c>
    </row>
    <row r="6054" spans="1:10" hidden="1">
      <c r="A6054" s="4">
        <v>2.0201220322E+17</v>
      </c>
      <c r="B6054" s="4">
        <v>6148601234</v>
      </c>
      <c r="C6054" s="4" t="s">
        <v>107</v>
      </c>
      <c r="D6054" s="4">
        <v>20322</v>
      </c>
      <c r="E6054" s="4">
        <v>20201231</v>
      </c>
      <c r="F6054" s="4">
        <v>20201231</v>
      </c>
      <c r="G6054" s="4">
        <v>20231230</v>
      </c>
      <c r="H6054" s="4" t="s">
        <v>106</v>
      </c>
      <c r="J6054" s="4" t="s">
        <v>105</v>
      </c>
    </row>
    <row r="6055" spans="1:10" hidden="1">
      <c r="A6055" s="4">
        <v>2.0201247842E+17</v>
      </c>
      <c r="B6055" s="4">
        <v>4103240893</v>
      </c>
      <c r="C6055" s="4" t="s">
        <v>104</v>
      </c>
      <c r="D6055" s="4">
        <v>47842</v>
      </c>
      <c r="E6055" s="4">
        <v>20201230</v>
      </c>
      <c r="F6055" s="4">
        <v>20201230</v>
      </c>
      <c r="G6055" s="4">
        <v>20220201</v>
      </c>
      <c r="H6055" s="4" t="s">
        <v>103</v>
      </c>
      <c r="I6055" s="4" t="s">
        <v>102</v>
      </c>
      <c r="J6055" s="4" t="s">
        <v>101</v>
      </c>
    </row>
    <row r="6056" spans="1:10" hidden="1">
      <c r="A6056" s="4">
        <v>2.0201247912E+17</v>
      </c>
      <c r="B6056" s="4">
        <v>5781401149</v>
      </c>
      <c r="C6056" s="4" t="s">
        <v>100</v>
      </c>
      <c r="D6056" s="4">
        <v>47912</v>
      </c>
      <c r="E6056" s="4">
        <v>20201230</v>
      </c>
      <c r="F6056" s="4">
        <v>20201230</v>
      </c>
      <c r="G6056" s="4">
        <v>20231229</v>
      </c>
      <c r="H6056" s="4" t="s">
        <v>99</v>
      </c>
      <c r="I6056" s="4" t="s">
        <v>98</v>
      </c>
      <c r="J6056" s="4" t="s">
        <v>78</v>
      </c>
    </row>
    <row r="6057" spans="1:10" hidden="1">
      <c r="A6057" s="4">
        <v>2.0201258222E+17</v>
      </c>
      <c r="B6057" s="4">
        <v>1160624385</v>
      </c>
      <c r="C6057" s="4" t="s">
        <v>97</v>
      </c>
      <c r="D6057" s="4">
        <v>58222</v>
      </c>
      <c r="E6057" s="4">
        <v>20201230</v>
      </c>
      <c r="F6057" s="4">
        <v>20201230</v>
      </c>
      <c r="G6057" s="4">
        <v>20231229</v>
      </c>
      <c r="H6057" s="4" t="s">
        <v>96</v>
      </c>
      <c r="I6057" s="4" t="s">
        <v>95</v>
      </c>
      <c r="J6057" s="4" t="s">
        <v>94</v>
      </c>
    </row>
    <row r="6058" spans="1:10" hidden="1">
      <c r="A6058" s="4">
        <v>2.0201271531E+17</v>
      </c>
      <c r="B6058" s="4">
        <v>8960200652</v>
      </c>
      <c r="C6058" s="4" t="s">
        <v>93</v>
      </c>
      <c r="D6058" s="4">
        <v>71531</v>
      </c>
      <c r="E6058" s="4">
        <v>20201230</v>
      </c>
      <c r="F6058" s="4">
        <v>20201230</v>
      </c>
      <c r="G6058" s="4">
        <v>20231229</v>
      </c>
      <c r="H6058" s="4" t="s">
        <v>92</v>
      </c>
      <c r="I6058" s="4" t="s">
        <v>91</v>
      </c>
      <c r="J6058" s="4" t="s">
        <v>87</v>
      </c>
    </row>
    <row r="6059" spans="1:10" hidden="1">
      <c r="A6059" s="4">
        <v>2.0201271531E+17</v>
      </c>
      <c r="B6059" s="4">
        <v>3377600299</v>
      </c>
      <c r="C6059" s="4" t="s">
        <v>90</v>
      </c>
      <c r="D6059" s="4">
        <v>71531</v>
      </c>
      <c r="E6059" s="4">
        <v>20201230</v>
      </c>
      <c r="F6059" s="4">
        <v>20201230</v>
      </c>
      <c r="G6059" s="4">
        <v>20231229</v>
      </c>
      <c r="H6059" s="4" t="s">
        <v>89</v>
      </c>
      <c r="I6059" s="4" t="s">
        <v>88</v>
      </c>
      <c r="J6059" s="4" t="s">
        <v>87</v>
      </c>
    </row>
    <row r="6060" spans="1:10" hidden="1">
      <c r="A6060" s="4">
        <v>2.0201225111E+17</v>
      </c>
      <c r="B6060" s="4">
        <v>5992500600</v>
      </c>
      <c r="C6060" s="4" t="s">
        <v>86</v>
      </c>
      <c r="D6060" s="4">
        <v>25111</v>
      </c>
      <c r="E6060" s="4">
        <v>20201230</v>
      </c>
      <c r="F6060" s="4">
        <v>20201230</v>
      </c>
      <c r="G6060" s="4">
        <v>20231229</v>
      </c>
      <c r="H6060" s="4" t="s">
        <v>85</v>
      </c>
      <c r="J6060" s="4" t="s">
        <v>82</v>
      </c>
    </row>
    <row r="6061" spans="1:10" hidden="1">
      <c r="A6061" s="4">
        <v>2.0201225111E+17</v>
      </c>
      <c r="B6061" s="4">
        <v>4783300725</v>
      </c>
      <c r="C6061" s="4" t="s">
        <v>83</v>
      </c>
      <c r="D6061" s="4">
        <v>25111</v>
      </c>
      <c r="E6061" s="4">
        <v>20201230</v>
      </c>
      <c r="F6061" s="4">
        <v>20201230</v>
      </c>
      <c r="G6061" s="4">
        <v>20231229</v>
      </c>
      <c r="H6061" s="4" t="s">
        <v>84</v>
      </c>
      <c r="I6061" s="4" t="s">
        <v>83</v>
      </c>
      <c r="J6061" s="4" t="s">
        <v>82</v>
      </c>
    </row>
    <row r="6062" spans="1:10" hidden="1">
      <c r="A6062" s="4">
        <v>2.0201247912E+17</v>
      </c>
      <c r="B6062" s="4">
        <v>7134500524</v>
      </c>
      <c r="C6062" s="4" t="s">
        <v>81</v>
      </c>
      <c r="D6062" s="4">
        <v>47912</v>
      </c>
      <c r="E6062" s="4">
        <v>20201230</v>
      </c>
      <c r="F6062" s="4">
        <v>20201230</v>
      </c>
      <c r="G6062" s="4">
        <v>20231229</v>
      </c>
      <c r="H6062" s="4" t="s">
        <v>80</v>
      </c>
      <c r="I6062" s="4" t="s">
        <v>79</v>
      </c>
      <c r="J6062" s="4" t="s">
        <v>78</v>
      </c>
    </row>
  </sheetData>
  <autoFilter ref="A1:J6062">
    <filterColumn colId="9">
      <filters>
        <filter val="경 인쇄업"/>
        <filter val="기타 인쇄관련 산업"/>
        <filter val="기타 인쇄물 출판업"/>
        <filter val="기타 인쇄업"/>
        <filter val="서적 잡지 및 기타 인쇄물 도매업"/>
        <filter val="스크린 인쇄업"/>
        <filter val="연성 및 기타 인쇄회로기판 제조업"/>
        <filter val="오프셋 인쇄업"/>
        <filter val="인쇄 및 제책용 기계 제조업"/>
        <filter val="인쇄용 및 필기용 원지 제조업"/>
      </filters>
    </filterColumn>
    <sortState ref="A16:J6029">
      <sortCondition ref="H1:H6062"/>
    </sortState>
  </autoFilter>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G432"/>
  <sheetViews>
    <sheetView topLeftCell="A220" zoomScaleNormal="100" workbookViewId="0">
      <selection activeCell="E352" sqref="E352"/>
    </sheetView>
  </sheetViews>
  <sheetFormatPr defaultRowHeight="13.5"/>
  <cols>
    <col min="1" max="1" width="5.25" style="8" customWidth="1"/>
    <col min="2" max="2" width="12.625" style="8" customWidth="1"/>
    <col min="3" max="3" width="9" style="8"/>
    <col min="4" max="4" width="14.125" style="8" customWidth="1"/>
    <col min="5" max="6" width="15.125" style="8" bestFit="1" customWidth="1"/>
    <col min="7" max="7" width="13.125" style="8" customWidth="1"/>
    <col min="8" max="8" width="94.875" style="8" bestFit="1" customWidth="1"/>
    <col min="9" max="9" width="13.125" style="8" customWidth="1"/>
    <col min="10" max="10" width="12.75" style="8" customWidth="1"/>
    <col min="11" max="11" width="11.75" style="8" customWidth="1"/>
    <col min="12" max="12" width="83.5" style="8" bestFit="1" customWidth="1"/>
    <col min="13" max="13" width="9" style="8"/>
    <col min="14" max="14" width="18.5" style="8" customWidth="1"/>
    <col min="15" max="15" width="12.375" style="8" customWidth="1"/>
    <col min="16" max="17" width="9" style="8"/>
    <col min="18" max="18" width="18.125" style="8" customWidth="1"/>
    <col min="19" max="19" width="20.75" style="8" customWidth="1"/>
    <col min="20" max="21" width="9" style="8"/>
    <col min="22" max="22" width="26.25" style="8" bestFit="1" customWidth="1"/>
    <col min="23" max="33" width="9" style="8"/>
    <col min="34" max="16384" width="9" style="7"/>
  </cols>
  <sheetData>
    <row r="1" spans="1:33" s="15" customFormat="1" ht="30.75" customHeight="1">
      <c r="A1" s="26" t="s">
        <v>19882</v>
      </c>
      <c r="B1" s="22"/>
      <c r="C1" s="22"/>
      <c r="D1" s="22"/>
      <c r="E1" s="23"/>
      <c r="F1" s="23"/>
      <c r="G1" s="23"/>
      <c r="H1" s="23"/>
      <c r="I1" s="23"/>
      <c r="J1" s="23"/>
      <c r="K1" s="23"/>
      <c r="L1" s="23"/>
      <c r="M1" s="23"/>
      <c r="N1" s="23"/>
      <c r="O1" s="23"/>
      <c r="P1" s="23"/>
      <c r="Q1" s="23"/>
      <c r="R1" s="23"/>
      <c r="S1" s="23"/>
      <c r="T1" s="23"/>
      <c r="U1" s="23"/>
      <c r="V1" s="23"/>
      <c r="W1" s="22"/>
      <c r="X1" s="22"/>
      <c r="Y1" s="22"/>
      <c r="Z1" s="22"/>
      <c r="AA1" s="22"/>
      <c r="AB1" s="22"/>
      <c r="AC1" s="22"/>
      <c r="AD1" s="22"/>
      <c r="AE1" s="22"/>
      <c r="AF1" s="22"/>
      <c r="AG1" s="22"/>
    </row>
    <row r="2" spans="1:33" s="15" customFormat="1" ht="14.25" customHeight="1">
      <c r="A2" s="25"/>
      <c r="B2" s="22"/>
      <c r="C2" s="22"/>
      <c r="D2" s="22"/>
      <c r="E2" s="23"/>
      <c r="F2" s="23"/>
      <c r="G2" s="23"/>
      <c r="H2" s="23"/>
      <c r="I2" s="23"/>
      <c r="J2" s="23"/>
      <c r="K2" s="23"/>
      <c r="L2" s="23"/>
      <c r="M2" s="23"/>
      <c r="N2" s="23"/>
      <c r="O2" s="23"/>
      <c r="P2" s="23"/>
      <c r="Q2" s="23"/>
      <c r="R2" s="23"/>
      <c r="S2" s="23"/>
      <c r="T2" s="23"/>
      <c r="U2" s="23"/>
      <c r="V2" s="23"/>
      <c r="W2" s="22"/>
      <c r="X2" s="22"/>
      <c r="Y2" s="22"/>
      <c r="Z2" s="22"/>
      <c r="AA2" s="22"/>
      <c r="AB2" s="22"/>
      <c r="AC2" s="22"/>
      <c r="AD2" s="22"/>
      <c r="AE2" s="22"/>
      <c r="AF2" s="22"/>
      <c r="AG2" s="22"/>
    </row>
    <row r="3" spans="1:33" s="15" customFormat="1" ht="17.25" customHeight="1">
      <c r="A3" s="24" t="s">
        <v>19881</v>
      </c>
      <c r="B3" s="24"/>
      <c r="C3" s="22"/>
      <c r="D3" s="22"/>
      <c r="E3" s="23"/>
      <c r="F3" s="23"/>
      <c r="G3" s="23"/>
      <c r="H3" s="23"/>
      <c r="I3" s="23"/>
      <c r="J3" s="23"/>
      <c r="K3" s="23"/>
      <c r="L3" s="23"/>
      <c r="M3" s="23"/>
      <c r="N3" s="23"/>
      <c r="O3" s="23"/>
      <c r="P3" s="23"/>
      <c r="Q3" s="23"/>
      <c r="R3" s="23"/>
      <c r="S3" s="23"/>
      <c r="T3" s="23"/>
      <c r="U3" s="23"/>
      <c r="V3" s="23"/>
      <c r="W3" s="22"/>
      <c r="X3" s="22"/>
      <c r="Y3" s="22"/>
      <c r="Z3" s="22"/>
      <c r="AA3" s="22"/>
      <c r="AB3" s="22"/>
      <c r="AC3" s="22"/>
      <c r="AD3" s="22"/>
      <c r="AE3" s="22"/>
      <c r="AF3" s="22"/>
      <c r="AG3" s="22"/>
    </row>
    <row r="4" spans="1:33" s="15" customFormat="1" ht="16.5">
      <c r="A4" s="208" t="s">
        <v>19880</v>
      </c>
      <c r="B4" s="208"/>
      <c r="C4" s="208"/>
      <c r="D4" s="208"/>
      <c r="E4" s="208"/>
      <c r="F4" s="208"/>
      <c r="G4" s="208"/>
      <c r="H4" s="205" t="s">
        <v>19879</v>
      </c>
      <c r="I4" s="205"/>
      <c r="J4" s="205"/>
      <c r="K4" s="205"/>
      <c r="L4" s="205"/>
      <c r="M4" s="206" t="s">
        <v>19878</v>
      </c>
      <c r="N4" s="206"/>
      <c r="O4" s="206"/>
      <c r="P4" s="206"/>
      <c r="Q4" s="206"/>
      <c r="R4" s="206"/>
      <c r="S4" s="206"/>
      <c r="T4" s="206"/>
      <c r="U4" s="206"/>
      <c r="V4" s="207" t="s">
        <v>19877</v>
      </c>
      <c r="W4" s="207"/>
      <c r="X4" s="207"/>
      <c r="Y4" s="207"/>
      <c r="Z4" s="207"/>
      <c r="AA4" s="207"/>
      <c r="AB4" s="207"/>
      <c r="AC4" s="207"/>
      <c r="AD4" s="207"/>
      <c r="AE4" s="207"/>
      <c r="AF4" s="207"/>
      <c r="AG4" s="207"/>
    </row>
    <row r="5" spans="1:33" s="15" customFormat="1" ht="27" customHeight="1">
      <c r="A5" s="21" t="s">
        <v>19876</v>
      </c>
      <c r="B5" s="21" t="s">
        <v>19875</v>
      </c>
      <c r="C5" s="21" t="s">
        <v>19874</v>
      </c>
      <c r="D5" s="21" t="s">
        <v>19873</v>
      </c>
      <c r="E5" s="21" t="s">
        <v>19872</v>
      </c>
      <c r="F5" s="21" t="s">
        <v>19871</v>
      </c>
      <c r="G5" s="20" t="s">
        <v>19870</v>
      </c>
      <c r="H5" s="19" t="s">
        <v>19869</v>
      </c>
      <c r="I5" s="19" t="s">
        <v>19868</v>
      </c>
      <c r="J5" s="19" t="s">
        <v>19867</v>
      </c>
      <c r="K5" s="19" t="s">
        <v>19866</v>
      </c>
      <c r="L5" s="19" t="s">
        <v>19865</v>
      </c>
      <c r="M5" s="18" t="s">
        <v>19864</v>
      </c>
      <c r="N5" s="18" t="s">
        <v>19863</v>
      </c>
      <c r="O5" s="18" t="s">
        <v>19862</v>
      </c>
      <c r="P5" s="18" t="s">
        <v>19861</v>
      </c>
      <c r="Q5" s="18" t="s">
        <v>19860</v>
      </c>
      <c r="R5" s="18" t="s">
        <v>19859</v>
      </c>
      <c r="S5" s="18" t="s">
        <v>19858</v>
      </c>
      <c r="T5" s="18" t="s">
        <v>19857</v>
      </c>
      <c r="U5" s="18" t="s">
        <v>19856</v>
      </c>
      <c r="V5" s="17" t="s">
        <v>19855</v>
      </c>
      <c r="W5" s="16" t="s">
        <v>19852</v>
      </c>
      <c r="X5" s="16" t="s">
        <v>19851</v>
      </c>
      <c r="Y5" s="17" t="s">
        <v>19854</v>
      </c>
      <c r="Z5" s="16" t="s">
        <v>19852</v>
      </c>
      <c r="AA5" s="16" t="s">
        <v>19848</v>
      </c>
      <c r="AB5" s="17" t="s">
        <v>19853</v>
      </c>
      <c r="AC5" s="16" t="s">
        <v>19852</v>
      </c>
      <c r="AD5" s="16" t="s">
        <v>19851</v>
      </c>
      <c r="AE5" s="17" t="s">
        <v>19850</v>
      </c>
      <c r="AF5" s="16" t="s">
        <v>19849</v>
      </c>
      <c r="AG5" s="16" t="s">
        <v>19848</v>
      </c>
    </row>
    <row r="6" spans="1:33">
      <c r="A6" s="9">
        <v>1</v>
      </c>
      <c r="B6" s="9" t="s">
        <v>19847</v>
      </c>
      <c r="C6" s="9" t="s">
        <v>15155</v>
      </c>
      <c r="D6" s="9" t="s">
        <v>18967</v>
      </c>
      <c r="E6" s="12">
        <v>44315</v>
      </c>
      <c r="F6" s="12">
        <v>44679</v>
      </c>
      <c r="G6" s="12" t="s">
        <v>14702</v>
      </c>
      <c r="H6" s="9" t="s">
        <v>19846</v>
      </c>
      <c r="I6" s="9" t="s">
        <v>19845</v>
      </c>
      <c r="J6" s="9">
        <v>4321170802</v>
      </c>
      <c r="K6" s="9" t="s">
        <v>19844</v>
      </c>
      <c r="L6" s="9" t="s">
        <v>19843</v>
      </c>
      <c r="M6" s="10" t="s">
        <v>18963</v>
      </c>
      <c r="N6" s="10" t="s">
        <v>19842</v>
      </c>
      <c r="O6" s="9" t="s">
        <v>19841</v>
      </c>
      <c r="P6" s="9" t="s">
        <v>19840</v>
      </c>
      <c r="Q6" s="9" t="s">
        <v>19839</v>
      </c>
      <c r="R6" s="9" t="s">
        <v>19838</v>
      </c>
      <c r="S6" s="9" t="s">
        <v>19837</v>
      </c>
      <c r="T6" s="9" t="s">
        <v>14815</v>
      </c>
      <c r="U6" s="9" t="s">
        <v>19836</v>
      </c>
      <c r="V6" s="9" t="s">
        <v>15374</v>
      </c>
      <c r="W6" s="9" t="s">
        <v>19835</v>
      </c>
      <c r="X6" s="9" t="s">
        <v>19834</v>
      </c>
      <c r="Y6" s="9"/>
      <c r="Z6" s="9"/>
      <c r="AA6" s="9" t="s">
        <v>15389</v>
      </c>
      <c r="AB6" s="9"/>
      <c r="AC6" s="9"/>
      <c r="AD6" s="9" t="s">
        <v>15389</v>
      </c>
      <c r="AE6" s="9"/>
      <c r="AF6" s="9"/>
      <c r="AG6" s="9" t="s">
        <v>15389</v>
      </c>
    </row>
    <row r="7" spans="1:33">
      <c r="A7" s="9">
        <v>2</v>
      </c>
      <c r="B7" s="9" t="s">
        <v>19833</v>
      </c>
      <c r="C7" s="9" t="s">
        <v>14705</v>
      </c>
      <c r="D7" s="9" t="s">
        <v>18967</v>
      </c>
      <c r="E7" s="12">
        <v>44315</v>
      </c>
      <c r="F7" s="12">
        <v>44850</v>
      </c>
      <c r="G7" s="12" t="s">
        <v>14702</v>
      </c>
      <c r="H7" s="9" t="s">
        <v>19832</v>
      </c>
      <c r="I7" s="9" t="s">
        <v>19831</v>
      </c>
      <c r="J7" s="9">
        <v>4016150801</v>
      </c>
      <c r="K7" s="9" t="s">
        <v>19830</v>
      </c>
      <c r="L7" s="9" t="s">
        <v>19829</v>
      </c>
      <c r="M7" s="10" t="s">
        <v>19006</v>
      </c>
      <c r="N7" s="10" t="s">
        <v>19828</v>
      </c>
      <c r="O7" s="9" t="s">
        <v>19827</v>
      </c>
      <c r="P7" s="9" t="s">
        <v>19826</v>
      </c>
      <c r="Q7" s="9" t="s">
        <v>19825</v>
      </c>
      <c r="R7" s="9" t="s">
        <v>19824</v>
      </c>
      <c r="S7" s="9" t="s">
        <v>19823</v>
      </c>
      <c r="T7" s="9" t="s">
        <v>15678</v>
      </c>
      <c r="U7" s="9" t="s">
        <v>19822</v>
      </c>
      <c r="V7" s="9" t="s">
        <v>77</v>
      </c>
      <c r="W7" s="9" t="s">
        <v>19821</v>
      </c>
      <c r="X7" s="9" t="s">
        <v>19655</v>
      </c>
      <c r="Y7" s="9"/>
      <c r="Z7" s="9"/>
      <c r="AA7" s="9" t="s">
        <v>15389</v>
      </c>
      <c r="AB7" s="9"/>
      <c r="AC7" s="9"/>
      <c r="AD7" s="9" t="s">
        <v>15389</v>
      </c>
      <c r="AE7" s="9"/>
      <c r="AF7" s="9"/>
      <c r="AG7" s="9" t="s">
        <v>15389</v>
      </c>
    </row>
    <row r="8" spans="1:33">
      <c r="A8" s="9">
        <v>3</v>
      </c>
      <c r="B8" s="9" t="s">
        <v>19820</v>
      </c>
      <c r="C8" s="9" t="s">
        <v>15155</v>
      </c>
      <c r="D8" s="9" t="s">
        <v>18967</v>
      </c>
      <c r="E8" s="12">
        <v>44315</v>
      </c>
      <c r="F8" s="12">
        <v>44676</v>
      </c>
      <c r="G8" s="12" t="s">
        <v>14702</v>
      </c>
      <c r="H8" s="9" t="s">
        <v>19819</v>
      </c>
      <c r="I8" s="9" t="s">
        <v>19818</v>
      </c>
      <c r="J8" s="9">
        <v>4810189901</v>
      </c>
      <c r="K8" s="9" t="s">
        <v>19817</v>
      </c>
      <c r="L8" s="9" t="s">
        <v>19816</v>
      </c>
      <c r="M8" s="10" t="s">
        <v>18963</v>
      </c>
      <c r="N8" s="10" t="s">
        <v>19815</v>
      </c>
      <c r="O8" s="9" t="s">
        <v>19814</v>
      </c>
      <c r="P8" s="9" t="s">
        <v>19813</v>
      </c>
      <c r="Q8" s="9" t="s">
        <v>19813</v>
      </c>
      <c r="R8" s="9" t="s">
        <v>19812</v>
      </c>
      <c r="S8" s="9" t="s">
        <v>19811</v>
      </c>
      <c r="T8" s="9" t="s">
        <v>14712</v>
      </c>
      <c r="U8" s="9" t="s">
        <v>19810</v>
      </c>
      <c r="V8" s="9" t="s">
        <v>15139</v>
      </c>
      <c r="W8" s="9" t="s">
        <v>19809</v>
      </c>
      <c r="X8" s="9" t="s">
        <v>16785</v>
      </c>
      <c r="Y8" s="9"/>
      <c r="Z8" s="9"/>
      <c r="AA8" s="9" t="s">
        <v>15389</v>
      </c>
      <c r="AB8" s="9"/>
      <c r="AC8" s="9"/>
      <c r="AD8" s="9" t="s">
        <v>15389</v>
      </c>
      <c r="AE8" s="9"/>
      <c r="AF8" s="9"/>
      <c r="AG8" s="9" t="s">
        <v>15389</v>
      </c>
    </row>
    <row r="9" spans="1:33">
      <c r="A9" s="9">
        <v>4</v>
      </c>
      <c r="B9" s="9" t="s">
        <v>19808</v>
      </c>
      <c r="C9" s="9" t="s">
        <v>14705</v>
      </c>
      <c r="D9" s="9" t="s">
        <v>18967</v>
      </c>
      <c r="E9" s="12">
        <v>44315</v>
      </c>
      <c r="F9" s="12">
        <v>45339</v>
      </c>
      <c r="G9" s="12" t="s">
        <v>14702</v>
      </c>
      <c r="H9" s="9" t="s">
        <v>15413</v>
      </c>
      <c r="I9" s="9" t="s">
        <v>19807</v>
      </c>
      <c r="J9" s="9">
        <v>5215165001</v>
      </c>
      <c r="K9" s="9" t="s">
        <v>15413</v>
      </c>
      <c r="L9" s="9" t="s">
        <v>19035</v>
      </c>
      <c r="M9" s="10" t="s">
        <v>19021</v>
      </c>
      <c r="N9" s="10" t="s">
        <v>19034</v>
      </c>
      <c r="O9" s="9" t="s">
        <v>19033</v>
      </c>
      <c r="P9" s="9" t="s">
        <v>19032</v>
      </c>
      <c r="Q9" s="9" t="s">
        <v>19031</v>
      </c>
      <c r="R9" s="9" t="s">
        <v>19030</v>
      </c>
      <c r="S9" s="9" t="s">
        <v>19029</v>
      </c>
      <c r="T9" s="9" t="s">
        <v>14725</v>
      </c>
      <c r="U9" s="9" t="s">
        <v>19028</v>
      </c>
      <c r="V9" s="9" t="s">
        <v>15846</v>
      </c>
      <c r="W9" s="9" t="s">
        <v>19806</v>
      </c>
      <c r="X9" s="9" t="s">
        <v>19026</v>
      </c>
      <c r="Y9" s="9"/>
      <c r="Z9" s="9"/>
      <c r="AA9" s="9" t="s">
        <v>15389</v>
      </c>
      <c r="AB9" s="9"/>
      <c r="AC9" s="9"/>
      <c r="AD9" s="9" t="s">
        <v>15389</v>
      </c>
      <c r="AE9" s="9"/>
      <c r="AF9" s="9"/>
      <c r="AG9" s="9" t="s">
        <v>15389</v>
      </c>
    </row>
    <row r="10" spans="1:33">
      <c r="A10" s="9">
        <v>5</v>
      </c>
      <c r="B10" s="9" t="s">
        <v>19805</v>
      </c>
      <c r="C10" s="9" t="s">
        <v>14705</v>
      </c>
      <c r="D10" s="9" t="s">
        <v>18967</v>
      </c>
      <c r="E10" s="12">
        <v>44315</v>
      </c>
      <c r="F10" s="12">
        <v>45227</v>
      </c>
      <c r="G10" s="12" t="s">
        <v>14702</v>
      </c>
      <c r="H10" s="9" t="s">
        <v>19804</v>
      </c>
      <c r="I10" s="9" t="s">
        <v>19803</v>
      </c>
      <c r="J10" s="9">
        <v>3912103901</v>
      </c>
      <c r="K10" s="9" t="s">
        <v>19802</v>
      </c>
      <c r="L10" s="9" t="s">
        <v>19801</v>
      </c>
      <c r="M10" s="10" t="s">
        <v>19006</v>
      </c>
      <c r="N10" s="10" t="s">
        <v>19800</v>
      </c>
      <c r="O10" s="9" t="s">
        <v>19799</v>
      </c>
      <c r="P10" s="9" t="s">
        <v>19798</v>
      </c>
      <c r="Q10" s="9" t="s">
        <v>19797</v>
      </c>
      <c r="R10" s="9" t="s">
        <v>19796</v>
      </c>
      <c r="S10" s="9" t="s">
        <v>19795</v>
      </c>
      <c r="T10" s="9" t="s">
        <v>14692</v>
      </c>
      <c r="U10" s="9" t="s">
        <v>19794</v>
      </c>
      <c r="V10" s="9" t="s">
        <v>19014</v>
      </c>
      <c r="W10" s="9" t="s">
        <v>19793</v>
      </c>
      <c r="X10" s="9" t="s">
        <v>19151</v>
      </c>
      <c r="Y10" s="9"/>
      <c r="Z10" s="9"/>
      <c r="AA10" s="9" t="s">
        <v>15389</v>
      </c>
      <c r="AB10" s="9"/>
      <c r="AC10" s="9"/>
      <c r="AD10" s="9" t="s">
        <v>15389</v>
      </c>
      <c r="AE10" s="9"/>
      <c r="AF10" s="9"/>
      <c r="AG10" s="9" t="s">
        <v>15389</v>
      </c>
    </row>
    <row r="11" spans="1:33">
      <c r="A11" s="9">
        <v>6</v>
      </c>
      <c r="B11" s="9" t="s">
        <v>19792</v>
      </c>
      <c r="C11" s="9" t="s">
        <v>14705</v>
      </c>
      <c r="D11" s="9" t="s">
        <v>18967</v>
      </c>
      <c r="E11" s="12">
        <v>44315</v>
      </c>
      <c r="F11" s="12">
        <v>45339</v>
      </c>
      <c r="G11" s="12" t="s">
        <v>14702</v>
      </c>
      <c r="H11" s="9" t="s">
        <v>19036</v>
      </c>
      <c r="I11" s="9" t="s">
        <v>19791</v>
      </c>
      <c r="J11" s="9">
        <v>5610153801</v>
      </c>
      <c r="K11" s="9" t="s">
        <v>19036</v>
      </c>
      <c r="L11" s="9" t="s">
        <v>19790</v>
      </c>
      <c r="M11" s="10" t="s">
        <v>18963</v>
      </c>
      <c r="N11" s="10" t="s">
        <v>19785</v>
      </c>
      <c r="O11" s="9" t="s">
        <v>19784</v>
      </c>
      <c r="P11" s="9" t="s">
        <v>19783</v>
      </c>
      <c r="Q11" s="9" t="s">
        <v>19782</v>
      </c>
      <c r="R11" s="9" t="s">
        <v>19781</v>
      </c>
      <c r="S11" s="9" t="s">
        <v>19780</v>
      </c>
      <c r="T11" s="9" t="s">
        <v>15488</v>
      </c>
      <c r="U11" s="9" t="s">
        <v>19779</v>
      </c>
      <c r="V11" s="9" t="s">
        <v>15846</v>
      </c>
      <c r="W11" s="9" t="s">
        <v>19789</v>
      </c>
      <c r="X11" s="9" t="s">
        <v>19026</v>
      </c>
      <c r="Y11" s="9"/>
      <c r="Z11" s="9"/>
      <c r="AA11" s="9" t="s">
        <v>15389</v>
      </c>
      <c r="AB11" s="9"/>
      <c r="AC11" s="9"/>
      <c r="AD11" s="9" t="s">
        <v>15389</v>
      </c>
      <c r="AE11" s="9"/>
      <c r="AF11" s="9"/>
      <c r="AG11" s="9" t="s">
        <v>15389</v>
      </c>
    </row>
    <row r="12" spans="1:33">
      <c r="A12" s="9">
        <v>7</v>
      </c>
      <c r="B12" s="9" t="s">
        <v>19788</v>
      </c>
      <c r="C12" s="9" t="s">
        <v>14705</v>
      </c>
      <c r="D12" s="9" t="s">
        <v>18967</v>
      </c>
      <c r="E12" s="12">
        <v>44315</v>
      </c>
      <c r="F12" s="12">
        <v>45339</v>
      </c>
      <c r="G12" s="12" t="s">
        <v>14702</v>
      </c>
      <c r="H12" s="9" t="s">
        <v>15413</v>
      </c>
      <c r="I12" s="9" t="s">
        <v>19787</v>
      </c>
      <c r="J12" s="9">
        <v>5215165001</v>
      </c>
      <c r="K12" s="9" t="s">
        <v>15413</v>
      </c>
      <c r="L12" s="9" t="s">
        <v>19786</v>
      </c>
      <c r="M12" s="10" t="s">
        <v>18963</v>
      </c>
      <c r="N12" s="10" t="s">
        <v>19785</v>
      </c>
      <c r="O12" s="9" t="s">
        <v>19784</v>
      </c>
      <c r="P12" s="9" t="s">
        <v>19783</v>
      </c>
      <c r="Q12" s="9" t="s">
        <v>19782</v>
      </c>
      <c r="R12" s="9" t="s">
        <v>19781</v>
      </c>
      <c r="S12" s="9" t="s">
        <v>19780</v>
      </c>
      <c r="T12" s="9" t="s">
        <v>15488</v>
      </c>
      <c r="U12" s="9" t="s">
        <v>19779</v>
      </c>
      <c r="V12" s="9" t="s">
        <v>15846</v>
      </c>
      <c r="W12" s="9" t="s">
        <v>19778</v>
      </c>
      <c r="X12" s="9" t="s">
        <v>19026</v>
      </c>
      <c r="Y12" s="9"/>
      <c r="Z12" s="9"/>
      <c r="AA12" s="9" t="s">
        <v>15389</v>
      </c>
      <c r="AB12" s="9"/>
      <c r="AC12" s="9"/>
      <c r="AD12" s="9" t="s">
        <v>15389</v>
      </c>
      <c r="AE12" s="9"/>
      <c r="AF12" s="9"/>
      <c r="AG12" s="9" t="s">
        <v>15389</v>
      </c>
    </row>
    <row r="13" spans="1:33">
      <c r="A13" s="9">
        <v>8</v>
      </c>
      <c r="B13" s="9" t="s">
        <v>19777</v>
      </c>
      <c r="C13" s="9" t="s">
        <v>14705</v>
      </c>
      <c r="D13" s="9" t="s">
        <v>18967</v>
      </c>
      <c r="E13" s="12">
        <v>44315</v>
      </c>
      <c r="F13" s="12">
        <v>45249</v>
      </c>
      <c r="G13" s="12" t="s">
        <v>14702</v>
      </c>
      <c r="H13" s="9" t="s">
        <v>19776</v>
      </c>
      <c r="I13" s="9" t="s">
        <v>19775</v>
      </c>
      <c r="J13" s="9">
        <v>3012170202</v>
      </c>
      <c r="K13" s="9" t="s">
        <v>19774</v>
      </c>
      <c r="L13" s="9" t="s">
        <v>19773</v>
      </c>
      <c r="M13" s="10" t="s">
        <v>19006</v>
      </c>
      <c r="N13" s="10" t="s">
        <v>19772</v>
      </c>
      <c r="O13" s="9" t="s">
        <v>19771</v>
      </c>
      <c r="P13" s="9" t="s">
        <v>19770</v>
      </c>
      <c r="Q13" s="9" t="s">
        <v>19769</v>
      </c>
      <c r="R13" s="9" t="s">
        <v>19768</v>
      </c>
      <c r="S13" s="9" t="s">
        <v>19767</v>
      </c>
      <c r="T13" s="9" t="s">
        <v>15588</v>
      </c>
      <c r="U13" s="9" t="s">
        <v>19766</v>
      </c>
      <c r="V13" s="9" t="s">
        <v>77</v>
      </c>
      <c r="W13" s="9" t="s">
        <v>19765</v>
      </c>
      <c r="X13" s="9" t="s">
        <v>19764</v>
      </c>
      <c r="Y13" s="9"/>
      <c r="Z13" s="9"/>
      <c r="AA13" s="9" t="s">
        <v>15389</v>
      </c>
      <c r="AB13" s="9"/>
      <c r="AC13" s="9"/>
      <c r="AD13" s="9" t="s">
        <v>15389</v>
      </c>
      <c r="AE13" s="9"/>
      <c r="AF13" s="9"/>
      <c r="AG13" s="9" t="s">
        <v>15389</v>
      </c>
    </row>
    <row r="14" spans="1:33">
      <c r="A14" s="9">
        <v>9</v>
      </c>
      <c r="B14" s="9" t="s">
        <v>19763</v>
      </c>
      <c r="C14" s="9" t="s">
        <v>15155</v>
      </c>
      <c r="D14" s="9" t="s">
        <v>18967</v>
      </c>
      <c r="E14" s="12">
        <v>44315</v>
      </c>
      <c r="F14" s="12">
        <v>45859</v>
      </c>
      <c r="G14" s="12" t="s">
        <v>14702</v>
      </c>
      <c r="H14" s="9" t="s">
        <v>19762</v>
      </c>
      <c r="I14" s="9" t="s">
        <v>19761</v>
      </c>
      <c r="J14" s="9">
        <v>4619167101</v>
      </c>
      <c r="K14" s="9" t="s">
        <v>19214</v>
      </c>
      <c r="L14" s="9" t="s">
        <v>19760</v>
      </c>
      <c r="M14" s="10" t="s">
        <v>18991</v>
      </c>
      <c r="N14" s="10" t="s">
        <v>19759</v>
      </c>
      <c r="O14" s="9" t="s">
        <v>19758</v>
      </c>
      <c r="P14" s="9" t="s">
        <v>19757</v>
      </c>
      <c r="Q14" s="9" t="s">
        <v>19756</v>
      </c>
      <c r="R14" s="9" t="s">
        <v>19755</v>
      </c>
      <c r="S14" s="9" t="s">
        <v>19754</v>
      </c>
      <c r="T14" s="9" t="s">
        <v>14725</v>
      </c>
      <c r="U14" s="9" t="s">
        <v>19753</v>
      </c>
      <c r="V14" s="9" t="s">
        <v>14868</v>
      </c>
      <c r="W14" s="9" t="s">
        <v>19752</v>
      </c>
      <c r="X14" s="9" t="s">
        <v>19751</v>
      </c>
      <c r="Y14" s="9"/>
      <c r="Z14" s="9"/>
      <c r="AA14" s="9" t="s">
        <v>15389</v>
      </c>
      <c r="AB14" s="9"/>
      <c r="AC14" s="9"/>
      <c r="AD14" s="9" t="s">
        <v>15389</v>
      </c>
      <c r="AE14" s="9"/>
      <c r="AF14" s="9"/>
      <c r="AG14" s="9" t="s">
        <v>15389</v>
      </c>
    </row>
    <row r="15" spans="1:33">
      <c r="A15" s="9">
        <v>10</v>
      </c>
      <c r="B15" s="9" t="s">
        <v>19750</v>
      </c>
      <c r="C15" s="9" t="s">
        <v>14705</v>
      </c>
      <c r="D15" s="9" t="s">
        <v>18967</v>
      </c>
      <c r="E15" s="12">
        <v>44315</v>
      </c>
      <c r="F15" s="12">
        <v>45275</v>
      </c>
      <c r="G15" s="12" t="s">
        <v>14702</v>
      </c>
      <c r="H15" s="9" t="s">
        <v>19749</v>
      </c>
      <c r="I15" s="9" t="s">
        <v>19748</v>
      </c>
      <c r="J15" s="9">
        <v>2410160101</v>
      </c>
      <c r="K15" s="9" t="s">
        <v>19747</v>
      </c>
      <c r="L15" s="9" t="s">
        <v>19746</v>
      </c>
      <c r="M15" s="10" t="s">
        <v>18963</v>
      </c>
      <c r="N15" s="10" t="s">
        <v>19745</v>
      </c>
      <c r="O15" s="9" t="s">
        <v>19744</v>
      </c>
      <c r="P15" s="9" t="s">
        <v>19743</v>
      </c>
      <c r="Q15" s="9" t="s">
        <v>19742</v>
      </c>
      <c r="R15" s="9" t="s">
        <v>19741</v>
      </c>
      <c r="S15" s="9" t="s">
        <v>19740</v>
      </c>
      <c r="T15" s="9" t="s">
        <v>14815</v>
      </c>
      <c r="U15" s="9" t="s">
        <v>19739</v>
      </c>
      <c r="V15" s="9" t="s">
        <v>14754</v>
      </c>
      <c r="W15" s="9" t="s">
        <v>19738</v>
      </c>
      <c r="X15" s="9" t="s">
        <v>19737</v>
      </c>
      <c r="Y15" s="9"/>
      <c r="Z15" s="9"/>
      <c r="AA15" s="9" t="s">
        <v>15389</v>
      </c>
      <c r="AB15" s="9"/>
      <c r="AC15" s="9"/>
      <c r="AD15" s="9" t="s">
        <v>15389</v>
      </c>
      <c r="AE15" s="9"/>
      <c r="AF15" s="9"/>
      <c r="AG15" s="9" t="s">
        <v>15389</v>
      </c>
    </row>
    <row r="16" spans="1:33">
      <c r="A16" s="9">
        <v>11</v>
      </c>
      <c r="B16" s="9" t="s">
        <v>19736</v>
      </c>
      <c r="C16" s="9" t="s">
        <v>14750</v>
      </c>
      <c r="D16" s="9" t="s">
        <v>18967</v>
      </c>
      <c r="E16" s="12">
        <v>44315</v>
      </c>
      <c r="F16" s="12">
        <v>45227</v>
      </c>
      <c r="G16" s="12" t="s">
        <v>14702</v>
      </c>
      <c r="H16" s="9" t="s">
        <v>19735</v>
      </c>
      <c r="I16" s="9" t="s">
        <v>19734</v>
      </c>
      <c r="J16" s="9">
        <v>4111331901</v>
      </c>
      <c r="K16" s="9" t="s">
        <v>18838</v>
      </c>
      <c r="L16" s="9" t="s">
        <v>19733</v>
      </c>
      <c r="M16" s="10" t="s">
        <v>18991</v>
      </c>
      <c r="N16" s="10" t="s">
        <v>19732</v>
      </c>
      <c r="O16" s="9" t="s">
        <v>19731</v>
      </c>
      <c r="P16" s="9" t="s">
        <v>19730</v>
      </c>
      <c r="Q16" s="9" t="s">
        <v>19729</v>
      </c>
      <c r="R16" s="9" t="s">
        <v>19728</v>
      </c>
      <c r="S16" s="9" t="s">
        <v>19727</v>
      </c>
      <c r="T16" s="9" t="s">
        <v>14725</v>
      </c>
      <c r="U16" s="9" t="s">
        <v>19726</v>
      </c>
      <c r="V16" s="9" t="s">
        <v>19014</v>
      </c>
      <c r="W16" s="9" t="s">
        <v>19725</v>
      </c>
      <c r="X16" s="9" t="s">
        <v>19151</v>
      </c>
      <c r="Y16" s="9"/>
      <c r="Z16" s="9"/>
      <c r="AA16" s="9" t="s">
        <v>15389</v>
      </c>
      <c r="AB16" s="9"/>
      <c r="AC16" s="9"/>
      <c r="AD16" s="9" t="s">
        <v>15389</v>
      </c>
      <c r="AE16" s="9"/>
      <c r="AF16" s="9"/>
      <c r="AG16" s="9" t="s">
        <v>15389</v>
      </c>
    </row>
    <row r="17" spans="1:33">
      <c r="A17" s="9">
        <v>12</v>
      </c>
      <c r="B17" s="9" t="s">
        <v>19724</v>
      </c>
      <c r="C17" s="9" t="s">
        <v>15155</v>
      </c>
      <c r="D17" s="9" t="s">
        <v>18967</v>
      </c>
      <c r="E17" s="12">
        <v>44315</v>
      </c>
      <c r="F17" s="12">
        <v>45105</v>
      </c>
      <c r="G17" s="12" t="s">
        <v>14702</v>
      </c>
      <c r="H17" s="9" t="s">
        <v>19723</v>
      </c>
      <c r="I17" s="9" t="s">
        <v>19723</v>
      </c>
      <c r="J17" s="9">
        <v>4323320501</v>
      </c>
      <c r="K17" s="9" t="s">
        <v>15740</v>
      </c>
      <c r="L17" s="9" t="s">
        <v>19722</v>
      </c>
      <c r="M17" s="10" t="s">
        <v>18963</v>
      </c>
      <c r="N17" s="10" t="s">
        <v>19721</v>
      </c>
      <c r="O17" s="9" t="s">
        <v>19720</v>
      </c>
      <c r="P17" s="9" t="s">
        <v>19719</v>
      </c>
      <c r="Q17" s="9" t="s">
        <v>19719</v>
      </c>
      <c r="R17" s="9" t="s">
        <v>19718</v>
      </c>
      <c r="S17" s="9" t="s">
        <v>19717</v>
      </c>
      <c r="T17" s="9" t="s">
        <v>14815</v>
      </c>
      <c r="U17" s="9" t="s">
        <v>19716</v>
      </c>
      <c r="V17" s="9" t="s">
        <v>15243</v>
      </c>
      <c r="W17" s="9" t="s">
        <v>19715</v>
      </c>
      <c r="X17" s="9" t="s">
        <v>17881</v>
      </c>
      <c r="Y17" s="9"/>
      <c r="Z17" s="9"/>
      <c r="AA17" s="9" t="s">
        <v>15389</v>
      </c>
      <c r="AB17" s="9"/>
      <c r="AC17" s="9"/>
      <c r="AD17" s="9" t="s">
        <v>15389</v>
      </c>
      <c r="AE17" s="9"/>
      <c r="AF17" s="9"/>
      <c r="AG17" s="9" t="s">
        <v>15389</v>
      </c>
    </row>
    <row r="18" spans="1:33">
      <c r="A18" s="9">
        <v>13</v>
      </c>
      <c r="B18" s="9" t="s">
        <v>19714</v>
      </c>
      <c r="C18" s="9" t="s">
        <v>15155</v>
      </c>
      <c r="D18" s="9" t="s">
        <v>18967</v>
      </c>
      <c r="E18" s="12">
        <v>44315</v>
      </c>
      <c r="F18" s="12">
        <v>44679</v>
      </c>
      <c r="G18" s="12" t="s">
        <v>14702</v>
      </c>
      <c r="H18" s="9" t="s">
        <v>19713</v>
      </c>
      <c r="I18" s="9" t="s">
        <v>19712</v>
      </c>
      <c r="J18" s="9">
        <v>2110239701</v>
      </c>
      <c r="K18" s="9" t="s">
        <v>19711</v>
      </c>
      <c r="L18" s="9" t="s">
        <v>19710</v>
      </c>
      <c r="M18" s="10" t="s">
        <v>18991</v>
      </c>
      <c r="N18" s="10" t="s">
        <v>19709</v>
      </c>
      <c r="O18" s="9" t="s">
        <v>19708</v>
      </c>
      <c r="P18" s="9" t="s">
        <v>19707</v>
      </c>
      <c r="Q18" s="9" t="s">
        <v>19706</v>
      </c>
      <c r="R18" s="9" t="s">
        <v>19705</v>
      </c>
      <c r="S18" s="9" t="s">
        <v>19704</v>
      </c>
      <c r="T18" s="9" t="s">
        <v>14787</v>
      </c>
      <c r="U18" s="9" t="s">
        <v>19703</v>
      </c>
      <c r="V18" s="9" t="s">
        <v>15139</v>
      </c>
      <c r="W18" s="9" t="s">
        <v>19702</v>
      </c>
      <c r="X18" s="9" t="s">
        <v>19701</v>
      </c>
      <c r="Y18" s="9"/>
      <c r="Z18" s="9"/>
      <c r="AA18" s="9" t="s">
        <v>15389</v>
      </c>
      <c r="AB18" s="9"/>
      <c r="AC18" s="9"/>
      <c r="AD18" s="9" t="s">
        <v>15389</v>
      </c>
      <c r="AE18" s="9"/>
      <c r="AF18" s="9"/>
      <c r="AG18" s="9" t="s">
        <v>15389</v>
      </c>
    </row>
    <row r="19" spans="1:33">
      <c r="A19" s="9">
        <v>14</v>
      </c>
      <c r="B19" s="9" t="s">
        <v>19700</v>
      </c>
      <c r="C19" s="9" t="s">
        <v>15155</v>
      </c>
      <c r="D19" s="9" t="s">
        <v>18967</v>
      </c>
      <c r="E19" s="12">
        <v>44315</v>
      </c>
      <c r="F19" s="12">
        <v>44925</v>
      </c>
      <c r="G19" s="12" t="s">
        <v>14702</v>
      </c>
      <c r="H19" s="9" t="s">
        <v>19699</v>
      </c>
      <c r="I19" s="9" t="s">
        <v>19698</v>
      </c>
      <c r="J19" s="9">
        <v>1216400101</v>
      </c>
      <c r="K19" s="9" t="s">
        <v>19697</v>
      </c>
      <c r="L19" s="9" t="s">
        <v>19696</v>
      </c>
      <c r="M19" s="10" t="s">
        <v>19006</v>
      </c>
      <c r="N19" s="10" t="s">
        <v>19695</v>
      </c>
      <c r="O19" s="9" t="s">
        <v>19694</v>
      </c>
      <c r="P19" s="9" t="s">
        <v>19693</v>
      </c>
      <c r="Q19" s="9" t="s">
        <v>19692</v>
      </c>
      <c r="R19" s="9" t="s">
        <v>19691</v>
      </c>
      <c r="S19" s="9" t="s">
        <v>19690</v>
      </c>
      <c r="T19" s="9" t="s">
        <v>14692</v>
      </c>
      <c r="U19" s="9" t="s">
        <v>19689</v>
      </c>
      <c r="V19" s="9" t="s">
        <v>14868</v>
      </c>
      <c r="W19" s="9" t="s">
        <v>19688</v>
      </c>
      <c r="X19" s="9" t="s">
        <v>19177</v>
      </c>
      <c r="Y19" s="9"/>
      <c r="Z19" s="9"/>
      <c r="AA19" s="9" t="s">
        <v>15389</v>
      </c>
      <c r="AB19" s="9"/>
      <c r="AC19" s="9"/>
      <c r="AD19" s="9" t="s">
        <v>15389</v>
      </c>
      <c r="AE19" s="9"/>
      <c r="AF19" s="9"/>
      <c r="AG19" s="9" t="s">
        <v>15389</v>
      </c>
    </row>
    <row r="20" spans="1:33">
      <c r="A20" s="9">
        <v>15</v>
      </c>
      <c r="B20" s="9" t="s">
        <v>19687</v>
      </c>
      <c r="C20" s="9" t="s">
        <v>15155</v>
      </c>
      <c r="D20" s="9" t="s">
        <v>18967</v>
      </c>
      <c r="E20" s="12">
        <v>44315</v>
      </c>
      <c r="F20" s="12">
        <v>44926</v>
      </c>
      <c r="G20" s="12" t="s">
        <v>14702</v>
      </c>
      <c r="H20" s="9" t="s">
        <v>19686</v>
      </c>
      <c r="I20" s="9" t="s">
        <v>19685</v>
      </c>
      <c r="J20" s="9">
        <v>4111369902</v>
      </c>
      <c r="K20" s="9" t="s">
        <v>19684</v>
      </c>
      <c r="L20" s="9" t="s">
        <v>19683</v>
      </c>
      <c r="M20" s="10" t="s">
        <v>19682</v>
      </c>
      <c r="N20" s="10" t="s">
        <v>19681</v>
      </c>
      <c r="O20" s="9" t="s">
        <v>19680</v>
      </c>
      <c r="P20" s="9" t="s">
        <v>19679</v>
      </c>
      <c r="Q20" s="9" t="s">
        <v>19678</v>
      </c>
      <c r="R20" s="9" t="s">
        <v>19677</v>
      </c>
      <c r="S20" s="9" t="s">
        <v>19676</v>
      </c>
      <c r="T20" s="9" t="s">
        <v>14725</v>
      </c>
      <c r="U20" s="9" t="s">
        <v>19675</v>
      </c>
      <c r="V20" s="9" t="s">
        <v>16215</v>
      </c>
      <c r="W20" s="9" t="s">
        <v>19674</v>
      </c>
      <c r="X20" s="9" t="s">
        <v>19673</v>
      </c>
      <c r="Y20" s="9"/>
      <c r="Z20" s="9"/>
      <c r="AA20" s="9" t="s">
        <v>15389</v>
      </c>
      <c r="AB20" s="9"/>
      <c r="AC20" s="9"/>
      <c r="AD20" s="9" t="s">
        <v>15389</v>
      </c>
      <c r="AE20" s="9"/>
      <c r="AF20" s="9"/>
      <c r="AG20" s="9" t="s">
        <v>15389</v>
      </c>
    </row>
    <row r="21" spans="1:33">
      <c r="A21" s="9">
        <v>16</v>
      </c>
      <c r="B21" s="9" t="s">
        <v>19672</v>
      </c>
      <c r="C21" s="9" t="s">
        <v>14705</v>
      </c>
      <c r="D21" s="9" t="s">
        <v>18967</v>
      </c>
      <c r="E21" s="12">
        <v>44315</v>
      </c>
      <c r="F21" s="12">
        <v>45339</v>
      </c>
      <c r="G21" s="12" t="s">
        <v>14702</v>
      </c>
      <c r="H21" s="9" t="s">
        <v>19036</v>
      </c>
      <c r="I21" s="9" t="s">
        <v>19671</v>
      </c>
      <c r="J21" s="9">
        <v>5610153801</v>
      </c>
      <c r="K21" s="9" t="s">
        <v>19036</v>
      </c>
      <c r="L21" s="9" t="s">
        <v>19670</v>
      </c>
      <c r="M21" s="10" t="s">
        <v>19006</v>
      </c>
      <c r="N21" s="10" t="s">
        <v>19651</v>
      </c>
      <c r="O21" s="9" t="s">
        <v>19650</v>
      </c>
      <c r="P21" s="9" t="s">
        <v>17973</v>
      </c>
      <c r="Q21" s="9" t="s">
        <v>19649</v>
      </c>
      <c r="R21" s="9" t="s">
        <v>19648</v>
      </c>
      <c r="S21" s="9" t="s">
        <v>19647</v>
      </c>
      <c r="T21" s="9" t="s">
        <v>14773</v>
      </c>
      <c r="U21" s="9" t="s">
        <v>19646</v>
      </c>
      <c r="V21" s="9" t="s">
        <v>15846</v>
      </c>
      <c r="W21" s="9" t="s">
        <v>19669</v>
      </c>
      <c r="X21" s="9" t="s">
        <v>19026</v>
      </c>
      <c r="Y21" s="9"/>
      <c r="Z21" s="9"/>
      <c r="AA21" s="9" t="s">
        <v>15389</v>
      </c>
      <c r="AB21" s="9"/>
      <c r="AC21" s="9"/>
      <c r="AD21" s="9" t="s">
        <v>15389</v>
      </c>
      <c r="AE21" s="9"/>
      <c r="AF21" s="9"/>
      <c r="AG21" s="9" t="s">
        <v>15389</v>
      </c>
    </row>
    <row r="22" spans="1:33">
      <c r="A22" s="9">
        <v>17</v>
      </c>
      <c r="B22" s="9" t="s">
        <v>19668</v>
      </c>
      <c r="C22" s="9" t="s">
        <v>14705</v>
      </c>
      <c r="D22" s="9" t="s">
        <v>18967</v>
      </c>
      <c r="E22" s="12">
        <v>44315</v>
      </c>
      <c r="F22" s="12">
        <v>44850</v>
      </c>
      <c r="G22" s="12" t="s">
        <v>14702</v>
      </c>
      <c r="H22" s="9" t="s">
        <v>19667</v>
      </c>
      <c r="I22" s="9" t="s">
        <v>19666</v>
      </c>
      <c r="J22" s="9">
        <v>4111220701</v>
      </c>
      <c r="K22" s="9" t="s">
        <v>19665</v>
      </c>
      <c r="L22" s="9" t="s">
        <v>19664</v>
      </c>
      <c r="M22" s="10" t="s">
        <v>19021</v>
      </c>
      <c r="N22" s="10" t="s">
        <v>19663</v>
      </c>
      <c r="O22" s="9" t="s">
        <v>19662</v>
      </c>
      <c r="P22" s="9" t="s">
        <v>19661</v>
      </c>
      <c r="Q22" s="9" t="s">
        <v>19660</v>
      </c>
      <c r="R22" s="9" t="s">
        <v>19659</v>
      </c>
      <c r="S22" s="9" t="s">
        <v>19658</v>
      </c>
      <c r="T22" s="9" t="s">
        <v>14725</v>
      </c>
      <c r="U22" s="9" t="s">
        <v>19657</v>
      </c>
      <c r="V22" s="9" t="s">
        <v>77</v>
      </c>
      <c r="W22" s="9" t="s">
        <v>19656</v>
      </c>
      <c r="X22" s="9" t="s">
        <v>19655</v>
      </c>
      <c r="Y22" s="9"/>
      <c r="Z22" s="9"/>
      <c r="AA22" s="9" t="s">
        <v>15389</v>
      </c>
      <c r="AB22" s="9"/>
      <c r="AC22" s="9"/>
      <c r="AD22" s="9" t="s">
        <v>15389</v>
      </c>
      <c r="AE22" s="9"/>
      <c r="AF22" s="9"/>
      <c r="AG22" s="9" t="s">
        <v>15389</v>
      </c>
    </row>
    <row r="23" spans="1:33">
      <c r="A23" s="9">
        <v>18</v>
      </c>
      <c r="B23" s="9" t="s">
        <v>19654</v>
      </c>
      <c r="C23" s="9" t="s">
        <v>14705</v>
      </c>
      <c r="D23" s="9" t="s">
        <v>18967</v>
      </c>
      <c r="E23" s="12">
        <v>44315</v>
      </c>
      <c r="F23" s="12">
        <v>45339</v>
      </c>
      <c r="G23" s="12" t="s">
        <v>14702</v>
      </c>
      <c r="H23" s="9" t="s">
        <v>15413</v>
      </c>
      <c r="I23" s="9" t="s">
        <v>19653</v>
      </c>
      <c r="J23" s="9">
        <v>5215165001</v>
      </c>
      <c r="K23" s="9" t="s">
        <v>15413</v>
      </c>
      <c r="L23" s="9" t="s">
        <v>19652</v>
      </c>
      <c r="M23" s="10" t="s">
        <v>19021</v>
      </c>
      <c r="N23" s="10" t="s">
        <v>19651</v>
      </c>
      <c r="O23" s="9" t="s">
        <v>19650</v>
      </c>
      <c r="P23" s="9" t="s">
        <v>17973</v>
      </c>
      <c r="Q23" s="9" t="s">
        <v>19649</v>
      </c>
      <c r="R23" s="9" t="s">
        <v>19648</v>
      </c>
      <c r="S23" s="9" t="s">
        <v>19647</v>
      </c>
      <c r="T23" s="9" t="s">
        <v>14773</v>
      </c>
      <c r="U23" s="9" t="s">
        <v>19646</v>
      </c>
      <c r="V23" s="9" t="s">
        <v>15846</v>
      </c>
      <c r="W23" s="9" t="s">
        <v>19645</v>
      </c>
      <c r="X23" s="9" t="s">
        <v>19026</v>
      </c>
      <c r="Y23" s="9"/>
      <c r="Z23" s="9"/>
      <c r="AA23" s="9" t="s">
        <v>15389</v>
      </c>
      <c r="AB23" s="9"/>
      <c r="AC23" s="9"/>
      <c r="AD23" s="9" t="s">
        <v>15389</v>
      </c>
      <c r="AE23" s="9"/>
      <c r="AF23" s="9"/>
      <c r="AG23" s="9" t="s">
        <v>15389</v>
      </c>
    </row>
    <row r="24" spans="1:33">
      <c r="A24" s="9">
        <v>19</v>
      </c>
      <c r="B24" s="9" t="s">
        <v>19644</v>
      </c>
      <c r="C24" s="9" t="s">
        <v>14750</v>
      </c>
      <c r="D24" s="9" t="s">
        <v>18967</v>
      </c>
      <c r="E24" s="12">
        <v>44315</v>
      </c>
      <c r="F24" s="12">
        <v>45157</v>
      </c>
      <c r="G24" s="12" t="s">
        <v>14702</v>
      </c>
      <c r="H24" s="9" t="s">
        <v>19643</v>
      </c>
      <c r="I24" s="9" t="s">
        <v>19643</v>
      </c>
      <c r="J24" s="9">
        <v>8111151310</v>
      </c>
      <c r="K24" s="9" t="s">
        <v>19642</v>
      </c>
      <c r="L24" s="9" t="s">
        <v>19641</v>
      </c>
      <c r="M24" s="10" t="s">
        <v>18991</v>
      </c>
      <c r="N24" s="10" t="s">
        <v>19640</v>
      </c>
      <c r="O24" s="9" t="s">
        <v>19639</v>
      </c>
      <c r="P24" s="9" t="s">
        <v>19638</v>
      </c>
      <c r="Q24" s="9" t="s">
        <v>19637</v>
      </c>
      <c r="R24" s="9" t="s">
        <v>19636</v>
      </c>
      <c r="S24" s="9" t="s">
        <v>19635</v>
      </c>
      <c r="T24" s="9" t="s">
        <v>15349</v>
      </c>
      <c r="U24" s="9" t="s">
        <v>19634</v>
      </c>
      <c r="V24" s="9" t="s">
        <v>15243</v>
      </c>
      <c r="W24" s="9" t="s">
        <v>19633</v>
      </c>
      <c r="X24" s="9" t="s">
        <v>19632</v>
      </c>
      <c r="Y24" s="9"/>
      <c r="Z24" s="9"/>
      <c r="AA24" s="9" t="s">
        <v>15389</v>
      </c>
      <c r="AB24" s="9"/>
      <c r="AC24" s="9"/>
      <c r="AD24" s="9" t="s">
        <v>15389</v>
      </c>
      <c r="AE24" s="9"/>
      <c r="AF24" s="9"/>
      <c r="AG24" s="9" t="s">
        <v>15389</v>
      </c>
    </row>
    <row r="25" spans="1:33">
      <c r="A25" s="9">
        <v>20</v>
      </c>
      <c r="B25" s="9" t="s">
        <v>19631</v>
      </c>
      <c r="C25" s="9" t="s">
        <v>15155</v>
      </c>
      <c r="D25" s="9" t="s">
        <v>18967</v>
      </c>
      <c r="E25" s="12">
        <v>44315</v>
      </c>
      <c r="F25" s="12">
        <v>44679</v>
      </c>
      <c r="G25" s="12" t="s">
        <v>14702</v>
      </c>
      <c r="H25" s="9" t="s">
        <v>19629</v>
      </c>
      <c r="I25" s="9" t="s">
        <v>19630</v>
      </c>
      <c r="J25" s="9">
        <v>4810161502</v>
      </c>
      <c r="K25" s="9" t="s">
        <v>19629</v>
      </c>
      <c r="L25" s="9" t="s">
        <v>19628</v>
      </c>
      <c r="M25" s="10" t="s">
        <v>18991</v>
      </c>
      <c r="N25" s="10" t="s">
        <v>7514</v>
      </c>
      <c r="O25" s="9" t="s">
        <v>19627</v>
      </c>
      <c r="P25" s="9" t="s">
        <v>15076</v>
      </c>
      <c r="Q25" s="9" t="s">
        <v>19626</v>
      </c>
      <c r="R25" s="9" t="s">
        <v>19625</v>
      </c>
      <c r="S25" s="9" t="s">
        <v>19624</v>
      </c>
      <c r="T25" s="9" t="s">
        <v>14725</v>
      </c>
      <c r="U25" s="9" t="s">
        <v>19623</v>
      </c>
      <c r="V25" s="9" t="s">
        <v>15374</v>
      </c>
      <c r="W25" s="9" t="s">
        <v>19622</v>
      </c>
      <c r="X25" s="9" t="s">
        <v>17881</v>
      </c>
      <c r="Y25" s="9"/>
      <c r="Z25" s="9"/>
      <c r="AA25" s="9" t="s">
        <v>15389</v>
      </c>
      <c r="AB25" s="9"/>
      <c r="AC25" s="9"/>
      <c r="AD25" s="9" t="s">
        <v>15389</v>
      </c>
      <c r="AE25" s="9"/>
      <c r="AF25" s="9"/>
      <c r="AG25" s="9" t="s">
        <v>15389</v>
      </c>
    </row>
    <row r="26" spans="1:33">
      <c r="A26" s="9">
        <v>21</v>
      </c>
      <c r="B26" s="9" t="s">
        <v>19621</v>
      </c>
      <c r="C26" s="9" t="s">
        <v>14750</v>
      </c>
      <c r="D26" s="9" t="s">
        <v>18967</v>
      </c>
      <c r="E26" s="12">
        <v>44315</v>
      </c>
      <c r="F26" s="12">
        <v>45316</v>
      </c>
      <c r="G26" s="12" t="s">
        <v>14702</v>
      </c>
      <c r="H26" s="9" t="s">
        <v>19620</v>
      </c>
      <c r="I26" s="9" t="s">
        <v>19619</v>
      </c>
      <c r="J26" s="9">
        <v>5215165001</v>
      </c>
      <c r="K26" s="9" t="s">
        <v>15413</v>
      </c>
      <c r="L26" s="9" t="s">
        <v>19618</v>
      </c>
      <c r="M26" s="10" t="s">
        <v>18991</v>
      </c>
      <c r="N26" s="10" t="s">
        <v>10320</v>
      </c>
      <c r="O26" s="9" t="s">
        <v>19613</v>
      </c>
      <c r="P26" s="9" t="s">
        <v>19612</v>
      </c>
      <c r="Q26" s="9" t="s">
        <v>19612</v>
      </c>
      <c r="R26" s="9" t="s">
        <v>19611</v>
      </c>
      <c r="S26" s="9" t="s">
        <v>19610</v>
      </c>
      <c r="T26" s="9" t="s">
        <v>14725</v>
      </c>
      <c r="U26" s="9" t="s">
        <v>19609</v>
      </c>
      <c r="V26" s="9" t="s">
        <v>77</v>
      </c>
      <c r="W26" s="9" t="s">
        <v>19608</v>
      </c>
      <c r="X26" s="9" t="s">
        <v>19607</v>
      </c>
      <c r="Y26" s="9"/>
      <c r="Z26" s="9"/>
      <c r="AA26" s="9" t="s">
        <v>15389</v>
      </c>
      <c r="AB26" s="9"/>
      <c r="AC26" s="9"/>
      <c r="AD26" s="9" t="s">
        <v>15389</v>
      </c>
      <c r="AE26" s="9"/>
      <c r="AF26" s="9"/>
      <c r="AG26" s="9" t="s">
        <v>15389</v>
      </c>
    </row>
    <row r="27" spans="1:33">
      <c r="A27" s="9">
        <v>22</v>
      </c>
      <c r="B27" s="9" t="s">
        <v>19617</v>
      </c>
      <c r="C27" s="9" t="s">
        <v>14750</v>
      </c>
      <c r="D27" s="9" t="s">
        <v>18967</v>
      </c>
      <c r="E27" s="12">
        <v>44315</v>
      </c>
      <c r="F27" s="12">
        <v>45316</v>
      </c>
      <c r="G27" s="12" t="s">
        <v>14702</v>
      </c>
      <c r="H27" s="9" t="s">
        <v>19616</v>
      </c>
      <c r="I27" s="9" t="s">
        <v>19615</v>
      </c>
      <c r="J27" s="9">
        <v>5610153801</v>
      </c>
      <c r="K27" s="9" t="s">
        <v>19036</v>
      </c>
      <c r="L27" s="9" t="s">
        <v>19614</v>
      </c>
      <c r="M27" s="10" t="s">
        <v>18963</v>
      </c>
      <c r="N27" s="10" t="s">
        <v>10320</v>
      </c>
      <c r="O27" s="9" t="s">
        <v>19613</v>
      </c>
      <c r="P27" s="9" t="s">
        <v>19612</v>
      </c>
      <c r="Q27" s="9" t="s">
        <v>19612</v>
      </c>
      <c r="R27" s="9" t="s">
        <v>19611</v>
      </c>
      <c r="S27" s="9" t="s">
        <v>19610</v>
      </c>
      <c r="T27" s="9" t="s">
        <v>14725</v>
      </c>
      <c r="U27" s="9" t="s">
        <v>19609</v>
      </c>
      <c r="V27" s="9" t="s">
        <v>77</v>
      </c>
      <c r="W27" s="9" t="s">
        <v>19608</v>
      </c>
      <c r="X27" s="9" t="s">
        <v>19607</v>
      </c>
      <c r="Y27" s="9"/>
      <c r="Z27" s="9"/>
      <c r="AA27" s="9" t="s">
        <v>15389</v>
      </c>
      <c r="AB27" s="9"/>
      <c r="AC27" s="9"/>
      <c r="AD27" s="9" t="s">
        <v>15389</v>
      </c>
      <c r="AE27" s="9"/>
      <c r="AF27" s="9"/>
      <c r="AG27" s="9" t="s">
        <v>15389</v>
      </c>
    </row>
    <row r="28" spans="1:33">
      <c r="A28" s="9">
        <v>23</v>
      </c>
      <c r="B28" s="9" t="s">
        <v>19606</v>
      </c>
      <c r="C28" s="9" t="s">
        <v>15155</v>
      </c>
      <c r="D28" s="9" t="s">
        <v>18967</v>
      </c>
      <c r="E28" s="12">
        <v>44315</v>
      </c>
      <c r="F28" s="12">
        <v>44561</v>
      </c>
      <c r="G28" s="12" t="s">
        <v>14702</v>
      </c>
      <c r="H28" s="9" t="s">
        <v>19605</v>
      </c>
      <c r="I28" s="9" t="s">
        <v>19604</v>
      </c>
      <c r="J28" s="9">
        <v>9999992008</v>
      </c>
      <c r="K28" s="9" t="s">
        <v>19603</v>
      </c>
      <c r="L28" s="9" t="s">
        <v>19602</v>
      </c>
      <c r="M28" s="10" t="s">
        <v>19006</v>
      </c>
      <c r="N28" s="10" t="s">
        <v>19601</v>
      </c>
      <c r="O28" s="9" t="s">
        <v>19600</v>
      </c>
      <c r="P28" s="9" t="s">
        <v>19599</v>
      </c>
      <c r="Q28" s="9" t="s">
        <v>19598</v>
      </c>
      <c r="R28" s="9" t="s">
        <v>19597</v>
      </c>
      <c r="S28" s="9" t="s">
        <v>19596</v>
      </c>
      <c r="T28" s="9" t="s">
        <v>14815</v>
      </c>
      <c r="U28" s="9" t="s">
        <v>19595</v>
      </c>
      <c r="V28" s="9" t="s">
        <v>16215</v>
      </c>
      <c r="W28" s="9" t="s">
        <v>16214</v>
      </c>
      <c r="X28" s="9" t="s">
        <v>16213</v>
      </c>
      <c r="Y28" s="9"/>
      <c r="Z28" s="9"/>
      <c r="AA28" s="9" t="s">
        <v>15389</v>
      </c>
      <c r="AB28" s="9"/>
      <c r="AC28" s="9"/>
      <c r="AD28" s="9" t="s">
        <v>15389</v>
      </c>
      <c r="AE28" s="9"/>
      <c r="AF28" s="9"/>
      <c r="AG28" s="9" t="s">
        <v>15389</v>
      </c>
    </row>
    <row r="29" spans="1:33">
      <c r="A29" s="9">
        <v>24</v>
      </c>
      <c r="B29" s="9" t="s">
        <v>19594</v>
      </c>
      <c r="C29" s="9" t="s">
        <v>15155</v>
      </c>
      <c r="D29" s="9" t="s">
        <v>18967</v>
      </c>
      <c r="E29" s="12">
        <v>44315</v>
      </c>
      <c r="F29" s="12">
        <v>45319</v>
      </c>
      <c r="G29" s="12" t="s">
        <v>14702</v>
      </c>
      <c r="H29" s="9" t="s">
        <v>19593</v>
      </c>
      <c r="I29" s="9" t="s">
        <v>19592</v>
      </c>
      <c r="J29" s="9">
        <v>4111441001</v>
      </c>
      <c r="K29" s="9" t="s">
        <v>19591</v>
      </c>
      <c r="L29" s="9" t="s">
        <v>19590</v>
      </c>
      <c r="M29" s="10" t="s">
        <v>18991</v>
      </c>
      <c r="N29" s="10" t="s">
        <v>6043</v>
      </c>
      <c r="O29" s="9" t="s">
        <v>19589</v>
      </c>
      <c r="P29" s="9" t="s">
        <v>19588</v>
      </c>
      <c r="Q29" s="9" t="s">
        <v>19587</v>
      </c>
      <c r="R29" s="9" t="s">
        <v>19586</v>
      </c>
      <c r="S29" s="9" t="s">
        <v>19585</v>
      </c>
      <c r="T29" s="9" t="s">
        <v>15060</v>
      </c>
      <c r="U29" s="9" t="s">
        <v>19584</v>
      </c>
      <c r="V29" s="9" t="s">
        <v>19014</v>
      </c>
      <c r="W29" s="9" t="s">
        <v>19583</v>
      </c>
      <c r="X29" s="9" t="s">
        <v>18955</v>
      </c>
      <c r="Y29" s="9"/>
      <c r="Z29" s="9"/>
      <c r="AA29" s="9" t="s">
        <v>15389</v>
      </c>
      <c r="AB29" s="9"/>
      <c r="AC29" s="9"/>
      <c r="AD29" s="9" t="s">
        <v>15389</v>
      </c>
      <c r="AE29" s="9"/>
      <c r="AF29" s="9"/>
      <c r="AG29" s="9" t="s">
        <v>15389</v>
      </c>
    </row>
    <row r="30" spans="1:33">
      <c r="A30" s="9">
        <v>25</v>
      </c>
      <c r="B30" s="9" t="s">
        <v>19582</v>
      </c>
      <c r="C30" s="9" t="s">
        <v>14705</v>
      </c>
      <c r="D30" s="9" t="s">
        <v>18967</v>
      </c>
      <c r="E30" s="12">
        <v>44315</v>
      </c>
      <c r="F30" s="12">
        <v>45266</v>
      </c>
      <c r="G30" s="12" t="s">
        <v>14702</v>
      </c>
      <c r="H30" s="9" t="s">
        <v>19581</v>
      </c>
      <c r="I30" s="9" t="s">
        <v>19580</v>
      </c>
      <c r="J30" s="9">
        <v>3912110605</v>
      </c>
      <c r="K30" s="9" t="s">
        <v>19579</v>
      </c>
      <c r="L30" s="9" t="s">
        <v>19578</v>
      </c>
      <c r="M30" s="10" t="s">
        <v>19021</v>
      </c>
      <c r="N30" s="10" t="s">
        <v>19577</v>
      </c>
      <c r="O30" s="9" t="s">
        <v>19576</v>
      </c>
      <c r="P30" s="9" t="s">
        <v>19575</v>
      </c>
      <c r="Q30" s="9" t="s">
        <v>19574</v>
      </c>
      <c r="R30" s="9" t="s">
        <v>19573</v>
      </c>
      <c r="S30" s="9" t="s">
        <v>19572</v>
      </c>
      <c r="T30" s="9" t="s">
        <v>14725</v>
      </c>
      <c r="U30" s="9" t="s">
        <v>19571</v>
      </c>
      <c r="V30" s="9" t="s">
        <v>77</v>
      </c>
      <c r="W30" s="9" t="s">
        <v>19570</v>
      </c>
      <c r="X30" s="9" t="s">
        <v>19569</v>
      </c>
      <c r="Y30" s="9"/>
      <c r="Z30" s="9"/>
      <c r="AA30" s="9" t="s">
        <v>15389</v>
      </c>
      <c r="AB30" s="9"/>
      <c r="AC30" s="9"/>
      <c r="AD30" s="9" t="s">
        <v>15389</v>
      </c>
      <c r="AE30" s="9"/>
      <c r="AF30" s="9"/>
      <c r="AG30" s="9" t="s">
        <v>15389</v>
      </c>
    </row>
    <row r="31" spans="1:33">
      <c r="A31" s="9">
        <v>26</v>
      </c>
      <c r="B31" s="9" t="s">
        <v>19568</v>
      </c>
      <c r="C31" s="9" t="s">
        <v>14705</v>
      </c>
      <c r="D31" s="9" t="s">
        <v>18967</v>
      </c>
      <c r="E31" s="12">
        <v>44315</v>
      </c>
      <c r="F31" s="12">
        <v>45255</v>
      </c>
      <c r="G31" s="12" t="s">
        <v>14702</v>
      </c>
      <c r="H31" s="9" t="s">
        <v>19567</v>
      </c>
      <c r="I31" s="9" t="s">
        <v>19566</v>
      </c>
      <c r="J31" s="9">
        <v>4323320501</v>
      </c>
      <c r="K31" s="9" t="s">
        <v>15740</v>
      </c>
      <c r="L31" s="9" t="s">
        <v>19565</v>
      </c>
      <c r="M31" s="10" t="s">
        <v>19021</v>
      </c>
      <c r="N31" s="10" t="s">
        <v>19564</v>
      </c>
      <c r="O31" s="9" t="s">
        <v>19563</v>
      </c>
      <c r="P31" s="9" t="s">
        <v>19562</v>
      </c>
      <c r="Q31" s="9" t="s">
        <v>19562</v>
      </c>
      <c r="R31" s="9" t="s">
        <v>19561</v>
      </c>
      <c r="S31" s="9" t="s">
        <v>19560</v>
      </c>
      <c r="T31" s="9" t="s">
        <v>14725</v>
      </c>
      <c r="U31" s="9" t="s">
        <v>19559</v>
      </c>
      <c r="V31" s="9" t="s">
        <v>15243</v>
      </c>
      <c r="W31" s="9" t="s">
        <v>19558</v>
      </c>
      <c r="X31" s="9" t="s">
        <v>19557</v>
      </c>
      <c r="Y31" s="9"/>
      <c r="Z31" s="9"/>
      <c r="AA31" s="9" t="s">
        <v>15389</v>
      </c>
      <c r="AB31" s="9"/>
      <c r="AC31" s="9"/>
      <c r="AD31" s="9" t="s">
        <v>15389</v>
      </c>
      <c r="AE31" s="9"/>
      <c r="AF31" s="9"/>
      <c r="AG31" s="9" t="s">
        <v>15389</v>
      </c>
    </row>
    <row r="32" spans="1:33">
      <c r="A32" s="9">
        <v>27</v>
      </c>
      <c r="B32" s="9" t="s">
        <v>19556</v>
      </c>
      <c r="C32" s="9" t="s">
        <v>15155</v>
      </c>
      <c r="D32" s="9" t="s">
        <v>18967</v>
      </c>
      <c r="E32" s="12">
        <v>44315</v>
      </c>
      <c r="F32" s="12">
        <v>45268</v>
      </c>
      <c r="G32" s="12" t="s">
        <v>14702</v>
      </c>
      <c r="H32" s="9" t="s">
        <v>19555</v>
      </c>
      <c r="I32" s="9" t="s">
        <v>19554</v>
      </c>
      <c r="J32" s="9">
        <v>4617161302</v>
      </c>
      <c r="K32" s="9" t="s">
        <v>19553</v>
      </c>
      <c r="L32" s="9" t="s">
        <v>19552</v>
      </c>
      <c r="M32" s="10" t="s">
        <v>18991</v>
      </c>
      <c r="N32" s="10" t="s">
        <v>19551</v>
      </c>
      <c r="O32" s="9" t="s">
        <v>19550</v>
      </c>
      <c r="P32" s="9" t="s">
        <v>19549</v>
      </c>
      <c r="Q32" s="9" t="s">
        <v>19548</v>
      </c>
      <c r="R32" s="9" t="s">
        <v>19547</v>
      </c>
      <c r="S32" s="9" t="s">
        <v>19546</v>
      </c>
      <c r="T32" s="9" t="s">
        <v>14712</v>
      </c>
      <c r="U32" s="9" t="s">
        <v>19545</v>
      </c>
      <c r="V32" s="9" t="s">
        <v>15377</v>
      </c>
      <c r="W32" s="9" t="s">
        <v>19544</v>
      </c>
      <c r="X32" s="9" t="s">
        <v>19543</v>
      </c>
      <c r="Y32" s="9"/>
      <c r="Z32" s="9"/>
      <c r="AA32" s="9" t="s">
        <v>15389</v>
      </c>
      <c r="AB32" s="9"/>
      <c r="AC32" s="9"/>
      <c r="AD32" s="9" t="s">
        <v>15389</v>
      </c>
      <c r="AE32" s="9"/>
      <c r="AF32" s="9"/>
      <c r="AG32" s="9" t="s">
        <v>15389</v>
      </c>
    </row>
    <row r="33" spans="1:33">
      <c r="A33" s="9">
        <v>28</v>
      </c>
      <c r="B33" s="9" t="s">
        <v>19542</v>
      </c>
      <c r="C33" s="9" t="s">
        <v>14705</v>
      </c>
      <c r="D33" s="9" t="s">
        <v>18967</v>
      </c>
      <c r="E33" s="12">
        <v>44315</v>
      </c>
      <c r="F33" s="12">
        <v>44967</v>
      </c>
      <c r="G33" s="12" t="s">
        <v>14702</v>
      </c>
      <c r="H33" s="9" t="s">
        <v>19541</v>
      </c>
      <c r="I33" s="9" t="s">
        <v>19540</v>
      </c>
      <c r="J33" s="9">
        <v>4010183402</v>
      </c>
      <c r="K33" s="9" t="s">
        <v>19539</v>
      </c>
      <c r="L33" s="9" t="s">
        <v>19538</v>
      </c>
      <c r="M33" s="10" t="s">
        <v>19006</v>
      </c>
      <c r="N33" s="10" t="s">
        <v>19537</v>
      </c>
      <c r="O33" s="9" t="s">
        <v>19536</v>
      </c>
      <c r="P33" s="9" t="s">
        <v>19535</v>
      </c>
      <c r="Q33" s="9" t="s">
        <v>19534</v>
      </c>
      <c r="R33" s="9" t="s">
        <v>19533</v>
      </c>
      <c r="S33" s="9" t="s">
        <v>19532</v>
      </c>
      <c r="T33" s="9" t="s">
        <v>14725</v>
      </c>
      <c r="U33" s="9" t="s">
        <v>19531</v>
      </c>
      <c r="V33" s="9" t="s">
        <v>15460</v>
      </c>
      <c r="W33" s="9" t="s">
        <v>19530</v>
      </c>
      <c r="X33" s="9" t="s">
        <v>19529</v>
      </c>
      <c r="Y33" s="9"/>
      <c r="Z33" s="9"/>
      <c r="AA33" s="9" t="s">
        <v>15389</v>
      </c>
      <c r="AB33" s="9"/>
      <c r="AC33" s="9"/>
      <c r="AD33" s="9" t="s">
        <v>15389</v>
      </c>
      <c r="AE33" s="9"/>
      <c r="AF33" s="9"/>
      <c r="AG33" s="9" t="s">
        <v>15389</v>
      </c>
    </row>
    <row r="34" spans="1:33">
      <c r="A34" s="9">
        <v>29</v>
      </c>
      <c r="B34" s="9" t="s">
        <v>19528</v>
      </c>
      <c r="C34" s="9" t="s">
        <v>15155</v>
      </c>
      <c r="D34" s="9" t="s">
        <v>18967</v>
      </c>
      <c r="E34" s="12">
        <v>44315</v>
      </c>
      <c r="F34" s="12">
        <v>44679</v>
      </c>
      <c r="G34" s="12" t="s">
        <v>14702</v>
      </c>
      <c r="H34" s="9" t="s">
        <v>19526</v>
      </c>
      <c r="I34" s="9" t="s">
        <v>19527</v>
      </c>
      <c r="J34" s="9">
        <v>4214180504</v>
      </c>
      <c r="K34" s="9" t="s">
        <v>19526</v>
      </c>
      <c r="L34" s="9" t="s">
        <v>19525</v>
      </c>
      <c r="M34" s="10" t="s">
        <v>19006</v>
      </c>
      <c r="N34" s="10" t="s">
        <v>19524</v>
      </c>
      <c r="O34" s="9" t="s">
        <v>19523</v>
      </c>
      <c r="P34" s="9" t="s">
        <v>19522</v>
      </c>
      <c r="Q34" s="9" t="s">
        <v>19521</v>
      </c>
      <c r="R34" s="9" t="s">
        <v>19520</v>
      </c>
      <c r="S34" s="9" t="s">
        <v>19519</v>
      </c>
      <c r="T34" s="9" t="s">
        <v>15101</v>
      </c>
      <c r="U34" s="9" t="s">
        <v>19518</v>
      </c>
      <c r="V34" s="9" t="s">
        <v>15374</v>
      </c>
      <c r="W34" s="9" t="s">
        <v>19517</v>
      </c>
      <c r="X34" s="9" t="s">
        <v>19516</v>
      </c>
      <c r="Y34" s="9"/>
      <c r="Z34" s="9"/>
      <c r="AA34" s="9" t="s">
        <v>15389</v>
      </c>
      <c r="AB34" s="9"/>
      <c r="AC34" s="9"/>
      <c r="AD34" s="9" t="s">
        <v>15389</v>
      </c>
      <c r="AE34" s="9"/>
      <c r="AF34" s="9"/>
      <c r="AG34" s="9" t="s">
        <v>15389</v>
      </c>
    </row>
    <row r="35" spans="1:33">
      <c r="A35" s="9">
        <v>30</v>
      </c>
      <c r="B35" s="9" t="s">
        <v>19515</v>
      </c>
      <c r="C35" s="9" t="s">
        <v>15155</v>
      </c>
      <c r="D35" s="9" t="s">
        <v>18967</v>
      </c>
      <c r="E35" s="12">
        <v>44315</v>
      </c>
      <c r="F35" s="12">
        <v>44480</v>
      </c>
      <c r="G35" s="12" t="s">
        <v>14702</v>
      </c>
      <c r="H35" s="9" t="s">
        <v>19514</v>
      </c>
      <c r="I35" s="9" t="s">
        <v>19513</v>
      </c>
      <c r="J35" s="9">
        <v>5313150201</v>
      </c>
      <c r="K35" s="9" t="s">
        <v>18383</v>
      </c>
      <c r="L35" s="9" t="s">
        <v>19512</v>
      </c>
      <c r="M35" s="10" t="s">
        <v>19021</v>
      </c>
      <c r="N35" s="10" t="s">
        <v>19511</v>
      </c>
      <c r="O35" s="9" t="s">
        <v>19510</v>
      </c>
      <c r="P35" s="9" t="s">
        <v>19509</v>
      </c>
      <c r="Q35" s="9" t="s">
        <v>19508</v>
      </c>
      <c r="R35" s="9" t="s">
        <v>19507</v>
      </c>
      <c r="S35" s="9" t="s">
        <v>19506</v>
      </c>
      <c r="T35" s="9" t="s">
        <v>15060</v>
      </c>
      <c r="U35" s="9" t="s">
        <v>19505</v>
      </c>
      <c r="V35" s="9" t="s">
        <v>15374</v>
      </c>
      <c r="W35" s="9" t="s">
        <v>19504</v>
      </c>
      <c r="X35" s="9" t="s">
        <v>19503</v>
      </c>
      <c r="Y35" s="9"/>
      <c r="Z35" s="9"/>
      <c r="AA35" s="9" t="s">
        <v>15389</v>
      </c>
      <c r="AB35" s="9"/>
      <c r="AC35" s="9"/>
      <c r="AD35" s="9" t="s">
        <v>15389</v>
      </c>
      <c r="AE35" s="9"/>
      <c r="AF35" s="9"/>
      <c r="AG35" s="9" t="s">
        <v>15389</v>
      </c>
    </row>
    <row r="36" spans="1:33">
      <c r="A36" s="9">
        <v>31</v>
      </c>
      <c r="B36" s="9" t="s">
        <v>19502</v>
      </c>
      <c r="C36" s="9" t="s">
        <v>15155</v>
      </c>
      <c r="D36" s="9" t="s">
        <v>18967</v>
      </c>
      <c r="E36" s="12">
        <v>44315</v>
      </c>
      <c r="F36" s="12">
        <v>44679</v>
      </c>
      <c r="G36" s="12" t="s">
        <v>14702</v>
      </c>
      <c r="H36" s="9" t="s">
        <v>19501</v>
      </c>
      <c r="I36" s="9" t="s">
        <v>19500</v>
      </c>
      <c r="J36" s="9">
        <v>4616158501</v>
      </c>
      <c r="K36" s="9" t="s">
        <v>17064</v>
      </c>
      <c r="L36" s="9" t="s">
        <v>19499</v>
      </c>
      <c r="M36" s="10" t="s">
        <v>18963</v>
      </c>
      <c r="N36" s="10" t="s">
        <v>911</v>
      </c>
      <c r="O36" s="9" t="s">
        <v>19498</v>
      </c>
      <c r="P36" s="9" t="s">
        <v>19497</v>
      </c>
      <c r="Q36" s="9" t="s">
        <v>19496</v>
      </c>
      <c r="R36" s="9" t="s">
        <v>19495</v>
      </c>
      <c r="S36" s="9" t="s">
        <v>19494</v>
      </c>
      <c r="T36" s="9" t="s">
        <v>14725</v>
      </c>
      <c r="U36" s="9" t="s">
        <v>19493</v>
      </c>
      <c r="V36" s="9" t="s">
        <v>15139</v>
      </c>
      <c r="W36" s="9" t="s">
        <v>19492</v>
      </c>
      <c r="X36" s="9" t="s">
        <v>19491</v>
      </c>
      <c r="Y36" s="9"/>
      <c r="Z36" s="9"/>
      <c r="AA36" s="9" t="s">
        <v>15389</v>
      </c>
      <c r="AB36" s="9"/>
      <c r="AC36" s="9"/>
      <c r="AD36" s="9" t="s">
        <v>15389</v>
      </c>
      <c r="AE36" s="9"/>
      <c r="AF36" s="9"/>
      <c r="AG36" s="9" t="s">
        <v>15389</v>
      </c>
    </row>
    <row r="37" spans="1:33">
      <c r="A37" s="9">
        <v>32</v>
      </c>
      <c r="B37" s="9" t="s">
        <v>19490</v>
      </c>
      <c r="C37" s="9" t="s">
        <v>14750</v>
      </c>
      <c r="D37" s="9" t="s">
        <v>18967</v>
      </c>
      <c r="E37" s="12">
        <v>44315</v>
      </c>
      <c r="F37" s="12">
        <v>44924</v>
      </c>
      <c r="G37" s="12" t="s">
        <v>14702</v>
      </c>
      <c r="H37" s="9" t="s">
        <v>18683</v>
      </c>
      <c r="I37" s="9" t="s">
        <v>19489</v>
      </c>
      <c r="J37" s="9">
        <v>2315313001</v>
      </c>
      <c r="K37" s="9" t="s">
        <v>18683</v>
      </c>
      <c r="L37" s="9" t="s">
        <v>19488</v>
      </c>
      <c r="M37" s="10" t="s">
        <v>19359</v>
      </c>
      <c r="N37" s="10" t="s">
        <v>4977</v>
      </c>
      <c r="O37" s="9" t="s">
        <v>19487</v>
      </c>
      <c r="P37" s="9" t="s">
        <v>19486</v>
      </c>
      <c r="Q37" s="9" t="s">
        <v>19485</v>
      </c>
      <c r="R37" s="9" t="s">
        <v>19484</v>
      </c>
      <c r="S37" s="9" t="s">
        <v>19483</v>
      </c>
      <c r="T37" s="9" t="s">
        <v>14725</v>
      </c>
      <c r="U37" s="9" t="s">
        <v>19482</v>
      </c>
      <c r="V37" s="9" t="s">
        <v>75</v>
      </c>
      <c r="W37" s="9" t="s">
        <v>19481</v>
      </c>
      <c r="X37" s="9" t="s">
        <v>16386</v>
      </c>
      <c r="Y37" s="9"/>
      <c r="Z37" s="9"/>
      <c r="AA37" s="9" t="s">
        <v>15389</v>
      </c>
      <c r="AB37" s="9"/>
      <c r="AC37" s="9"/>
      <c r="AD37" s="9" t="s">
        <v>15389</v>
      </c>
      <c r="AE37" s="9"/>
      <c r="AF37" s="9"/>
      <c r="AG37" s="9" t="s">
        <v>15389</v>
      </c>
    </row>
    <row r="38" spans="1:33">
      <c r="A38" s="9">
        <v>33</v>
      </c>
      <c r="B38" s="9" t="s">
        <v>19480</v>
      </c>
      <c r="C38" s="9" t="s">
        <v>15155</v>
      </c>
      <c r="D38" s="9" t="s">
        <v>18967</v>
      </c>
      <c r="E38" s="12">
        <v>44315</v>
      </c>
      <c r="F38" s="12">
        <v>45319</v>
      </c>
      <c r="G38" s="12" t="s">
        <v>14702</v>
      </c>
      <c r="H38" s="9" t="s">
        <v>19479</v>
      </c>
      <c r="I38" s="9" t="s">
        <v>19478</v>
      </c>
      <c r="J38" s="9">
        <v>4111369301</v>
      </c>
      <c r="K38" s="9" t="s">
        <v>19477</v>
      </c>
      <c r="L38" s="9" t="s">
        <v>19476</v>
      </c>
      <c r="M38" s="10" t="s">
        <v>18991</v>
      </c>
      <c r="N38" s="10" t="s">
        <v>19475</v>
      </c>
      <c r="O38" s="9" t="s">
        <v>19474</v>
      </c>
      <c r="P38" s="9" t="s">
        <v>19473</v>
      </c>
      <c r="Q38" s="9" t="s">
        <v>19472</v>
      </c>
      <c r="R38" s="9" t="s">
        <v>19471</v>
      </c>
      <c r="S38" s="9" t="s">
        <v>19470</v>
      </c>
      <c r="T38" s="9" t="s">
        <v>15060</v>
      </c>
      <c r="U38" s="9" t="s">
        <v>19469</v>
      </c>
      <c r="V38" s="9" t="s">
        <v>19014</v>
      </c>
      <c r="W38" s="9" t="s">
        <v>19468</v>
      </c>
      <c r="X38" s="9" t="s">
        <v>18955</v>
      </c>
      <c r="Y38" s="9"/>
      <c r="Z38" s="9"/>
      <c r="AA38" s="9" t="s">
        <v>15389</v>
      </c>
      <c r="AB38" s="9"/>
      <c r="AC38" s="9"/>
      <c r="AD38" s="9" t="s">
        <v>15389</v>
      </c>
      <c r="AE38" s="9"/>
      <c r="AF38" s="9"/>
      <c r="AG38" s="9" t="s">
        <v>15389</v>
      </c>
    </row>
    <row r="39" spans="1:33">
      <c r="A39" s="9">
        <v>34</v>
      </c>
      <c r="B39" s="9" t="s">
        <v>19467</v>
      </c>
      <c r="C39" s="9" t="s">
        <v>14750</v>
      </c>
      <c r="D39" s="9" t="s">
        <v>18967</v>
      </c>
      <c r="E39" s="12">
        <v>44315</v>
      </c>
      <c r="F39" s="12">
        <v>45239</v>
      </c>
      <c r="G39" s="12" t="s">
        <v>14702</v>
      </c>
      <c r="H39" s="9" t="s">
        <v>19466</v>
      </c>
      <c r="I39" s="9" t="s">
        <v>19465</v>
      </c>
      <c r="J39" s="9">
        <v>3911210201</v>
      </c>
      <c r="K39" s="9" t="s">
        <v>14933</v>
      </c>
      <c r="L39" s="9" t="s">
        <v>19464</v>
      </c>
      <c r="M39" s="10" t="s">
        <v>18963</v>
      </c>
      <c r="N39" s="10" t="s">
        <v>19463</v>
      </c>
      <c r="O39" s="9" t="s">
        <v>19462</v>
      </c>
      <c r="P39" s="9" t="s">
        <v>19461</v>
      </c>
      <c r="Q39" s="9" t="s">
        <v>19460</v>
      </c>
      <c r="R39" s="9" t="s">
        <v>19459</v>
      </c>
      <c r="S39" s="9" t="s">
        <v>19458</v>
      </c>
      <c r="T39" s="9" t="s">
        <v>14725</v>
      </c>
      <c r="U39" s="9" t="s">
        <v>19457</v>
      </c>
      <c r="V39" s="9" t="s">
        <v>75</v>
      </c>
      <c r="W39" s="9" t="s">
        <v>19456</v>
      </c>
      <c r="X39" s="9" t="s">
        <v>18499</v>
      </c>
      <c r="Y39" s="9"/>
      <c r="Z39" s="9"/>
      <c r="AA39" s="9" t="s">
        <v>15389</v>
      </c>
      <c r="AB39" s="9"/>
      <c r="AC39" s="9"/>
      <c r="AD39" s="9" t="s">
        <v>15389</v>
      </c>
      <c r="AE39" s="9"/>
      <c r="AF39" s="9"/>
      <c r="AG39" s="9" t="s">
        <v>15389</v>
      </c>
    </row>
    <row r="40" spans="1:33">
      <c r="A40" s="9">
        <v>35</v>
      </c>
      <c r="B40" s="9" t="s">
        <v>19455</v>
      </c>
      <c r="C40" s="9" t="s">
        <v>14705</v>
      </c>
      <c r="D40" s="9" t="s">
        <v>18967</v>
      </c>
      <c r="E40" s="12">
        <v>44315</v>
      </c>
      <c r="F40" s="12">
        <v>45219</v>
      </c>
      <c r="G40" s="12" t="s">
        <v>14702</v>
      </c>
      <c r="H40" s="9" t="s">
        <v>19454</v>
      </c>
      <c r="I40" s="9" t="s">
        <v>19453</v>
      </c>
      <c r="J40" s="9">
        <v>5512190402</v>
      </c>
      <c r="K40" s="9" t="s">
        <v>18310</v>
      </c>
      <c r="L40" s="9" t="s">
        <v>19452</v>
      </c>
      <c r="M40" s="10" t="s">
        <v>19006</v>
      </c>
      <c r="N40" s="10" t="s">
        <v>19451</v>
      </c>
      <c r="O40" s="9" t="s">
        <v>19450</v>
      </c>
      <c r="P40" s="9" t="s">
        <v>19449</v>
      </c>
      <c r="Q40" s="9" t="s">
        <v>19448</v>
      </c>
      <c r="R40" s="9" t="s">
        <v>19447</v>
      </c>
      <c r="S40" s="9" t="s">
        <v>19446</v>
      </c>
      <c r="T40" s="9" t="s">
        <v>14773</v>
      </c>
      <c r="U40" s="9" t="s">
        <v>19445</v>
      </c>
      <c r="V40" s="9" t="s">
        <v>77</v>
      </c>
      <c r="W40" s="9" t="s">
        <v>19444</v>
      </c>
      <c r="X40" s="9" t="s">
        <v>19443</v>
      </c>
      <c r="Y40" s="9"/>
      <c r="Z40" s="9"/>
      <c r="AA40" s="9" t="s">
        <v>15389</v>
      </c>
      <c r="AB40" s="9"/>
      <c r="AC40" s="9"/>
      <c r="AD40" s="9" t="s">
        <v>15389</v>
      </c>
      <c r="AE40" s="9"/>
      <c r="AF40" s="9"/>
      <c r="AG40" s="9" t="s">
        <v>15389</v>
      </c>
    </row>
    <row r="41" spans="1:33">
      <c r="A41" s="9">
        <v>36</v>
      </c>
      <c r="B41" s="9" t="s">
        <v>19442</v>
      </c>
      <c r="C41" s="9" t="s">
        <v>15155</v>
      </c>
      <c r="D41" s="9" t="s">
        <v>18967</v>
      </c>
      <c r="E41" s="12">
        <v>44315</v>
      </c>
      <c r="F41" s="12">
        <v>44679</v>
      </c>
      <c r="G41" s="12" t="s">
        <v>14702</v>
      </c>
      <c r="H41" s="9" t="s">
        <v>19441</v>
      </c>
      <c r="I41" s="9" t="s">
        <v>19440</v>
      </c>
      <c r="J41" s="9">
        <v>5215200201</v>
      </c>
      <c r="K41" s="9" t="s">
        <v>19439</v>
      </c>
      <c r="L41" s="9" t="s">
        <v>19438</v>
      </c>
      <c r="M41" s="10" t="s">
        <v>19006</v>
      </c>
      <c r="N41" s="10" t="s">
        <v>19437</v>
      </c>
      <c r="O41" s="9" t="s">
        <v>19436</v>
      </c>
      <c r="P41" s="9" t="s">
        <v>19435</v>
      </c>
      <c r="Q41" s="9" t="s">
        <v>19434</v>
      </c>
      <c r="R41" s="9" t="s">
        <v>19433</v>
      </c>
      <c r="S41" s="9" t="s">
        <v>19432</v>
      </c>
      <c r="T41" s="9" t="s">
        <v>14725</v>
      </c>
      <c r="U41" s="9" t="s">
        <v>19431</v>
      </c>
      <c r="V41" s="9" t="s">
        <v>15374</v>
      </c>
      <c r="W41" s="9" t="s">
        <v>19430</v>
      </c>
      <c r="X41" s="9" t="s">
        <v>17270</v>
      </c>
      <c r="Y41" s="9"/>
      <c r="Z41" s="9"/>
      <c r="AA41" s="9" t="s">
        <v>15389</v>
      </c>
      <c r="AB41" s="9"/>
      <c r="AC41" s="9"/>
      <c r="AD41" s="9" t="s">
        <v>15389</v>
      </c>
      <c r="AE41" s="9"/>
      <c r="AF41" s="9"/>
      <c r="AG41" s="9" t="s">
        <v>15389</v>
      </c>
    </row>
    <row r="42" spans="1:33">
      <c r="A42" s="9">
        <v>37</v>
      </c>
      <c r="B42" s="9" t="s">
        <v>19429</v>
      </c>
      <c r="C42" s="9" t="s">
        <v>14705</v>
      </c>
      <c r="D42" s="9" t="s">
        <v>18967</v>
      </c>
      <c r="E42" s="12">
        <v>44315</v>
      </c>
      <c r="F42" s="12">
        <v>46043</v>
      </c>
      <c r="G42" s="12" t="s">
        <v>14702</v>
      </c>
      <c r="H42" s="9" t="s">
        <v>19428</v>
      </c>
      <c r="I42" s="9" t="s">
        <v>19427</v>
      </c>
      <c r="J42" s="9">
        <v>3912110301</v>
      </c>
      <c r="K42" s="9" t="s">
        <v>14808</v>
      </c>
      <c r="L42" s="9" t="s">
        <v>19426</v>
      </c>
      <c r="M42" s="10" t="s">
        <v>19006</v>
      </c>
      <c r="N42" s="10" t="s">
        <v>19425</v>
      </c>
      <c r="O42" s="9" t="s">
        <v>19424</v>
      </c>
      <c r="P42" s="9" t="s">
        <v>19423</v>
      </c>
      <c r="Q42" s="9" t="s">
        <v>19422</v>
      </c>
      <c r="R42" s="9" t="s">
        <v>19421</v>
      </c>
      <c r="S42" s="9" t="s">
        <v>19420</v>
      </c>
      <c r="T42" s="9" t="s">
        <v>14725</v>
      </c>
      <c r="U42" s="9" t="s">
        <v>19419</v>
      </c>
      <c r="V42" s="9" t="s">
        <v>14868</v>
      </c>
      <c r="W42" s="9" t="s">
        <v>19418</v>
      </c>
      <c r="X42" s="9" t="s">
        <v>19417</v>
      </c>
      <c r="Y42" s="9"/>
      <c r="Z42" s="9"/>
      <c r="AA42" s="9" t="s">
        <v>15389</v>
      </c>
      <c r="AB42" s="9"/>
      <c r="AC42" s="9"/>
      <c r="AD42" s="9" t="s">
        <v>15389</v>
      </c>
      <c r="AE42" s="9"/>
      <c r="AF42" s="9"/>
      <c r="AG42" s="9" t="s">
        <v>15389</v>
      </c>
    </row>
    <row r="43" spans="1:33">
      <c r="A43" s="9">
        <v>38</v>
      </c>
      <c r="B43" s="9" t="s">
        <v>19416</v>
      </c>
      <c r="C43" s="9" t="s">
        <v>14750</v>
      </c>
      <c r="D43" s="9" t="s">
        <v>18967</v>
      </c>
      <c r="E43" s="12">
        <v>44315</v>
      </c>
      <c r="F43" s="12">
        <v>45185</v>
      </c>
      <c r="G43" s="12" t="s">
        <v>14702</v>
      </c>
      <c r="H43" s="9" t="s">
        <v>19415</v>
      </c>
      <c r="I43" s="9" t="s">
        <v>19414</v>
      </c>
      <c r="J43" s="9">
        <v>3023150101</v>
      </c>
      <c r="K43" s="9" t="s">
        <v>19413</v>
      </c>
      <c r="L43" s="9" t="s">
        <v>19412</v>
      </c>
      <c r="M43" s="10" t="s">
        <v>18991</v>
      </c>
      <c r="N43" s="10" t="s">
        <v>19411</v>
      </c>
      <c r="O43" s="9" t="s">
        <v>19410</v>
      </c>
      <c r="P43" s="9" t="s">
        <v>19409</v>
      </c>
      <c r="Q43" s="9" t="s">
        <v>19408</v>
      </c>
      <c r="R43" s="9" t="s">
        <v>19407</v>
      </c>
      <c r="S43" s="9" t="s">
        <v>19406</v>
      </c>
      <c r="T43" s="9" t="s">
        <v>14692</v>
      </c>
      <c r="U43" s="9" t="s">
        <v>19405</v>
      </c>
      <c r="V43" s="9" t="s">
        <v>77</v>
      </c>
      <c r="W43" s="9" t="s">
        <v>19404</v>
      </c>
      <c r="X43" s="9" t="s">
        <v>19403</v>
      </c>
      <c r="Y43" s="9"/>
      <c r="Z43" s="9"/>
      <c r="AA43" s="9" t="s">
        <v>15389</v>
      </c>
      <c r="AB43" s="9"/>
      <c r="AC43" s="9"/>
      <c r="AD43" s="9" t="s">
        <v>15389</v>
      </c>
      <c r="AE43" s="9"/>
      <c r="AF43" s="9"/>
      <c r="AG43" s="9" t="s">
        <v>15389</v>
      </c>
    </row>
    <row r="44" spans="1:33">
      <c r="A44" s="9">
        <v>39</v>
      </c>
      <c r="B44" s="9" t="s">
        <v>19402</v>
      </c>
      <c r="C44" s="9" t="s">
        <v>14705</v>
      </c>
      <c r="D44" s="9" t="s">
        <v>18967</v>
      </c>
      <c r="E44" s="12">
        <v>44315</v>
      </c>
      <c r="F44" s="12">
        <v>45035</v>
      </c>
      <c r="G44" s="12" t="s">
        <v>14702</v>
      </c>
      <c r="H44" s="9" t="s">
        <v>19401</v>
      </c>
      <c r="I44" s="9" t="s">
        <v>19400</v>
      </c>
      <c r="J44" s="9">
        <v>4323290201</v>
      </c>
      <c r="K44" s="9" t="s">
        <v>16006</v>
      </c>
      <c r="L44" s="9" t="s">
        <v>19399</v>
      </c>
      <c r="M44" s="10" t="s">
        <v>19006</v>
      </c>
      <c r="N44" s="10" t="s">
        <v>19398</v>
      </c>
      <c r="O44" s="9" t="s">
        <v>19397</v>
      </c>
      <c r="P44" s="9" t="s">
        <v>19396</v>
      </c>
      <c r="Q44" s="9" t="s">
        <v>19395</v>
      </c>
      <c r="R44" s="9" t="s">
        <v>19394</v>
      </c>
      <c r="S44" s="9" t="s">
        <v>19393</v>
      </c>
      <c r="T44" s="9" t="s">
        <v>14725</v>
      </c>
      <c r="U44" s="9" t="s">
        <v>19392</v>
      </c>
      <c r="V44" s="9" t="s">
        <v>15243</v>
      </c>
      <c r="W44" s="9" t="s">
        <v>19391</v>
      </c>
      <c r="X44" s="9" t="s">
        <v>19390</v>
      </c>
      <c r="Y44" s="9"/>
      <c r="Z44" s="9"/>
      <c r="AA44" s="9" t="s">
        <v>15389</v>
      </c>
      <c r="AB44" s="9"/>
      <c r="AC44" s="9"/>
      <c r="AD44" s="9" t="s">
        <v>15389</v>
      </c>
      <c r="AE44" s="9"/>
      <c r="AF44" s="9"/>
      <c r="AG44" s="9" t="s">
        <v>15389</v>
      </c>
    </row>
    <row r="45" spans="1:33">
      <c r="A45" s="9">
        <v>40</v>
      </c>
      <c r="B45" s="9" t="s">
        <v>19389</v>
      </c>
      <c r="C45" s="9" t="s">
        <v>14705</v>
      </c>
      <c r="D45" s="9" t="s">
        <v>18967</v>
      </c>
      <c r="E45" s="12">
        <v>44315</v>
      </c>
      <c r="F45" s="12">
        <v>44725</v>
      </c>
      <c r="G45" s="12" t="s">
        <v>14702</v>
      </c>
      <c r="H45" s="9" t="s">
        <v>19388</v>
      </c>
      <c r="I45" s="9" t="s">
        <v>19387</v>
      </c>
      <c r="J45" s="9">
        <v>3017169801</v>
      </c>
      <c r="K45" s="9" t="s">
        <v>14971</v>
      </c>
      <c r="L45" s="9" t="s">
        <v>19386</v>
      </c>
      <c r="M45" s="10" t="s">
        <v>19021</v>
      </c>
      <c r="N45" s="10" t="s">
        <v>19385</v>
      </c>
      <c r="O45" s="9" t="s">
        <v>19384</v>
      </c>
      <c r="P45" s="9" t="s">
        <v>19383</v>
      </c>
      <c r="Q45" s="9" t="s">
        <v>19382</v>
      </c>
      <c r="R45" s="9" t="s">
        <v>19381</v>
      </c>
      <c r="S45" s="9" t="s">
        <v>19380</v>
      </c>
      <c r="T45" s="9" t="s">
        <v>15291</v>
      </c>
      <c r="U45" s="9" t="s">
        <v>19379</v>
      </c>
      <c r="V45" s="9" t="s">
        <v>77</v>
      </c>
      <c r="W45" s="9" t="s">
        <v>19378</v>
      </c>
      <c r="X45" s="9" t="s">
        <v>19377</v>
      </c>
      <c r="Y45" s="9"/>
      <c r="Z45" s="9"/>
      <c r="AA45" s="9" t="s">
        <v>15389</v>
      </c>
      <c r="AB45" s="9"/>
      <c r="AC45" s="9"/>
      <c r="AD45" s="9" t="s">
        <v>15389</v>
      </c>
      <c r="AE45" s="9"/>
      <c r="AF45" s="9"/>
      <c r="AG45" s="9" t="s">
        <v>15389</v>
      </c>
    </row>
    <row r="46" spans="1:33">
      <c r="A46" s="9">
        <v>41</v>
      </c>
      <c r="B46" s="9" t="s">
        <v>19376</v>
      </c>
      <c r="C46" s="9" t="s">
        <v>15155</v>
      </c>
      <c r="D46" s="9" t="s">
        <v>18967</v>
      </c>
      <c r="E46" s="12">
        <v>44315</v>
      </c>
      <c r="F46" s="12">
        <v>44561</v>
      </c>
      <c r="G46" s="12" t="s">
        <v>14702</v>
      </c>
      <c r="H46" s="9" t="s">
        <v>19375</v>
      </c>
      <c r="I46" s="9" t="s">
        <v>19374</v>
      </c>
      <c r="J46" s="9">
        <v>2611169201</v>
      </c>
      <c r="K46" s="9" t="s">
        <v>19373</v>
      </c>
      <c r="L46" s="9" t="s">
        <v>19372</v>
      </c>
      <c r="M46" s="10" t="s">
        <v>19006</v>
      </c>
      <c r="N46" s="10" t="s">
        <v>19371</v>
      </c>
      <c r="O46" s="9" t="s">
        <v>19370</v>
      </c>
      <c r="P46" s="9" t="s">
        <v>19369</v>
      </c>
      <c r="Q46" s="9" t="s">
        <v>19368</v>
      </c>
      <c r="R46" s="9" t="s">
        <v>19367</v>
      </c>
      <c r="S46" s="9" t="s">
        <v>19366</v>
      </c>
      <c r="T46" s="9" t="s">
        <v>14787</v>
      </c>
      <c r="U46" s="9" t="s">
        <v>19365</v>
      </c>
      <c r="V46" s="9" t="s">
        <v>16215</v>
      </c>
      <c r="W46" s="9" t="s">
        <v>16214</v>
      </c>
      <c r="X46" s="9" t="s">
        <v>16213</v>
      </c>
      <c r="Y46" s="9"/>
      <c r="Z46" s="9"/>
      <c r="AA46" s="9" t="s">
        <v>15389</v>
      </c>
      <c r="AB46" s="9"/>
      <c r="AC46" s="9"/>
      <c r="AD46" s="9" t="s">
        <v>15389</v>
      </c>
      <c r="AE46" s="9"/>
      <c r="AF46" s="9"/>
      <c r="AG46" s="9" t="s">
        <v>15389</v>
      </c>
    </row>
    <row r="47" spans="1:33">
      <c r="A47" s="9">
        <v>42</v>
      </c>
      <c r="B47" s="9" t="s">
        <v>19364</v>
      </c>
      <c r="C47" s="9" t="s">
        <v>14750</v>
      </c>
      <c r="D47" s="9" t="s">
        <v>18967</v>
      </c>
      <c r="E47" s="12">
        <v>44315</v>
      </c>
      <c r="F47" s="12">
        <v>45017</v>
      </c>
      <c r="G47" s="12" t="s">
        <v>14702</v>
      </c>
      <c r="H47" s="9" t="s">
        <v>19363</v>
      </c>
      <c r="I47" s="9" t="s">
        <v>19362</v>
      </c>
      <c r="J47" s="9">
        <v>3019160602</v>
      </c>
      <c r="K47" s="9" t="s">
        <v>19361</v>
      </c>
      <c r="L47" s="9" t="s">
        <v>19360</v>
      </c>
      <c r="M47" s="10" t="s">
        <v>19359</v>
      </c>
      <c r="N47" s="10" t="s">
        <v>6612</v>
      </c>
      <c r="O47" s="9" t="s">
        <v>19358</v>
      </c>
      <c r="P47" s="9" t="s">
        <v>19357</v>
      </c>
      <c r="Q47" s="9" t="s">
        <v>19356</v>
      </c>
      <c r="R47" s="9" t="s">
        <v>19355</v>
      </c>
      <c r="S47" s="9" t="s">
        <v>19354</v>
      </c>
      <c r="T47" s="9" t="s">
        <v>14725</v>
      </c>
      <c r="U47" s="9" t="s">
        <v>19353</v>
      </c>
      <c r="V47" s="9" t="s">
        <v>75</v>
      </c>
      <c r="W47" s="9" t="s">
        <v>19352</v>
      </c>
      <c r="X47" s="9" t="s">
        <v>19351</v>
      </c>
      <c r="Y47" s="9"/>
      <c r="Z47" s="9"/>
      <c r="AA47" s="9" t="s">
        <v>15389</v>
      </c>
      <c r="AB47" s="9"/>
      <c r="AC47" s="9"/>
      <c r="AD47" s="9" t="s">
        <v>15389</v>
      </c>
      <c r="AE47" s="9"/>
      <c r="AF47" s="9"/>
      <c r="AG47" s="9" t="s">
        <v>15389</v>
      </c>
    </row>
    <row r="48" spans="1:33">
      <c r="A48" s="9">
        <v>43</v>
      </c>
      <c r="B48" s="9" t="s">
        <v>19350</v>
      </c>
      <c r="C48" s="9" t="s">
        <v>14705</v>
      </c>
      <c r="D48" s="9" t="s">
        <v>18967</v>
      </c>
      <c r="E48" s="12">
        <v>44315</v>
      </c>
      <c r="F48" s="12">
        <v>44387</v>
      </c>
      <c r="G48" s="12" t="s">
        <v>14702</v>
      </c>
      <c r="H48" s="9" t="s">
        <v>19349</v>
      </c>
      <c r="I48" s="9" t="s">
        <v>19348</v>
      </c>
      <c r="J48" s="9">
        <v>4616152604</v>
      </c>
      <c r="K48" s="9" t="s">
        <v>15383</v>
      </c>
      <c r="L48" s="9" t="s">
        <v>19347</v>
      </c>
      <c r="M48" s="10" t="s">
        <v>19021</v>
      </c>
      <c r="N48" s="10" t="s">
        <v>19346</v>
      </c>
      <c r="O48" s="9" t="s">
        <v>19345</v>
      </c>
      <c r="P48" s="9" t="s">
        <v>19344</v>
      </c>
      <c r="Q48" s="9" t="s">
        <v>19343</v>
      </c>
      <c r="R48" s="9" t="s">
        <v>19342</v>
      </c>
      <c r="S48" s="9" t="s">
        <v>19341</v>
      </c>
      <c r="T48" s="9" t="s">
        <v>14815</v>
      </c>
      <c r="U48" s="9" t="s">
        <v>19340</v>
      </c>
      <c r="V48" s="9" t="s">
        <v>77</v>
      </c>
      <c r="W48" s="9" t="s">
        <v>19339</v>
      </c>
      <c r="X48" s="9" t="s">
        <v>19338</v>
      </c>
      <c r="Y48" s="9"/>
      <c r="Z48" s="9"/>
      <c r="AA48" s="9" t="s">
        <v>15389</v>
      </c>
      <c r="AB48" s="9"/>
      <c r="AC48" s="9"/>
      <c r="AD48" s="9" t="s">
        <v>15389</v>
      </c>
      <c r="AE48" s="9"/>
      <c r="AF48" s="9"/>
      <c r="AG48" s="9" t="s">
        <v>15389</v>
      </c>
    </row>
    <row r="49" spans="1:33">
      <c r="A49" s="9">
        <v>44</v>
      </c>
      <c r="B49" s="9" t="s">
        <v>19337</v>
      </c>
      <c r="C49" s="9" t="s">
        <v>14705</v>
      </c>
      <c r="D49" s="9" t="s">
        <v>18967</v>
      </c>
      <c r="E49" s="12">
        <v>44315</v>
      </c>
      <c r="F49" s="12">
        <v>44376</v>
      </c>
      <c r="G49" s="12" t="s">
        <v>14702</v>
      </c>
      <c r="H49" s="9" t="s">
        <v>19336</v>
      </c>
      <c r="I49" s="9" t="s">
        <v>19335</v>
      </c>
      <c r="J49" s="9">
        <v>3912161401</v>
      </c>
      <c r="K49" s="9" t="s">
        <v>19334</v>
      </c>
      <c r="L49" s="9" t="s">
        <v>19333</v>
      </c>
      <c r="M49" s="10" t="s">
        <v>19006</v>
      </c>
      <c r="N49" s="10" t="s">
        <v>19332</v>
      </c>
      <c r="O49" s="9" t="s">
        <v>19331</v>
      </c>
      <c r="P49" s="9" t="s">
        <v>19330</v>
      </c>
      <c r="Q49" s="9" t="s">
        <v>19329</v>
      </c>
      <c r="R49" s="9" t="s">
        <v>19328</v>
      </c>
      <c r="S49" s="9" t="s">
        <v>19327</v>
      </c>
      <c r="T49" s="9" t="s">
        <v>15060</v>
      </c>
      <c r="U49" s="9" t="s">
        <v>19326</v>
      </c>
      <c r="V49" s="9" t="s">
        <v>75</v>
      </c>
      <c r="W49" s="9" t="s">
        <v>19325</v>
      </c>
      <c r="X49" s="9" t="s">
        <v>15028</v>
      </c>
      <c r="Y49" s="9"/>
      <c r="Z49" s="9"/>
      <c r="AA49" s="9" t="s">
        <v>15389</v>
      </c>
      <c r="AB49" s="9"/>
      <c r="AC49" s="9"/>
      <c r="AD49" s="9" t="s">
        <v>15389</v>
      </c>
      <c r="AE49" s="9"/>
      <c r="AF49" s="9"/>
      <c r="AG49" s="9" t="s">
        <v>15389</v>
      </c>
    </row>
    <row r="50" spans="1:33">
      <c r="A50" s="9">
        <v>45</v>
      </c>
      <c r="B50" s="9" t="s">
        <v>19324</v>
      </c>
      <c r="C50" s="9" t="s">
        <v>15155</v>
      </c>
      <c r="D50" s="9" t="s">
        <v>18967</v>
      </c>
      <c r="E50" s="12">
        <v>44315</v>
      </c>
      <c r="F50" s="12">
        <v>45224</v>
      </c>
      <c r="G50" s="12" t="s">
        <v>14702</v>
      </c>
      <c r="H50" s="9" t="s">
        <v>19323</v>
      </c>
      <c r="I50" s="9" t="s">
        <v>19322</v>
      </c>
      <c r="J50" s="9">
        <v>4111250401</v>
      </c>
      <c r="K50" s="9" t="s">
        <v>19321</v>
      </c>
      <c r="L50" s="9" t="s">
        <v>19320</v>
      </c>
      <c r="M50" s="10" t="s">
        <v>19021</v>
      </c>
      <c r="N50" s="10" t="s">
        <v>19319</v>
      </c>
      <c r="O50" s="9" t="s">
        <v>19318</v>
      </c>
      <c r="P50" s="9" t="s">
        <v>19317</v>
      </c>
      <c r="Q50" s="9" t="s">
        <v>19316</v>
      </c>
      <c r="R50" s="9" t="s">
        <v>19315</v>
      </c>
      <c r="S50" s="9" t="s">
        <v>19314</v>
      </c>
      <c r="T50" s="9" t="s">
        <v>14756</v>
      </c>
      <c r="U50" s="9" t="s">
        <v>19313</v>
      </c>
      <c r="V50" s="9" t="s">
        <v>15572</v>
      </c>
      <c r="W50" s="9" t="s">
        <v>19312</v>
      </c>
      <c r="X50" s="9" t="s">
        <v>19311</v>
      </c>
      <c r="Y50" s="9"/>
      <c r="Z50" s="9"/>
      <c r="AA50" s="9" t="s">
        <v>15389</v>
      </c>
      <c r="AB50" s="9"/>
      <c r="AC50" s="9"/>
      <c r="AD50" s="9" t="s">
        <v>15389</v>
      </c>
      <c r="AE50" s="9"/>
      <c r="AF50" s="9"/>
      <c r="AG50" s="9" t="s">
        <v>15389</v>
      </c>
    </row>
    <row r="51" spans="1:33">
      <c r="A51" s="9">
        <v>46</v>
      </c>
      <c r="B51" s="9" t="s">
        <v>19310</v>
      </c>
      <c r="C51" s="9" t="s">
        <v>14750</v>
      </c>
      <c r="D51" s="9" t="s">
        <v>18967</v>
      </c>
      <c r="E51" s="12">
        <v>44315</v>
      </c>
      <c r="F51" s="12">
        <v>45192</v>
      </c>
      <c r="G51" s="12" t="s">
        <v>14702</v>
      </c>
      <c r="H51" s="9" t="s">
        <v>19309</v>
      </c>
      <c r="I51" s="9" t="s">
        <v>19308</v>
      </c>
      <c r="J51" s="9">
        <v>4323151301</v>
      </c>
      <c r="K51" s="9" t="s">
        <v>19072</v>
      </c>
      <c r="L51" s="9" t="s">
        <v>19307</v>
      </c>
      <c r="M51" s="10" t="s">
        <v>18963</v>
      </c>
      <c r="N51" s="10" t="s">
        <v>19306</v>
      </c>
      <c r="O51" s="9" t="s">
        <v>19305</v>
      </c>
      <c r="P51" s="9" t="s">
        <v>19304</v>
      </c>
      <c r="Q51" s="9" t="s">
        <v>19303</v>
      </c>
      <c r="R51" s="9" t="s">
        <v>19302</v>
      </c>
      <c r="S51" s="9" t="s">
        <v>19301</v>
      </c>
      <c r="T51" s="9" t="s">
        <v>14725</v>
      </c>
      <c r="U51" s="9" t="s">
        <v>19300</v>
      </c>
      <c r="V51" s="9" t="s">
        <v>15243</v>
      </c>
      <c r="W51" s="9" t="s">
        <v>19299</v>
      </c>
      <c r="X51" s="9" t="s">
        <v>19298</v>
      </c>
      <c r="Y51" s="9"/>
      <c r="Z51" s="9"/>
      <c r="AA51" s="9" t="s">
        <v>15389</v>
      </c>
      <c r="AB51" s="9"/>
      <c r="AC51" s="9"/>
      <c r="AD51" s="9" t="s">
        <v>15389</v>
      </c>
      <c r="AE51" s="9"/>
      <c r="AF51" s="9"/>
      <c r="AG51" s="9" t="s">
        <v>15389</v>
      </c>
    </row>
    <row r="52" spans="1:33">
      <c r="A52" s="9">
        <v>47</v>
      </c>
      <c r="B52" s="9" t="s">
        <v>19297</v>
      </c>
      <c r="C52" s="9" t="s">
        <v>14705</v>
      </c>
      <c r="D52" s="9" t="s">
        <v>18967</v>
      </c>
      <c r="E52" s="12">
        <v>44315</v>
      </c>
      <c r="F52" s="12">
        <v>45339</v>
      </c>
      <c r="G52" s="12" t="s">
        <v>14702</v>
      </c>
      <c r="H52" s="9" t="s">
        <v>19036</v>
      </c>
      <c r="I52" s="9" t="s">
        <v>19296</v>
      </c>
      <c r="J52" s="9">
        <v>5610153801</v>
      </c>
      <c r="K52" s="9" t="s">
        <v>19036</v>
      </c>
      <c r="L52" s="9" t="s">
        <v>19295</v>
      </c>
      <c r="M52" s="10" t="s">
        <v>19006</v>
      </c>
      <c r="N52" s="10" t="s">
        <v>19290</v>
      </c>
      <c r="O52" s="9" t="s">
        <v>19289</v>
      </c>
      <c r="P52" s="9" t="s">
        <v>19288</v>
      </c>
      <c r="Q52" s="9" t="s">
        <v>19287</v>
      </c>
      <c r="R52" s="9" t="s">
        <v>19286</v>
      </c>
      <c r="S52" s="9" t="s">
        <v>19285</v>
      </c>
      <c r="T52" s="9" t="s">
        <v>15488</v>
      </c>
      <c r="U52" s="9" t="s">
        <v>19284</v>
      </c>
      <c r="V52" s="9" t="s">
        <v>15846</v>
      </c>
      <c r="W52" s="9" t="s">
        <v>19294</v>
      </c>
      <c r="X52" s="9" t="s">
        <v>19282</v>
      </c>
      <c r="Y52" s="9"/>
      <c r="Z52" s="9"/>
      <c r="AA52" s="9" t="s">
        <v>15389</v>
      </c>
      <c r="AB52" s="9"/>
      <c r="AC52" s="9"/>
      <c r="AD52" s="9" t="s">
        <v>15389</v>
      </c>
      <c r="AE52" s="9"/>
      <c r="AF52" s="9"/>
      <c r="AG52" s="9" t="s">
        <v>15389</v>
      </c>
    </row>
    <row r="53" spans="1:33">
      <c r="A53" s="9">
        <v>48</v>
      </c>
      <c r="B53" s="9" t="s">
        <v>19293</v>
      </c>
      <c r="C53" s="9" t="s">
        <v>14705</v>
      </c>
      <c r="D53" s="9" t="s">
        <v>18967</v>
      </c>
      <c r="E53" s="12">
        <v>44315</v>
      </c>
      <c r="F53" s="12">
        <v>45339</v>
      </c>
      <c r="G53" s="12" t="s">
        <v>14702</v>
      </c>
      <c r="H53" s="9" t="s">
        <v>15413</v>
      </c>
      <c r="I53" s="9" t="s">
        <v>19292</v>
      </c>
      <c r="J53" s="9">
        <v>5215165001</v>
      </c>
      <c r="K53" s="9" t="s">
        <v>15413</v>
      </c>
      <c r="L53" s="9" t="s">
        <v>19291</v>
      </c>
      <c r="M53" s="10" t="s">
        <v>19021</v>
      </c>
      <c r="N53" s="10" t="s">
        <v>19290</v>
      </c>
      <c r="O53" s="9" t="s">
        <v>19289</v>
      </c>
      <c r="P53" s="9" t="s">
        <v>19288</v>
      </c>
      <c r="Q53" s="9" t="s">
        <v>19287</v>
      </c>
      <c r="R53" s="9" t="s">
        <v>19286</v>
      </c>
      <c r="S53" s="9" t="s">
        <v>19285</v>
      </c>
      <c r="T53" s="9" t="s">
        <v>15488</v>
      </c>
      <c r="U53" s="9" t="s">
        <v>19284</v>
      </c>
      <c r="V53" s="9" t="s">
        <v>15846</v>
      </c>
      <c r="W53" s="9" t="s">
        <v>19283</v>
      </c>
      <c r="X53" s="9" t="s">
        <v>19282</v>
      </c>
      <c r="Y53" s="9"/>
      <c r="Z53" s="9"/>
      <c r="AA53" s="9" t="s">
        <v>15389</v>
      </c>
      <c r="AB53" s="9"/>
      <c r="AC53" s="9"/>
      <c r="AD53" s="9" t="s">
        <v>15389</v>
      </c>
      <c r="AE53" s="9"/>
      <c r="AF53" s="9"/>
      <c r="AG53" s="9" t="s">
        <v>15389</v>
      </c>
    </row>
    <row r="54" spans="1:33" s="31" customFormat="1">
      <c r="A54" s="28">
        <v>49</v>
      </c>
      <c r="B54" s="28" t="s">
        <v>19281</v>
      </c>
      <c r="C54" s="28" t="s">
        <v>14705</v>
      </c>
      <c r="D54" s="28" t="s">
        <v>18967</v>
      </c>
      <c r="E54" s="29">
        <v>44315</v>
      </c>
      <c r="F54" s="29">
        <v>45227</v>
      </c>
      <c r="G54" s="29" t="s">
        <v>14702</v>
      </c>
      <c r="H54" s="28" t="s">
        <v>19280</v>
      </c>
      <c r="I54" s="28" t="s">
        <v>19279</v>
      </c>
      <c r="J54" s="28">
        <v>4016169901</v>
      </c>
      <c r="K54" s="28" t="s">
        <v>19278</v>
      </c>
      <c r="L54" s="28" t="s">
        <v>19277</v>
      </c>
      <c r="M54" s="30" t="s">
        <v>18991</v>
      </c>
      <c r="N54" s="30" t="s">
        <v>19276</v>
      </c>
      <c r="O54" s="28" t="s">
        <v>19275</v>
      </c>
      <c r="P54" s="28" t="s">
        <v>19274</v>
      </c>
      <c r="Q54" s="28" t="s">
        <v>19273</v>
      </c>
      <c r="R54" s="28" t="s">
        <v>19272</v>
      </c>
      <c r="S54" s="28" t="s">
        <v>19271</v>
      </c>
      <c r="T54" s="28" t="s">
        <v>14692</v>
      </c>
      <c r="U54" s="28" t="s">
        <v>19270</v>
      </c>
      <c r="V54" s="28" t="s">
        <v>19014</v>
      </c>
      <c r="W54" s="28" t="s">
        <v>19269</v>
      </c>
      <c r="X54" s="28" t="s">
        <v>19151</v>
      </c>
      <c r="Y54" s="28"/>
      <c r="Z54" s="28"/>
      <c r="AA54" s="28" t="s">
        <v>15389</v>
      </c>
      <c r="AB54" s="28"/>
      <c r="AC54" s="28"/>
      <c r="AD54" s="28" t="s">
        <v>15389</v>
      </c>
      <c r="AE54" s="28"/>
      <c r="AF54" s="28"/>
      <c r="AG54" s="28" t="s">
        <v>15389</v>
      </c>
    </row>
    <row r="55" spans="1:33">
      <c r="A55" s="9">
        <v>50</v>
      </c>
      <c r="B55" s="9" t="s">
        <v>19268</v>
      </c>
      <c r="C55" s="9" t="s">
        <v>15155</v>
      </c>
      <c r="D55" s="9" t="s">
        <v>18967</v>
      </c>
      <c r="E55" s="12">
        <v>44315</v>
      </c>
      <c r="F55" s="12">
        <v>45206</v>
      </c>
      <c r="G55" s="12" t="s">
        <v>14702</v>
      </c>
      <c r="H55" s="9" t="s">
        <v>19267</v>
      </c>
      <c r="I55" s="9" t="s">
        <v>19266</v>
      </c>
      <c r="J55" s="9">
        <v>3116280101</v>
      </c>
      <c r="K55" s="9" t="s">
        <v>19265</v>
      </c>
      <c r="L55" s="9" t="s">
        <v>19264</v>
      </c>
      <c r="M55" s="10" t="s">
        <v>18963</v>
      </c>
      <c r="N55" s="10" t="s">
        <v>19263</v>
      </c>
      <c r="O55" s="9" t="s">
        <v>19262</v>
      </c>
      <c r="P55" s="9" t="s">
        <v>19261</v>
      </c>
      <c r="Q55" s="9" t="s">
        <v>19261</v>
      </c>
      <c r="R55" s="9" t="s">
        <v>19260</v>
      </c>
      <c r="S55" s="9" t="s">
        <v>19259</v>
      </c>
      <c r="T55" s="9" t="s">
        <v>14712</v>
      </c>
      <c r="U55" s="9" t="s">
        <v>19258</v>
      </c>
      <c r="V55" s="9" t="s">
        <v>18173</v>
      </c>
      <c r="W55" s="9" t="s">
        <v>19257</v>
      </c>
      <c r="X55" s="9" t="s">
        <v>19256</v>
      </c>
      <c r="Y55" s="9"/>
      <c r="Z55" s="9"/>
      <c r="AA55" s="9" t="s">
        <v>15389</v>
      </c>
      <c r="AB55" s="9"/>
      <c r="AC55" s="9"/>
      <c r="AD55" s="9" t="s">
        <v>15389</v>
      </c>
      <c r="AE55" s="9"/>
      <c r="AF55" s="9"/>
      <c r="AG55" s="9" t="s">
        <v>15389</v>
      </c>
    </row>
    <row r="56" spans="1:33" s="38" customFormat="1">
      <c r="A56" s="27">
        <v>51</v>
      </c>
      <c r="B56" s="27" t="s">
        <v>19255</v>
      </c>
      <c r="C56" s="27" t="s">
        <v>15155</v>
      </c>
      <c r="D56" s="27" t="s">
        <v>18967</v>
      </c>
      <c r="E56" s="36">
        <v>44315</v>
      </c>
      <c r="F56" s="36">
        <v>44679</v>
      </c>
      <c r="G56" s="36" t="s">
        <v>14702</v>
      </c>
      <c r="H56" s="27" t="s">
        <v>19254</v>
      </c>
      <c r="I56" s="27" t="s">
        <v>19253</v>
      </c>
      <c r="J56" s="27">
        <v>3014151101</v>
      </c>
      <c r="K56" s="27" t="s">
        <v>19252</v>
      </c>
      <c r="L56" s="27" t="s">
        <v>19251</v>
      </c>
      <c r="M56" s="37" t="s">
        <v>19006</v>
      </c>
      <c r="N56" s="37" t="s">
        <v>19250</v>
      </c>
      <c r="O56" s="27" t="s">
        <v>19249</v>
      </c>
      <c r="P56" s="27" t="s">
        <v>19248</v>
      </c>
      <c r="Q56" s="27" t="s">
        <v>19248</v>
      </c>
      <c r="R56" s="27" t="s">
        <v>19247</v>
      </c>
      <c r="S56" s="27" t="s">
        <v>19246</v>
      </c>
      <c r="T56" s="27" t="s">
        <v>15291</v>
      </c>
      <c r="U56" s="27" t="s">
        <v>19245</v>
      </c>
      <c r="V56" s="27" t="s">
        <v>15374</v>
      </c>
      <c r="W56" s="27" t="s">
        <v>19244</v>
      </c>
      <c r="X56" s="27" t="s">
        <v>19243</v>
      </c>
      <c r="Y56" s="27"/>
      <c r="Z56" s="27"/>
      <c r="AA56" s="27" t="s">
        <v>15389</v>
      </c>
      <c r="AB56" s="27"/>
      <c r="AC56" s="27"/>
      <c r="AD56" s="27" t="s">
        <v>15389</v>
      </c>
      <c r="AE56" s="27"/>
      <c r="AF56" s="27"/>
      <c r="AG56" s="27" t="s">
        <v>15389</v>
      </c>
    </row>
    <row r="57" spans="1:33">
      <c r="A57" s="9">
        <v>52</v>
      </c>
      <c r="B57" s="9" t="s">
        <v>19242</v>
      </c>
      <c r="C57" s="9" t="s">
        <v>14750</v>
      </c>
      <c r="D57" s="9" t="s">
        <v>18967</v>
      </c>
      <c r="E57" s="12">
        <v>44315</v>
      </c>
      <c r="F57" s="12">
        <v>45227</v>
      </c>
      <c r="G57" s="12" t="s">
        <v>14702</v>
      </c>
      <c r="H57" s="9" t="s">
        <v>19241</v>
      </c>
      <c r="I57" s="9" t="s">
        <v>19240</v>
      </c>
      <c r="J57" s="9">
        <v>3115150301</v>
      </c>
      <c r="K57" s="9" t="s">
        <v>19239</v>
      </c>
      <c r="L57" s="9" t="s">
        <v>19238</v>
      </c>
      <c r="M57" s="10" t="s">
        <v>18991</v>
      </c>
      <c r="N57" s="10" t="s">
        <v>8144</v>
      </c>
      <c r="O57" s="9" t="s">
        <v>19237</v>
      </c>
      <c r="P57" s="9" t="s">
        <v>19236</v>
      </c>
      <c r="Q57" s="9" t="s">
        <v>19235</v>
      </c>
      <c r="R57" s="9" t="s">
        <v>19234</v>
      </c>
      <c r="S57" s="9" t="s">
        <v>19233</v>
      </c>
      <c r="T57" s="9" t="s">
        <v>14692</v>
      </c>
      <c r="U57" s="9" t="s">
        <v>19232</v>
      </c>
      <c r="V57" s="9" t="s">
        <v>19014</v>
      </c>
      <c r="W57" s="9" t="s">
        <v>19231</v>
      </c>
      <c r="X57" s="9" t="s">
        <v>19151</v>
      </c>
      <c r="Y57" s="9"/>
      <c r="Z57" s="9"/>
      <c r="AA57" s="9" t="s">
        <v>15389</v>
      </c>
      <c r="AB57" s="9"/>
      <c r="AC57" s="9"/>
      <c r="AD57" s="9" t="s">
        <v>15389</v>
      </c>
      <c r="AE57" s="9"/>
      <c r="AF57" s="9"/>
      <c r="AG57" s="9" t="s">
        <v>15389</v>
      </c>
    </row>
    <row r="58" spans="1:33">
      <c r="A58" s="9">
        <v>53</v>
      </c>
      <c r="B58" s="9" t="s">
        <v>19230</v>
      </c>
      <c r="C58" s="9" t="s">
        <v>15155</v>
      </c>
      <c r="D58" s="9" t="s">
        <v>18967</v>
      </c>
      <c r="E58" s="12">
        <v>44315</v>
      </c>
      <c r="F58" s="12">
        <v>45227</v>
      </c>
      <c r="G58" s="12" t="s">
        <v>14702</v>
      </c>
      <c r="H58" s="9" t="s">
        <v>19229</v>
      </c>
      <c r="I58" s="9" t="s">
        <v>19228</v>
      </c>
      <c r="J58" s="9">
        <v>4619160113</v>
      </c>
      <c r="K58" s="9" t="s">
        <v>19227</v>
      </c>
      <c r="L58" s="9" t="s">
        <v>19226</v>
      </c>
      <c r="M58" s="10" t="s">
        <v>19006</v>
      </c>
      <c r="N58" s="10" t="s">
        <v>19225</v>
      </c>
      <c r="O58" s="9" t="s">
        <v>19224</v>
      </c>
      <c r="P58" s="9" t="s">
        <v>19223</v>
      </c>
      <c r="Q58" s="9" t="s">
        <v>19222</v>
      </c>
      <c r="R58" s="9" t="s">
        <v>19221</v>
      </c>
      <c r="S58" s="9" t="s">
        <v>19220</v>
      </c>
      <c r="T58" s="9" t="s">
        <v>14756</v>
      </c>
      <c r="U58" s="9" t="s">
        <v>19219</v>
      </c>
      <c r="V58" s="9" t="s">
        <v>19014</v>
      </c>
      <c r="W58" s="9" t="s">
        <v>19218</v>
      </c>
      <c r="X58" s="9" t="s">
        <v>19151</v>
      </c>
      <c r="Y58" s="9"/>
      <c r="Z58" s="9"/>
      <c r="AA58" s="9" t="s">
        <v>15389</v>
      </c>
      <c r="AB58" s="9"/>
      <c r="AC58" s="9"/>
      <c r="AD58" s="9" t="s">
        <v>15389</v>
      </c>
      <c r="AE58" s="9"/>
      <c r="AF58" s="9"/>
      <c r="AG58" s="9" t="s">
        <v>15389</v>
      </c>
    </row>
    <row r="59" spans="1:33">
      <c r="A59" s="9">
        <v>54</v>
      </c>
      <c r="B59" s="9" t="s">
        <v>19217</v>
      </c>
      <c r="C59" s="9" t="s">
        <v>15155</v>
      </c>
      <c r="D59" s="9" t="s">
        <v>18967</v>
      </c>
      <c r="E59" s="12">
        <v>44315</v>
      </c>
      <c r="F59" s="12">
        <v>44679</v>
      </c>
      <c r="G59" s="12" t="s">
        <v>14702</v>
      </c>
      <c r="H59" s="9" t="s">
        <v>19216</v>
      </c>
      <c r="I59" s="9" t="s">
        <v>19215</v>
      </c>
      <c r="J59" s="9">
        <v>4619167101</v>
      </c>
      <c r="K59" s="9" t="s">
        <v>19214</v>
      </c>
      <c r="L59" s="9" t="s">
        <v>19213</v>
      </c>
      <c r="M59" s="10" t="s">
        <v>19006</v>
      </c>
      <c r="N59" s="10" t="s">
        <v>19212</v>
      </c>
      <c r="O59" s="9" t="s">
        <v>19211</v>
      </c>
      <c r="P59" s="9" t="s">
        <v>19210</v>
      </c>
      <c r="Q59" s="9" t="s">
        <v>19209</v>
      </c>
      <c r="R59" s="9" t="s">
        <v>19208</v>
      </c>
      <c r="S59" s="9" t="s">
        <v>19207</v>
      </c>
      <c r="T59" s="9" t="s">
        <v>14787</v>
      </c>
      <c r="U59" s="9" t="s">
        <v>19206</v>
      </c>
      <c r="V59" s="9" t="s">
        <v>15374</v>
      </c>
      <c r="W59" s="9" t="s">
        <v>19205</v>
      </c>
      <c r="X59" s="9" t="s">
        <v>19204</v>
      </c>
      <c r="Y59" s="9"/>
      <c r="Z59" s="9"/>
      <c r="AA59" s="9" t="s">
        <v>15389</v>
      </c>
      <c r="AB59" s="9"/>
      <c r="AC59" s="9"/>
      <c r="AD59" s="9" t="s">
        <v>15389</v>
      </c>
      <c r="AE59" s="9"/>
      <c r="AF59" s="9"/>
      <c r="AG59" s="9" t="s">
        <v>15389</v>
      </c>
    </row>
    <row r="60" spans="1:33">
      <c r="A60" s="9">
        <v>55</v>
      </c>
      <c r="B60" s="9" t="s">
        <v>19203</v>
      </c>
      <c r="C60" s="9" t="s">
        <v>14705</v>
      </c>
      <c r="D60" s="9" t="s">
        <v>18967</v>
      </c>
      <c r="E60" s="12">
        <v>44315</v>
      </c>
      <c r="F60" s="12">
        <v>45127</v>
      </c>
      <c r="G60" s="12" t="s">
        <v>14702</v>
      </c>
      <c r="H60" s="9" t="s">
        <v>19202</v>
      </c>
      <c r="I60" s="9" t="s">
        <v>19201</v>
      </c>
      <c r="J60" s="9">
        <v>4618230601</v>
      </c>
      <c r="K60" s="9" t="s">
        <v>19200</v>
      </c>
      <c r="L60" s="9" t="s">
        <v>19199</v>
      </c>
      <c r="M60" s="10" t="s">
        <v>18991</v>
      </c>
      <c r="N60" s="10" t="s">
        <v>19198</v>
      </c>
      <c r="O60" s="9" t="s">
        <v>19197</v>
      </c>
      <c r="P60" s="9" t="s">
        <v>19196</v>
      </c>
      <c r="Q60" s="9" t="s">
        <v>19195</v>
      </c>
      <c r="R60" s="9" t="s">
        <v>19194</v>
      </c>
      <c r="S60" s="9" t="s">
        <v>19193</v>
      </c>
      <c r="T60" s="9" t="s">
        <v>14725</v>
      </c>
      <c r="U60" s="9" t="s">
        <v>19192</v>
      </c>
      <c r="V60" s="9" t="s">
        <v>19014</v>
      </c>
      <c r="W60" s="9" t="s">
        <v>19191</v>
      </c>
      <c r="X60" s="9" t="s">
        <v>17679</v>
      </c>
      <c r="Y60" s="9"/>
      <c r="Z60" s="9"/>
      <c r="AA60" s="9" t="s">
        <v>15389</v>
      </c>
      <c r="AB60" s="9"/>
      <c r="AC60" s="9"/>
      <c r="AD60" s="9" t="s">
        <v>15389</v>
      </c>
      <c r="AE60" s="9"/>
      <c r="AF60" s="9"/>
      <c r="AG60" s="9" t="s">
        <v>15389</v>
      </c>
    </row>
    <row r="61" spans="1:33">
      <c r="A61" s="9">
        <v>56</v>
      </c>
      <c r="B61" s="9" t="s">
        <v>19190</v>
      </c>
      <c r="C61" s="9" t="s">
        <v>14750</v>
      </c>
      <c r="D61" s="9" t="s">
        <v>18967</v>
      </c>
      <c r="E61" s="12">
        <v>44315</v>
      </c>
      <c r="F61" s="12">
        <v>44925</v>
      </c>
      <c r="G61" s="12" t="s">
        <v>14702</v>
      </c>
      <c r="H61" s="9" t="s">
        <v>19189</v>
      </c>
      <c r="I61" s="9" t="s">
        <v>19188</v>
      </c>
      <c r="J61" s="9">
        <v>4010178702</v>
      </c>
      <c r="K61" s="9" t="s">
        <v>19187</v>
      </c>
      <c r="L61" s="9" t="s">
        <v>19186</v>
      </c>
      <c r="M61" s="10" t="s">
        <v>18991</v>
      </c>
      <c r="N61" s="10" t="s">
        <v>19185</v>
      </c>
      <c r="O61" s="9" t="s">
        <v>19184</v>
      </c>
      <c r="P61" s="9" t="s">
        <v>19183</v>
      </c>
      <c r="Q61" s="9" t="s">
        <v>19182</v>
      </c>
      <c r="R61" s="9" t="s">
        <v>19181</v>
      </c>
      <c r="S61" s="9" t="s">
        <v>19180</v>
      </c>
      <c r="T61" s="9" t="s">
        <v>14725</v>
      </c>
      <c r="U61" s="9" t="s">
        <v>19179</v>
      </c>
      <c r="V61" s="9" t="s">
        <v>14868</v>
      </c>
      <c r="W61" s="9" t="s">
        <v>19178</v>
      </c>
      <c r="X61" s="9" t="s">
        <v>19177</v>
      </c>
      <c r="Y61" s="9"/>
      <c r="Z61" s="9"/>
      <c r="AA61" s="9" t="s">
        <v>15389</v>
      </c>
      <c r="AB61" s="9"/>
      <c r="AC61" s="9"/>
      <c r="AD61" s="9" t="s">
        <v>15389</v>
      </c>
      <c r="AE61" s="9"/>
      <c r="AF61" s="9"/>
      <c r="AG61" s="9" t="s">
        <v>15389</v>
      </c>
    </row>
    <row r="62" spans="1:33">
      <c r="A62" s="9">
        <v>57</v>
      </c>
      <c r="B62" s="9" t="s">
        <v>19176</v>
      </c>
      <c r="C62" s="9" t="s">
        <v>15155</v>
      </c>
      <c r="D62" s="9" t="s">
        <v>18967</v>
      </c>
      <c r="E62" s="12">
        <v>44315</v>
      </c>
      <c r="F62" s="12">
        <v>44452</v>
      </c>
      <c r="G62" s="12" t="s">
        <v>14702</v>
      </c>
      <c r="H62" s="9" t="s">
        <v>19175</v>
      </c>
      <c r="I62" s="9" t="s">
        <v>19174</v>
      </c>
      <c r="J62" s="9">
        <v>5213160101</v>
      </c>
      <c r="K62" s="9" t="s">
        <v>19173</v>
      </c>
      <c r="L62" s="9" t="s">
        <v>19172</v>
      </c>
      <c r="M62" s="10" t="s">
        <v>18963</v>
      </c>
      <c r="N62" s="10" t="s">
        <v>19171</v>
      </c>
      <c r="O62" s="9" t="s">
        <v>19170</v>
      </c>
      <c r="P62" s="9" t="s">
        <v>19169</v>
      </c>
      <c r="Q62" s="9" t="s">
        <v>19169</v>
      </c>
      <c r="R62" s="9" t="s">
        <v>19168</v>
      </c>
      <c r="S62" s="9" t="s">
        <v>19167</v>
      </c>
      <c r="T62" s="9" t="s">
        <v>14725</v>
      </c>
      <c r="U62" s="9" t="s">
        <v>19166</v>
      </c>
      <c r="V62" s="9" t="s">
        <v>15374</v>
      </c>
      <c r="W62" s="9" t="s">
        <v>19165</v>
      </c>
      <c r="X62" s="9" t="s">
        <v>17968</v>
      </c>
      <c r="Y62" s="9"/>
      <c r="Z62" s="9"/>
      <c r="AA62" s="9" t="s">
        <v>15389</v>
      </c>
      <c r="AB62" s="9"/>
      <c r="AC62" s="9"/>
      <c r="AD62" s="9" t="s">
        <v>15389</v>
      </c>
      <c r="AE62" s="9"/>
      <c r="AF62" s="9"/>
      <c r="AG62" s="9" t="s">
        <v>15389</v>
      </c>
    </row>
    <row r="63" spans="1:33">
      <c r="A63" s="9">
        <v>58</v>
      </c>
      <c r="B63" s="9" t="s">
        <v>19164</v>
      </c>
      <c r="C63" s="9" t="s">
        <v>15155</v>
      </c>
      <c r="D63" s="9" t="s">
        <v>18967</v>
      </c>
      <c r="E63" s="12">
        <v>44315</v>
      </c>
      <c r="F63" s="12">
        <v>45227</v>
      </c>
      <c r="G63" s="12" t="s">
        <v>14702</v>
      </c>
      <c r="H63" s="9" t="s">
        <v>19163</v>
      </c>
      <c r="I63" s="9" t="s">
        <v>19162</v>
      </c>
      <c r="J63" s="9">
        <v>4221161501</v>
      </c>
      <c r="K63" s="9" t="s">
        <v>19161</v>
      </c>
      <c r="L63" s="9" t="s">
        <v>19160</v>
      </c>
      <c r="M63" s="10" t="s">
        <v>19006</v>
      </c>
      <c r="N63" s="10" t="s">
        <v>19159</v>
      </c>
      <c r="O63" s="9" t="s">
        <v>19158</v>
      </c>
      <c r="P63" s="9" t="s">
        <v>19157</v>
      </c>
      <c r="Q63" s="9" t="s">
        <v>19156</v>
      </c>
      <c r="R63" s="9" t="s">
        <v>19155</v>
      </c>
      <c r="S63" s="9" t="s">
        <v>19154</v>
      </c>
      <c r="T63" s="9" t="s">
        <v>15690</v>
      </c>
      <c r="U63" s="9" t="s">
        <v>19153</v>
      </c>
      <c r="V63" s="9" t="s">
        <v>19014</v>
      </c>
      <c r="W63" s="9" t="s">
        <v>19152</v>
      </c>
      <c r="X63" s="9" t="s">
        <v>19151</v>
      </c>
      <c r="Y63" s="9"/>
      <c r="Z63" s="9"/>
      <c r="AA63" s="9" t="s">
        <v>15389</v>
      </c>
      <c r="AB63" s="9"/>
      <c r="AC63" s="9"/>
      <c r="AD63" s="9" t="s">
        <v>15389</v>
      </c>
      <c r="AE63" s="9"/>
      <c r="AF63" s="9"/>
      <c r="AG63" s="9" t="s">
        <v>15389</v>
      </c>
    </row>
    <row r="64" spans="1:33">
      <c r="A64" s="9">
        <v>59</v>
      </c>
      <c r="B64" s="9" t="s">
        <v>19150</v>
      </c>
      <c r="C64" s="9" t="s">
        <v>15155</v>
      </c>
      <c r="D64" s="9" t="s">
        <v>18967</v>
      </c>
      <c r="E64" s="12">
        <v>44315</v>
      </c>
      <c r="F64" s="12">
        <v>44679</v>
      </c>
      <c r="G64" s="12" t="s">
        <v>14702</v>
      </c>
      <c r="H64" s="9" t="s">
        <v>19149</v>
      </c>
      <c r="I64" s="9" t="s">
        <v>19149</v>
      </c>
      <c r="J64" s="9">
        <v>4323290201</v>
      </c>
      <c r="K64" s="9" t="s">
        <v>16006</v>
      </c>
      <c r="L64" s="9" t="s">
        <v>19148</v>
      </c>
      <c r="M64" s="10" t="s">
        <v>18991</v>
      </c>
      <c r="N64" s="10" t="s">
        <v>19147</v>
      </c>
      <c r="O64" s="9" t="s">
        <v>19146</v>
      </c>
      <c r="P64" s="9" t="s">
        <v>19145</v>
      </c>
      <c r="Q64" s="9" t="s">
        <v>19144</v>
      </c>
      <c r="R64" s="9" t="s">
        <v>19143</v>
      </c>
      <c r="S64" s="9" t="s">
        <v>19142</v>
      </c>
      <c r="T64" s="9" t="s">
        <v>14773</v>
      </c>
      <c r="U64" s="9" t="s">
        <v>19141</v>
      </c>
      <c r="V64" s="9" t="s">
        <v>15374</v>
      </c>
      <c r="W64" s="9" t="s">
        <v>19140</v>
      </c>
      <c r="X64" s="9" t="s">
        <v>19139</v>
      </c>
      <c r="Y64" s="9"/>
      <c r="Z64" s="9"/>
      <c r="AA64" s="9" t="s">
        <v>15389</v>
      </c>
      <c r="AB64" s="9"/>
      <c r="AC64" s="9"/>
      <c r="AD64" s="9" t="s">
        <v>15389</v>
      </c>
      <c r="AE64" s="9"/>
      <c r="AF64" s="9"/>
      <c r="AG64" s="9" t="s">
        <v>15389</v>
      </c>
    </row>
    <row r="65" spans="1:33">
      <c r="A65" s="9">
        <v>60</v>
      </c>
      <c r="B65" s="9" t="s">
        <v>19138</v>
      </c>
      <c r="C65" s="9" t="s">
        <v>14750</v>
      </c>
      <c r="D65" s="9" t="s">
        <v>18967</v>
      </c>
      <c r="E65" s="12">
        <v>44315</v>
      </c>
      <c r="F65" s="12">
        <v>45134</v>
      </c>
      <c r="G65" s="12" t="s">
        <v>14702</v>
      </c>
      <c r="H65" s="9" t="s">
        <v>19137</v>
      </c>
      <c r="I65" s="9" t="s">
        <v>19136</v>
      </c>
      <c r="J65" s="9">
        <v>3013170402</v>
      </c>
      <c r="K65" s="9" t="s">
        <v>17481</v>
      </c>
      <c r="L65" s="9" t="s">
        <v>19135</v>
      </c>
      <c r="M65" s="10" t="s">
        <v>18963</v>
      </c>
      <c r="N65" s="10" t="s">
        <v>19134</v>
      </c>
      <c r="O65" s="9" t="s">
        <v>19133</v>
      </c>
      <c r="P65" s="9" t="s">
        <v>19132</v>
      </c>
      <c r="Q65" s="9" t="s">
        <v>19131</v>
      </c>
      <c r="R65" s="9" t="s">
        <v>19130</v>
      </c>
      <c r="S65" s="9" t="s">
        <v>19129</v>
      </c>
      <c r="T65" s="9" t="s">
        <v>15678</v>
      </c>
      <c r="U65" s="9" t="s">
        <v>19128</v>
      </c>
      <c r="V65" s="9" t="s">
        <v>77</v>
      </c>
      <c r="W65" s="9" t="s">
        <v>19127</v>
      </c>
      <c r="X65" s="9" t="s">
        <v>17813</v>
      </c>
      <c r="Y65" s="9"/>
      <c r="Z65" s="9"/>
      <c r="AA65" s="9" t="s">
        <v>15389</v>
      </c>
      <c r="AB65" s="9"/>
      <c r="AC65" s="9"/>
      <c r="AD65" s="9" t="s">
        <v>15389</v>
      </c>
      <c r="AE65" s="9"/>
      <c r="AF65" s="9"/>
      <c r="AG65" s="9" t="s">
        <v>15389</v>
      </c>
    </row>
    <row r="66" spans="1:33">
      <c r="A66" s="9">
        <v>61</v>
      </c>
      <c r="B66" s="9" t="s">
        <v>19126</v>
      </c>
      <c r="C66" s="9" t="s">
        <v>15155</v>
      </c>
      <c r="D66" s="9" t="s">
        <v>18967</v>
      </c>
      <c r="E66" s="12">
        <v>44315</v>
      </c>
      <c r="F66" s="12">
        <v>44401</v>
      </c>
      <c r="G66" s="12" t="s">
        <v>14702</v>
      </c>
      <c r="H66" s="9" t="s">
        <v>19125</v>
      </c>
      <c r="I66" s="9" t="s">
        <v>19124</v>
      </c>
      <c r="J66" s="9">
        <v>3010320101</v>
      </c>
      <c r="K66" s="9" t="s">
        <v>19123</v>
      </c>
      <c r="L66" s="9" t="s">
        <v>19122</v>
      </c>
      <c r="M66" s="10" t="s">
        <v>18963</v>
      </c>
      <c r="N66" s="10" t="s">
        <v>19121</v>
      </c>
      <c r="O66" s="9" t="s">
        <v>19120</v>
      </c>
      <c r="P66" s="9" t="s">
        <v>19119</v>
      </c>
      <c r="Q66" s="9" t="s">
        <v>19119</v>
      </c>
      <c r="R66" s="9" t="s">
        <v>19118</v>
      </c>
      <c r="S66" s="9" t="s">
        <v>19117</v>
      </c>
      <c r="T66" s="9" t="s">
        <v>14815</v>
      </c>
      <c r="U66" s="9" t="s">
        <v>19116</v>
      </c>
      <c r="V66" s="9" t="s">
        <v>15139</v>
      </c>
      <c r="W66" s="9" t="s">
        <v>19115</v>
      </c>
      <c r="X66" s="9" t="s">
        <v>14812</v>
      </c>
      <c r="Y66" s="9"/>
      <c r="Z66" s="9"/>
      <c r="AA66" s="9" t="s">
        <v>15389</v>
      </c>
      <c r="AB66" s="9"/>
      <c r="AC66" s="9"/>
      <c r="AD66" s="9" t="s">
        <v>15389</v>
      </c>
      <c r="AE66" s="9"/>
      <c r="AF66" s="9"/>
      <c r="AG66" s="9" t="s">
        <v>15389</v>
      </c>
    </row>
    <row r="67" spans="1:33">
      <c r="A67" s="9">
        <v>62</v>
      </c>
      <c r="B67" s="9" t="s">
        <v>19114</v>
      </c>
      <c r="C67" s="9" t="s">
        <v>14750</v>
      </c>
      <c r="D67" s="9" t="s">
        <v>18967</v>
      </c>
      <c r="E67" s="12">
        <v>44315</v>
      </c>
      <c r="F67" s="12">
        <v>45239</v>
      </c>
      <c r="G67" s="12" t="s">
        <v>14702</v>
      </c>
      <c r="H67" s="9" t="s">
        <v>19084</v>
      </c>
      <c r="I67" s="9" t="s">
        <v>19113</v>
      </c>
      <c r="J67" s="9">
        <v>3911161102</v>
      </c>
      <c r="K67" s="9" t="s">
        <v>14920</v>
      </c>
      <c r="L67" s="9" t="s">
        <v>19082</v>
      </c>
      <c r="M67" s="10" t="s">
        <v>18991</v>
      </c>
      <c r="N67" s="10" t="s">
        <v>19081</v>
      </c>
      <c r="O67" s="9" t="s">
        <v>19080</v>
      </c>
      <c r="P67" s="9" t="s">
        <v>19079</v>
      </c>
      <c r="Q67" s="9" t="s">
        <v>19078</v>
      </c>
      <c r="R67" s="9" t="s">
        <v>19077</v>
      </c>
      <c r="S67" s="9" t="s">
        <v>16197</v>
      </c>
      <c r="T67" s="9" t="s">
        <v>14725</v>
      </c>
      <c r="U67" s="9" t="s">
        <v>19076</v>
      </c>
      <c r="V67" s="9" t="s">
        <v>75</v>
      </c>
      <c r="W67" s="9" t="s">
        <v>19075</v>
      </c>
      <c r="X67" s="9" t="s">
        <v>18499</v>
      </c>
      <c r="Y67" s="9"/>
      <c r="Z67" s="9"/>
      <c r="AA67" s="9" t="s">
        <v>15389</v>
      </c>
      <c r="AB67" s="9"/>
      <c r="AC67" s="9"/>
      <c r="AD67" s="9" t="s">
        <v>15389</v>
      </c>
      <c r="AE67" s="9"/>
      <c r="AF67" s="9"/>
      <c r="AG67" s="9" t="s">
        <v>15389</v>
      </c>
    </row>
    <row r="68" spans="1:33">
      <c r="A68" s="9">
        <v>63</v>
      </c>
      <c r="B68" s="9" t="s">
        <v>19112</v>
      </c>
      <c r="C68" s="9" t="s">
        <v>14750</v>
      </c>
      <c r="D68" s="9" t="s">
        <v>18967</v>
      </c>
      <c r="E68" s="12">
        <v>44315</v>
      </c>
      <c r="F68" s="12">
        <v>45239</v>
      </c>
      <c r="G68" s="12" t="s">
        <v>14702</v>
      </c>
      <c r="H68" s="9" t="s">
        <v>19084</v>
      </c>
      <c r="I68" s="9" t="s">
        <v>19111</v>
      </c>
      <c r="J68" s="9">
        <v>3911160304</v>
      </c>
      <c r="K68" s="9" t="s">
        <v>15024</v>
      </c>
      <c r="L68" s="9" t="s">
        <v>19082</v>
      </c>
      <c r="M68" s="10" t="s">
        <v>18963</v>
      </c>
      <c r="N68" s="10" t="s">
        <v>19081</v>
      </c>
      <c r="O68" s="9" t="s">
        <v>19080</v>
      </c>
      <c r="P68" s="9" t="s">
        <v>19079</v>
      </c>
      <c r="Q68" s="9" t="s">
        <v>19078</v>
      </c>
      <c r="R68" s="9" t="s">
        <v>19077</v>
      </c>
      <c r="S68" s="9" t="s">
        <v>16197</v>
      </c>
      <c r="T68" s="9" t="s">
        <v>14725</v>
      </c>
      <c r="U68" s="9" t="s">
        <v>19076</v>
      </c>
      <c r="V68" s="9" t="s">
        <v>75</v>
      </c>
      <c r="W68" s="9" t="s">
        <v>19075</v>
      </c>
      <c r="X68" s="9" t="s">
        <v>18499</v>
      </c>
      <c r="Y68" s="9"/>
      <c r="Z68" s="9"/>
      <c r="AA68" s="9" t="s">
        <v>15389</v>
      </c>
      <c r="AB68" s="9"/>
      <c r="AC68" s="9"/>
      <c r="AD68" s="9" t="s">
        <v>15389</v>
      </c>
      <c r="AE68" s="9"/>
      <c r="AF68" s="9"/>
      <c r="AG68" s="9" t="s">
        <v>15389</v>
      </c>
    </row>
    <row r="69" spans="1:33">
      <c r="A69" s="9">
        <v>64</v>
      </c>
      <c r="B69" s="9" t="s">
        <v>19110</v>
      </c>
      <c r="C69" s="9" t="s">
        <v>14705</v>
      </c>
      <c r="D69" s="9" t="s">
        <v>18967</v>
      </c>
      <c r="E69" s="12">
        <v>44315</v>
      </c>
      <c r="F69" s="12">
        <v>45203</v>
      </c>
      <c r="G69" s="12" t="s">
        <v>14702</v>
      </c>
      <c r="H69" s="9" t="s">
        <v>19109</v>
      </c>
      <c r="I69" s="9" t="s">
        <v>19108</v>
      </c>
      <c r="J69" s="9">
        <v>4323260501</v>
      </c>
      <c r="K69" s="9" t="s">
        <v>17688</v>
      </c>
      <c r="L69" s="9" t="s">
        <v>19107</v>
      </c>
      <c r="M69" s="10" t="s">
        <v>19006</v>
      </c>
      <c r="N69" s="10" t="s">
        <v>19106</v>
      </c>
      <c r="O69" s="9" t="s">
        <v>19105</v>
      </c>
      <c r="P69" s="9" t="s">
        <v>19104</v>
      </c>
      <c r="Q69" s="9" t="s">
        <v>19104</v>
      </c>
      <c r="R69" s="9" t="s">
        <v>19103</v>
      </c>
      <c r="S69" s="9" t="s">
        <v>19102</v>
      </c>
      <c r="T69" s="9" t="s">
        <v>14815</v>
      </c>
      <c r="U69" s="9" t="s">
        <v>19101</v>
      </c>
      <c r="V69" s="9" t="s">
        <v>15243</v>
      </c>
      <c r="W69" s="9" t="s">
        <v>19100</v>
      </c>
      <c r="X69" s="9" t="s">
        <v>18235</v>
      </c>
      <c r="Y69" s="9"/>
      <c r="Z69" s="9"/>
      <c r="AA69" s="9" t="s">
        <v>15389</v>
      </c>
      <c r="AB69" s="9"/>
      <c r="AC69" s="9"/>
      <c r="AD69" s="9" t="s">
        <v>15389</v>
      </c>
      <c r="AE69" s="9"/>
      <c r="AF69" s="9"/>
      <c r="AG69" s="9" t="s">
        <v>15389</v>
      </c>
    </row>
    <row r="70" spans="1:33">
      <c r="A70" s="9">
        <v>65</v>
      </c>
      <c r="B70" s="9" t="s">
        <v>19099</v>
      </c>
      <c r="C70" s="9" t="s">
        <v>14750</v>
      </c>
      <c r="D70" s="9" t="s">
        <v>18967</v>
      </c>
      <c r="E70" s="12">
        <v>44315</v>
      </c>
      <c r="F70" s="12">
        <v>45239</v>
      </c>
      <c r="G70" s="12" t="s">
        <v>14702</v>
      </c>
      <c r="H70" s="9" t="s">
        <v>19084</v>
      </c>
      <c r="I70" s="9" t="s">
        <v>19098</v>
      </c>
      <c r="J70" s="9">
        <v>3911160802</v>
      </c>
      <c r="K70" s="9" t="s">
        <v>15018</v>
      </c>
      <c r="L70" s="9" t="s">
        <v>19082</v>
      </c>
      <c r="M70" s="10" t="s">
        <v>18963</v>
      </c>
      <c r="N70" s="10" t="s">
        <v>19081</v>
      </c>
      <c r="O70" s="9" t="s">
        <v>19080</v>
      </c>
      <c r="P70" s="9" t="s">
        <v>19079</v>
      </c>
      <c r="Q70" s="9" t="s">
        <v>19078</v>
      </c>
      <c r="R70" s="9" t="s">
        <v>19077</v>
      </c>
      <c r="S70" s="9" t="s">
        <v>16197</v>
      </c>
      <c r="T70" s="9" t="s">
        <v>14725</v>
      </c>
      <c r="U70" s="9" t="s">
        <v>19076</v>
      </c>
      <c r="V70" s="9" t="s">
        <v>75</v>
      </c>
      <c r="W70" s="9" t="s">
        <v>19075</v>
      </c>
      <c r="X70" s="9" t="s">
        <v>18499</v>
      </c>
      <c r="Y70" s="9"/>
      <c r="Z70" s="9"/>
      <c r="AA70" s="9" t="s">
        <v>15389</v>
      </c>
      <c r="AB70" s="9"/>
      <c r="AC70" s="9"/>
      <c r="AD70" s="9" t="s">
        <v>15389</v>
      </c>
      <c r="AE70" s="9"/>
      <c r="AF70" s="9"/>
      <c r="AG70" s="9" t="s">
        <v>15389</v>
      </c>
    </row>
    <row r="71" spans="1:33">
      <c r="A71" s="9">
        <v>66</v>
      </c>
      <c r="B71" s="9" t="s">
        <v>19097</v>
      </c>
      <c r="C71" s="9" t="s">
        <v>15155</v>
      </c>
      <c r="D71" s="9" t="s">
        <v>18967</v>
      </c>
      <c r="E71" s="12">
        <v>44315</v>
      </c>
      <c r="F71" s="12">
        <v>44522</v>
      </c>
      <c r="G71" s="12" t="s">
        <v>14702</v>
      </c>
      <c r="H71" s="9" t="s">
        <v>19096</v>
      </c>
      <c r="I71" s="9" t="s">
        <v>19095</v>
      </c>
      <c r="J71" s="9">
        <v>3010329801</v>
      </c>
      <c r="K71" s="9" t="s">
        <v>19094</v>
      </c>
      <c r="L71" s="9" t="s">
        <v>19093</v>
      </c>
      <c r="M71" s="10" t="s">
        <v>18991</v>
      </c>
      <c r="N71" s="10" t="s">
        <v>4742</v>
      </c>
      <c r="O71" s="9" t="s">
        <v>19092</v>
      </c>
      <c r="P71" s="9" t="s">
        <v>19091</v>
      </c>
      <c r="Q71" s="9" t="s">
        <v>19091</v>
      </c>
      <c r="R71" s="9" t="s">
        <v>19090</v>
      </c>
      <c r="S71" s="9" t="s">
        <v>19089</v>
      </c>
      <c r="T71" s="9" t="s">
        <v>14815</v>
      </c>
      <c r="U71" s="9" t="s">
        <v>19088</v>
      </c>
      <c r="V71" s="9" t="s">
        <v>15374</v>
      </c>
      <c r="W71" s="9" t="s">
        <v>19087</v>
      </c>
      <c r="X71" s="9" t="s">
        <v>19086</v>
      </c>
      <c r="Y71" s="9"/>
      <c r="Z71" s="9"/>
      <c r="AA71" s="9" t="s">
        <v>15389</v>
      </c>
      <c r="AB71" s="9"/>
      <c r="AC71" s="9"/>
      <c r="AD71" s="9" t="s">
        <v>15389</v>
      </c>
      <c r="AE71" s="9"/>
      <c r="AF71" s="9"/>
      <c r="AG71" s="9" t="s">
        <v>15389</v>
      </c>
    </row>
    <row r="72" spans="1:33">
      <c r="A72" s="9">
        <v>67</v>
      </c>
      <c r="B72" s="9" t="s">
        <v>19085</v>
      </c>
      <c r="C72" s="9" t="s">
        <v>14750</v>
      </c>
      <c r="D72" s="9" t="s">
        <v>18967</v>
      </c>
      <c r="E72" s="12">
        <v>44315</v>
      </c>
      <c r="F72" s="12">
        <v>45239</v>
      </c>
      <c r="G72" s="12" t="s">
        <v>14702</v>
      </c>
      <c r="H72" s="9" t="s">
        <v>19084</v>
      </c>
      <c r="I72" s="9" t="s">
        <v>19083</v>
      </c>
      <c r="J72" s="9">
        <v>3911160302</v>
      </c>
      <c r="K72" s="9" t="s">
        <v>14907</v>
      </c>
      <c r="L72" s="9" t="s">
        <v>19082</v>
      </c>
      <c r="M72" s="10" t="s">
        <v>18963</v>
      </c>
      <c r="N72" s="10" t="s">
        <v>19081</v>
      </c>
      <c r="O72" s="9" t="s">
        <v>19080</v>
      </c>
      <c r="P72" s="9" t="s">
        <v>19079</v>
      </c>
      <c r="Q72" s="9" t="s">
        <v>19078</v>
      </c>
      <c r="R72" s="9" t="s">
        <v>19077</v>
      </c>
      <c r="S72" s="9" t="s">
        <v>16197</v>
      </c>
      <c r="T72" s="9" t="s">
        <v>14725</v>
      </c>
      <c r="U72" s="9" t="s">
        <v>19076</v>
      </c>
      <c r="V72" s="9" t="s">
        <v>75</v>
      </c>
      <c r="W72" s="9" t="s">
        <v>19075</v>
      </c>
      <c r="X72" s="9" t="s">
        <v>18499</v>
      </c>
      <c r="Y72" s="9"/>
      <c r="Z72" s="9"/>
      <c r="AA72" s="9" t="s">
        <v>15389</v>
      </c>
      <c r="AB72" s="9"/>
      <c r="AC72" s="9"/>
      <c r="AD72" s="9" t="s">
        <v>15389</v>
      </c>
      <c r="AE72" s="9"/>
      <c r="AF72" s="9"/>
      <c r="AG72" s="9" t="s">
        <v>15389</v>
      </c>
    </row>
    <row r="73" spans="1:33">
      <c r="A73" s="9">
        <v>68</v>
      </c>
      <c r="B73" s="9" t="s">
        <v>19074</v>
      </c>
      <c r="C73" s="9" t="s">
        <v>14750</v>
      </c>
      <c r="D73" s="9" t="s">
        <v>18967</v>
      </c>
      <c r="E73" s="12">
        <v>44315</v>
      </c>
      <c r="F73" s="12">
        <v>45000</v>
      </c>
      <c r="G73" s="12" t="s">
        <v>14702</v>
      </c>
      <c r="H73" s="9" t="s">
        <v>19073</v>
      </c>
      <c r="I73" s="9" t="s">
        <v>19073</v>
      </c>
      <c r="J73" s="9">
        <v>4323151301</v>
      </c>
      <c r="K73" s="9" t="s">
        <v>19072</v>
      </c>
      <c r="L73" s="9" t="s">
        <v>19071</v>
      </c>
      <c r="M73" s="10" t="s">
        <v>18963</v>
      </c>
      <c r="N73" s="10" t="s">
        <v>19070</v>
      </c>
      <c r="O73" s="9" t="s">
        <v>19069</v>
      </c>
      <c r="P73" s="9" t="s">
        <v>19068</v>
      </c>
      <c r="Q73" s="9" t="s">
        <v>19067</v>
      </c>
      <c r="R73" s="9" t="s">
        <v>19066</v>
      </c>
      <c r="S73" s="9" t="s">
        <v>19065</v>
      </c>
      <c r="T73" s="9" t="s">
        <v>14815</v>
      </c>
      <c r="U73" s="9" t="s">
        <v>19064</v>
      </c>
      <c r="V73" s="9" t="s">
        <v>15243</v>
      </c>
      <c r="W73" s="9" t="s">
        <v>19063</v>
      </c>
      <c r="X73" s="9" t="s">
        <v>19062</v>
      </c>
      <c r="Y73" s="9"/>
      <c r="Z73" s="9"/>
      <c r="AA73" s="9" t="s">
        <v>15389</v>
      </c>
      <c r="AB73" s="9"/>
      <c r="AC73" s="9"/>
      <c r="AD73" s="9" t="s">
        <v>15389</v>
      </c>
      <c r="AE73" s="9"/>
      <c r="AF73" s="9"/>
      <c r="AG73" s="9" t="s">
        <v>15389</v>
      </c>
    </row>
    <row r="74" spans="1:33">
      <c r="A74" s="9">
        <v>69</v>
      </c>
      <c r="B74" s="9" t="s">
        <v>19061</v>
      </c>
      <c r="C74" s="9" t="s">
        <v>14705</v>
      </c>
      <c r="D74" s="9" t="s">
        <v>18967</v>
      </c>
      <c r="E74" s="12">
        <v>44315</v>
      </c>
      <c r="F74" s="12">
        <v>45137</v>
      </c>
      <c r="G74" s="12" t="s">
        <v>14702</v>
      </c>
      <c r="H74" s="9" t="s">
        <v>19060</v>
      </c>
      <c r="I74" s="9" t="s">
        <v>19059</v>
      </c>
      <c r="J74" s="9">
        <v>3017169801</v>
      </c>
      <c r="K74" s="9" t="s">
        <v>14971</v>
      </c>
      <c r="L74" s="9" t="s">
        <v>19058</v>
      </c>
      <c r="M74" s="10" t="s">
        <v>18991</v>
      </c>
      <c r="N74" s="10" t="s">
        <v>19057</v>
      </c>
      <c r="O74" s="9" t="s">
        <v>19056</v>
      </c>
      <c r="P74" s="9" t="s">
        <v>19055</v>
      </c>
      <c r="Q74" s="9" t="s">
        <v>19055</v>
      </c>
      <c r="R74" s="9" t="s">
        <v>19054</v>
      </c>
      <c r="S74" s="9" t="s">
        <v>19053</v>
      </c>
      <c r="T74" s="9" t="s">
        <v>15588</v>
      </c>
      <c r="U74" s="9" t="s">
        <v>19052</v>
      </c>
      <c r="V74" s="9" t="s">
        <v>75</v>
      </c>
      <c r="W74" s="9" t="s">
        <v>19051</v>
      </c>
      <c r="X74" s="9" t="s">
        <v>18327</v>
      </c>
      <c r="Y74" s="9"/>
      <c r="Z74" s="9"/>
      <c r="AA74" s="9" t="s">
        <v>15389</v>
      </c>
      <c r="AB74" s="9"/>
      <c r="AC74" s="9"/>
      <c r="AD74" s="9" t="s">
        <v>15389</v>
      </c>
      <c r="AE74" s="9"/>
      <c r="AF74" s="9"/>
      <c r="AG74" s="9" t="s">
        <v>15389</v>
      </c>
    </row>
    <row r="75" spans="1:33">
      <c r="A75" s="9">
        <v>70</v>
      </c>
      <c r="B75" s="9" t="s">
        <v>19050</v>
      </c>
      <c r="C75" s="9" t="s">
        <v>14705</v>
      </c>
      <c r="D75" s="9" t="s">
        <v>18967</v>
      </c>
      <c r="E75" s="12">
        <v>44315</v>
      </c>
      <c r="F75" s="12">
        <v>44777</v>
      </c>
      <c r="G75" s="12" t="s">
        <v>14702</v>
      </c>
      <c r="H75" s="9" t="s">
        <v>19047</v>
      </c>
      <c r="I75" s="9" t="s">
        <v>19049</v>
      </c>
      <c r="J75" s="9">
        <v>4710152503</v>
      </c>
      <c r="K75" s="9" t="s">
        <v>19048</v>
      </c>
      <c r="L75" s="9" t="s">
        <v>19047</v>
      </c>
      <c r="M75" s="10" t="s">
        <v>19046</v>
      </c>
      <c r="N75" s="10" t="s">
        <v>15226</v>
      </c>
      <c r="O75" s="9" t="s">
        <v>15225</v>
      </c>
      <c r="P75" s="9" t="s">
        <v>15224</v>
      </c>
      <c r="Q75" s="9" t="s">
        <v>19045</v>
      </c>
      <c r="R75" s="9" t="s">
        <v>15222</v>
      </c>
      <c r="S75" s="9" t="s">
        <v>15221</v>
      </c>
      <c r="T75" s="9" t="s">
        <v>14725</v>
      </c>
      <c r="U75" s="9" t="s">
        <v>19044</v>
      </c>
      <c r="V75" s="9" t="s">
        <v>77</v>
      </c>
      <c r="W75" s="9" t="s">
        <v>19043</v>
      </c>
      <c r="X75" s="9" t="s">
        <v>19042</v>
      </c>
      <c r="Y75" s="9"/>
      <c r="Z75" s="9"/>
      <c r="AA75" s="9" t="s">
        <v>15389</v>
      </c>
      <c r="AB75" s="9"/>
      <c r="AC75" s="9"/>
      <c r="AD75" s="9" t="s">
        <v>15389</v>
      </c>
      <c r="AE75" s="9"/>
      <c r="AF75" s="9"/>
      <c r="AG75" s="9" t="s">
        <v>15389</v>
      </c>
    </row>
    <row r="76" spans="1:33">
      <c r="A76" s="9">
        <v>71</v>
      </c>
      <c r="B76" s="9" t="s">
        <v>19041</v>
      </c>
      <c r="C76" s="9" t="s">
        <v>14705</v>
      </c>
      <c r="D76" s="9" t="s">
        <v>18967</v>
      </c>
      <c r="E76" s="12">
        <v>44315</v>
      </c>
      <c r="F76" s="12">
        <v>45137</v>
      </c>
      <c r="G76" s="12" t="s">
        <v>14702</v>
      </c>
      <c r="H76" s="9" t="s">
        <v>18981</v>
      </c>
      <c r="I76" s="9" t="s">
        <v>19040</v>
      </c>
      <c r="J76" s="9">
        <v>5610170201</v>
      </c>
      <c r="K76" s="9" t="s">
        <v>19039</v>
      </c>
      <c r="L76" s="9" t="s">
        <v>18978</v>
      </c>
      <c r="M76" s="10" t="s">
        <v>18977</v>
      </c>
      <c r="N76" s="10" t="s">
        <v>18976</v>
      </c>
      <c r="O76" s="9" t="s">
        <v>18975</v>
      </c>
      <c r="P76" s="9" t="s">
        <v>18974</v>
      </c>
      <c r="Q76" s="9" t="s">
        <v>18973</v>
      </c>
      <c r="R76" s="9" t="s">
        <v>18972</v>
      </c>
      <c r="S76" s="9" t="s">
        <v>18971</v>
      </c>
      <c r="T76" s="9" t="s">
        <v>14815</v>
      </c>
      <c r="U76" s="9" t="s">
        <v>18970</v>
      </c>
      <c r="V76" s="9" t="s">
        <v>75</v>
      </c>
      <c r="W76" s="9" t="s">
        <v>18969</v>
      </c>
      <c r="X76" s="9" t="s">
        <v>18327</v>
      </c>
      <c r="Y76" s="9"/>
      <c r="Z76" s="9"/>
      <c r="AA76" s="9" t="s">
        <v>15389</v>
      </c>
      <c r="AB76" s="9"/>
      <c r="AC76" s="9"/>
      <c r="AD76" s="9" t="s">
        <v>15389</v>
      </c>
      <c r="AE76" s="9"/>
      <c r="AF76" s="9"/>
      <c r="AG76" s="9" t="s">
        <v>15389</v>
      </c>
    </row>
    <row r="77" spans="1:33">
      <c r="A77" s="9">
        <v>72</v>
      </c>
      <c r="B77" s="9" t="s">
        <v>19038</v>
      </c>
      <c r="C77" s="9" t="s">
        <v>14705</v>
      </c>
      <c r="D77" s="9" t="s">
        <v>18967</v>
      </c>
      <c r="E77" s="12">
        <v>44315</v>
      </c>
      <c r="F77" s="12">
        <v>45339</v>
      </c>
      <c r="G77" s="12" t="s">
        <v>14702</v>
      </c>
      <c r="H77" s="9" t="s">
        <v>19036</v>
      </c>
      <c r="I77" s="9" t="s">
        <v>19037</v>
      </c>
      <c r="J77" s="9">
        <v>5610153801</v>
      </c>
      <c r="K77" s="9" t="s">
        <v>19036</v>
      </c>
      <c r="L77" s="9" t="s">
        <v>19035</v>
      </c>
      <c r="M77" s="10" t="s">
        <v>19006</v>
      </c>
      <c r="N77" s="10" t="s">
        <v>19034</v>
      </c>
      <c r="O77" s="9" t="s">
        <v>19033</v>
      </c>
      <c r="P77" s="9" t="s">
        <v>19032</v>
      </c>
      <c r="Q77" s="9" t="s">
        <v>19031</v>
      </c>
      <c r="R77" s="9" t="s">
        <v>19030</v>
      </c>
      <c r="S77" s="9" t="s">
        <v>19029</v>
      </c>
      <c r="T77" s="9" t="s">
        <v>14725</v>
      </c>
      <c r="U77" s="9" t="s">
        <v>19028</v>
      </c>
      <c r="V77" s="9" t="s">
        <v>15846</v>
      </c>
      <c r="W77" s="9" t="s">
        <v>19027</v>
      </c>
      <c r="X77" s="9" t="s">
        <v>19026</v>
      </c>
      <c r="Y77" s="9"/>
      <c r="Z77" s="9"/>
      <c r="AA77" s="9" t="s">
        <v>15389</v>
      </c>
      <c r="AB77" s="9"/>
      <c r="AC77" s="9"/>
      <c r="AD77" s="9" t="s">
        <v>15389</v>
      </c>
      <c r="AE77" s="9"/>
      <c r="AF77" s="9"/>
      <c r="AG77" s="9" t="s">
        <v>15389</v>
      </c>
    </row>
    <row r="78" spans="1:33">
      <c r="A78" s="9">
        <v>73</v>
      </c>
      <c r="B78" s="9" t="s">
        <v>19025</v>
      </c>
      <c r="C78" s="9" t="s">
        <v>14705</v>
      </c>
      <c r="D78" s="9" t="s">
        <v>18967</v>
      </c>
      <c r="E78" s="12">
        <v>44315</v>
      </c>
      <c r="F78" s="12">
        <v>45227</v>
      </c>
      <c r="G78" s="12" t="s">
        <v>14702</v>
      </c>
      <c r="H78" s="9" t="s">
        <v>19024</v>
      </c>
      <c r="I78" s="9" t="s">
        <v>19023</v>
      </c>
      <c r="J78" s="9">
        <v>4323320501</v>
      </c>
      <c r="K78" s="9" t="s">
        <v>15740</v>
      </c>
      <c r="L78" s="9" t="s">
        <v>19022</v>
      </c>
      <c r="M78" s="10" t="s">
        <v>19021</v>
      </c>
      <c r="N78" s="10" t="s">
        <v>19020</v>
      </c>
      <c r="O78" s="9" t="s">
        <v>19019</v>
      </c>
      <c r="P78" s="9" t="s">
        <v>19018</v>
      </c>
      <c r="Q78" s="9" t="s">
        <v>19018</v>
      </c>
      <c r="R78" s="9" t="s">
        <v>19017</v>
      </c>
      <c r="S78" s="9" t="s">
        <v>19016</v>
      </c>
      <c r="T78" s="9" t="s">
        <v>15060</v>
      </c>
      <c r="U78" s="9" t="s">
        <v>19015</v>
      </c>
      <c r="V78" s="9" t="s">
        <v>19014</v>
      </c>
      <c r="W78" s="9" t="s">
        <v>19013</v>
      </c>
      <c r="X78" s="9" t="s">
        <v>19012</v>
      </c>
      <c r="Y78" s="9"/>
      <c r="Z78" s="9"/>
      <c r="AA78" s="9" t="s">
        <v>15389</v>
      </c>
      <c r="AB78" s="9"/>
      <c r="AC78" s="9"/>
      <c r="AD78" s="9" t="s">
        <v>15389</v>
      </c>
      <c r="AE78" s="9"/>
      <c r="AF78" s="9"/>
      <c r="AG78" s="9" t="s">
        <v>15389</v>
      </c>
    </row>
    <row r="79" spans="1:33">
      <c r="A79" s="9">
        <v>74</v>
      </c>
      <c r="B79" s="9" t="s">
        <v>19011</v>
      </c>
      <c r="C79" s="9" t="s">
        <v>14705</v>
      </c>
      <c r="D79" s="9" t="s">
        <v>18967</v>
      </c>
      <c r="E79" s="12">
        <v>44315</v>
      </c>
      <c r="F79" s="12">
        <v>44861</v>
      </c>
      <c r="G79" s="12" t="s">
        <v>14702</v>
      </c>
      <c r="H79" s="9" t="s">
        <v>19010</v>
      </c>
      <c r="I79" s="9" t="s">
        <v>19009</v>
      </c>
      <c r="J79" s="9">
        <v>3117160501</v>
      </c>
      <c r="K79" s="9" t="s">
        <v>19008</v>
      </c>
      <c r="L79" s="9" t="s">
        <v>19007</v>
      </c>
      <c r="M79" s="10" t="s">
        <v>19006</v>
      </c>
      <c r="N79" s="10" t="s">
        <v>19005</v>
      </c>
      <c r="O79" s="9" t="s">
        <v>19004</v>
      </c>
      <c r="P79" s="9" t="s">
        <v>19003</v>
      </c>
      <c r="Q79" s="9" t="s">
        <v>19002</v>
      </c>
      <c r="R79" s="9" t="s">
        <v>19001</v>
      </c>
      <c r="S79" s="9" t="s">
        <v>19000</v>
      </c>
      <c r="T79" s="9" t="s">
        <v>14712</v>
      </c>
      <c r="U79" s="9" t="s">
        <v>18999</v>
      </c>
      <c r="V79" s="9" t="s">
        <v>15703</v>
      </c>
      <c r="W79" s="9" t="s">
        <v>18998</v>
      </c>
      <c r="X79" s="9" t="s">
        <v>18997</v>
      </c>
      <c r="Y79" s="9"/>
      <c r="Z79" s="9"/>
      <c r="AA79" s="9" t="s">
        <v>15389</v>
      </c>
      <c r="AB79" s="9"/>
      <c r="AC79" s="9"/>
      <c r="AD79" s="9" t="s">
        <v>15389</v>
      </c>
      <c r="AE79" s="9"/>
      <c r="AF79" s="9"/>
      <c r="AG79" s="9" t="s">
        <v>15389</v>
      </c>
    </row>
    <row r="80" spans="1:33">
      <c r="A80" s="9">
        <v>75</v>
      </c>
      <c r="B80" s="9" t="s">
        <v>18996</v>
      </c>
      <c r="C80" s="9" t="s">
        <v>15155</v>
      </c>
      <c r="D80" s="9" t="s">
        <v>18967</v>
      </c>
      <c r="E80" s="12">
        <v>44315</v>
      </c>
      <c r="F80" s="12">
        <v>44679</v>
      </c>
      <c r="G80" s="12" t="s">
        <v>14702</v>
      </c>
      <c r="H80" s="9" t="s">
        <v>18995</v>
      </c>
      <c r="I80" s="9" t="s">
        <v>18994</v>
      </c>
      <c r="J80" s="9">
        <v>4111366301</v>
      </c>
      <c r="K80" s="9" t="s">
        <v>18993</v>
      </c>
      <c r="L80" s="9" t="s">
        <v>18992</v>
      </c>
      <c r="M80" s="10" t="s">
        <v>18991</v>
      </c>
      <c r="N80" s="10" t="s">
        <v>18990</v>
      </c>
      <c r="O80" s="9" t="s">
        <v>18989</v>
      </c>
      <c r="P80" s="9" t="s">
        <v>18988</v>
      </c>
      <c r="Q80" s="9" t="s">
        <v>16489</v>
      </c>
      <c r="R80" s="9" t="s">
        <v>18987</v>
      </c>
      <c r="S80" s="9" t="s">
        <v>18986</v>
      </c>
      <c r="T80" s="9" t="s">
        <v>14756</v>
      </c>
      <c r="U80" s="9" t="s">
        <v>18985</v>
      </c>
      <c r="V80" s="9" t="s">
        <v>15374</v>
      </c>
      <c r="W80" s="9" t="s">
        <v>18984</v>
      </c>
      <c r="X80" s="9" t="s">
        <v>18983</v>
      </c>
      <c r="Y80" s="9"/>
      <c r="Z80" s="9"/>
      <c r="AA80" s="9" t="s">
        <v>15389</v>
      </c>
      <c r="AB80" s="9"/>
      <c r="AC80" s="9"/>
      <c r="AD80" s="9" t="s">
        <v>15389</v>
      </c>
      <c r="AE80" s="9"/>
      <c r="AF80" s="9"/>
      <c r="AG80" s="9" t="s">
        <v>15389</v>
      </c>
    </row>
    <row r="81" spans="1:33">
      <c r="A81" s="9">
        <v>76</v>
      </c>
      <c r="B81" s="9" t="s">
        <v>18982</v>
      </c>
      <c r="C81" s="9" t="s">
        <v>14705</v>
      </c>
      <c r="D81" s="9" t="s">
        <v>18967</v>
      </c>
      <c r="E81" s="12">
        <v>44315</v>
      </c>
      <c r="F81" s="12">
        <v>45137</v>
      </c>
      <c r="G81" s="12" t="s">
        <v>14702</v>
      </c>
      <c r="H81" s="9" t="s">
        <v>18981</v>
      </c>
      <c r="I81" s="9" t="s">
        <v>18980</v>
      </c>
      <c r="J81" s="9">
        <v>5610170801</v>
      </c>
      <c r="K81" s="9" t="s">
        <v>18979</v>
      </c>
      <c r="L81" s="9" t="s">
        <v>18978</v>
      </c>
      <c r="M81" s="10" t="s">
        <v>18977</v>
      </c>
      <c r="N81" s="10" t="s">
        <v>18976</v>
      </c>
      <c r="O81" s="9" t="s">
        <v>18975</v>
      </c>
      <c r="P81" s="9" t="s">
        <v>18974</v>
      </c>
      <c r="Q81" s="9" t="s">
        <v>18973</v>
      </c>
      <c r="R81" s="9" t="s">
        <v>18972</v>
      </c>
      <c r="S81" s="9" t="s">
        <v>18971</v>
      </c>
      <c r="T81" s="9" t="s">
        <v>14815</v>
      </c>
      <c r="U81" s="9" t="s">
        <v>18970</v>
      </c>
      <c r="V81" s="9" t="s">
        <v>75</v>
      </c>
      <c r="W81" s="9" t="s">
        <v>18969</v>
      </c>
      <c r="X81" s="9" t="s">
        <v>18327</v>
      </c>
      <c r="Y81" s="9"/>
      <c r="Z81" s="9"/>
      <c r="AA81" s="9" t="s">
        <v>15389</v>
      </c>
      <c r="AB81" s="9"/>
      <c r="AC81" s="9"/>
      <c r="AD81" s="9" t="s">
        <v>15389</v>
      </c>
      <c r="AE81" s="9"/>
      <c r="AF81" s="9"/>
      <c r="AG81" s="9" t="s">
        <v>15389</v>
      </c>
    </row>
    <row r="82" spans="1:33" s="43" customFormat="1">
      <c r="A82" s="39">
        <v>77</v>
      </c>
      <c r="B82" s="39" t="s">
        <v>18968</v>
      </c>
      <c r="C82" s="39" t="s">
        <v>15155</v>
      </c>
      <c r="D82" s="39" t="s">
        <v>18967</v>
      </c>
      <c r="E82" s="40">
        <v>44315</v>
      </c>
      <c r="F82" s="40">
        <v>44679</v>
      </c>
      <c r="G82" s="40" t="s">
        <v>14702</v>
      </c>
      <c r="H82" s="39" t="s">
        <v>18966</v>
      </c>
      <c r="I82" s="39" t="s">
        <v>18965</v>
      </c>
      <c r="J82" s="39">
        <v>4618200104</v>
      </c>
      <c r="K82" s="39" t="s">
        <v>17749</v>
      </c>
      <c r="L82" s="39" t="s">
        <v>18964</v>
      </c>
      <c r="M82" s="42" t="s">
        <v>18963</v>
      </c>
      <c r="N82" s="42" t="s">
        <v>933</v>
      </c>
      <c r="O82" s="39" t="s">
        <v>18962</v>
      </c>
      <c r="P82" s="39" t="s">
        <v>18961</v>
      </c>
      <c r="Q82" s="39" t="s">
        <v>18960</v>
      </c>
      <c r="R82" s="39" t="s">
        <v>18959</v>
      </c>
      <c r="S82" s="39" t="s">
        <v>18958</v>
      </c>
      <c r="T82" s="39" t="s">
        <v>14725</v>
      </c>
      <c r="U82" s="39" t="s">
        <v>18957</v>
      </c>
      <c r="V82" s="39" t="s">
        <v>15374</v>
      </c>
      <c r="W82" s="39" t="s">
        <v>18956</v>
      </c>
      <c r="X82" s="39" t="s">
        <v>18955</v>
      </c>
      <c r="Y82" s="39"/>
      <c r="Z82" s="39"/>
      <c r="AA82" s="39" t="s">
        <v>15389</v>
      </c>
      <c r="AB82" s="39"/>
      <c r="AC82" s="39"/>
      <c r="AD82" s="39" t="s">
        <v>15389</v>
      </c>
      <c r="AE82" s="39"/>
      <c r="AF82" s="39"/>
      <c r="AG82" s="39" t="s">
        <v>15389</v>
      </c>
    </row>
    <row r="83" spans="1:33" ht="16.5">
      <c r="A83" s="9">
        <v>78</v>
      </c>
      <c r="B83" s="9" t="s">
        <v>18954</v>
      </c>
      <c r="C83" s="9" t="s">
        <v>15155</v>
      </c>
      <c r="D83" s="9" t="s">
        <v>18169</v>
      </c>
      <c r="E83" s="12">
        <v>44189</v>
      </c>
      <c r="F83" s="12">
        <v>44553</v>
      </c>
      <c r="G83" s="12" t="s">
        <v>14702</v>
      </c>
      <c r="H83" s="9" t="s">
        <v>18953</v>
      </c>
      <c r="I83" s="9" t="s">
        <v>18952</v>
      </c>
      <c r="J83" s="9">
        <v>4811110401</v>
      </c>
      <c r="K83" s="9" t="s">
        <v>18951</v>
      </c>
      <c r="L83" s="9" t="s">
        <v>18950</v>
      </c>
      <c r="M83" s="11" t="s">
        <v>18283</v>
      </c>
      <c r="N83" s="10" t="s">
        <v>2372</v>
      </c>
      <c r="O83" s="9" t="s">
        <v>18949</v>
      </c>
      <c r="P83" s="9" t="s">
        <v>18948</v>
      </c>
      <c r="Q83" s="9" t="s">
        <v>18948</v>
      </c>
      <c r="R83" s="9" t="s">
        <v>18947</v>
      </c>
      <c r="S83" s="9" t="s">
        <v>18946</v>
      </c>
      <c r="T83" s="9" t="s">
        <v>14756</v>
      </c>
      <c r="U83" s="9" t="s">
        <v>18945</v>
      </c>
      <c r="V83" s="9" t="s">
        <v>15374</v>
      </c>
      <c r="W83" s="9" t="s">
        <v>18944</v>
      </c>
      <c r="X83" s="9" t="s">
        <v>18091</v>
      </c>
      <c r="Y83" s="9"/>
      <c r="Z83" s="9"/>
      <c r="AA83" s="9" t="s">
        <v>15389</v>
      </c>
      <c r="AB83" s="9"/>
      <c r="AC83" s="9"/>
      <c r="AD83" s="9" t="s">
        <v>15389</v>
      </c>
      <c r="AE83" s="9"/>
      <c r="AF83" s="9"/>
      <c r="AG83" s="9" t="s">
        <v>15389</v>
      </c>
    </row>
    <row r="84" spans="1:33" ht="16.5">
      <c r="A84" s="9">
        <v>79</v>
      </c>
      <c r="B84" s="9" t="s">
        <v>18943</v>
      </c>
      <c r="C84" s="9" t="s">
        <v>15155</v>
      </c>
      <c r="D84" s="9" t="s">
        <v>18169</v>
      </c>
      <c r="E84" s="12">
        <v>44189</v>
      </c>
      <c r="F84" s="12">
        <v>44840</v>
      </c>
      <c r="G84" s="12" t="s">
        <v>14702</v>
      </c>
      <c r="H84" s="9" t="s">
        <v>18942</v>
      </c>
      <c r="I84" s="9" t="s">
        <v>18941</v>
      </c>
      <c r="J84" s="9">
        <v>5313169901</v>
      </c>
      <c r="K84" s="9" t="s">
        <v>18940</v>
      </c>
      <c r="L84" s="9" t="s">
        <v>18939</v>
      </c>
      <c r="M84" s="11" t="s">
        <v>15065</v>
      </c>
      <c r="N84" s="10" t="s">
        <v>18938</v>
      </c>
      <c r="O84" s="9" t="s">
        <v>18937</v>
      </c>
      <c r="P84" s="9" t="s">
        <v>18936</v>
      </c>
      <c r="Q84" s="9" t="s">
        <v>18935</v>
      </c>
      <c r="R84" s="9" t="s">
        <v>18934</v>
      </c>
      <c r="S84" s="9" t="s">
        <v>18933</v>
      </c>
      <c r="T84" s="9" t="s">
        <v>14712</v>
      </c>
      <c r="U84" s="9" t="s">
        <v>18932</v>
      </c>
      <c r="V84" s="9" t="s">
        <v>15605</v>
      </c>
      <c r="W84" s="9" t="s">
        <v>18931</v>
      </c>
      <c r="X84" s="9" t="s">
        <v>16916</v>
      </c>
      <c r="Y84" s="9"/>
      <c r="Z84" s="9"/>
      <c r="AA84" s="9" t="s">
        <v>15389</v>
      </c>
      <c r="AB84" s="9"/>
      <c r="AC84" s="9"/>
      <c r="AD84" s="9" t="s">
        <v>15389</v>
      </c>
      <c r="AE84" s="9"/>
      <c r="AF84" s="9"/>
      <c r="AG84" s="9" t="s">
        <v>15389</v>
      </c>
    </row>
    <row r="85" spans="1:33" ht="16.5">
      <c r="A85" s="9">
        <v>80</v>
      </c>
      <c r="B85" s="9" t="s">
        <v>18930</v>
      </c>
      <c r="C85" s="9" t="s">
        <v>14705</v>
      </c>
      <c r="D85" s="9" t="s">
        <v>18169</v>
      </c>
      <c r="E85" s="12">
        <v>44189</v>
      </c>
      <c r="F85" s="12">
        <v>45196</v>
      </c>
      <c r="G85" s="12" t="s">
        <v>14702</v>
      </c>
      <c r="H85" s="9" t="s">
        <v>18929</v>
      </c>
      <c r="I85" s="9" t="s">
        <v>18928</v>
      </c>
      <c r="J85" s="9">
        <v>3012170208</v>
      </c>
      <c r="K85" s="9" t="s">
        <v>17496</v>
      </c>
      <c r="L85" s="9" t="s">
        <v>18927</v>
      </c>
      <c r="M85" s="11" t="s">
        <v>14763</v>
      </c>
      <c r="N85" s="10" t="s">
        <v>18926</v>
      </c>
      <c r="O85" s="9" t="s">
        <v>18925</v>
      </c>
      <c r="P85" s="9" t="s">
        <v>18924</v>
      </c>
      <c r="Q85" s="9" t="s">
        <v>18923</v>
      </c>
      <c r="R85" s="9" t="s">
        <v>18922</v>
      </c>
      <c r="S85" s="9" t="s">
        <v>18921</v>
      </c>
      <c r="T85" s="9" t="s">
        <v>15488</v>
      </c>
      <c r="U85" s="9" t="s">
        <v>18920</v>
      </c>
      <c r="V85" s="9" t="s">
        <v>16929</v>
      </c>
      <c r="W85" s="9" t="s">
        <v>18919</v>
      </c>
      <c r="X85" s="9" t="s">
        <v>18918</v>
      </c>
      <c r="Y85" s="9"/>
      <c r="Z85" s="9"/>
      <c r="AA85" s="9" t="s">
        <v>15389</v>
      </c>
      <c r="AB85" s="9"/>
      <c r="AC85" s="9"/>
      <c r="AD85" s="9" t="s">
        <v>15389</v>
      </c>
      <c r="AE85" s="9"/>
      <c r="AF85" s="9"/>
      <c r="AG85" s="9" t="s">
        <v>15389</v>
      </c>
    </row>
    <row r="86" spans="1:33" ht="16.5">
      <c r="A86" s="9">
        <v>81</v>
      </c>
      <c r="B86" s="9" t="s">
        <v>18917</v>
      </c>
      <c r="C86" s="9" t="s">
        <v>14705</v>
      </c>
      <c r="D86" s="9" t="s">
        <v>18169</v>
      </c>
      <c r="E86" s="12">
        <v>44189</v>
      </c>
      <c r="F86" s="12">
        <v>45168</v>
      </c>
      <c r="G86" s="12" t="s">
        <v>14702</v>
      </c>
      <c r="H86" s="9" t="s">
        <v>18916</v>
      </c>
      <c r="I86" s="9" t="s">
        <v>18915</v>
      </c>
      <c r="J86" s="9">
        <v>3012189901</v>
      </c>
      <c r="K86" s="9" t="s">
        <v>18914</v>
      </c>
      <c r="L86" s="9" t="s">
        <v>18913</v>
      </c>
      <c r="M86" s="11" t="s">
        <v>14794</v>
      </c>
      <c r="N86" s="10" t="s">
        <v>18912</v>
      </c>
      <c r="O86" s="9" t="s">
        <v>18911</v>
      </c>
      <c r="P86" s="9" t="s">
        <v>18910</v>
      </c>
      <c r="Q86" s="9" t="s">
        <v>18909</v>
      </c>
      <c r="R86" s="9" t="s">
        <v>18908</v>
      </c>
      <c r="S86" s="9" t="s">
        <v>18907</v>
      </c>
      <c r="T86" s="9" t="s">
        <v>14725</v>
      </c>
      <c r="U86" s="9" t="s">
        <v>18906</v>
      </c>
      <c r="V86" s="9" t="s">
        <v>77</v>
      </c>
      <c r="W86" s="9" t="s">
        <v>18905</v>
      </c>
      <c r="X86" s="9" t="s">
        <v>17827</v>
      </c>
      <c r="Y86" s="9"/>
      <c r="Z86" s="9"/>
      <c r="AA86" s="9" t="s">
        <v>15389</v>
      </c>
      <c r="AB86" s="9"/>
      <c r="AC86" s="9"/>
      <c r="AD86" s="9" t="s">
        <v>15389</v>
      </c>
      <c r="AE86" s="9"/>
      <c r="AF86" s="9"/>
      <c r="AG86" s="9" t="s">
        <v>15389</v>
      </c>
    </row>
    <row r="87" spans="1:33" ht="16.5">
      <c r="A87" s="9">
        <v>82</v>
      </c>
      <c r="B87" s="9" t="s">
        <v>18904</v>
      </c>
      <c r="C87" s="9" t="s">
        <v>14705</v>
      </c>
      <c r="D87" s="9" t="s">
        <v>18169</v>
      </c>
      <c r="E87" s="12">
        <v>44189</v>
      </c>
      <c r="F87" s="12">
        <v>44467</v>
      </c>
      <c r="G87" s="12" t="s">
        <v>14702</v>
      </c>
      <c r="H87" s="9" t="s">
        <v>18903</v>
      </c>
      <c r="I87" s="9" t="s">
        <v>18902</v>
      </c>
      <c r="J87" s="9">
        <v>6010620801</v>
      </c>
      <c r="K87" s="9" t="s">
        <v>18901</v>
      </c>
      <c r="L87" s="9" t="s">
        <v>18900</v>
      </c>
      <c r="M87" s="11" t="s">
        <v>14763</v>
      </c>
      <c r="N87" s="10" t="s">
        <v>18899</v>
      </c>
      <c r="O87" s="9" t="s">
        <v>18898</v>
      </c>
      <c r="P87" s="9" t="s">
        <v>18897</v>
      </c>
      <c r="Q87" s="9" t="s">
        <v>18896</v>
      </c>
      <c r="R87" s="9" t="s">
        <v>18895</v>
      </c>
      <c r="S87" s="9" t="s">
        <v>18894</v>
      </c>
      <c r="T87" s="9" t="s">
        <v>14725</v>
      </c>
      <c r="U87" s="9" t="s">
        <v>18893</v>
      </c>
      <c r="V87" s="9" t="s">
        <v>75</v>
      </c>
      <c r="W87" s="9" t="s">
        <v>18892</v>
      </c>
      <c r="X87" s="9" t="s">
        <v>18891</v>
      </c>
      <c r="Y87" s="9"/>
      <c r="Z87" s="9"/>
      <c r="AA87" s="9" t="s">
        <v>15389</v>
      </c>
      <c r="AB87" s="9"/>
      <c r="AC87" s="9"/>
      <c r="AD87" s="9" t="s">
        <v>15389</v>
      </c>
      <c r="AE87" s="9"/>
      <c r="AF87" s="9"/>
      <c r="AG87" s="9" t="s">
        <v>15389</v>
      </c>
    </row>
    <row r="88" spans="1:33" ht="16.5">
      <c r="A88" s="9">
        <v>83</v>
      </c>
      <c r="B88" s="9" t="s">
        <v>18890</v>
      </c>
      <c r="C88" s="9" t="s">
        <v>15155</v>
      </c>
      <c r="D88" s="9" t="s">
        <v>18169</v>
      </c>
      <c r="E88" s="12">
        <v>44189</v>
      </c>
      <c r="F88" s="12">
        <v>45252</v>
      </c>
      <c r="G88" s="12" t="s">
        <v>14702</v>
      </c>
      <c r="H88" s="9" t="s">
        <v>18888</v>
      </c>
      <c r="I88" s="9" t="s">
        <v>18889</v>
      </c>
      <c r="J88" s="9">
        <v>1510159901</v>
      </c>
      <c r="K88" s="9" t="s">
        <v>18888</v>
      </c>
      <c r="L88" s="9" t="s">
        <v>18887</v>
      </c>
      <c r="M88" s="11" t="s">
        <v>14732</v>
      </c>
      <c r="N88" s="10" t="s">
        <v>18886</v>
      </c>
      <c r="O88" s="9" t="s">
        <v>18885</v>
      </c>
      <c r="P88" s="9" t="s">
        <v>18884</v>
      </c>
      <c r="Q88" s="9" t="s">
        <v>18883</v>
      </c>
      <c r="R88" s="9" t="s">
        <v>18882</v>
      </c>
      <c r="S88" s="9" t="s">
        <v>18881</v>
      </c>
      <c r="T88" s="9" t="s">
        <v>14725</v>
      </c>
      <c r="U88" s="9" t="s">
        <v>18880</v>
      </c>
      <c r="V88" s="9" t="s">
        <v>15572</v>
      </c>
      <c r="W88" s="9" t="s">
        <v>18879</v>
      </c>
      <c r="X88" s="9" t="s">
        <v>18878</v>
      </c>
      <c r="Y88" s="9"/>
      <c r="Z88" s="9"/>
      <c r="AA88" s="9" t="s">
        <v>15389</v>
      </c>
      <c r="AB88" s="9"/>
      <c r="AC88" s="9"/>
      <c r="AD88" s="9" t="s">
        <v>15389</v>
      </c>
      <c r="AE88" s="9"/>
      <c r="AF88" s="9"/>
      <c r="AG88" s="9" t="s">
        <v>15389</v>
      </c>
    </row>
    <row r="89" spans="1:33" ht="16.5">
      <c r="A89" s="9">
        <v>84</v>
      </c>
      <c r="B89" s="9" t="s">
        <v>18877</v>
      </c>
      <c r="C89" s="9" t="s">
        <v>14750</v>
      </c>
      <c r="D89" s="9" t="s">
        <v>18169</v>
      </c>
      <c r="E89" s="12">
        <v>44189</v>
      </c>
      <c r="F89" s="12">
        <v>45137</v>
      </c>
      <c r="G89" s="12" t="s">
        <v>14702</v>
      </c>
      <c r="H89" s="9" t="s">
        <v>18876</v>
      </c>
      <c r="I89" s="9" t="s">
        <v>18875</v>
      </c>
      <c r="J89" s="9">
        <v>3911210201</v>
      </c>
      <c r="K89" s="9" t="s">
        <v>14933</v>
      </c>
      <c r="L89" s="9" t="s">
        <v>18874</v>
      </c>
      <c r="M89" s="11" t="s">
        <v>15065</v>
      </c>
      <c r="N89" s="10" t="s">
        <v>5737</v>
      </c>
      <c r="O89" s="9" t="s">
        <v>18873</v>
      </c>
      <c r="P89" s="9" t="s">
        <v>18872</v>
      </c>
      <c r="Q89" s="9" t="s">
        <v>18871</v>
      </c>
      <c r="R89" s="9" t="s">
        <v>18870</v>
      </c>
      <c r="S89" s="9" t="s">
        <v>18869</v>
      </c>
      <c r="T89" s="9" t="s">
        <v>14725</v>
      </c>
      <c r="U89" s="9" t="s">
        <v>18868</v>
      </c>
      <c r="V89" s="9" t="s">
        <v>75</v>
      </c>
      <c r="W89" s="9" t="s">
        <v>18867</v>
      </c>
      <c r="X89" s="9" t="s">
        <v>18327</v>
      </c>
      <c r="Y89" s="9"/>
      <c r="Z89" s="9"/>
      <c r="AA89" s="9" t="s">
        <v>15389</v>
      </c>
      <c r="AB89" s="9"/>
      <c r="AC89" s="9"/>
      <c r="AD89" s="9" t="s">
        <v>15389</v>
      </c>
      <c r="AE89" s="9"/>
      <c r="AF89" s="9"/>
      <c r="AG89" s="9" t="s">
        <v>15389</v>
      </c>
    </row>
    <row r="90" spans="1:33" ht="16.5">
      <c r="A90" s="9">
        <v>85</v>
      </c>
      <c r="B90" s="9" t="s">
        <v>18866</v>
      </c>
      <c r="C90" s="9" t="s">
        <v>15155</v>
      </c>
      <c r="D90" s="9" t="s">
        <v>18169</v>
      </c>
      <c r="E90" s="12">
        <v>44189</v>
      </c>
      <c r="F90" s="12">
        <v>44553</v>
      </c>
      <c r="G90" s="12" t="s">
        <v>14702</v>
      </c>
      <c r="H90" s="9" t="s">
        <v>18865</v>
      </c>
      <c r="I90" s="9" t="s">
        <v>18864</v>
      </c>
      <c r="J90" s="9">
        <v>3911210201</v>
      </c>
      <c r="K90" s="9" t="s">
        <v>14933</v>
      </c>
      <c r="L90" s="9" t="s">
        <v>18863</v>
      </c>
      <c r="M90" s="11" t="s">
        <v>15065</v>
      </c>
      <c r="N90" s="10" t="s">
        <v>18862</v>
      </c>
      <c r="O90" s="9" t="s">
        <v>18861</v>
      </c>
      <c r="P90" s="9" t="s">
        <v>18860</v>
      </c>
      <c r="Q90" s="9" t="s">
        <v>18859</v>
      </c>
      <c r="R90" s="9" t="s">
        <v>18858</v>
      </c>
      <c r="S90" s="9" t="s">
        <v>18857</v>
      </c>
      <c r="T90" s="9" t="s">
        <v>14725</v>
      </c>
      <c r="U90" s="9" t="s">
        <v>18856</v>
      </c>
      <c r="V90" s="9" t="s">
        <v>15139</v>
      </c>
      <c r="W90" s="9" t="s">
        <v>18855</v>
      </c>
      <c r="X90" s="9" t="s">
        <v>18712</v>
      </c>
      <c r="Y90" s="9"/>
      <c r="Z90" s="9"/>
      <c r="AA90" s="9" t="s">
        <v>15389</v>
      </c>
      <c r="AB90" s="9"/>
      <c r="AC90" s="9"/>
      <c r="AD90" s="9" t="s">
        <v>15389</v>
      </c>
      <c r="AE90" s="9"/>
      <c r="AF90" s="9"/>
      <c r="AG90" s="9" t="s">
        <v>15389</v>
      </c>
    </row>
    <row r="91" spans="1:33" ht="16.5">
      <c r="A91" s="9">
        <v>86</v>
      </c>
      <c r="B91" s="9" t="s">
        <v>18854</v>
      </c>
      <c r="C91" s="9" t="s">
        <v>15155</v>
      </c>
      <c r="D91" s="9" t="s">
        <v>18169</v>
      </c>
      <c r="E91" s="12">
        <v>44189</v>
      </c>
      <c r="F91" s="12">
        <v>44553</v>
      </c>
      <c r="G91" s="12" t="s">
        <v>14702</v>
      </c>
      <c r="H91" s="9" t="s">
        <v>18853</v>
      </c>
      <c r="I91" s="9" t="s">
        <v>18852</v>
      </c>
      <c r="J91" s="9">
        <v>6010999901</v>
      </c>
      <c r="K91" s="9" t="s">
        <v>18851</v>
      </c>
      <c r="L91" s="9" t="s">
        <v>18850</v>
      </c>
      <c r="M91" s="11" t="s">
        <v>15065</v>
      </c>
      <c r="N91" s="10" t="s">
        <v>18849</v>
      </c>
      <c r="O91" s="9" t="s">
        <v>18848</v>
      </c>
      <c r="P91" s="9" t="s">
        <v>18847</v>
      </c>
      <c r="Q91" s="9" t="s">
        <v>18846</v>
      </c>
      <c r="R91" s="9" t="s">
        <v>18845</v>
      </c>
      <c r="S91" s="9" t="s">
        <v>18844</v>
      </c>
      <c r="T91" s="9" t="s">
        <v>14815</v>
      </c>
      <c r="U91" s="9" t="s">
        <v>18843</v>
      </c>
      <c r="V91" s="9" t="s">
        <v>15374</v>
      </c>
      <c r="W91" s="9" t="s">
        <v>18842</v>
      </c>
      <c r="X91" s="9" t="s">
        <v>18633</v>
      </c>
      <c r="Y91" s="9"/>
      <c r="Z91" s="9"/>
      <c r="AA91" s="9" t="s">
        <v>15389</v>
      </c>
      <c r="AB91" s="9"/>
      <c r="AC91" s="9"/>
      <c r="AD91" s="9" t="s">
        <v>15389</v>
      </c>
      <c r="AE91" s="9"/>
      <c r="AF91" s="9"/>
      <c r="AG91" s="9" t="s">
        <v>15389</v>
      </c>
    </row>
    <row r="92" spans="1:33" ht="16.5">
      <c r="A92" s="9">
        <v>87</v>
      </c>
      <c r="B92" s="9" t="s">
        <v>18841</v>
      </c>
      <c r="C92" s="9" t="s">
        <v>15155</v>
      </c>
      <c r="D92" s="9" t="s">
        <v>18169</v>
      </c>
      <c r="E92" s="12">
        <v>44189</v>
      </c>
      <c r="F92" s="12">
        <v>44553</v>
      </c>
      <c r="G92" s="12" t="s">
        <v>14702</v>
      </c>
      <c r="H92" s="9" t="s">
        <v>18840</v>
      </c>
      <c r="I92" s="9" t="s">
        <v>18839</v>
      </c>
      <c r="J92" s="9">
        <v>4111331901</v>
      </c>
      <c r="K92" s="9" t="s">
        <v>18838</v>
      </c>
      <c r="L92" s="9" t="s">
        <v>18837</v>
      </c>
      <c r="M92" s="11" t="s">
        <v>15065</v>
      </c>
      <c r="N92" s="10" t="s">
        <v>18836</v>
      </c>
      <c r="O92" s="9" t="s">
        <v>18835</v>
      </c>
      <c r="P92" s="9" t="s">
        <v>18834</v>
      </c>
      <c r="Q92" s="9" t="s">
        <v>18834</v>
      </c>
      <c r="R92" s="9" t="s">
        <v>18833</v>
      </c>
      <c r="S92" s="9" t="s">
        <v>18832</v>
      </c>
      <c r="T92" s="9" t="s">
        <v>14692</v>
      </c>
      <c r="U92" s="9" t="s">
        <v>18831</v>
      </c>
      <c r="V92" s="9" t="s">
        <v>15374</v>
      </c>
      <c r="W92" s="9" t="s">
        <v>18830</v>
      </c>
      <c r="X92" s="9" t="s">
        <v>18288</v>
      </c>
      <c r="Y92" s="9"/>
      <c r="Z92" s="9"/>
      <c r="AA92" s="9" t="s">
        <v>15389</v>
      </c>
      <c r="AB92" s="9"/>
      <c r="AC92" s="9"/>
      <c r="AD92" s="9" t="s">
        <v>15389</v>
      </c>
      <c r="AE92" s="9"/>
      <c r="AF92" s="9"/>
      <c r="AG92" s="9" t="s">
        <v>15389</v>
      </c>
    </row>
    <row r="93" spans="1:33" ht="16.5">
      <c r="A93" s="9">
        <v>88</v>
      </c>
      <c r="B93" s="9" t="s">
        <v>18829</v>
      </c>
      <c r="C93" s="9" t="s">
        <v>14750</v>
      </c>
      <c r="D93" s="9" t="s">
        <v>18169</v>
      </c>
      <c r="E93" s="12">
        <v>44189</v>
      </c>
      <c r="F93" s="12">
        <v>44641</v>
      </c>
      <c r="G93" s="12" t="s">
        <v>14702</v>
      </c>
      <c r="H93" s="9" t="s">
        <v>18828</v>
      </c>
      <c r="I93" s="9" t="s">
        <v>18827</v>
      </c>
      <c r="J93" s="9">
        <v>3015189901</v>
      </c>
      <c r="K93" s="9" t="s">
        <v>18826</v>
      </c>
      <c r="L93" s="9" t="s">
        <v>18825</v>
      </c>
      <c r="M93" s="11" t="s">
        <v>14699</v>
      </c>
      <c r="N93" s="10" t="s">
        <v>18824</v>
      </c>
      <c r="O93" s="9" t="s">
        <v>18823</v>
      </c>
      <c r="P93" s="9" t="s">
        <v>18822</v>
      </c>
      <c r="Q93" s="9" t="s">
        <v>18821</v>
      </c>
      <c r="R93" s="9" t="s">
        <v>18820</v>
      </c>
      <c r="S93" s="9" t="s">
        <v>18819</v>
      </c>
      <c r="T93" s="9" t="s">
        <v>14725</v>
      </c>
      <c r="U93" s="9" t="s">
        <v>18818</v>
      </c>
      <c r="V93" s="9" t="s">
        <v>75</v>
      </c>
      <c r="W93" s="9" t="s">
        <v>18817</v>
      </c>
      <c r="X93" s="9" t="s">
        <v>17054</v>
      </c>
      <c r="Y93" s="9"/>
      <c r="Z93" s="9"/>
      <c r="AA93" s="9" t="s">
        <v>15389</v>
      </c>
      <c r="AB93" s="9"/>
      <c r="AC93" s="9"/>
      <c r="AD93" s="9" t="s">
        <v>15389</v>
      </c>
      <c r="AE93" s="9"/>
      <c r="AF93" s="9"/>
      <c r="AG93" s="9" t="s">
        <v>15389</v>
      </c>
    </row>
    <row r="94" spans="1:33" ht="16.5">
      <c r="A94" s="9">
        <v>89</v>
      </c>
      <c r="B94" s="9" t="s">
        <v>18816</v>
      </c>
      <c r="C94" s="9" t="s">
        <v>14705</v>
      </c>
      <c r="D94" s="9" t="s">
        <v>18169</v>
      </c>
      <c r="E94" s="12">
        <v>44189</v>
      </c>
      <c r="F94" s="12">
        <v>45094</v>
      </c>
      <c r="G94" s="12" t="s">
        <v>14702</v>
      </c>
      <c r="H94" s="9" t="s">
        <v>18815</v>
      </c>
      <c r="I94" s="9" t="s">
        <v>18814</v>
      </c>
      <c r="J94" s="9">
        <v>4010190201</v>
      </c>
      <c r="K94" s="9" t="s">
        <v>18813</v>
      </c>
      <c r="L94" s="9" t="s">
        <v>18812</v>
      </c>
      <c r="M94" s="11" t="s">
        <v>14763</v>
      </c>
      <c r="N94" s="10" t="s">
        <v>18811</v>
      </c>
      <c r="O94" s="9" t="s">
        <v>18810</v>
      </c>
      <c r="P94" s="9" t="s">
        <v>18809</v>
      </c>
      <c r="Q94" s="9" t="s">
        <v>17169</v>
      </c>
      <c r="R94" s="9" t="s">
        <v>18808</v>
      </c>
      <c r="S94" s="9" t="s">
        <v>18807</v>
      </c>
      <c r="T94" s="9" t="s">
        <v>14725</v>
      </c>
      <c r="U94" s="9" t="s">
        <v>18806</v>
      </c>
      <c r="V94" s="9" t="s">
        <v>77</v>
      </c>
      <c r="W94" s="9" t="s">
        <v>18805</v>
      </c>
      <c r="X94" s="9" t="s">
        <v>17486</v>
      </c>
      <c r="Y94" s="9"/>
      <c r="Z94" s="9"/>
      <c r="AA94" s="9" t="s">
        <v>15389</v>
      </c>
      <c r="AB94" s="9"/>
      <c r="AC94" s="9"/>
      <c r="AD94" s="9" t="s">
        <v>15389</v>
      </c>
      <c r="AE94" s="9"/>
      <c r="AF94" s="9"/>
      <c r="AG94" s="9" t="s">
        <v>15389</v>
      </c>
    </row>
    <row r="95" spans="1:33" ht="16.5">
      <c r="A95" s="9">
        <v>90</v>
      </c>
      <c r="B95" s="9" t="s">
        <v>18804</v>
      </c>
      <c r="C95" s="9" t="s">
        <v>15155</v>
      </c>
      <c r="D95" s="9" t="s">
        <v>18169</v>
      </c>
      <c r="E95" s="12">
        <v>44189</v>
      </c>
      <c r="F95" s="12">
        <v>44553</v>
      </c>
      <c r="G95" s="12" t="s">
        <v>14702</v>
      </c>
      <c r="H95" s="9" t="s">
        <v>18803</v>
      </c>
      <c r="I95" s="9" t="s">
        <v>18802</v>
      </c>
      <c r="J95" s="9">
        <v>3912110101</v>
      </c>
      <c r="K95" s="9" t="s">
        <v>14733</v>
      </c>
      <c r="L95" s="9" t="s">
        <v>18801</v>
      </c>
      <c r="M95" s="11" t="s">
        <v>14794</v>
      </c>
      <c r="N95" s="10" t="s">
        <v>18800</v>
      </c>
      <c r="O95" s="9" t="s">
        <v>18799</v>
      </c>
      <c r="P95" s="9" t="s">
        <v>18798</v>
      </c>
      <c r="Q95" s="9" t="s">
        <v>18797</v>
      </c>
      <c r="R95" s="9" t="s">
        <v>18796</v>
      </c>
      <c r="S95" s="9" t="s">
        <v>18795</v>
      </c>
      <c r="T95" s="9" t="s">
        <v>15101</v>
      </c>
      <c r="U95" s="9" t="s">
        <v>18794</v>
      </c>
      <c r="V95" s="9" t="s">
        <v>15139</v>
      </c>
      <c r="W95" s="9" t="s">
        <v>18793</v>
      </c>
      <c r="X95" s="9" t="s">
        <v>18768</v>
      </c>
      <c r="Y95" s="9"/>
      <c r="Z95" s="9"/>
      <c r="AA95" s="9" t="s">
        <v>15389</v>
      </c>
      <c r="AB95" s="9"/>
      <c r="AC95" s="9"/>
      <c r="AD95" s="9" t="s">
        <v>15389</v>
      </c>
      <c r="AE95" s="9"/>
      <c r="AF95" s="9"/>
      <c r="AG95" s="9" t="s">
        <v>15389</v>
      </c>
    </row>
    <row r="96" spans="1:33" ht="16.5">
      <c r="A96" s="9">
        <v>91</v>
      </c>
      <c r="B96" s="9" t="s">
        <v>18792</v>
      </c>
      <c r="C96" s="9" t="s">
        <v>14750</v>
      </c>
      <c r="D96" s="9" t="s">
        <v>18169</v>
      </c>
      <c r="E96" s="12">
        <v>44189</v>
      </c>
      <c r="F96" s="12">
        <v>44938</v>
      </c>
      <c r="G96" s="12" t="s">
        <v>14702</v>
      </c>
      <c r="H96" s="9" t="s">
        <v>18791</v>
      </c>
      <c r="I96" s="9" t="s">
        <v>18790</v>
      </c>
      <c r="J96" s="9">
        <v>3912100403</v>
      </c>
      <c r="K96" s="9" t="s">
        <v>14889</v>
      </c>
      <c r="L96" s="9" t="s">
        <v>18789</v>
      </c>
      <c r="M96" s="11" t="s">
        <v>14746</v>
      </c>
      <c r="N96" s="10" t="s">
        <v>18788</v>
      </c>
      <c r="O96" s="9" t="s">
        <v>18787</v>
      </c>
      <c r="P96" s="9" t="s">
        <v>18786</v>
      </c>
      <c r="Q96" s="9" t="s">
        <v>18785</v>
      </c>
      <c r="R96" s="9" t="s">
        <v>18784</v>
      </c>
      <c r="S96" s="9" t="s">
        <v>18783</v>
      </c>
      <c r="T96" s="9" t="s">
        <v>14725</v>
      </c>
      <c r="U96" s="9" t="s">
        <v>18782</v>
      </c>
      <c r="V96" s="9" t="s">
        <v>77</v>
      </c>
      <c r="W96" s="9" t="s">
        <v>18781</v>
      </c>
      <c r="X96" s="9" t="s">
        <v>18780</v>
      </c>
      <c r="Y96" s="9"/>
      <c r="Z96" s="9"/>
      <c r="AA96" s="9" t="s">
        <v>15389</v>
      </c>
      <c r="AB96" s="9"/>
      <c r="AC96" s="9"/>
      <c r="AD96" s="9" t="s">
        <v>15389</v>
      </c>
      <c r="AE96" s="9"/>
      <c r="AF96" s="9"/>
      <c r="AG96" s="9" t="s">
        <v>15389</v>
      </c>
    </row>
    <row r="97" spans="1:33" ht="16.5">
      <c r="A97" s="9">
        <v>92</v>
      </c>
      <c r="B97" s="9" t="s">
        <v>18779</v>
      </c>
      <c r="C97" s="9" t="s">
        <v>15155</v>
      </c>
      <c r="D97" s="9" t="s">
        <v>18169</v>
      </c>
      <c r="E97" s="12">
        <v>44189</v>
      </c>
      <c r="F97" s="12">
        <v>44553</v>
      </c>
      <c r="G97" s="12" t="s">
        <v>14702</v>
      </c>
      <c r="H97" s="9" t="s">
        <v>18778</v>
      </c>
      <c r="I97" s="9" t="s">
        <v>18777</v>
      </c>
      <c r="J97" s="9">
        <v>3911160501</v>
      </c>
      <c r="K97" s="9" t="s">
        <v>18776</v>
      </c>
      <c r="L97" s="9" t="s">
        <v>18775</v>
      </c>
      <c r="M97" s="11" t="s">
        <v>15065</v>
      </c>
      <c r="N97" s="10" t="s">
        <v>1944</v>
      </c>
      <c r="O97" s="9" t="s">
        <v>18774</v>
      </c>
      <c r="P97" s="9" t="s">
        <v>18773</v>
      </c>
      <c r="Q97" s="9" t="s">
        <v>18773</v>
      </c>
      <c r="R97" s="9" t="s">
        <v>18772</v>
      </c>
      <c r="S97" s="9" t="s">
        <v>18771</v>
      </c>
      <c r="T97" s="9" t="s">
        <v>14712</v>
      </c>
      <c r="U97" s="9" t="s">
        <v>18770</v>
      </c>
      <c r="V97" s="9" t="s">
        <v>15139</v>
      </c>
      <c r="W97" s="9" t="s">
        <v>18769</v>
      </c>
      <c r="X97" s="9" t="s">
        <v>18768</v>
      </c>
      <c r="Y97" s="9"/>
      <c r="Z97" s="9"/>
      <c r="AA97" s="9" t="s">
        <v>15389</v>
      </c>
      <c r="AB97" s="9"/>
      <c r="AC97" s="9"/>
      <c r="AD97" s="9" t="s">
        <v>15389</v>
      </c>
      <c r="AE97" s="9"/>
      <c r="AF97" s="9"/>
      <c r="AG97" s="9" t="s">
        <v>15389</v>
      </c>
    </row>
    <row r="98" spans="1:33" ht="16.5">
      <c r="A98" s="9">
        <v>93</v>
      </c>
      <c r="B98" s="9" t="s">
        <v>18767</v>
      </c>
      <c r="C98" s="9" t="s">
        <v>15155</v>
      </c>
      <c r="D98" s="9" t="s">
        <v>18169</v>
      </c>
      <c r="E98" s="12">
        <v>44189</v>
      </c>
      <c r="F98" s="12">
        <v>44553</v>
      </c>
      <c r="G98" s="12" t="s">
        <v>14702</v>
      </c>
      <c r="H98" s="9" t="s">
        <v>18766</v>
      </c>
      <c r="I98" s="9" t="s">
        <v>18766</v>
      </c>
      <c r="J98" s="9">
        <v>6010640101</v>
      </c>
      <c r="K98" s="9" t="s">
        <v>18765</v>
      </c>
      <c r="L98" s="9" t="s">
        <v>18764</v>
      </c>
      <c r="M98" s="11" t="s">
        <v>14746</v>
      </c>
      <c r="N98" s="10" t="s">
        <v>18763</v>
      </c>
      <c r="O98" s="9" t="s">
        <v>18762</v>
      </c>
      <c r="P98" s="9" t="s">
        <v>18761</v>
      </c>
      <c r="Q98" s="9" t="s">
        <v>18760</v>
      </c>
      <c r="R98" s="9" t="s">
        <v>18759</v>
      </c>
      <c r="S98" s="9" t="s">
        <v>18758</v>
      </c>
      <c r="T98" s="9" t="s">
        <v>15101</v>
      </c>
      <c r="U98" s="9" t="s">
        <v>18757</v>
      </c>
      <c r="V98" s="9" t="s">
        <v>15374</v>
      </c>
      <c r="W98" s="9" t="s">
        <v>18756</v>
      </c>
      <c r="X98" s="9" t="s">
        <v>18755</v>
      </c>
      <c r="Y98" s="9"/>
      <c r="Z98" s="9"/>
      <c r="AA98" s="9" t="s">
        <v>15389</v>
      </c>
      <c r="AB98" s="9"/>
      <c r="AC98" s="9"/>
      <c r="AD98" s="9" t="s">
        <v>15389</v>
      </c>
      <c r="AE98" s="9"/>
      <c r="AF98" s="9"/>
      <c r="AG98" s="9" t="s">
        <v>15389</v>
      </c>
    </row>
    <row r="99" spans="1:33" ht="16.5">
      <c r="A99" s="9">
        <v>94</v>
      </c>
      <c r="B99" s="9" t="s">
        <v>18754</v>
      </c>
      <c r="C99" s="9" t="s">
        <v>15155</v>
      </c>
      <c r="D99" s="9" t="s">
        <v>18169</v>
      </c>
      <c r="E99" s="12">
        <v>44189</v>
      </c>
      <c r="F99" s="12">
        <v>44553</v>
      </c>
      <c r="G99" s="12" t="s">
        <v>14702</v>
      </c>
      <c r="H99" s="9" t="s">
        <v>18752</v>
      </c>
      <c r="I99" s="9" t="s">
        <v>18753</v>
      </c>
      <c r="J99" s="9">
        <v>4920159801</v>
      </c>
      <c r="K99" s="9" t="s">
        <v>18752</v>
      </c>
      <c r="L99" s="9" t="s">
        <v>18751</v>
      </c>
      <c r="M99" s="11" t="s">
        <v>14732</v>
      </c>
      <c r="N99" s="10" t="s">
        <v>18750</v>
      </c>
      <c r="O99" s="9" t="s">
        <v>18749</v>
      </c>
      <c r="P99" s="9" t="s">
        <v>18748</v>
      </c>
      <c r="Q99" s="9" t="s">
        <v>18747</v>
      </c>
      <c r="R99" s="9" t="s">
        <v>18746</v>
      </c>
      <c r="S99" s="9" t="s">
        <v>18745</v>
      </c>
      <c r="T99" s="9" t="s">
        <v>14815</v>
      </c>
      <c r="U99" s="9" t="s">
        <v>18744</v>
      </c>
      <c r="V99" s="9" t="s">
        <v>15374</v>
      </c>
      <c r="W99" s="9" t="s">
        <v>18743</v>
      </c>
      <c r="X99" s="9" t="s">
        <v>17908</v>
      </c>
      <c r="Y99" s="9"/>
      <c r="Z99" s="9"/>
      <c r="AA99" s="9" t="s">
        <v>15389</v>
      </c>
      <c r="AB99" s="9"/>
      <c r="AC99" s="9"/>
      <c r="AD99" s="9" t="s">
        <v>15389</v>
      </c>
      <c r="AE99" s="9"/>
      <c r="AF99" s="9"/>
      <c r="AG99" s="9" t="s">
        <v>15389</v>
      </c>
    </row>
    <row r="100" spans="1:33" ht="16.5">
      <c r="A100" s="9">
        <v>95</v>
      </c>
      <c r="B100" s="9" t="s">
        <v>18742</v>
      </c>
      <c r="C100" s="9" t="s">
        <v>15155</v>
      </c>
      <c r="D100" s="9" t="s">
        <v>18169</v>
      </c>
      <c r="E100" s="12">
        <v>44189</v>
      </c>
      <c r="F100" s="12">
        <v>44381</v>
      </c>
      <c r="G100" s="12" t="s">
        <v>14702</v>
      </c>
      <c r="H100" s="28" t="s">
        <v>18741</v>
      </c>
      <c r="I100" s="9" t="s">
        <v>18740</v>
      </c>
      <c r="J100" s="9">
        <v>5313162701</v>
      </c>
      <c r="K100" s="9" t="s">
        <v>18739</v>
      </c>
      <c r="L100" s="9" t="s">
        <v>18738</v>
      </c>
      <c r="M100" s="11" t="s">
        <v>15065</v>
      </c>
      <c r="N100" s="10" t="s">
        <v>18737</v>
      </c>
      <c r="O100" s="9" t="s">
        <v>18736</v>
      </c>
      <c r="P100" s="9" t="s">
        <v>18735</v>
      </c>
      <c r="Q100" s="9" t="s">
        <v>18734</v>
      </c>
      <c r="R100" s="9" t="s">
        <v>18733</v>
      </c>
      <c r="S100" s="9" t="s">
        <v>18732</v>
      </c>
      <c r="T100" s="9" t="s">
        <v>15690</v>
      </c>
      <c r="U100" s="9" t="s">
        <v>18731</v>
      </c>
      <c r="V100" s="9" t="s">
        <v>14868</v>
      </c>
      <c r="W100" s="9" t="s">
        <v>18730</v>
      </c>
      <c r="X100" s="9" t="s">
        <v>18729</v>
      </c>
      <c r="Y100" s="9"/>
      <c r="Z100" s="9"/>
      <c r="AA100" s="9" t="s">
        <v>15389</v>
      </c>
      <c r="AB100" s="9"/>
      <c r="AC100" s="9"/>
      <c r="AD100" s="9" t="s">
        <v>15389</v>
      </c>
      <c r="AE100" s="9"/>
      <c r="AF100" s="9"/>
      <c r="AG100" s="9" t="s">
        <v>15389</v>
      </c>
    </row>
    <row r="101" spans="1:33" ht="16.5">
      <c r="A101" s="9">
        <v>96</v>
      </c>
      <c r="B101" s="9" t="s">
        <v>18728</v>
      </c>
      <c r="C101" s="9" t="s">
        <v>14705</v>
      </c>
      <c r="D101" s="9" t="s">
        <v>18169</v>
      </c>
      <c r="E101" s="12">
        <v>44189</v>
      </c>
      <c r="F101" s="12">
        <v>44731</v>
      </c>
      <c r="G101" s="12" t="s">
        <v>14702</v>
      </c>
      <c r="H101" s="9" t="s">
        <v>16442</v>
      </c>
      <c r="I101" s="9" t="s">
        <v>18727</v>
      </c>
      <c r="J101" s="9">
        <v>3911161102</v>
      </c>
      <c r="K101" s="9" t="s">
        <v>14920</v>
      </c>
      <c r="L101" s="9" t="s">
        <v>18726</v>
      </c>
      <c r="M101" s="11" t="s">
        <v>14763</v>
      </c>
      <c r="N101" s="10" t="s">
        <v>16439</v>
      </c>
      <c r="O101" s="9" t="s">
        <v>16438</v>
      </c>
      <c r="P101" s="9" t="s">
        <v>16437</v>
      </c>
      <c r="Q101" s="9" t="s">
        <v>16436</v>
      </c>
      <c r="R101" s="9" t="s">
        <v>16435</v>
      </c>
      <c r="S101" s="9" t="s">
        <v>16434</v>
      </c>
      <c r="T101" s="9" t="s">
        <v>14725</v>
      </c>
      <c r="U101" s="9" t="s">
        <v>16433</v>
      </c>
      <c r="V101" s="9" t="s">
        <v>14754</v>
      </c>
      <c r="W101" s="9" t="s">
        <v>16431</v>
      </c>
      <c r="X101" s="9" t="s">
        <v>16430</v>
      </c>
      <c r="Y101" s="9"/>
      <c r="Z101" s="9"/>
      <c r="AA101" s="9" t="s">
        <v>15389</v>
      </c>
      <c r="AB101" s="9"/>
      <c r="AC101" s="9"/>
      <c r="AD101" s="9" t="s">
        <v>15389</v>
      </c>
      <c r="AE101" s="9"/>
      <c r="AF101" s="9"/>
      <c r="AG101" s="9" t="s">
        <v>15389</v>
      </c>
    </row>
    <row r="102" spans="1:33" ht="16.5">
      <c r="A102" s="9">
        <v>97</v>
      </c>
      <c r="B102" s="9" t="s">
        <v>18725</v>
      </c>
      <c r="C102" s="9" t="s">
        <v>15155</v>
      </c>
      <c r="D102" s="9" t="s">
        <v>18169</v>
      </c>
      <c r="E102" s="12">
        <v>44189</v>
      </c>
      <c r="F102" s="12">
        <v>44553</v>
      </c>
      <c r="G102" s="12" t="s">
        <v>14702</v>
      </c>
      <c r="H102" s="9" t="s">
        <v>18724</v>
      </c>
      <c r="I102" s="9" t="s">
        <v>18723</v>
      </c>
      <c r="J102" s="9">
        <v>4617168501</v>
      </c>
      <c r="K102" s="9" t="s">
        <v>18722</v>
      </c>
      <c r="L102" s="9" t="s">
        <v>18721</v>
      </c>
      <c r="M102" s="11" t="s">
        <v>14794</v>
      </c>
      <c r="N102" s="10" t="s">
        <v>18720</v>
      </c>
      <c r="O102" s="9" t="s">
        <v>18719</v>
      </c>
      <c r="P102" s="9" t="s">
        <v>18718</v>
      </c>
      <c r="Q102" s="9" t="s">
        <v>18717</v>
      </c>
      <c r="R102" s="9" t="s">
        <v>18716</v>
      </c>
      <c r="S102" s="9" t="s">
        <v>18715</v>
      </c>
      <c r="T102" s="9" t="s">
        <v>15588</v>
      </c>
      <c r="U102" s="9" t="s">
        <v>18714</v>
      </c>
      <c r="V102" s="9" t="s">
        <v>15139</v>
      </c>
      <c r="W102" s="9" t="s">
        <v>18713</v>
      </c>
      <c r="X102" s="9" t="s">
        <v>18712</v>
      </c>
      <c r="Y102" s="9"/>
      <c r="Z102" s="9"/>
      <c r="AA102" s="9" t="s">
        <v>15389</v>
      </c>
      <c r="AB102" s="9"/>
      <c r="AC102" s="9"/>
      <c r="AD102" s="9" t="s">
        <v>15389</v>
      </c>
      <c r="AE102" s="9"/>
      <c r="AF102" s="9"/>
      <c r="AG102" s="9" t="s">
        <v>15389</v>
      </c>
    </row>
    <row r="103" spans="1:33" ht="16.5">
      <c r="A103" s="9">
        <v>98</v>
      </c>
      <c r="B103" s="9" t="s">
        <v>18711</v>
      </c>
      <c r="C103" s="9" t="s">
        <v>15155</v>
      </c>
      <c r="D103" s="9" t="s">
        <v>18169</v>
      </c>
      <c r="E103" s="12">
        <v>44189</v>
      </c>
      <c r="F103" s="12">
        <v>44553</v>
      </c>
      <c r="G103" s="12" t="s">
        <v>14702</v>
      </c>
      <c r="H103" s="9" t="s">
        <v>18710</v>
      </c>
      <c r="I103" s="9" t="s">
        <v>18709</v>
      </c>
      <c r="J103" s="9">
        <v>4015152501</v>
      </c>
      <c r="K103" s="9" t="s">
        <v>16178</v>
      </c>
      <c r="L103" s="9" t="s">
        <v>18708</v>
      </c>
      <c r="M103" s="11" t="s">
        <v>14794</v>
      </c>
      <c r="N103" s="10" t="s">
        <v>18707</v>
      </c>
      <c r="O103" s="9" t="s">
        <v>18706</v>
      </c>
      <c r="P103" s="9" t="s">
        <v>18705</v>
      </c>
      <c r="Q103" s="9" t="s">
        <v>18704</v>
      </c>
      <c r="R103" s="9" t="s">
        <v>18703</v>
      </c>
      <c r="S103" s="9" t="s">
        <v>18702</v>
      </c>
      <c r="T103" s="9" t="s">
        <v>14712</v>
      </c>
      <c r="U103" s="9" t="s">
        <v>18701</v>
      </c>
      <c r="V103" s="9" t="s">
        <v>15139</v>
      </c>
      <c r="W103" s="9" t="s">
        <v>18700</v>
      </c>
      <c r="X103" s="9" t="s">
        <v>16785</v>
      </c>
      <c r="Y103" s="9"/>
      <c r="Z103" s="9"/>
      <c r="AA103" s="9" t="s">
        <v>15389</v>
      </c>
      <c r="AB103" s="9"/>
      <c r="AC103" s="9"/>
      <c r="AD103" s="9" t="s">
        <v>15389</v>
      </c>
      <c r="AE103" s="9"/>
      <c r="AF103" s="9"/>
      <c r="AG103" s="9" t="s">
        <v>15389</v>
      </c>
    </row>
    <row r="104" spans="1:33" ht="16.5">
      <c r="A104" s="9">
        <v>99</v>
      </c>
      <c r="B104" s="9" t="s">
        <v>18699</v>
      </c>
      <c r="C104" s="9" t="s">
        <v>14705</v>
      </c>
      <c r="D104" s="9" t="s">
        <v>18169</v>
      </c>
      <c r="E104" s="12">
        <v>44189</v>
      </c>
      <c r="F104" s="12">
        <v>44692</v>
      </c>
      <c r="G104" s="12" t="s">
        <v>14702</v>
      </c>
      <c r="H104" s="9" t="s">
        <v>18697</v>
      </c>
      <c r="I104" s="9" t="s">
        <v>18698</v>
      </c>
      <c r="J104" s="9">
        <v>4924151101</v>
      </c>
      <c r="K104" s="9" t="s">
        <v>18697</v>
      </c>
      <c r="L104" s="9" t="s">
        <v>18696</v>
      </c>
      <c r="M104" s="11" t="s">
        <v>14794</v>
      </c>
      <c r="N104" s="10" t="s">
        <v>18695</v>
      </c>
      <c r="O104" s="9" t="s">
        <v>18694</v>
      </c>
      <c r="P104" s="9" t="s">
        <v>18693</v>
      </c>
      <c r="Q104" s="9" t="s">
        <v>18692</v>
      </c>
      <c r="R104" s="9" t="s">
        <v>18691</v>
      </c>
      <c r="S104" s="9" t="s">
        <v>18690</v>
      </c>
      <c r="T104" s="9" t="s">
        <v>15488</v>
      </c>
      <c r="U104" s="9" t="s">
        <v>18689</v>
      </c>
      <c r="V104" s="9" t="s">
        <v>15846</v>
      </c>
      <c r="W104" s="9" t="s">
        <v>18688</v>
      </c>
      <c r="X104" s="9" t="s">
        <v>18687</v>
      </c>
      <c r="Y104" s="9"/>
      <c r="Z104" s="9"/>
      <c r="AA104" s="9" t="s">
        <v>15389</v>
      </c>
      <c r="AB104" s="9"/>
      <c r="AC104" s="9"/>
      <c r="AD104" s="9" t="s">
        <v>15389</v>
      </c>
      <c r="AE104" s="9"/>
      <c r="AF104" s="9"/>
      <c r="AG104" s="9" t="s">
        <v>15389</v>
      </c>
    </row>
    <row r="105" spans="1:33" ht="16.5">
      <c r="A105" s="9">
        <v>100</v>
      </c>
      <c r="B105" s="9" t="s">
        <v>18686</v>
      </c>
      <c r="C105" s="9" t="s">
        <v>14705</v>
      </c>
      <c r="D105" s="9" t="s">
        <v>18169</v>
      </c>
      <c r="E105" s="12">
        <v>44189</v>
      </c>
      <c r="F105" s="12">
        <v>44634</v>
      </c>
      <c r="G105" s="12" t="s">
        <v>14702</v>
      </c>
      <c r="H105" s="9" t="s">
        <v>18685</v>
      </c>
      <c r="I105" s="9" t="s">
        <v>18684</v>
      </c>
      <c r="J105" s="9">
        <v>2315313001</v>
      </c>
      <c r="K105" s="9" t="s">
        <v>18683</v>
      </c>
      <c r="L105" s="9" t="s">
        <v>18682</v>
      </c>
      <c r="M105" s="11" t="s">
        <v>14732</v>
      </c>
      <c r="N105" s="10" t="s">
        <v>18681</v>
      </c>
      <c r="O105" s="9" t="s">
        <v>18680</v>
      </c>
      <c r="P105" s="9" t="s">
        <v>18679</v>
      </c>
      <c r="Q105" s="9" t="s">
        <v>18678</v>
      </c>
      <c r="R105" s="9" t="s">
        <v>18677</v>
      </c>
      <c r="S105" s="9" t="s">
        <v>18676</v>
      </c>
      <c r="T105" s="9" t="s">
        <v>14725</v>
      </c>
      <c r="U105" s="9" t="s">
        <v>18675</v>
      </c>
      <c r="V105" s="9" t="s">
        <v>77</v>
      </c>
      <c r="W105" s="9" t="s">
        <v>18674</v>
      </c>
      <c r="X105" s="9" t="s">
        <v>16606</v>
      </c>
      <c r="Y105" s="9"/>
      <c r="Z105" s="9"/>
      <c r="AA105" s="9" t="s">
        <v>15389</v>
      </c>
      <c r="AB105" s="9"/>
      <c r="AC105" s="9"/>
      <c r="AD105" s="9" t="s">
        <v>15389</v>
      </c>
      <c r="AE105" s="9"/>
      <c r="AF105" s="9"/>
      <c r="AG105" s="9" t="s">
        <v>15389</v>
      </c>
    </row>
    <row r="106" spans="1:33" ht="16.5">
      <c r="A106" s="9">
        <v>101</v>
      </c>
      <c r="B106" s="9" t="s">
        <v>18673</v>
      </c>
      <c r="C106" s="9" t="s">
        <v>14705</v>
      </c>
      <c r="D106" s="9" t="s">
        <v>18169</v>
      </c>
      <c r="E106" s="12">
        <v>44189</v>
      </c>
      <c r="F106" s="12">
        <v>45197</v>
      </c>
      <c r="G106" s="12" t="s">
        <v>14702</v>
      </c>
      <c r="H106" s="9" t="s">
        <v>18672</v>
      </c>
      <c r="I106" s="9" t="s">
        <v>18671</v>
      </c>
      <c r="J106" s="9">
        <v>4111992401</v>
      </c>
      <c r="K106" s="9" t="s">
        <v>18670</v>
      </c>
      <c r="L106" s="9" t="s">
        <v>18669</v>
      </c>
      <c r="M106" s="11" t="s">
        <v>14732</v>
      </c>
      <c r="N106" s="10" t="s">
        <v>18668</v>
      </c>
      <c r="O106" s="9" t="s">
        <v>18667</v>
      </c>
      <c r="P106" s="9" t="s">
        <v>18666</v>
      </c>
      <c r="Q106" s="9" t="s">
        <v>18665</v>
      </c>
      <c r="R106" s="9" t="s">
        <v>18664</v>
      </c>
      <c r="S106" s="9" t="s">
        <v>18663</v>
      </c>
      <c r="T106" s="9" t="s">
        <v>14815</v>
      </c>
      <c r="U106" s="9" t="s">
        <v>18662</v>
      </c>
      <c r="V106" s="9" t="s">
        <v>16929</v>
      </c>
      <c r="W106" s="9" t="s">
        <v>18661</v>
      </c>
      <c r="X106" s="9" t="s">
        <v>18660</v>
      </c>
      <c r="Y106" s="9"/>
      <c r="Z106" s="9"/>
      <c r="AA106" s="9" t="s">
        <v>15389</v>
      </c>
      <c r="AB106" s="9"/>
      <c r="AC106" s="9"/>
      <c r="AD106" s="9" t="s">
        <v>15389</v>
      </c>
      <c r="AE106" s="9"/>
      <c r="AF106" s="9"/>
      <c r="AG106" s="9" t="s">
        <v>15389</v>
      </c>
    </row>
    <row r="107" spans="1:33" ht="16.5">
      <c r="A107" s="9">
        <v>102</v>
      </c>
      <c r="B107" s="9" t="s">
        <v>18659</v>
      </c>
      <c r="C107" s="9" t="s">
        <v>14750</v>
      </c>
      <c r="D107" s="9" t="s">
        <v>18169</v>
      </c>
      <c r="E107" s="12">
        <v>44189</v>
      </c>
      <c r="F107" s="12">
        <v>45162</v>
      </c>
      <c r="G107" s="12" t="s">
        <v>14702</v>
      </c>
      <c r="H107" s="9" t="s">
        <v>18658</v>
      </c>
      <c r="I107" s="9" t="s">
        <v>18657</v>
      </c>
      <c r="J107" s="9">
        <v>4110240401</v>
      </c>
      <c r="K107" s="9" t="s">
        <v>18656</v>
      </c>
      <c r="L107" s="9" t="s">
        <v>18655</v>
      </c>
      <c r="M107" s="11" t="s">
        <v>15065</v>
      </c>
      <c r="N107" s="10" t="s">
        <v>18654</v>
      </c>
      <c r="O107" s="9" t="s">
        <v>18653</v>
      </c>
      <c r="P107" s="9" t="s">
        <v>18652</v>
      </c>
      <c r="Q107" s="9" t="s">
        <v>18651</v>
      </c>
      <c r="R107" s="9" t="s">
        <v>18650</v>
      </c>
      <c r="S107" s="9" t="s">
        <v>18649</v>
      </c>
      <c r="T107" s="9" t="s">
        <v>14712</v>
      </c>
      <c r="U107" s="9" t="s">
        <v>18648</v>
      </c>
      <c r="V107" s="9" t="s">
        <v>77</v>
      </c>
      <c r="W107" s="9" t="s">
        <v>18647</v>
      </c>
      <c r="X107" s="9" t="s">
        <v>18646</v>
      </c>
      <c r="Y107" s="9"/>
      <c r="Z107" s="9"/>
      <c r="AA107" s="9" t="s">
        <v>15389</v>
      </c>
      <c r="AB107" s="9"/>
      <c r="AC107" s="9"/>
      <c r="AD107" s="9" t="s">
        <v>15389</v>
      </c>
      <c r="AE107" s="9"/>
      <c r="AF107" s="9"/>
      <c r="AG107" s="9" t="s">
        <v>15389</v>
      </c>
    </row>
    <row r="108" spans="1:33" ht="16.5">
      <c r="A108" s="9">
        <v>103</v>
      </c>
      <c r="B108" s="9" t="s">
        <v>18645</v>
      </c>
      <c r="C108" s="9" t="s">
        <v>15155</v>
      </c>
      <c r="D108" s="9" t="s">
        <v>18169</v>
      </c>
      <c r="E108" s="12">
        <v>44189</v>
      </c>
      <c r="F108" s="12">
        <v>44553</v>
      </c>
      <c r="G108" s="12" t="s">
        <v>14702</v>
      </c>
      <c r="H108" s="9" t="s">
        <v>18644</v>
      </c>
      <c r="I108" s="9" t="s">
        <v>18643</v>
      </c>
      <c r="J108" s="9">
        <v>4323320501</v>
      </c>
      <c r="K108" s="9" t="s">
        <v>15740</v>
      </c>
      <c r="L108" s="9" t="s">
        <v>18642</v>
      </c>
      <c r="M108" s="11" t="s">
        <v>14746</v>
      </c>
      <c r="N108" s="10" t="s">
        <v>18641</v>
      </c>
      <c r="O108" s="9" t="s">
        <v>18640</v>
      </c>
      <c r="P108" s="9" t="s">
        <v>18639</v>
      </c>
      <c r="Q108" s="9" t="s">
        <v>18638</v>
      </c>
      <c r="R108" s="9" t="s">
        <v>18637</v>
      </c>
      <c r="S108" s="9" t="s">
        <v>18636</v>
      </c>
      <c r="T108" s="9" t="s">
        <v>14815</v>
      </c>
      <c r="U108" s="9" t="s">
        <v>18635</v>
      </c>
      <c r="V108" s="9" t="s">
        <v>15374</v>
      </c>
      <c r="W108" s="9" t="s">
        <v>18634</v>
      </c>
      <c r="X108" s="9" t="s">
        <v>18633</v>
      </c>
      <c r="Y108" s="9"/>
      <c r="Z108" s="9"/>
      <c r="AA108" s="9" t="s">
        <v>15389</v>
      </c>
      <c r="AB108" s="9"/>
      <c r="AC108" s="9"/>
      <c r="AD108" s="9" t="s">
        <v>15389</v>
      </c>
      <c r="AE108" s="9"/>
      <c r="AF108" s="9"/>
      <c r="AG108" s="9" t="s">
        <v>15389</v>
      </c>
    </row>
    <row r="109" spans="1:33" ht="16.5">
      <c r="A109" s="9">
        <v>104</v>
      </c>
      <c r="B109" s="9" t="s">
        <v>18632</v>
      </c>
      <c r="C109" s="9" t="s">
        <v>14750</v>
      </c>
      <c r="D109" s="9" t="s">
        <v>18169</v>
      </c>
      <c r="E109" s="12">
        <v>44189</v>
      </c>
      <c r="F109" s="12">
        <v>44343</v>
      </c>
      <c r="G109" s="12" t="s">
        <v>14702</v>
      </c>
      <c r="H109" s="9" t="s">
        <v>18631</v>
      </c>
      <c r="I109" s="9" t="s">
        <v>18631</v>
      </c>
      <c r="J109" s="9">
        <v>4323260801</v>
      </c>
      <c r="K109" s="9" t="s">
        <v>15939</v>
      </c>
      <c r="L109" s="9" t="s">
        <v>18630</v>
      </c>
      <c r="M109" s="11" t="s">
        <v>15065</v>
      </c>
      <c r="N109" s="10" t="s">
        <v>18629</v>
      </c>
      <c r="O109" s="9" t="s">
        <v>18628</v>
      </c>
      <c r="P109" s="9" t="s">
        <v>18627</v>
      </c>
      <c r="Q109" s="9" t="s">
        <v>18626</v>
      </c>
      <c r="R109" s="9" t="s">
        <v>18625</v>
      </c>
      <c r="S109" s="9" t="s">
        <v>18624</v>
      </c>
      <c r="T109" s="9" t="s">
        <v>15060</v>
      </c>
      <c r="U109" s="9" t="s">
        <v>18623</v>
      </c>
      <c r="V109" s="9" t="s">
        <v>15243</v>
      </c>
      <c r="W109" s="9" t="s">
        <v>18622</v>
      </c>
      <c r="X109" s="9" t="s">
        <v>14784</v>
      </c>
      <c r="Y109" s="9"/>
      <c r="Z109" s="9"/>
      <c r="AA109" s="9" t="s">
        <v>15389</v>
      </c>
      <c r="AB109" s="9"/>
      <c r="AC109" s="9"/>
      <c r="AD109" s="9" t="s">
        <v>15389</v>
      </c>
      <c r="AE109" s="9"/>
      <c r="AF109" s="9"/>
      <c r="AG109" s="9" t="s">
        <v>15389</v>
      </c>
    </row>
    <row r="110" spans="1:33" ht="16.5">
      <c r="A110" s="9">
        <v>105</v>
      </c>
      <c r="B110" s="9" t="s">
        <v>18621</v>
      </c>
      <c r="C110" s="9" t="s">
        <v>14705</v>
      </c>
      <c r="D110" s="9" t="s">
        <v>18169</v>
      </c>
      <c r="E110" s="12">
        <v>44189</v>
      </c>
      <c r="F110" s="12">
        <v>45203</v>
      </c>
      <c r="G110" s="12" t="s">
        <v>14702</v>
      </c>
      <c r="H110" s="9" t="s">
        <v>18620</v>
      </c>
      <c r="I110" s="9" t="s">
        <v>18619</v>
      </c>
      <c r="J110" s="9">
        <v>3010290301</v>
      </c>
      <c r="K110" s="9" t="s">
        <v>18618</v>
      </c>
      <c r="L110" s="9" t="s">
        <v>18617</v>
      </c>
      <c r="M110" s="11" t="s">
        <v>14794</v>
      </c>
      <c r="N110" s="10" t="s">
        <v>18616</v>
      </c>
      <c r="O110" s="9" t="s">
        <v>18615</v>
      </c>
      <c r="P110" s="9" t="s">
        <v>18614</v>
      </c>
      <c r="Q110" s="9" t="s">
        <v>18614</v>
      </c>
      <c r="R110" s="9" t="s">
        <v>18613</v>
      </c>
      <c r="S110" s="9" t="s">
        <v>18612</v>
      </c>
      <c r="T110" s="9" t="s">
        <v>14725</v>
      </c>
      <c r="U110" s="9" t="s">
        <v>18611</v>
      </c>
      <c r="V110" s="9" t="s">
        <v>77</v>
      </c>
      <c r="W110" s="9" t="s">
        <v>18610</v>
      </c>
      <c r="X110" s="9" t="s">
        <v>18235</v>
      </c>
      <c r="Y110" s="9"/>
      <c r="Z110" s="9"/>
      <c r="AA110" s="9" t="s">
        <v>15389</v>
      </c>
      <c r="AB110" s="9"/>
      <c r="AC110" s="9"/>
      <c r="AD110" s="9" t="s">
        <v>15389</v>
      </c>
      <c r="AE110" s="9"/>
      <c r="AF110" s="9"/>
      <c r="AG110" s="9" t="s">
        <v>15389</v>
      </c>
    </row>
    <row r="111" spans="1:33" ht="16.5">
      <c r="A111" s="9">
        <v>106</v>
      </c>
      <c r="B111" s="9" t="s">
        <v>18609</v>
      </c>
      <c r="C111" s="9" t="s">
        <v>15155</v>
      </c>
      <c r="D111" s="9" t="s">
        <v>18169</v>
      </c>
      <c r="E111" s="12">
        <v>44189</v>
      </c>
      <c r="F111" s="12">
        <v>44962</v>
      </c>
      <c r="G111" s="12" t="s">
        <v>14702</v>
      </c>
      <c r="H111" s="9" t="s">
        <v>18608</v>
      </c>
      <c r="I111" s="9" t="s">
        <v>18608</v>
      </c>
      <c r="J111" s="9">
        <v>4323320501</v>
      </c>
      <c r="K111" s="9" t="s">
        <v>15740</v>
      </c>
      <c r="L111" s="9" t="s">
        <v>18607</v>
      </c>
      <c r="M111" s="11" t="s">
        <v>14732</v>
      </c>
      <c r="N111" s="10" t="s">
        <v>18606</v>
      </c>
      <c r="O111" s="9" t="s">
        <v>18605</v>
      </c>
      <c r="P111" s="9" t="s">
        <v>18604</v>
      </c>
      <c r="Q111" s="9" t="s">
        <v>18603</v>
      </c>
      <c r="R111" s="9" t="s">
        <v>18602</v>
      </c>
      <c r="S111" s="9" t="s">
        <v>18601</v>
      </c>
      <c r="T111" s="9" t="s">
        <v>14815</v>
      </c>
      <c r="U111" s="9" t="s">
        <v>18600</v>
      </c>
      <c r="V111" s="9" t="s">
        <v>15243</v>
      </c>
      <c r="W111" s="9" t="s">
        <v>18599</v>
      </c>
      <c r="X111" s="9" t="s">
        <v>18598</v>
      </c>
      <c r="Y111" s="9"/>
      <c r="Z111" s="9"/>
      <c r="AA111" s="9" t="s">
        <v>15389</v>
      </c>
      <c r="AB111" s="9"/>
      <c r="AC111" s="9"/>
      <c r="AD111" s="9" t="s">
        <v>15389</v>
      </c>
      <c r="AE111" s="9"/>
      <c r="AF111" s="9"/>
      <c r="AG111" s="9" t="s">
        <v>15389</v>
      </c>
    </row>
    <row r="112" spans="1:33" ht="16.5">
      <c r="A112" s="9">
        <v>107</v>
      </c>
      <c r="B112" s="9" t="s">
        <v>18597</v>
      </c>
      <c r="C112" s="9" t="s">
        <v>15155</v>
      </c>
      <c r="D112" s="9" t="s">
        <v>18169</v>
      </c>
      <c r="E112" s="12">
        <v>44189</v>
      </c>
      <c r="F112" s="12">
        <v>44469</v>
      </c>
      <c r="G112" s="12" t="s">
        <v>14702</v>
      </c>
      <c r="H112" s="9" t="s">
        <v>18596</v>
      </c>
      <c r="I112" s="9" t="s">
        <v>18595</v>
      </c>
      <c r="J112" s="9">
        <v>4321190201</v>
      </c>
      <c r="K112" s="9" t="s">
        <v>18594</v>
      </c>
      <c r="L112" s="9" t="s">
        <v>18593</v>
      </c>
      <c r="M112" s="11" t="s">
        <v>15065</v>
      </c>
      <c r="N112" s="10" t="s">
        <v>18592</v>
      </c>
      <c r="O112" s="9" t="s">
        <v>18591</v>
      </c>
      <c r="P112" s="9" t="s">
        <v>18590</v>
      </c>
      <c r="Q112" s="9" t="s">
        <v>18589</v>
      </c>
      <c r="R112" s="9" t="s">
        <v>18588</v>
      </c>
      <c r="S112" s="9" t="s">
        <v>18587</v>
      </c>
      <c r="T112" s="9" t="s">
        <v>14815</v>
      </c>
      <c r="U112" s="9" t="s">
        <v>18586</v>
      </c>
      <c r="V112" s="9" t="s">
        <v>15139</v>
      </c>
      <c r="W112" s="9" t="s">
        <v>18585</v>
      </c>
      <c r="X112" s="9" t="s">
        <v>18452</v>
      </c>
      <c r="Y112" s="9"/>
      <c r="Z112" s="9"/>
      <c r="AA112" s="9" t="s">
        <v>15389</v>
      </c>
      <c r="AB112" s="9"/>
      <c r="AC112" s="9"/>
      <c r="AD112" s="9" t="s">
        <v>15389</v>
      </c>
      <c r="AE112" s="9"/>
      <c r="AF112" s="9"/>
      <c r="AG112" s="9" t="s">
        <v>15389</v>
      </c>
    </row>
    <row r="113" spans="1:33" ht="16.5">
      <c r="A113" s="9">
        <v>108</v>
      </c>
      <c r="B113" s="9" t="s">
        <v>18584</v>
      </c>
      <c r="C113" s="9" t="s">
        <v>15155</v>
      </c>
      <c r="D113" s="9" t="s">
        <v>18169</v>
      </c>
      <c r="E113" s="12">
        <v>44189</v>
      </c>
      <c r="F113" s="12">
        <v>44553</v>
      </c>
      <c r="G113" s="12" t="s">
        <v>14702</v>
      </c>
      <c r="H113" s="9" t="s">
        <v>18583</v>
      </c>
      <c r="I113" s="9" t="s">
        <v>18582</v>
      </c>
      <c r="J113" s="9">
        <v>1235220701</v>
      </c>
      <c r="K113" s="9" t="s">
        <v>18581</v>
      </c>
      <c r="L113" s="9" t="s">
        <v>18580</v>
      </c>
      <c r="M113" s="11" t="s">
        <v>14746</v>
      </c>
      <c r="N113" s="10" t="s">
        <v>18579</v>
      </c>
      <c r="O113" s="9" t="s">
        <v>18578</v>
      </c>
      <c r="P113" s="9" t="s">
        <v>18577</v>
      </c>
      <c r="Q113" s="9" t="s">
        <v>18576</v>
      </c>
      <c r="R113" s="9" t="s">
        <v>18575</v>
      </c>
      <c r="S113" s="9" t="s">
        <v>18574</v>
      </c>
      <c r="T113" s="9" t="s">
        <v>14815</v>
      </c>
      <c r="U113" s="9" t="s">
        <v>18573</v>
      </c>
      <c r="V113" s="9" t="s">
        <v>15374</v>
      </c>
      <c r="W113" s="9" t="s">
        <v>18572</v>
      </c>
      <c r="X113" s="9" t="s">
        <v>17908</v>
      </c>
      <c r="Y113" s="9"/>
      <c r="Z113" s="9"/>
      <c r="AA113" s="9" t="s">
        <v>15389</v>
      </c>
      <c r="AB113" s="9"/>
      <c r="AC113" s="9"/>
      <c r="AD113" s="9" t="s">
        <v>15389</v>
      </c>
      <c r="AE113" s="9"/>
      <c r="AF113" s="9"/>
      <c r="AG113" s="9" t="s">
        <v>15389</v>
      </c>
    </row>
    <row r="114" spans="1:33" ht="16.5">
      <c r="A114" s="9">
        <v>109</v>
      </c>
      <c r="B114" s="9" t="s">
        <v>18571</v>
      </c>
      <c r="C114" s="9" t="s">
        <v>14705</v>
      </c>
      <c r="D114" s="9" t="s">
        <v>18169</v>
      </c>
      <c r="E114" s="12">
        <v>44189</v>
      </c>
      <c r="F114" s="12">
        <v>44371</v>
      </c>
      <c r="G114" s="12" t="s">
        <v>14702</v>
      </c>
      <c r="H114" s="9" t="s">
        <v>18570</v>
      </c>
      <c r="I114" s="9" t="s">
        <v>18569</v>
      </c>
      <c r="J114" s="9">
        <v>4323230401</v>
      </c>
      <c r="K114" s="9" t="s">
        <v>15867</v>
      </c>
      <c r="L114" s="9" t="s">
        <v>18568</v>
      </c>
      <c r="M114" s="11" t="s">
        <v>14732</v>
      </c>
      <c r="N114" s="10" t="s">
        <v>18567</v>
      </c>
      <c r="O114" s="9" t="s">
        <v>18566</v>
      </c>
      <c r="P114" s="9" t="s">
        <v>18565</v>
      </c>
      <c r="Q114" s="9" t="s">
        <v>18564</v>
      </c>
      <c r="R114" s="9" t="s">
        <v>18563</v>
      </c>
      <c r="S114" s="9" t="s">
        <v>18562</v>
      </c>
      <c r="T114" s="9" t="s">
        <v>14815</v>
      </c>
      <c r="U114" s="9" t="s">
        <v>18561</v>
      </c>
      <c r="V114" s="9" t="s">
        <v>15243</v>
      </c>
      <c r="W114" s="9" t="s">
        <v>18560</v>
      </c>
      <c r="X114" s="9" t="s">
        <v>15485</v>
      </c>
      <c r="Y114" s="9"/>
      <c r="Z114" s="9"/>
      <c r="AA114" s="9" t="s">
        <v>15389</v>
      </c>
      <c r="AB114" s="9"/>
      <c r="AC114" s="9"/>
      <c r="AD114" s="9" t="s">
        <v>15389</v>
      </c>
      <c r="AE114" s="9"/>
      <c r="AF114" s="9"/>
      <c r="AG114" s="9" t="s">
        <v>15389</v>
      </c>
    </row>
    <row r="115" spans="1:33" ht="16.5">
      <c r="A115" s="9">
        <v>110</v>
      </c>
      <c r="B115" s="9" t="s">
        <v>18559</v>
      </c>
      <c r="C115" s="9" t="s">
        <v>14705</v>
      </c>
      <c r="D115" s="9" t="s">
        <v>18169</v>
      </c>
      <c r="E115" s="12">
        <v>44189</v>
      </c>
      <c r="F115" s="12">
        <v>45178</v>
      </c>
      <c r="G115" s="12" t="s">
        <v>14702</v>
      </c>
      <c r="H115" s="9" t="s">
        <v>18558</v>
      </c>
      <c r="I115" s="9" t="s">
        <v>18557</v>
      </c>
      <c r="J115" s="9">
        <v>4321151003</v>
      </c>
      <c r="K115" s="9" t="s">
        <v>18556</v>
      </c>
      <c r="L115" s="9" t="s">
        <v>18555</v>
      </c>
      <c r="M115" s="11" t="s">
        <v>14732</v>
      </c>
      <c r="N115" s="10" t="s">
        <v>18554</v>
      </c>
      <c r="O115" s="9" t="s">
        <v>18553</v>
      </c>
      <c r="P115" s="9" t="s">
        <v>18552</v>
      </c>
      <c r="Q115" s="9" t="s">
        <v>18551</v>
      </c>
      <c r="R115" s="9" t="s">
        <v>18550</v>
      </c>
      <c r="S115" s="9" t="s">
        <v>18549</v>
      </c>
      <c r="T115" s="9" t="s">
        <v>14725</v>
      </c>
      <c r="U115" s="9" t="s">
        <v>18548</v>
      </c>
      <c r="V115" s="9" t="s">
        <v>77</v>
      </c>
      <c r="W115" s="9" t="s">
        <v>18547</v>
      </c>
      <c r="X115" s="9" t="s">
        <v>18546</v>
      </c>
      <c r="Y115" s="9"/>
      <c r="Z115" s="9"/>
      <c r="AA115" s="9" t="s">
        <v>15389</v>
      </c>
      <c r="AB115" s="9"/>
      <c r="AC115" s="9"/>
      <c r="AD115" s="9" t="s">
        <v>15389</v>
      </c>
      <c r="AE115" s="9"/>
      <c r="AF115" s="9"/>
      <c r="AG115" s="9" t="s">
        <v>15389</v>
      </c>
    </row>
    <row r="116" spans="1:33" ht="16.5">
      <c r="A116" s="9">
        <v>111</v>
      </c>
      <c r="B116" s="9" t="s">
        <v>18545</v>
      </c>
      <c r="C116" s="9" t="s">
        <v>14705</v>
      </c>
      <c r="D116" s="9" t="s">
        <v>18169</v>
      </c>
      <c r="E116" s="12">
        <v>44189</v>
      </c>
      <c r="F116" s="12">
        <v>44791</v>
      </c>
      <c r="G116" s="12" t="s">
        <v>14702</v>
      </c>
      <c r="H116" s="9" t="s">
        <v>18544</v>
      </c>
      <c r="I116" s="9" t="s">
        <v>18543</v>
      </c>
      <c r="J116" s="9">
        <v>4617162201</v>
      </c>
      <c r="K116" s="9" t="s">
        <v>14959</v>
      </c>
      <c r="L116" s="9" t="s">
        <v>18542</v>
      </c>
      <c r="M116" s="11" t="s">
        <v>14732</v>
      </c>
      <c r="N116" s="10" t="s">
        <v>18541</v>
      </c>
      <c r="O116" s="9" t="s">
        <v>18540</v>
      </c>
      <c r="P116" s="9" t="s">
        <v>18539</v>
      </c>
      <c r="Q116" s="9" t="s">
        <v>18538</v>
      </c>
      <c r="R116" s="9" t="s">
        <v>18537</v>
      </c>
      <c r="S116" s="9" t="s">
        <v>18536</v>
      </c>
      <c r="T116" s="9" t="s">
        <v>14815</v>
      </c>
      <c r="U116" s="9" t="s">
        <v>18535</v>
      </c>
      <c r="V116" s="9" t="s">
        <v>75</v>
      </c>
      <c r="W116" s="9" t="s">
        <v>18534</v>
      </c>
      <c r="X116" s="9" t="s">
        <v>16241</v>
      </c>
      <c r="Y116" s="9"/>
      <c r="Z116" s="9"/>
      <c r="AA116" s="9" t="s">
        <v>15389</v>
      </c>
      <c r="AB116" s="9"/>
      <c r="AC116" s="9"/>
      <c r="AD116" s="9" t="s">
        <v>15389</v>
      </c>
      <c r="AE116" s="9"/>
      <c r="AF116" s="9"/>
      <c r="AG116" s="9" t="s">
        <v>15389</v>
      </c>
    </row>
    <row r="117" spans="1:33" ht="16.5">
      <c r="A117" s="9">
        <v>112</v>
      </c>
      <c r="B117" s="9" t="s">
        <v>18533</v>
      </c>
      <c r="C117" s="9" t="s">
        <v>14705</v>
      </c>
      <c r="D117" s="9" t="s">
        <v>18169</v>
      </c>
      <c r="E117" s="12">
        <v>44189</v>
      </c>
      <c r="F117" s="12">
        <v>45137</v>
      </c>
      <c r="G117" s="12" t="s">
        <v>14702</v>
      </c>
      <c r="H117" s="9" t="s">
        <v>18532</v>
      </c>
      <c r="I117" s="9" t="s">
        <v>18531</v>
      </c>
      <c r="J117" s="9">
        <v>4323349901</v>
      </c>
      <c r="K117" s="9" t="s">
        <v>18530</v>
      </c>
      <c r="L117" s="9" t="s">
        <v>18529</v>
      </c>
      <c r="M117" s="11" t="s">
        <v>14732</v>
      </c>
      <c r="N117" s="10" t="s">
        <v>18528</v>
      </c>
      <c r="O117" s="9" t="s">
        <v>18527</v>
      </c>
      <c r="P117" s="9" t="s">
        <v>18526</v>
      </c>
      <c r="Q117" s="9" t="s">
        <v>18525</v>
      </c>
      <c r="R117" s="9" t="s">
        <v>18524</v>
      </c>
      <c r="S117" s="9" t="s">
        <v>18523</v>
      </c>
      <c r="T117" s="9" t="s">
        <v>14815</v>
      </c>
      <c r="U117" s="9" t="s">
        <v>18522</v>
      </c>
      <c r="V117" s="9" t="s">
        <v>17582</v>
      </c>
      <c r="W117" s="9" t="s">
        <v>18521</v>
      </c>
      <c r="X117" s="9" t="s">
        <v>18327</v>
      </c>
      <c r="Y117" s="9"/>
      <c r="Z117" s="9"/>
      <c r="AA117" s="9" t="s">
        <v>15389</v>
      </c>
      <c r="AB117" s="9"/>
      <c r="AC117" s="9"/>
      <c r="AD117" s="9" t="s">
        <v>15389</v>
      </c>
      <c r="AE117" s="9"/>
      <c r="AF117" s="9"/>
      <c r="AG117" s="9" t="s">
        <v>15389</v>
      </c>
    </row>
    <row r="118" spans="1:33" ht="16.5">
      <c r="A118" s="9">
        <v>113</v>
      </c>
      <c r="B118" s="9" t="s">
        <v>18520</v>
      </c>
      <c r="C118" s="9" t="s">
        <v>14750</v>
      </c>
      <c r="D118" s="9" t="s">
        <v>18169</v>
      </c>
      <c r="E118" s="12">
        <v>44189</v>
      </c>
      <c r="F118" s="12">
        <v>44825</v>
      </c>
      <c r="G118" s="12" t="s">
        <v>14702</v>
      </c>
      <c r="H118" s="9" t="s">
        <v>18519</v>
      </c>
      <c r="I118" s="9" t="s">
        <v>18518</v>
      </c>
      <c r="J118" s="9">
        <v>3121159901</v>
      </c>
      <c r="K118" s="9" t="s">
        <v>18517</v>
      </c>
      <c r="L118" s="9" t="s">
        <v>18516</v>
      </c>
      <c r="M118" s="11" t="s">
        <v>15065</v>
      </c>
      <c r="N118" s="10" t="s">
        <v>18515</v>
      </c>
      <c r="O118" s="9" t="s">
        <v>18514</v>
      </c>
      <c r="P118" s="9" t="s">
        <v>18513</v>
      </c>
      <c r="Q118" s="9" t="s">
        <v>18512</v>
      </c>
      <c r="R118" s="9" t="s">
        <v>18511</v>
      </c>
      <c r="S118" s="9" t="s">
        <v>18510</v>
      </c>
      <c r="T118" s="9" t="s">
        <v>14756</v>
      </c>
      <c r="U118" s="9" t="s">
        <v>18509</v>
      </c>
      <c r="V118" s="9" t="s">
        <v>14868</v>
      </c>
      <c r="W118" s="9" t="s">
        <v>18508</v>
      </c>
      <c r="X118" s="9" t="s">
        <v>18507</v>
      </c>
      <c r="Y118" s="9"/>
      <c r="Z118" s="9"/>
      <c r="AA118" s="9" t="s">
        <v>15389</v>
      </c>
      <c r="AB118" s="9"/>
      <c r="AC118" s="9"/>
      <c r="AD118" s="9" t="s">
        <v>15389</v>
      </c>
      <c r="AE118" s="9"/>
      <c r="AF118" s="9"/>
      <c r="AG118" s="9" t="s">
        <v>15389</v>
      </c>
    </row>
    <row r="119" spans="1:33" ht="16.5">
      <c r="A119" s="9">
        <v>114</v>
      </c>
      <c r="B119" s="9" t="s">
        <v>18506</v>
      </c>
      <c r="C119" s="9" t="s">
        <v>14705</v>
      </c>
      <c r="D119" s="9" t="s">
        <v>18169</v>
      </c>
      <c r="E119" s="12">
        <v>44189</v>
      </c>
      <c r="F119" s="12">
        <v>45239</v>
      </c>
      <c r="G119" s="12" t="s">
        <v>14702</v>
      </c>
      <c r="H119" s="9" t="s">
        <v>18505</v>
      </c>
      <c r="I119" s="9" t="s">
        <v>18504</v>
      </c>
      <c r="J119" s="9">
        <v>3912100106</v>
      </c>
      <c r="K119" s="9" t="s">
        <v>18503</v>
      </c>
      <c r="L119" s="9" t="s">
        <v>18502</v>
      </c>
      <c r="M119" s="11" t="s">
        <v>14732</v>
      </c>
      <c r="N119" s="10" t="s">
        <v>16394</v>
      </c>
      <c r="O119" s="9" t="s">
        <v>16393</v>
      </c>
      <c r="P119" s="9" t="s">
        <v>16392</v>
      </c>
      <c r="Q119" s="9" t="s">
        <v>16391</v>
      </c>
      <c r="R119" s="9" t="s">
        <v>16390</v>
      </c>
      <c r="S119" s="9" t="s">
        <v>16389</v>
      </c>
      <c r="T119" s="9" t="s">
        <v>14725</v>
      </c>
      <c r="U119" s="9" t="s">
        <v>18501</v>
      </c>
      <c r="V119" s="9" t="s">
        <v>75</v>
      </c>
      <c r="W119" s="9" t="s">
        <v>18500</v>
      </c>
      <c r="X119" s="9" t="s">
        <v>18499</v>
      </c>
      <c r="Y119" s="9"/>
      <c r="Z119" s="9"/>
      <c r="AA119" s="9" t="s">
        <v>15389</v>
      </c>
      <c r="AB119" s="9"/>
      <c r="AC119" s="9"/>
      <c r="AD119" s="9" t="s">
        <v>15389</v>
      </c>
      <c r="AE119" s="9"/>
      <c r="AF119" s="9"/>
      <c r="AG119" s="9" t="s">
        <v>15389</v>
      </c>
    </row>
    <row r="120" spans="1:33" ht="16.5">
      <c r="A120" s="9">
        <v>115</v>
      </c>
      <c r="B120" s="9" t="s">
        <v>18498</v>
      </c>
      <c r="C120" s="9" t="s">
        <v>14705</v>
      </c>
      <c r="D120" s="9" t="s">
        <v>18169</v>
      </c>
      <c r="E120" s="12">
        <v>44189</v>
      </c>
      <c r="F120" s="12">
        <v>44664</v>
      </c>
      <c r="G120" s="12" t="s">
        <v>14702</v>
      </c>
      <c r="H120" s="9" t="s">
        <v>18497</v>
      </c>
      <c r="I120" s="9" t="s">
        <v>18496</v>
      </c>
      <c r="J120" s="9">
        <v>5611210201</v>
      </c>
      <c r="K120" s="9" t="s">
        <v>15697</v>
      </c>
      <c r="L120" s="9" t="s">
        <v>18495</v>
      </c>
      <c r="M120" s="11" t="s">
        <v>14717</v>
      </c>
      <c r="N120" s="10" t="s">
        <v>18494</v>
      </c>
      <c r="O120" s="9" t="s">
        <v>18493</v>
      </c>
      <c r="P120" s="9" t="s">
        <v>18492</v>
      </c>
      <c r="Q120" s="9" t="s">
        <v>18491</v>
      </c>
      <c r="R120" s="9" t="s">
        <v>18490</v>
      </c>
      <c r="S120" s="9" t="s">
        <v>18489</v>
      </c>
      <c r="T120" s="9" t="s">
        <v>14692</v>
      </c>
      <c r="U120" s="9" t="s">
        <v>18488</v>
      </c>
      <c r="V120" s="9" t="s">
        <v>77</v>
      </c>
      <c r="W120" s="9" t="s">
        <v>18487</v>
      </c>
      <c r="X120" s="9" t="s">
        <v>18486</v>
      </c>
      <c r="Y120" s="9"/>
      <c r="Z120" s="9"/>
      <c r="AA120" s="9" t="s">
        <v>15389</v>
      </c>
      <c r="AB120" s="9"/>
      <c r="AC120" s="9"/>
      <c r="AD120" s="9" t="s">
        <v>15389</v>
      </c>
      <c r="AE120" s="9"/>
      <c r="AF120" s="9"/>
      <c r="AG120" s="9" t="s">
        <v>15389</v>
      </c>
    </row>
    <row r="121" spans="1:33" ht="16.5">
      <c r="A121" s="9">
        <v>116</v>
      </c>
      <c r="B121" s="9" t="s">
        <v>18485</v>
      </c>
      <c r="C121" s="9" t="s">
        <v>15155</v>
      </c>
      <c r="D121" s="9" t="s">
        <v>18169</v>
      </c>
      <c r="E121" s="12">
        <v>44189</v>
      </c>
      <c r="F121" s="12">
        <v>44553</v>
      </c>
      <c r="G121" s="12" t="s">
        <v>14702</v>
      </c>
      <c r="H121" s="9" t="s">
        <v>18484</v>
      </c>
      <c r="I121" s="9" t="s">
        <v>18483</v>
      </c>
      <c r="J121" s="9">
        <v>4322179701</v>
      </c>
      <c r="K121" s="9" t="s">
        <v>18482</v>
      </c>
      <c r="L121" s="9" t="s">
        <v>18481</v>
      </c>
      <c r="M121" s="11" t="s">
        <v>14794</v>
      </c>
      <c r="N121" s="10" t="s">
        <v>18480</v>
      </c>
      <c r="O121" s="9" t="s">
        <v>18479</v>
      </c>
      <c r="P121" s="9" t="s">
        <v>18478</v>
      </c>
      <c r="Q121" s="9" t="s">
        <v>18477</v>
      </c>
      <c r="R121" s="9" t="s">
        <v>18476</v>
      </c>
      <c r="S121" s="9" t="s">
        <v>18475</v>
      </c>
      <c r="T121" s="9" t="s">
        <v>14725</v>
      </c>
      <c r="U121" s="9" t="s">
        <v>18474</v>
      </c>
      <c r="V121" s="9" t="s">
        <v>15374</v>
      </c>
      <c r="W121" s="9" t="s">
        <v>18473</v>
      </c>
      <c r="X121" s="9" t="s">
        <v>18185</v>
      </c>
      <c r="Y121" s="9"/>
      <c r="Z121" s="9"/>
      <c r="AA121" s="9" t="s">
        <v>15389</v>
      </c>
      <c r="AB121" s="9"/>
      <c r="AC121" s="9"/>
      <c r="AD121" s="9" t="s">
        <v>15389</v>
      </c>
      <c r="AE121" s="9"/>
      <c r="AF121" s="9"/>
      <c r="AG121" s="9" t="s">
        <v>15389</v>
      </c>
    </row>
    <row r="122" spans="1:33" ht="16.5">
      <c r="A122" s="9">
        <v>117</v>
      </c>
      <c r="B122" s="9" t="s">
        <v>18472</v>
      </c>
      <c r="C122" s="9" t="s">
        <v>14750</v>
      </c>
      <c r="D122" s="9" t="s">
        <v>18169</v>
      </c>
      <c r="E122" s="12">
        <v>44189</v>
      </c>
      <c r="F122" s="12">
        <v>45203</v>
      </c>
      <c r="G122" s="12" t="s">
        <v>14702</v>
      </c>
      <c r="H122" s="9" t="s">
        <v>18471</v>
      </c>
      <c r="I122" s="9" t="s">
        <v>18471</v>
      </c>
      <c r="J122" s="9">
        <v>4323229901</v>
      </c>
      <c r="K122" s="9" t="s">
        <v>16021</v>
      </c>
      <c r="L122" s="9" t="s">
        <v>18470</v>
      </c>
      <c r="M122" s="11" t="s">
        <v>14746</v>
      </c>
      <c r="N122" s="10" t="s">
        <v>4501</v>
      </c>
      <c r="O122" s="9" t="s">
        <v>18469</v>
      </c>
      <c r="P122" s="9" t="s">
        <v>18468</v>
      </c>
      <c r="Q122" s="9" t="s">
        <v>18468</v>
      </c>
      <c r="R122" s="9" t="s">
        <v>18467</v>
      </c>
      <c r="S122" s="9" t="s">
        <v>18466</v>
      </c>
      <c r="T122" s="9" t="s">
        <v>14725</v>
      </c>
      <c r="U122" s="9" t="s">
        <v>18465</v>
      </c>
      <c r="V122" s="9" t="s">
        <v>15243</v>
      </c>
      <c r="W122" s="9" t="s">
        <v>18464</v>
      </c>
      <c r="X122" s="9" t="s">
        <v>18235</v>
      </c>
      <c r="Y122" s="9"/>
      <c r="Z122" s="9"/>
      <c r="AA122" s="9" t="s">
        <v>15389</v>
      </c>
      <c r="AB122" s="9"/>
      <c r="AC122" s="9"/>
      <c r="AD122" s="9" t="s">
        <v>15389</v>
      </c>
      <c r="AE122" s="9"/>
      <c r="AF122" s="9"/>
      <c r="AG122" s="9" t="s">
        <v>15389</v>
      </c>
    </row>
    <row r="123" spans="1:33" ht="16.5">
      <c r="A123" s="9">
        <v>118</v>
      </c>
      <c r="B123" s="9" t="s">
        <v>18463</v>
      </c>
      <c r="C123" s="9" t="s">
        <v>15155</v>
      </c>
      <c r="D123" s="9" t="s">
        <v>18169</v>
      </c>
      <c r="E123" s="12">
        <v>44189</v>
      </c>
      <c r="F123" s="12">
        <v>44469</v>
      </c>
      <c r="G123" s="12" t="s">
        <v>14702</v>
      </c>
      <c r="H123" s="9" t="s">
        <v>18462</v>
      </c>
      <c r="I123" s="9" t="s">
        <v>18461</v>
      </c>
      <c r="J123" s="9">
        <v>3016170501</v>
      </c>
      <c r="K123" s="9" t="s">
        <v>18460</v>
      </c>
      <c r="L123" s="9" t="s">
        <v>18459</v>
      </c>
      <c r="M123" s="11" t="s">
        <v>15065</v>
      </c>
      <c r="N123" s="10" t="s">
        <v>5134</v>
      </c>
      <c r="O123" s="9" t="s">
        <v>18458</v>
      </c>
      <c r="P123" s="9" t="s">
        <v>18457</v>
      </c>
      <c r="Q123" s="9" t="s">
        <v>18457</v>
      </c>
      <c r="R123" s="9" t="s">
        <v>18456</v>
      </c>
      <c r="S123" s="9" t="s">
        <v>18455</v>
      </c>
      <c r="T123" s="9" t="s">
        <v>14773</v>
      </c>
      <c r="U123" s="9" t="s">
        <v>18454</v>
      </c>
      <c r="V123" s="9" t="s">
        <v>15139</v>
      </c>
      <c r="W123" s="9" t="s">
        <v>18453</v>
      </c>
      <c r="X123" s="9" t="s">
        <v>18452</v>
      </c>
      <c r="Y123" s="9"/>
      <c r="Z123" s="9"/>
      <c r="AA123" s="9" t="s">
        <v>15389</v>
      </c>
      <c r="AB123" s="9"/>
      <c r="AC123" s="9"/>
      <c r="AD123" s="9" t="s">
        <v>15389</v>
      </c>
      <c r="AE123" s="9"/>
      <c r="AF123" s="9"/>
      <c r="AG123" s="9" t="s">
        <v>15389</v>
      </c>
    </row>
    <row r="124" spans="1:33" ht="16.5">
      <c r="A124" s="9">
        <v>119</v>
      </c>
      <c r="B124" s="9" t="s">
        <v>18451</v>
      </c>
      <c r="C124" s="9" t="s">
        <v>14705</v>
      </c>
      <c r="D124" s="9" t="s">
        <v>18169</v>
      </c>
      <c r="E124" s="12">
        <v>44189</v>
      </c>
      <c r="F124" s="12">
        <v>44472</v>
      </c>
      <c r="G124" s="12" t="s">
        <v>14702</v>
      </c>
      <c r="H124" s="9" t="s">
        <v>18450</v>
      </c>
      <c r="I124" s="9" t="s">
        <v>18449</v>
      </c>
      <c r="J124" s="9">
        <v>3012170301</v>
      </c>
      <c r="K124" s="9" t="s">
        <v>18448</v>
      </c>
      <c r="L124" s="9" t="s">
        <v>18447</v>
      </c>
      <c r="M124" s="11" t="s">
        <v>14794</v>
      </c>
      <c r="N124" s="10" t="s">
        <v>16503</v>
      </c>
      <c r="O124" s="9" t="s">
        <v>16502</v>
      </c>
      <c r="P124" s="9" t="s">
        <v>16501</v>
      </c>
      <c r="Q124" s="9" t="s">
        <v>16500</v>
      </c>
      <c r="R124" s="9" t="s">
        <v>16499</v>
      </c>
      <c r="S124" s="9" t="s">
        <v>16498</v>
      </c>
      <c r="T124" s="9" t="s">
        <v>14712</v>
      </c>
      <c r="U124" s="9" t="s">
        <v>16497</v>
      </c>
      <c r="V124" s="9" t="s">
        <v>77</v>
      </c>
      <c r="W124" s="9" t="s">
        <v>18446</v>
      </c>
      <c r="X124" s="9" t="s">
        <v>15325</v>
      </c>
      <c r="Y124" s="9"/>
      <c r="Z124" s="9"/>
      <c r="AA124" s="9" t="s">
        <v>15389</v>
      </c>
      <c r="AB124" s="9"/>
      <c r="AC124" s="9"/>
      <c r="AD124" s="9" t="s">
        <v>15389</v>
      </c>
      <c r="AE124" s="9"/>
      <c r="AF124" s="9"/>
      <c r="AG124" s="9" t="s">
        <v>15389</v>
      </c>
    </row>
    <row r="125" spans="1:33" ht="16.5">
      <c r="A125" s="9">
        <v>120</v>
      </c>
      <c r="B125" s="9" t="s">
        <v>18445</v>
      </c>
      <c r="C125" s="9" t="s">
        <v>14750</v>
      </c>
      <c r="D125" s="9" t="s">
        <v>18169</v>
      </c>
      <c r="E125" s="12">
        <v>44189</v>
      </c>
      <c r="F125" s="12">
        <v>45002</v>
      </c>
      <c r="G125" s="12" t="s">
        <v>14702</v>
      </c>
      <c r="H125" s="9" t="s">
        <v>18444</v>
      </c>
      <c r="I125" s="9" t="s">
        <v>18443</v>
      </c>
      <c r="J125" s="9">
        <v>4014162001</v>
      </c>
      <c r="K125" s="9" t="s">
        <v>18442</v>
      </c>
      <c r="L125" s="9" t="s">
        <v>18441</v>
      </c>
      <c r="M125" s="11" t="s">
        <v>14746</v>
      </c>
      <c r="N125" s="10" t="s">
        <v>2635</v>
      </c>
      <c r="O125" s="9" t="s">
        <v>18440</v>
      </c>
      <c r="P125" s="9" t="s">
        <v>18439</v>
      </c>
      <c r="Q125" s="9" t="s">
        <v>18438</v>
      </c>
      <c r="R125" s="9" t="s">
        <v>18437</v>
      </c>
      <c r="S125" s="9" t="s">
        <v>18436</v>
      </c>
      <c r="T125" s="9" t="s">
        <v>14725</v>
      </c>
      <c r="U125" s="9" t="s">
        <v>18435</v>
      </c>
      <c r="V125" s="9" t="s">
        <v>14710</v>
      </c>
      <c r="W125" s="9" t="s">
        <v>18434</v>
      </c>
      <c r="X125" s="9" t="s">
        <v>18433</v>
      </c>
      <c r="Y125" s="9"/>
      <c r="Z125" s="9"/>
      <c r="AA125" s="9" t="s">
        <v>15389</v>
      </c>
      <c r="AB125" s="9"/>
      <c r="AC125" s="9"/>
      <c r="AD125" s="9" t="s">
        <v>15389</v>
      </c>
      <c r="AE125" s="9"/>
      <c r="AF125" s="9"/>
      <c r="AG125" s="9" t="s">
        <v>15389</v>
      </c>
    </row>
    <row r="126" spans="1:33" ht="16.5">
      <c r="A126" s="9">
        <v>121</v>
      </c>
      <c r="B126" s="9" t="s">
        <v>18432</v>
      </c>
      <c r="C126" s="9" t="s">
        <v>15155</v>
      </c>
      <c r="D126" s="9" t="s">
        <v>18169</v>
      </c>
      <c r="E126" s="12">
        <v>44189</v>
      </c>
      <c r="F126" s="12">
        <v>44723</v>
      </c>
      <c r="G126" s="12" t="s">
        <v>14702</v>
      </c>
      <c r="H126" s="9" t="s">
        <v>18431</v>
      </c>
      <c r="I126" s="9" t="s">
        <v>18430</v>
      </c>
      <c r="J126" s="9">
        <v>2522032301</v>
      </c>
      <c r="K126" s="9" t="s">
        <v>18271</v>
      </c>
      <c r="L126" s="9" t="s">
        <v>18429</v>
      </c>
      <c r="M126" s="11" t="s">
        <v>14794</v>
      </c>
      <c r="N126" s="10" t="s">
        <v>16302</v>
      </c>
      <c r="O126" s="9" t="s">
        <v>16301</v>
      </c>
      <c r="P126" s="9" t="s">
        <v>16300</v>
      </c>
      <c r="Q126" s="9" t="s">
        <v>16299</v>
      </c>
      <c r="R126" s="9" t="s">
        <v>18428</v>
      </c>
      <c r="S126" s="9" t="s">
        <v>16297</v>
      </c>
      <c r="T126" s="9" t="s">
        <v>14756</v>
      </c>
      <c r="U126" s="9" t="s">
        <v>18427</v>
      </c>
      <c r="V126" s="9" t="s">
        <v>15703</v>
      </c>
      <c r="W126" s="9" t="s">
        <v>18426</v>
      </c>
      <c r="X126" s="9" t="s">
        <v>18425</v>
      </c>
      <c r="Y126" s="9"/>
      <c r="Z126" s="9"/>
      <c r="AA126" s="9" t="s">
        <v>15389</v>
      </c>
      <c r="AB126" s="9"/>
      <c r="AC126" s="9"/>
      <c r="AD126" s="9" t="s">
        <v>15389</v>
      </c>
      <c r="AE126" s="9"/>
      <c r="AF126" s="9"/>
      <c r="AG126" s="9" t="s">
        <v>15389</v>
      </c>
    </row>
    <row r="127" spans="1:33" ht="16.5">
      <c r="A127" s="9">
        <v>122</v>
      </c>
      <c r="B127" s="9" t="s">
        <v>18424</v>
      </c>
      <c r="C127" s="9" t="s">
        <v>14705</v>
      </c>
      <c r="D127" s="9" t="s">
        <v>18169</v>
      </c>
      <c r="E127" s="12">
        <v>44189</v>
      </c>
      <c r="F127" s="12">
        <v>45233</v>
      </c>
      <c r="G127" s="12" t="s">
        <v>14702</v>
      </c>
      <c r="H127" s="9" t="s">
        <v>18423</v>
      </c>
      <c r="I127" s="9" t="s">
        <v>18422</v>
      </c>
      <c r="J127" s="9">
        <v>4111249801</v>
      </c>
      <c r="K127" s="9" t="s">
        <v>16410</v>
      </c>
      <c r="L127" s="9" t="s">
        <v>18421</v>
      </c>
      <c r="M127" s="11" t="s">
        <v>14794</v>
      </c>
      <c r="N127" s="10" t="s">
        <v>18420</v>
      </c>
      <c r="O127" s="9" t="s">
        <v>18419</v>
      </c>
      <c r="P127" s="9" t="s">
        <v>18418</v>
      </c>
      <c r="Q127" s="9" t="s">
        <v>18417</v>
      </c>
      <c r="R127" s="9" t="s">
        <v>18416</v>
      </c>
      <c r="S127" s="9" t="s">
        <v>18415</v>
      </c>
      <c r="T127" s="9" t="s">
        <v>14725</v>
      </c>
      <c r="U127" s="9" t="s">
        <v>18414</v>
      </c>
      <c r="V127" s="9" t="s">
        <v>77</v>
      </c>
      <c r="W127" s="9" t="s">
        <v>18413</v>
      </c>
      <c r="X127" s="9" t="s">
        <v>18412</v>
      </c>
      <c r="Y127" s="9"/>
      <c r="Z127" s="9"/>
      <c r="AA127" s="9" t="s">
        <v>15389</v>
      </c>
      <c r="AB127" s="9"/>
      <c r="AC127" s="9"/>
      <c r="AD127" s="9" t="s">
        <v>15389</v>
      </c>
      <c r="AE127" s="9"/>
      <c r="AF127" s="9"/>
      <c r="AG127" s="9" t="s">
        <v>15389</v>
      </c>
    </row>
    <row r="128" spans="1:33" ht="16.5">
      <c r="A128" s="9">
        <v>123</v>
      </c>
      <c r="B128" s="9" t="s">
        <v>18411</v>
      </c>
      <c r="C128" s="9" t="s">
        <v>14705</v>
      </c>
      <c r="D128" s="9" t="s">
        <v>18169</v>
      </c>
      <c r="E128" s="12">
        <v>44189</v>
      </c>
      <c r="F128" s="12">
        <v>45119</v>
      </c>
      <c r="G128" s="12" t="s">
        <v>14702</v>
      </c>
      <c r="H128" s="9" t="s">
        <v>18410</v>
      </c>
      <c r="I128" s="9" t="s">
        <v>18409</v>
      </c>
      <c r="J128" s="9">
        <v>4111364002</v>
      </c>
      <c r="K128" s="9" t="s">
        <v>18408</v>
      </c>
      <c r="L128" s="9" t="s">
        <v>18407</v>
      </c>
      <c r="M128" s="11" t="s">
        <v>15065</v>
      </c>
      <c r="N128" s="10" t="s">
        <v>18406</v>
      </c>
      <c r="O128" s="9" t="s">
        <v>18405</v>
      </c>
      <c r="P128" s="9" t="s">
        <v>18404</v>
      </c>
      <c r="Q128" s="9" t="s">
        <v>18403</v>
      </c>
      <c r="R128" s="9" t="s">
        <v>18402</v>
      </c>
      <c r="S128" s="9" t="s">
        <v>18401</v>
      </c>
      <c r="T128" s="9" t="s">
        <v>14815</v>
      </c>
      <c r="U128" s="9" t="s">
        <v>18400</v>
      </c>
      <c r="V128" s="9" t="s">
        <v>16929</v>
      </c>
      <c r="W128" s="9" t="s">
        <v>18399</v>
      </c>
      <c r="X128" s="9" t="s">
        <v>18398</v>
      </c>
      <c r="Y128" s="9"/>
      <c r="Z128" s="9"/>
      <c r="AA128" s="9" t="s">
        <v>15389</v>
      </c>
      <c r="AB128" s="9"/>
      <c r="AC128" s="9"/>
      <c r="AD128" s="9" t="s">
        <v>15389</v>
      </c>
      <c r="AE128" s="9"/>
      <c r="AF128" s="9"/>
      <c r="AG128" s="9" t="s">
        <v>15389</v>
      </c>
    </row>
    <row r="129" spans="1:33" ht="16.5">
      <c r="A129" s="9">
        <v>124</v>
      </c>
      <c r="B129" s="9" t="s">
        <v>18397</v>
      </c>
      <c r="C129" s="9" t="s">
        <v>15155</v>
      </c>
      <c r="D129" s="9" t="s">
        <v>18169</v>
      </c>
      <c r="E129" s="12">
        <v>44189</v>
      </c>
      <c r="F129" s="12">
        <v>44553</v>
      </c>
      <c r="G129" s="12" t="s">
        <v>14702</v>
      </c>
      <c r="H129" s="9" t="s">
        <v>18396</v>
      </c>
      <c r="I129" s="9" t="s">
        <v>18395</v>
      </c>
      <c r="J129" s="9">
        <v>3912140601</v>
      </c>
      <c r="K129" s="9" t="s">
        <v>15807</v>
      </c>
      <c r="L129" s="9" t="s">
        <v>18394</v>
      </c>
      <c r="M129" s="11" t="s">
        <v>15065</v>
      </c>
      <c r="N129" s="10" t="s">
        <v>5045</v>
      </c>
      <c r="O129" s="9" t="s">
        <v>18393</v>
      </c>
      <c r="P129" s="9" t="s">
        <v>18392</v>
      </c>
      <c r="Q129" s="9" t="s">
        <v>18391</v>
      </c>
      <c r="R129" s="9" t="s">
        <v>18390</v>
      </c>
      <c r="S129" s="9" t="s">
        <v>18389</v>
      </c>
      <c r="T129" s="9" t="s">
        <v>14725</v>
      </c>
      <c r="U129" s="9" t="s">
        <v>18388</v>
      </c>
      <c r="V129" s="9" t="s">
        <v>15374</v>
      </c>
      <c r="W129" s="9" t="s">
        <v>18387</v>
      </c>
      <c r="X129" s="9" t="s">
        <v>16889</v>
      </c>
      <c r="Y129" s="9"/>
      <c r="Z129" s="9"/>
      <c r="AA129" s="9" t="s">
        <v>15389</v>
      </c>
      <c r="AB129" s="9"/>
      <c r="AC129" s="9"/>
      <c r="AD129" s="9" t="s">
        <v>15389</v>
      </c>
      <c r="AE129" s="9"/>
      <c r="AF129" s="9"/>
      <c r="AG129" s="9" t="s">
        <v>15389</v>
      </c>
    </row>
    <row r="130" spans="1:33" ht="16.5">
      <c r="A130" s="9">
        <v>125</v>
      </c>
      <c r="B130" s="9" t="s">
        <v>18386</v>
      </c>
      <c r="C130" s="9" t="s">
        <v>15155</v>
      </c>
      <c r="D130" s="9" t="s">
        <v>18169</v>
      </c>
      <c r="E130" s="12">
        <v>44189</v>
      </c>
      <c r="F130" s="12">
        <v>44361</v>
      </c>
      <c r="G130" s="12" t="s">
        <v>14702</v>
      </c>
      <c r="H130" s="9" t="s">
        <v>18385</v>
      </c>
      <c r="I130" s="9" t="s">
        <v>18384</v>
      </c>
      <c r="J130" s="9">
        <v>5313150201</v>
      </c>
      <c r="K130" s="9" t="s">
        <v>18383</v>
      </c>
      <c r="L130" s="9" t="s">
        <v>18382</v>
      </c>
      <c r="M130" s="11" t="s">
        <v>14794</v>
      </c>
      <c r="N130" s="10" t="s">
        <v>18256</v>
      </c>
      <c r="O130" s="9" t="s">
        <v>18255</v>
      </c>
      <c r="P130" s="9" t="s">
        <v>18254</v>
      </c>
      <c r="Q130" s="9" t="s">
        <v>18253</v>
      </c>
      <c r="R130" s="9" t="s">
        <v>18252</v>
      </c>
      <c r="S130" s="9" t="s">
        <v>18251</v>
      </c>
      <c r="T130" s="9" t="s">
        <v>15588</v>
      </c>
      <c r="U130" s="9" t="s">
        <v>18250</v>
      </c>
      <c r="V130" s="9" t="s">
        <v>15374</v>
      </c>
      <c r="W130" s="9" t="s">
        <v>18381</v>
      </c>
      <c r="X130" s="9" t="s">
        <v>18380</v>
      </c>
      <c r="Y130" s="9"/>
      <c r="Z130" s="9"/>
      <c r="AA130" s="9" t="s">
        <v>15389</v>
      </c>
      <c r="AB130" s="9"/>
      <c r="AC130" s="9"/>
      <c r="AD130" s="9" t="s">
        <v>15389</v>
      </c>
      <c r="AE130" s="9"/>
      <c r="AF130" s="9"/>
      <c r="AG130" s="9" t="s">
        <v>15389</v>
      </c>
    </row>
    <row r="131" spans="1:33" ht="16.5">
      <c r="A131" s="9">
        <v>126</v>
      </c>
      <c r="B131" s="9" t="s">
        <v>18379</v>
      </c>
      <c r="C131" s="9" t="s">
        <v>15155</v>
      </c>
      <c r="D131" s="9" t="s">
        <v>18169</v>
      </c>
      <c r="E131" s="12">
        <v>44189</v>
      </c>
      <c r="F131" s="12">
        <v>44526</v>
      </c>
      <c r="G131" s="12" t="s">
        <v>14702</v>
      </c>
      <c r="H131" s="9" t="s">
        <v>18378</v>
      </c>
      <c r="I131" s="9" t="s">
        <v>18377</v>
      </c>
      <c r="J131" s="9">
        <v>3911161102</v>
      </c>
      <c r="K131" s="9" t="s">
        <v>14920</v>
      </c>
      <c r="L131" s="9" t="s">
        <v>18376</v>
      </c>
      <c r="M131" s="11" t="s">
        <v>14746</v>
      </c>
      <c r="N131" s="10" t="s">
        <v>18375</v>
      </c>
      <c r="O131" s="9" t="s">
        <v>18374</v>
      </c>
      <c r="P131" s="9" t="s">
        <v>18373</v>
      </c>
      <c r="Q131" s="9" t="s">
        <v>18373</v>
      </c>
      <c r="R131" s="9" t="s">
        <v>18372</v>
      </c>
      <c r="S131" s="9" t="s">
        <v>18371</v>
      </c>
      <c r="T131" s="9" t="s">
        <v>14725</v>
      </c>
      <c r="U131" s="9" t="s">
        <v>18370</v>
      </c>
      <c r="V131" s="9" t="s">
        <v>15139</v>
      </c>
      <c r="W131" s="9" t="s">
        <v>18369</v>
      </c>
      <c r="X131" s="9" t="s">
        <v>17097</v>
      </c>
      <c r="Y131" s="9"/>
      <c r="Z131" s="9"/>
      <c r="AA131" s="9" t="s">
        <v>15389</v>
      </c>
      <c r="AB131" s="9"/>
      <c r="AC131" s="9"/>
      <c r="AD131" s="9" t="s">
        <v>15389</v>
      </c>
      <c r="AE131" s="9"/>
      <c r="AF131" s="9"/>
      <c r="AG131" s="9" t="s">
        <v>15389</v>
      </c>
    </row>
    <row r="132" spans="1:33" ht="16.5">
      <c r="A132" s="9">
        <v>127</v>
      </c>
      <c r="B132" s="9" t="s">
        <v>18368</v>
      </c>
      <c r="C132" s="9" t="s">
        <v>15155</v>
      </c>
      <c r="D132" s="9" t="s">
        <v>18169</v>
      </c>
      <c r="E132" s="12">
        <v>44189</v>
      </c>
      <c r="F132" s="12">
        <v>45078</v>
      </c>
      <c r="G132" s="12" t="s">
        <v>14702</v>
      </c>
      <c r="H132" s="9" t="s">
        <v>18367</v>
      </c>
      <c r="I132" s="9" t="s">
        <v>18366</v>
      </c>
      <c r="J132" s="9">
        <v>4924159601</v>
      </c>
      <c r="K132" s="9" t="s">
        <v>15594</v>
      </c>
      <c r="L132" s="9" t="s">
        <v>18365</v>
      </c>
      <c r="M132" s="11" t="s">
        <v>14732</v>
      </c>
      <c r="N132" s="10" t="s">
        <v>18364</v>
      </c>
      <c r="O132" s="9" t="s">
        <v>18363</v>
      </c>
      <c r="P132" s="9" t="s">
        <v>18362</v>
      </c>
      <c r="Q132" s="9" t="s">
        <v>18361</v>
      </c>
      <c r="R132" s="9" t="s">
        <v>18360</v>
      </c>
      <c r="S132" s="9" t="s">
        <v>18359</v>
      </c>
      <c r="T132" s="9" t="s">
        <v>14712</v>
      </c>
      <c r="U132" s="9" t="s">
        <v>18358</v>
      </c>
      <c r="V132" s="9" t="s">
        <v>14868</v>
      </c>
      <c r="W132" s="9" t="s">
        <v>18357</v>
      </c>
      <c r="X132" s="9" t="s">
        <v>18356</v>
      </c>
      <c r="Y132" s="9"/>
      <c r="Z132" s="9"/>
      <c r="AA132" s="9" t="s">
        <v>15389</v>
      </c>
      <c r="AB132" s="9"/>
      <c r="AC132" s="9"/>
      <c r="AD132" s="9" t="s">
        <v>15389</v>
      </c>
      <c r="AE132" s="9"/>
      <c r="AF132" s="9"/>
      <c r="AG132" s="9" t="s">
        <v>15389</v>
      </c>
    </row>
    <row r="133" spans="1:33" ht="16.5">
      <c r="A133" s="9">
        <v>128</v>
      </c>
      <c r="B133" s="9" t="s">
        <v>18355</v>
      </c>
      <c r="C133" s="9" t="s">
        <v>15155</v>
      </c>
      <c r="D133" s="9" t="s">
        <v>18169</v>
      </c>
      <c r="E133" s="12">
        <v>44189</v>
      </c>
      <c r="F133" s="12">
        <v>44553</v>
      </c>
      <c r="G133" s="12" t="s">
        <v>14702</v>
      </c>
      <c r="H133" s="9" t="s">
        <v>18354</v>
      </c>
      <c r="I133" s="9" t="s">
        <v>18353</v>
      </c>
      <c r="J133" s="9">
        <v>5210151501</v>
      </c>
      <c r="K133" s="9" t="s">
        <v>18352</v>
      </c>
      <c r="L133" s="9" t="s">
        <v>18351</v>
      </c>
      <c r="M133" s="11" t="s">
        <v>14746</v>
      </c>
      <c r="N133" s="10" t="s">
        <v>18350</v>
      </c>
      <c r="O133" s="9" t="s">
        <v>18349</v>
      </c>
      <c r="P133" s="9" t="s">
        <v>18348</v>
      </c>
      <c r="Q133" s="9" t="s">
        <v>18348</v>
      </c>
      <c r="R133" s="9" t="s">
        <v>18347</v>
      </c>
      <c r="S133" s="9" t="s">
        <v>18346</v>
      </c>
      <c r="T133" s="9" t="s">
        <v>14725</v>
      </c>
      <c r="U133" s="9" t="s">
        <v>18345</v>
      </c>
      <c r="V133" s="9" t="s">
        <v>15374</v>
      </c>
      <c r="W133" s="9" t="s">
        <v>18344</v>
      </c>
      <c r="X133" s="9" t="s">
        <v>17054</v>
      </c>
      <c r="Y133" s="9"/>
      <c r="Z133" s="9"/>
      <c r="AA133" s="9" t="s">
        <v>15389</v>
      </c>
      <c r="AB133" s="9"/>
      <c r="AC133" s="9"/>
      <c r="AD133" s="9" t="s">
        <v>15389</v>
      </c>
      <c r="AE133" s="9"/>
      <c r="AF133" s="9"/>
      <c r="AG133" s="9" t="s">
        <v>15389</v>
      </c>
    </row>
    <row r="134" spans="1:33" ht="16.5">
      <c r="A134" s="9">
        <v>129</v>
      </c>
      <c r="B134" s="9" t="s">
        <v>18343</v>
      </c>
      <c r="C134" s="9" t="s">
        <v>14705</v>
      </c>
      <c r="D134" s="9" t="s">
        <v>18169</v>
      </c>
      <c r="E134" s="12">
        <v>44189</v>
      </c>
      <c r="F134" s="12">
        <v>45137</v>
      </c>
      <c r="G134" s="12" t="s">
        <v>14702</v>
      </c>
      <c r="H134" s="9" t="s">
        <v>18338</v>
      </c>
      <c r="I134" s="9" t="s">
        <v>18342</v>
      </c>
      <c r="J134" s="9">
        <v>3912118901</v>
      </c>
      <c r="K134" s="9" t="s">
        <v>14718</v>
      </c>
      <c r="L134" s="9" t="s">
        <v>18336</v>
      </c>
      <c r="M134" s="11" t="s">
        <v>14763</v>
      </c>
      <c r="N134" s="10" t="s">
        <v>18335</v>
      </c>
      <c r="O134" s="9" t="s">
        <v>18334</v>
      </c>
      <c r="P134" s="9" t="s">
        <v>18333</v>
      </c>
      <c r="Q134" s="9" t="s">
        <v>18332</v>
      </c>
      <c r="R134" s="9" t="s">
        <v>18331</v>
      </c>
      <c r="S134" s="9" t="s">
        <v>18330</v>
      </c>
      <c r="T134" s="9" t="s">
        <v>15291</v>
      </c>
      <c r="U134" s="9" t="s">
        <v>18329</v>
      </c>
      <c r="V134" s="9" t="s">
        <v>75</v>
      </c>
      <c r="W134" s="9" t="s">
        <v>18328</v>
      </c>
      <c r="X134" s="9" t="s">
        <v>18327</v>
      </c>
      <c r="Y134" s="9"/>
      <c r="Z134" s="9"/>
      <c r="AA134" s="9" t="s">
        <v>15389</v>
      </c>
      <c r="AB134" s="9"/>
      <c r="AC134" s="9"/>
      <c r="AD134" s="9" t="s">
        <v>15389</v>
      </c>
      <c r="AE134" s="9"/>
      <c r="AF134" s="9"/>
      <c r="AG134" s="9" t="s">
        <v>15389</v>
      </c>
    </row>
    <row r="135" spans="1:33" ht="16.5">
      <c r="A135" s="9">
        <v>130</v>
      </c>
      <c r="B135" s="9" t="s">
        <v>18341</v>
      </c>
      <c r="C135" s="9" t="s">
        <v>14705</v>
      </c>
      <c r="D135" s="9" t="s">
        <v>18169</v>
      </c>
      <c r="E135" s="12">
        <v>44189</v>
      </c>
      <c r="F135" s="12">
        <v>45137</v>
      </c>
      <c r="G135" s="12" t="s">
        <v>14702</v>
      </c>
      <c r="H135" s="9" t="s">
        <v>18338</v>
      </c>
      <c r="I135" s="9" t="s">
        <v>18340</v>
      </c>
      <c r="J135" s="9">
        <v>3912110101</v>
      </c>
      <c r="K135" s="9" t="s">
        <v>14733</v>
      </c>
      <c r="L135" s="9" t="s">
        <v>18336</v>
      </c>
      <c r="M135" s="11" t="s">
        <v>14763</v>
      </c>
      <c r="N135" s="10" t="s">
        <v>18335</v>
      </c>
      <c r="O135" s="9" t="s">
        <v>18334</v>
      </c>
      <c r="P135" s="9" t="s">
        <v>18333</v>
      </c>
      <c r="Q135" s="9" t="s">
        <v>18332</v>
      </c>
      <c r="R135" s="9" t="s">
        <v>18331</v>
      </c>
      <c r="S135" s="9" t="s">
        <v>18330</v>
      </c>
      <c r="T135" s="9" t="s">
        <v>15291</v>
      </c>
      <c r="U135" s="9" t="s">
        <v>18329</v>
      </c>
      <c r="V135" s="9" t="s">
        <v>75</v>
      </c>
      <c r="W135" s="9" t="s">
        <v>18328</v>
      </c>
      <c r="X135" s="9" t="s">
        <v>18327</v>
      </c>
      <c r="Y135" s="9"/>
      <c r="Z135" s="9"/>
      <c r="AA135" s="9" t="s">
        <v>15389</v>
      </c>
      <c r="AB135" s="9"/>
      <c r="AC135" s="9"/>
      <c r="AD135" s="9" t="s">
        <v>15389</v>
      </c>
      <c r="AE135" s="9"/>
      <c r="AF135" s="9"/>
      <c r="AG135" s="9" t="s">
        <v>15389</v>
      </c>
    </row>
    <row r="136" spans="1:33" ht="16.5">
      <c r="A136" s="9">
        <v>131</v>
      </c>
      <c r="B136" s="9" t="s">
        <v>18339</v>
      </c>
      <c r="C136" s="9" t="s">
        <v>14705</v>
      </c>
      <c r="D136" s="9" t="s">
        <v>18169</v>
      </c>
      <c r="E136" s="12">
        <v>44189</v>
      </c>
      <c r="F136" s="12">
        <v>45137</v>
      </c>
      <c r="G136" s="12" t="s">
        <v>14702</v>
      </c>
      <c r="H136" s="9" t="s">
        <v>18338</v>
      </c>
      <c r="I136" s="9" t="s">
        <v>18337</v>
      </c>
      <c r="J136" s="9">
        <v>3912110401</v>
      </c>
      <c r="K136" s="9" t="s">
        <v>15356</v>
      </c>
      <c r="L136" s="9" t="s">
        <v>18336</v>
      </c>
      <c r="M136" s="11" t="s">
        <v>14717</v>
      </c>
      <c r="N136" s="10" t="s">
        <v>18335</v>
      </c>
      <c r="O136" s="9" t="s">
        <v>18334</v>
      </c>
      <c r="P136" s="9" t="s">
        <v>18333</v>
      </c>
      <c r="Q136" s="9" t="s">
        <v>18332</v>
      </c>
      <c r="R136" s="9" t="s">
        <v>18331</v>
      </c>
      <c r="S136" s="9" t="s">
        <v>18330</v>
      </c>
      <c r="T136" s="9" t="s">
        <v>15291</v>
      </c>
      <c r="U136" s="9" t="s">
        <v>18329</v>
      </c>
      <c r="V136" s="9" t="s">
        <v>75</v>
      </c>
      <c r="W136" s="9" t="s">
        <v>18328</v>
      </c>
      <c r="X136" s="9" t="s">
        <v>18327</v>
      </c>
      <c r="Y136" s="9"/>
      <c r="Z136" s="9"/>
      <c r="AA136" s="9" t="s">
        <v>15389</v>
      </c>
      <c r="AB136" s="9"/>
      <c r="AC136" s="9"/>
      <c r="AD136" s="9" t="s">
        <v>15389</v>
      </c>
      <c r="AE136" s="9"/>
      <c r="AF136" s="9"/>
      <c r="AG136" s="9" t="s">
        <v>15389</v>
      </c>
    </row>
    <row r="137" spans="1:33" ht="16.5">
      <c r="A137" s="9">
        <v>132</v>
      </c>
      <c r="B137" s="9" t="s">
        <v>18326</v>
      </c>
      <c r="C137" s="9" t="s">
        <v>14705</v>
      </c>
      <c r="D137" s="9" t="s">
        <v>18169</v>
      </c>
      <c r="E137" s="12">
        <v>44189</v>
      </c>
      <c r="F137" s="12">
        <v>45203</v>
      </c>
      <c r="G137" s="12" t="s">
        <v>14702</v>
      </c>
      <c r="H137" s="9" t="s">
        <v>18325</v>
      </c>
      <c r="I137" s="9" t="s">
        <v>18324</v>
      </c>
      <c r="J137" s="9">
        <v>2523061301</v>
      </c>
      <c r="K137" s="9" t="s">
        <v>18323</v>
      </c>
      <c r="L137" s="9" t="s">
        <v>18322</v>
      </c>
      <c r="M137" s="11" t="s">
        <v>14732</v>
      </c>
      <c r="N137" s="10" t="s">
        <v>18321</v>
      </c>
      <c r="O137" s="9" t="s">
        <v>18320</v>
      </c>
      <c r="P137" s="9" t="s">
        <v>18319</v>
      </c>
      <c r="Q137" s="9" t="s">
        <v>18318</v>
      </c>
      <c r="R137" s="9" t="s">
        <v>18317</v>
      </c>
      <c r="S137" s="9" t="s">
        <v>18316</v>
      </c>
      <c r="T137" s="9" t="s">
        <v>15488</v>
      </c>
      <c r="U137" s="9" t="s">
        <v>18315</v>
      </c>
      <c r="V137" s="9" t="s">
        <v>15460</v>
      </c>
      <c r="W137" s="9" t="s">
        <v>18314</v>
      </c>
      <c r="X137" s="9" t="s">
        <v>18235</v>
      </c>
      <c r="Y137" s="9"/>
      <c r="Z137" s="9"/>
      <c r="AA137" s="9" t="s">
        <v>15389</v>
      </c>
      <c r="AB137" s="9"/>
      <c r="AC137" s="9"/>
      <c r="AD137" s="9" t="s">
        <v>15389</v>
      </c>
      <c r="AE137" s="9"/>
      <c r="AF137" s="9"/>
      <c r="AG137" s="9" t="s">
        <v>15389</v>
      </c>
    </row>
    <row r="138" spans="1:33" ht="16.5">
      <c r="A138" s="9">
        <v>133</v>
      </c>
      <c r="B138" s="9" t="s">
        <v>18313</v>
      </c>
      <c r="C138" s="9" t="s">
        <v>15155</v>
      </c>
      <c r="D138" s="9" t="s">
        <v>18169</v>
      </c>
      <c r="E138" s="12">
        <v>44189</v>
      </c>
      <c r="F138" s="12">
        <v>44835</v>
      </c>
      <c r="G138" s="12" t="s">
        <v>14702</v>
      </c>
      <c r="H138" s="9" t="s">
        <v>18312</v>
      </c>
      <c r="I138" s="9" t="s">
        <v>18311</v>
      </c>
      <c r="J138" s="9">
        <v>5512190402</v>
      </c>
      <c r="K138" s="9" t="s">
        <v>18310</v>
      </c>
      <c r="L138" s="9" t="s">
        <v>18309</v>
      </c>
      <c r="M138" s="11" t="s">
        <v>14794</v>
      </c>
      <c r="N138" s="10" t="s">
        <v>18308</v>
      </c>
      <c r="O138" s="9" t="s">
        <v>18307</v>
      </c>
      <c r="P138" s="9" t="s">
        <v>18306</v>
      </c>
      <c r="Q138" s="9" t="s">
        <v>18305</v>
      </c>
      <c r="R138" s="9" t="s">
        <v>18304</v>
      </c>
      <c r="S138" s="9" t="s">
        <v>18303</v>
      </c>
      <c r="T138" s="9" t="s">
        <v>15690</v>
      </c>
      <c r="U138" s="9" t="s">
        <v>18302</v>
      </c>
      <c r="V138" s="9" t="s">
        <v>16929</v>
      </c>
      <c r="W138" s="9" t="s">
        <v>18301</v>
      </c>
      <c r="X138" s="9" t="s">
        <v>15943</v>
      </c>
      <c r="Y138" s="9"/>
      <c r="Z138" s="9"/>
      <c r="AA138" s="9" t="s">
        <v>15389</v>
      </c>
      <c r="AB138" s="9"/>
      <c r="AC138" s="9"/>
      <c r="AD138" s="9" t="s">
        <v>15389</v>
      </c>
      <c r="AE138" s="9"/>
      <c r="AF138" s="9"/>
      <c r="AG138" s="9" t="s">
        <v>15389</v>
      </c>
    </row>
    <row r="139" spans="1:33" ht="16.5">
      <c r="A139" s="9">
        <v>134</v>
      </c>
      <c r="B139" s="9" t="s">
        <v>18300</v>
      </c>
      <c r="C139" s="9" t="s">
        <v>15155</v>
      </c>
      <c r="D139" s="9" t="s">
        <v>18169</v>
      </c>
      <c r="E139" s="12">
        <v>44189</v>
      </c>
      <c r="F139" s="12">
        <v>44553</v>
      </c>
      <c r="G139" s="12" t="s">
        <v>14702</v>
      </c>
      <c r="H139" s="9" t="s">
        <v>18299</v>
      </c>
      <c r="I139" s="9" t="s">
        <v>18298</v>
      </c>
      <c r="J139" s="9">
        <v>4014179101</v>
      </c>
      <c r="K139" s="9" t="s">
        <v>18297</v>
      </c>
      <c r="L139" s="9" t="s">
        <v>18296</v>
      </c>
      <c r="M139" s="11" t="s">
        <v>15065</v>
      </c>
      <c r="N139" s="10" t="s">
        <v>5972</v>
      </c>
      <c r="O139" s="9" t="s">
        <v>18295</v>
      </c>
      <c r="P139" s="9" t="s">
        <v>18294</v>
      </c>
      <c r="Q139" s="9" t="s">
        <v>18293</v>
      </c>
      <c r="R139" s="9" t="s">
        <v>18292</v>
      </c>
      <c r="S139" s="9" t="s">
        <v>18291</v>
      </c>
      <c r="T139" s="9" t="s">
        <v>14787</v>
      </c>
      <c r="U139" s="9" t="s">
        <v>18290</v>
      </c>
      <c r="V139" s="9" t="s">
        <v>15374</v>
      </c>
      <c r="W139" s="9" t="s">
        <v>18289</v>
      </c>
      <c r="X139" s="9" t="s">
        <v>18288</v>
      </c>
      <c r="Y139" s="9"/>
      <c r="Z139" s="9"/>
      <c r="AA139" s="9" t="s">
        <v>15389</v>
      </c>
      <c r="AB139" s="9"/>
      <c r="AC139" s="9"/>
      <c r="AD139" s="9" t="s">
        <v>15389</v>
      </c>
      <c r="AE139" s="9"/>
      <c r="AF139" s="9"/>
      <c r="AG139" s="9" t="s">
        <v>15389</v>
      </c>
    </row>
    <row r="140" spans="1:33" s="31" customFormat="1" ht="16.5">
      <c r="A140" s="28">
        <v>135</v>
      </c>
      <c r="B140" s="28" t="s">
        <v>18287</v>
      </c>
      <c r="C140" s="28" t="s">
        <v>15155</v>
      </c>
      <c r="D140" s="28" t="s">
        <v>18169</v>
      </c>
      <c r="E140" s="29">
        <v>44189</v>
      </c>
      <c r="F140" s="29">
        <v>45171</v>
      </c>
      <c r="G140" s="29" t="s">
        <v>14702</v>
      </c>
      <c r="H140" s="28" t="s">
        <v>18285</v>
      </c>
      <c r="I140" s="28" t="s">
        <v>18286</v>
      </c>
      <c r="J140" s="28">
        <v>4712169701</v>
      </c>
      <c r="K140" s="28" t="s">
        <v>18285</v>
      </c>
      <c r="L140" s="28" t="s">
        <v>18284</v>
      </c>
      <c r="M140" s="33" t="s">
        <v>18283</v>
      </c>
      <c r="N140" s="30" t="s">
        <v>1050</v>
      </c>
      <c r="O140" s="28" t="s">
        <v>18282</v>
      </c>
      <c r="P140" s="28" t="s">
        <v>18281</v>
      </c>
      <c r="Q140" s="28" t="s">
        <v>18280</v>
      </c>
      <c r="R140" s="28" t="s">
        <v>18279</v>
      </c>
      <c r="S140" s="28" t="s">
        <v>18278</v>
      </c>
      <c r="T140" s="28" t="s">
        <v>15291</v>
      </c>
      <c r="U140" s="28" t="s">
        <v>18277</v>
      </c>
      <c r="V140" s="28" t="s">
        <v>15572</v>
      </c>
      <c r="W140" s="28" t="s">
        <v>18276</v>
      </c>
      <c r="X140" s="28" t="s">
        <v>18275</v>
      </c>
      <c r="Y140" s="28"/>
      <c r="Z140" s="28"/>
      <c r="AA140" s="28" t="s">
        <v>15389</v>
      </c>
      <c r="AB140" s="28"/>
      <c r="AC140" s="28"/>
      <c r="AD140" s="28" t="s">
        <v>15389</v>
      </c>
      <c r="AE140" s="28"/>
      <c r="AF140" s="28"/>
      <c r="AG140" s="28" t="s">
        <v>15389</v>
      </c>
    </row>
    <row r="141" spans="1:33" ht="16.5">
      <c r="A141" s="9">
        <v>136</v>
      </c>
      <c r="B141" s="9" t="s">
        <v>18274</v>
      </c>
      <c r="C141" s="9" t="s">
        <v>14705</v>
      </c>
      <c r="D141" s="9" t="s">
        <v>18169</v>
      </c>
      <c r="E141" s="12">
        <v>44189</v>
      </c>
      <c r="F141" s="12">
        <v>45074</v>
      </c>
      <c r="G141" s="12" t="s">
        <v>14702</v>
      </c>
      <c r="H141" s="9" t="s">
        <v>18273</v>
      </c>
      <c r="I141" s="9" t="s">
        <v>18272</v>
      </c>
      <c r="J141" s="9">
        <v>2522032301</v>
      </c>
      <c r="K141" s="9" t="s">
        <v>18271</v>
      </c>
      <c r="L141" s="9" t="s">
        <v>18270</v>
      </c>
      <c r="M141" s="11" t="s">
        <v>14732</v>
      </c>
      <c r="N141" s="10" t="s">
        <v>18269</v>
      </c>
      <c r="O141" s="9" t="s">
        <v>18268</v>
      </c>
      <c r="P141" s="9" t="s">
        <v>18267</v>
      </c>
      <c r="Q141" s="9" t="s">
        <v>18266</v>
      </c>
      <c r="R141" s="9" t="s">
        <v>18265</v>
      </c>
      <c r="S141" s="9" t="s">
        <v>18264</v>
      </c>
      <c r="T141" s="9" t="s">
        <v>14725</v>
      </c>
      <c r="U141" s="9" t="s">
        <v>18263</v>
      </c>
      <c r="V141" s="9" t="s">
        <v>15460</v>
      </c>
      <c r="W141" s="9" t="s">
        <v>18262</v>
      </c>
      <c r="X141" s="9" t="s">
        <v>18261</v>
      </c>
      <c r="Y141" s="9"/>
      <c r="Z141" s="9"/>
      <c r="AA141" s="9" t="s">
        <v>15389</v>
      </c>
      <c r="AB141" s="9"/>
      <c r="AC141" s="9"/>
      <c r="AD141" s="9" t="s">
        <v>15389</v>
      </c>
      <c r="AE141" s="9"/>
      <c r="AF141" s="9"/>
      <c r="AG141" s="9" t="s">
        <v>15389</v>
      </c>
    </row>
    <row r="142" spans="1:33" ht="16.5">
      <c r="A142" s="9">
        <v>137</v>
      </c>
      <c r="B142" s="9" t="s">
        <v>18260</v>
      </c>
      <c r="C142" s="9" t="s">
        <v>15155</v>
      </c>
      <c r="D142" s="9" t="s">
        <v>18169</v>
      </c>
      <c r="E142" s="12">
        <v>44189</v>
      </c>
      <c r="F142" s="12">
        <v>44553</v>
      </c>
      <c r="G142" s="12" t="s">
        <v>14702</v>
      </c>
      <c r="H142" s="9" t="s">
        <v>18259</v>
      </c>
      <c r="I142" s="9" t="s">
        <v>18258</v>
      </c>
      <c r="J142" s="9">
        <v>5313160801</v>
      </c>
      <c r="K142" s="9" t="s">
        <v>16885</v>
      </c>
      <c r="L142" s="9" t="s">
        <v>18257</v>
      </c>
      <c r="M142" s="11" t="s">
        <v>14794</v>
      </c>
      <c r="N142" s="10" t="s">
        <v>18256</v>
      </c>
      <c r="O142" s="9" t="s">
        <v>18255</v>
      </c>
      <c r="P142" s="9" t="s">
        <v>18254</v>
      </c>
      <c r="Q142" s="9" t="s">
        <v>18253</v>
      </c>
      <c r="R142" s="9" t="s">
        <v>18252</v>
      </c>
      <c r="S142" s="9" t="s">
        <v>18251</v>
      </c>
      <c r="T142" s="9" t="s">
        <v>15588</v>
      </c>
      <c r="U142" s="9" t="s">
        <v>18250</v>
      </c>
      <c r="V142" s="9" t="s">
        <v>15374</v>
      </c>
      <c r="W142" s="9" t="s">
        <v>18249</v>
      </c>
      <c r="X142" s="9" t="s">
        <v>18157</v>
      </c>
      <c r="Y142" s="9"/>
      <c r="Z142" s="9"/>
      <c r="AA142" s="9" t="s">
        <v>15389</v>
      </c>
      <c r="AB142" s="9"/>
      <c r="AC142" s="9"/>
      <c r="AD142" s="9" t="s">
        <v>15389</v>
      </c>
      <c r="AE142" s="9"/>
      <c r="AF142" s="9"/>
      <c r="AG142" s="9" t="s">
        <v>15389</v>
      </c>
    </row>
    <row r="143" spans="1:33" ht="16.5">
      <c r="A143" s="9">
        <v>138</v>
      </c>
      <c r="B143" s="9" t="s">
        <v>18248</v>
      </c>
      <c r="C143" s="9" t="s">
        <v>14705</v>
      </c>
      <c r="D143" s="9" t="s">
        <v>18169</v>
      </c>
      <c r="E143" s="12">
        <v>44189</v>
      </c>
      <c r="F143" s="12">
        <v>45203</v>
      </c>
      <c r="G143" s="12" t="s">
        <v>14702</v>
      </c>
      <c r="H143" s="9" t="s">
        <v>18247</v>
      </c>
      <c r="I143" s="9" t="s">
        <v>18246</v>
      </c>
      <c r="J143" s="9">
        <v>4111161501</v>
      </c>
      <c r="K143" s="9" t="s">
        <v>18245</v>
      </c>
      <c r="L143" s="9" t="s">
        <v>18244</v>
      </c>
      <c r="M143" s="11" t="s">
        <v>14732</v>
      </c>
      <c r="N143" s="10" t="s">
        <v>18243</v>
      </c>
      <c r="O143" s="9" t="s">
        <v>18242</v>
      </c>
      <c r="P143" s="9" t="s">
        <v>18241</v>
      </c>
      <c r="Q143" s="9" t="s">
        <v>18240</v>
      </c>
      <c r="R143" s="9" t="s">
        <v>18239</v>
      </c>
      <c r="S143" s="9" t="s">
        <v>18238</v>
      </c>
      <c r="T143" s="9" t="s">
        <v>15060</v>
      </c>
      <c r="U143" s="9" t="s">
        <v>18237</v>
      </c>
      <c r="V143" s="9" t="s">
        <v>15460</v>
      </c>
      <c r="W143" s="9" t="s">
        <v>18236</v>
      </c>
      <c r="X143" s="9" t="s">
        <v>18235</v>
      </c>
      <c r="Y143" s="9"/>
      <c r="Z143" s="9"/>
      <c r="AA143" s="9" t="s">
        <v>15389</v>
      </c>
      <c r="AB143" s="9"/>
      <c r="AC143" s="9"/>
      <c r="AD143" s="9" t="s">
        <v>15389</v>
      </c>
      <c r="AE143" s="9"/>
      <c r="AF143" s="9"/>
      <c r="AG143" s="9" t="s">
        <v>15389</v>
      </c>
    </row>
    <row r="144" spans="1:33" ht="16.5">
      <c r="A144" s="9">
        <v>139</v>
      </c>
      <c r="B144" s="9" t="s">
        <v>18234</v>
      </c>
      <c r="C144" s="9" t="s">
        <v>14705</v>
      </c>
      <c r="D144" s="9" t="s">
        <v>18169</v>
      </c>
      <c r="E144" s="12">
        <v>44189</v>
      </c>
      <c r="F144" s="12">
        <v>45009</v>
      </c>
      <c r="G144" s="12" t="s">
        <v>14702</v>
      </c>
      <c r="H144" s="9" t="s">
        <v>18233</v>
      </c>
      <c r="I144" s="9" t="s">
        <v>18232</v>
      </c>
      <c r="J144" s="9">
        <v>4712169801</v>
      </c>
      <c r="K144" s="9" t="s">
        <v>16640</v>
      </c>
      <c r="L144" s="9" t="s">
        <v>18231</v>
      </c>
      <c r="M144" s="11" t="s">
        <v>14732</v>
      </c>
      <c r="N144" s="10" t="s">
        <v>18230</v>
      </c>
      <c r="O144" s="9" t="s">
        <v>18229</v>
      </c>
      <c r="P144" s="9" t="s">
        <v>18228</v>
      </c>
      <c r="Q144" s="9" t="s">
        <v>18227</v>
      </c>
      <c r="R144" s="9" t="s">
        <v>18226</v>
      </c>
      <c r="S144" s="9" t="s">
        <v>18225</v>
      </c>
      <c r="T144" s="9" t="s">
        <v>14712</v>
      </c>
      <c r="U144" s="9" t="s">
        <v>18224</v>
      </c>
      <c r="V144" s="9" t="s">
        <v>77</v>
      </c>
      <c r="W144" s="9" t="s">
        <v>18223</v>
      </c>
      <c r="X144" s="9" t="s">
        <v>18222</v>
      </c>
      <c r="Y144" s="9"/>
      <c r="Z144" s="9"/>
      <c r="AA144" s="9" t="s">
        <v>15389</v>
      </c>
      <c r="AB144" s="9"/>
      <c r="AC144" s="9"/>
      <c r="AD144" s="9" t="s">
        <v>15389</v>
      </c>
      <c r="AE144" s="9"/>
      <c r="AF144" s="9"/>
      <c r="AG144" s="9" t="s">
        <v>15389</v>
      </c>
    </row>
    <row r="145" spans="1:33" ht="16.5">
      <c r="A145" s="9">
        <v>140</v>
      </c>
      <c r="B145" s="9" t="s">
        <v>18221</v>
      </c>
      <c r="C145" s="9" t="s">
        <v>15155</v>
      </c>
      <c r="D145" s="9" t="s">
        <v>18169</v>
      </c>
      <c r="E145" s="12">
        <v>44189</v>
      </c>
      <c r="F145" s="12">
        <v>44553</v>
      </c>
      <c r="G145" s="12" t="s">
        <v>14702</v>
      </c>
      <c r="H145" s="9" t="s">
        <v>18220</v>
      </c>
      <c r="I145" s="9" t="s">
        <v>18219</v>
      </c>
      <c r="J145" s="9">
        <v>4617163001</v>
      </c>
      <c r="K145" s="9" t="s">
        <v>18218</v>
      </c>
      <c r="L145" s="9" t="s">
        <v>18217</v>
      </c>
      <c r="M145" s="11" t="s">
        <v>14732</v>
      </c>
      <c r="N145" s="10" t="s">
        <v>18206</v>
      </c>
      <c r="O145" s="9" t="s">
        <v>18205</v>
      </c>
      <c r="P145" s="9" t="s">
        <v>18204</v>
      </c>
      <c r="Q145" s="9" t="s">
        <v>18203</v>
      </c>
      <c r="R145" s="9" t="s">
        <v>18202</v>
      </c>
      <c r="S145" s="9" t="s">
        <v>18201</v>
      </c>
      <c r="T145" s="9" t="s">
        <v>14725</v>
      </c>
      <c r="U145" s="9" t="s">
        <v>18200</v>
      </c>
      <c r="V145" s="9" t="s">
        <v>15374</v>
      </c>
      <c r="W145" s="9" t="s">
        <v>18199</v>
      </c>
      <c r="X145" s="9" t="s">
        <v>16889</v>
      </c>
      <c r="Y145" s="9"/>
      <c r="Z145" s="9"/>
      <c r="AA145" s="9" t="s">
        <v>15389</v>
      </c>
      <c r="AB145" s="9"/>
      <c r="AC145" s="9"/>
      <c r="AD145" s="9" t="s">
        <v>15389</v>
      </c>
      <c r="AE145" s="9"/>
      <c r="AF145" s="9"/>
      <c r="AG145" s="9" t="s">
        <v>15389</v>
      </c>
    </row>
    <row r="146" spans="1:33" ht="16.5">
      <c r="A146" s="9">
        <v>141</v>
      </c>
      <c r="B146" s="9" t="s">
        <v>18216</v>
      </c>
      <c r="C146" s="9" t="s">
        <v>15155</v>
      </c>
      <c r="D146" s="9" t="s">
        <v>18169</v>
      </c>
      <c r="E146" s="12">
        <v>44189</v>
      </c>
      <c r="F146" s="12">
        <v>44553</v>
      </c>
      <c r="G146" s="12" t="s">
        <v>14702</v>
      </c>
      <c r="H146" s="9" t="s">
        <v>18215</v>
      </c>
      <c r="I146" s="9" t="s">
        <v>18214</v>
      </c>
      <c r="J146" s="9">
        <v>4111240701</v>
      </c>
      <c r="K146" s="9" t="s">
        <v>18213</v>
      </c>
      <c r="L146" s="9" t="s">
        <v>18212</v>
      </c>
      <c r="M146" s="11" t="s">
        <v>14794</v>
      </c>
      <c r="N146" s="10" t="s">
        <v>18206</v>
      </c>
      <c r="O146" s="9" t="s">
        <v>18205</v>
      </c>
      <c r="P146" s="9" t="s">
        <v>18204</v>
      </c>
      <c r="Q146" s="9" t="s">
        <v>18203</v>
      </c>
      <c r="R146" s="9" t="s">
        <v>18202</v>
      </c>
      <c r="S146" s="9" t="s">
        <v>18201</v>
      </c>
      <c r="T146" s="9" t="s">
        <v>14725</v>
      </c>
      <c r="U146" s="9" t="s">
        <v>18200</v>
      </c>
      <c r="V146" s="9" t="s">
        <v>15374</v>
      </c>
      <c r="W146" s="9" t="s">
        <v>18199</v>
      </c>
      <c r="X146" s="9" t="s">
        <v>16889</v>
      </c>
      <c r="Y146" s="9"/>
      <c r="Z146" s="9"/>
      <c r="AA146" s="9" t="s">
        <v>15389</v>
      </c>
      <c r="AB146" s="9"/>
      <c r="AC146" s="9"/>
      <c r="AD146" s="9" t="s">
        <v>15389</v>
      </c>
      <c r="AE146" s="9"/>
      <c r="AF146" s="9"/>
      <c r="AG146" s="9" t="s">
        <v>15389</v>
      </c>
    </row>
    <row r="147" spans="1:33" ht="16.5">
      <c r="A147" s="9">
        <v>142</v>
      </c>
      <c r="B147" s="9" t="s">
        <v>18211</v>
      </c>
      <c r="C147" s="9" t="s">
        <v>15155</v>
      </c>
      <c r="D147" s="9" t="s">
        <v>18169</v>
      </c>
      <c r="E147" s="12">
        <v>44189</v>
      </c>
      <c r="F147" s="12">
        <v>44553</v>
      </c>
      <c r="G147" s="12" t="s">
        <v>14702</v>
      </c>
      <c r="H147" s="9" t="s">
        <v>18210</v>
      </c>
      <c r="I147" s="9" t="s">
        <v>18209</v>
      </c>
      <c r="J147" s="9">
        <v>4322152101</v>
      </c>
      <c r="K147" s="9" t="s">
        <v>18208</v>
      </c>
      <c r="L147" s="9" t="s">
        <v>18207</v>
      </c>
      <c r="M147" s="11" t="s">
        <v>14794</v>
      </c>
      <c r="N147" s="10" t="s">
        <v>18206</v>
      </c>
      <c r="O147" s="9" t="s">
        <v>18205</v>
      </c>
      <c r="P147" s="9" t="s">
        <v>18204</v>
      </c>
      <c r="Q147" s="9" t="s">
        <v>18203</v>
      </c>
      <c r="R147" s="9" t="s">
        <v>18202</v>
      </c>
      <c r="S147" s="9" t="s">
        <v>18201</v>
      </c>
      <c r="T147" s="9" t="s">
        <v>14725</v>
      </c>
      <c r="U147" s="9" t="s">
        <v>18200</v>
      </c>
      <c r="V147" s="9" t="s">
        <v>15374</v>
      </c>
      <c r="W147" s="9" t="s">
        <v>18199</v>
      </c>
      <c r="X147" s="9" t="s">
        <v>16889</v>
      </c>
      <c r="Y147" s="9"/>
      <c r="Z147" s="9"/>
      <c r="AA147" s="9" t="s">
        <v>15389</v>
      </c>
      <c r="AB147" s="9"/>
      <c r="AC147" s="9"/>
      <c r="AD147" s="9" t="s">
        <v>15389</v>
      </c>
      <c r="AE147" s="9"/>
      <c r="AF147" s="9"/>
      <c r="AG147" s="9" t="s">
        <v>15389</v>
      </c>
    </row>
    <row r="148" spans="1:33" ht="16.5">
      <c r="A148" s="9">
        <v>143</v>
      </c>
      <c r="B148" s="9" t="s">
        <v>18198</v>
      </c>
      <c r="C148" s="9" t="s">
        <v>14705</v>
      </c>
      <c r="D148" s="9" t="s">
        <v>18169</v>
      </c>
      <c r="E148" s="12">
        <v>44189</v>
      </c>
      <c r="F148" s="12">
        <v>45077</v>
      </c>
      <c r="G148" s="12" t="s">
        <v>14702</v>
      </c>
      <c r="H148" s="9" t="s">
        <v>18197</v>
      </c>
      <c r="I148" s="9" t="s">
        <v>18196</v>
      </c>
      <c r="J148" s="9">
        <v>4111197001</v>
      </c>
      <c r="K148" s="9" t="s">
        <v>18195</v>
      </c>
      <c r="L148" s="9" t="s">
        <v>18194</v>
      </c>
      <c r="M148" s="11" t="s">
        <v>14732</v>
      </c>
      <c r="N148" s="10" t="s">
        <v>18193</v>
      </c>
      <c r="O148" s="9" t="s">
        <v>18192</v>
      </c>
      <c r="P148" s="9" t="s">
        <v>18191</v>
      </c>
      <c r="Q148" s="9" t="s">
        <v>18190</v>
      </c>
      <c r="R148" s="9" t="s">
        <v>18189</v>
      </c>
      <c r="S148" s="9" t="s">
        <v>18188</v>
      </c>
      <c r="T148" s="9" t="s">
        <v>14725</v>
      </c>
      <c r="U148" s="9" t="s">
        <v>18187</v>
      </c>
      <c r="V148" s="9" t="s">
        <v>15460</v>
      </c>
      <c r="W148" s="9" t="s">
        <v>18186</v>
      </c>
      <c r="X148" s="9" t="s">
        <v>18185</v>
      </c>
      <c r="Y148" s="9"/>
      <c r="Z148" s="9"/>
      <c r="AA148" s="9" t="s">
        <v>15389</v>
      </c>
      <c r="AB148" s="9"/>
      <c r="AC148" s="9"/>
      <c r="AD148" s="9" t="s">
        <v>15389</v>
      </c>
      <c r="AE148" s="9"/>
      <c r="AF148" s="9"/>
      <c r="AG148" s="9" t="s">
        <v>15389</v>
      </c>
    </row>
    <row r="149" spans="1:33" ht="16.5">
      <c r="A149" s="9">
        <v>144</v>
      </c>
      <c r="B149" s="9" t="s">
        <v>18184</v>
      </c>
      <c r="C149" s="9" t="s">
        <v>15155</v>
      </c>
      <c r="D149" s="9" t="s">
        <v>18169</v>
      </c>
      <c r="E149" s="12">
        <v>44189</v>
      </c>
      <c r="F149" s="12">
        <v>45067</v>
      </c>
      <c r="G149" s="12" t="s">
        <v>14702</v>
      </c>
      <c r="H149" s="9" t="s">
        <v>18183</v>
      </c>
      <c r="I149" s="9" t="s">
        <v>18182</v>
      </c>
      <c r="J149" s="9">
        <v>4618170301</v>
      </c>
      <c r="K149" s="9" t="s">
        <v>18181</v>
      </c>
      <c r="L149" s="9" t="s">
        <v>18180</v>
      </c>
      <c r="M149" s="11" t="s">
        <v>15065</v>
      </c>
      <c r="N149" s="10" t="s">
        <v>18179</v>
      </c>
      <c r="O149" s="9" t="s">
        <v>18178</v>
      </c>
      <c r="P149" s="9" t="s">
        <v>18177</v>
      </c>
      <c r="Q149" s="9" t="s">
        <v>18177</v>
      </c>
      <c r="R149" s="9" t="s">
        <v>18176</v>
      </c>
      <c r="S149" s="9" t="s">
        <v>18175</v>
      </c>
      <c r="T149" s="9" t="s">
        <v>14773</v>
      </c>
      <c r="U149" s="9" t="s">
        <v>18174</v>
      </c>
      <c r="V149" s="9" t="s">
        <v>18173</v>
      </c>
      <c r="W149" s="9" t="s">
        <v>18172</v>
      </c>
      <c r="X149" s="9" t="s">
        <v>18171</v>
      </c>
      <c r="Y149" s="9"/>
      <c r="Z149" s="9"/>
      <c r="AA149" s="9" t="s">
        <v>15389</v>
      </c>
      <c r="AB149" s="9"/>
      <c r="AC149" s="9"/>
      <c r="AD149" s="9" t="s">
        <v>15389</v>
      </c>
      <c r="AE149" s="9"/>
      <c r="AF149" s="9"/>
      <c r="AG149" s="9" t="s">
        <v>15389</v>
      </c>
    </row>
    <row r="150" spans="1:33" ht="16.5">
      <c r="A150" s="9">
        <v>145</v>
      </c>
      <c r="B150" s="9" t="s">
        <v>18170</v>
      </c>
      <c r="C150" s="9" t="s">
        <v>15155</v>
      </c>
      <c r="D150" s="9" t="s">
        <v>18169</v>
      </c>
      <c r="E150" s="12">
        <v>44189</v>
      </c>
      <c r="F150" s="12">
        <v>44553</v>
      </c>
      <c r="G150" s="12" t="s">
        <v>14702</v>
      </c>
      <c r="H150" s="9" t="s">
        <v>18168</v>
      </c>
      <c r="I150" s="9" t="s">
        <v>18167</v>
      </c>
      <c r="J150" s="9">
        <v>4712170301</v>
      </c>
      <c r="K150" s="9" t="s">
        <v>18166</v>
      </c>
      <c r="L150" s="9" t="s">
        <v>18165</v>
      </c>
      <c r="M150" s="11" t="s">
        <v>15065</v>
      </c>
      <c r="N150" s="10" t="s">
        <v>7376</v>
      </c>
      <c r="O150" s="9" t="s">
        <v>18164</v>
      </c>
      <c r="P150" s="9" t="s">
        <v>18163</v>
      </c>
      <c r="Q150" s="9" t="s">
        <v>18162</v>
      </c>
      <c r="R150" s="9" t="s">
        <v>18161</v>
      </c>
      <c r="S150" s="9" t="s">
        <v>18160</v>
      </c>
      <c r="T150" s="9" t="s">
        <v>14692</v>
      </c>
      <c r="U150" s="9" t="s">
        <v>18159</v>
      </c>
      <c r="V150" s="9" t="s">
        <v>15374</v>
      </c>
      <c r="W150" s="9" t="s">
        <v>18158</v>
      </c>
      <c r="X150" s="9" t="s">
        <v>18157</v>
      </c>
      <c r="Y150" s="9"/>
      <c r="Z150" s="9"/>
      <c r="AA150" s="9" t="s">
        <v>15389</v>
      </c>
      <c r="AB150" s="9"/>
      <c r="AC150" s="9"/>
      <c r="AD150" s="9" t="s">
        <v>15389</v>
      </c>
      <c r="AE150" s="9"/>
      <c r="AF150" s="9"/>
      <c r="AG150" s="9" t="s">
        <v>15389</v>
      </c>
    </row>
    <row r="151" spans="1:33" ht="16.5">
      <c r="A151" s="9">
        <v>146</v>
      </c>
      <c r="B151" s="9" t="s">
        <v>18156</v>
      </c>
      <c r="C151" s="9" t="s">
        <v>15155</v>
      </c>
      <c r="D151" s="9" t="s">
        <v>17690</v>
      </c>
      <c r="E151" s="12">
        <v>44137</v>
      </c>
      <c r="F151" s="14">
        <v>45028</v>
      </c>
      <c r="G151" s="12" t="s">
        <v>14702</v>
      </c>
      <c r="H151" s="9" t="s">
        <v>18155</v>
      </c>
      <c r="I151" s="9" t="s">
        <v>18154</v>
      </c>
      <c r="J151" s="9">
        <v>4323300401</v>
      </c>
      <c r="K151" s="9" t="s">
        <v>18153</v>
      </c>
      <c r="L151" s="9" t="s">
        <v>18152</v>
      </c>
      <c r="M151" s="11" t="s">
        <v>14746</v>
      </c>
      <c r="N151" s="10" t="s">
        <v>18151</v>
      </c>
      <c r="O151" s="9" t="s">
        <v>18150</v>
      </c>
      <c r="P151" s="9" t="s">
        <v>18149</v>
      </c>
      <c r="Q151" s="9" t="s">
        <v>18148</v>
      </c>
      <c r="R151" s="9" t="s">
        <v>18147</v>
      </c>
      <c r="S151" s="9" t="s">
        <v>18146</v>
      </c>
      <c r="T151" s="9" t="s">
        <v>14725</v>
      </c>
      <c r="U151" s="9" t="s">
        <v>18145</v>
      </c>
      <c r="V151" s="9" t="s">
        <v>15243</v>
      </c>
      <c r="W151" s="9" t="s">
        <v>18144</v>
      </c>
      <c r="X151" s="9" t="s">
        <v>18143</v>
      </c>
      <c r="Y151" s="9"/>
      <c r="Z151" s="9"/>
      <c r="AA151" s="9" t="s">
        <v>15389</v>
      </c>
      <c r="AB151" s="9"/>
      <c r="AC151" s="9"/>
      <c r="AD151" s="9" t="s">
        <v>15389</v>
      </c>
      <c r="AE151" s="9"/>
      <c r="AF151" s="9"/>
      <c r="AG151" s="9" t="s">
        <v>15389</v>
      </c>
    </row>
    <row r="152" spans="1:33" ht="16.5">
      <c r="A152" s="9">
        <v>147</v>
      </c>
      <c r="B152" s="9" t="s">
        <v>18142</v>
      </c>
      <c r="C152" s="9" t="s">
        <v>15155</v>
      </c>
      <c r="D152" s="9" t="s">
        <v>17690</v>
      </c>
      <c r="E152" s="12">
        <v>44137</v>
      </c>
      <c r="F152" s="14">
        <v>45133</v>
      </c>
      <c r="G152" s="12" t="s">
        <v>14702</v>
      </c>
      <c r="H152" s="9" t="s">
        <v>18141</v>
      </c>
      <c r="I152" s="9" t="s">
        <v>18140</v>
      </c>
      <c r="J152" s="9">
        <v>3912118901</v>
      </c>
      <c r="K152" s="9" t="s">
        <v>14718</v>
      </c>
      <c r="L152" s="9" t="s">
        <v>18139</v>
      </c>
      <c r="M152" s="11" t="s">
        <v>14732</v>
      </c>
      <c r="N152" s="10" t="s">
        <v>18138</v>
      </c>
      <c r="O152" s="9" t="s">
        <v>18137</v>
      </c>
      <c r="P152" s="9" t="s">
        <v>18136</v>
      </c>
      <c r="Q152" s="9" t="s">
        <v>18135</v>
      </c>
      <c r="R152" s="9" t="s">
        <v>18134</v>
      </c>
      <c r="S152" s="9" t="s">
        <v>18133</v>
      </c>
      <c r="T152" s="9" t="s">
        <v>14725</v>
      </c>
      <c r="U152" s="9" t="s">
        <v>18132</v>
      </c>
      <c r="V152" s="9" t="s">
        <v>77</v>
      </c>
      <c r="W152" s="9" t="s">
        <v>18131</v>
      </c>
      <c r="X152" s="9" t="s">
        <v>18130</v>
      </c>
      <c r="Y152" s="9"/>
      <c r="Z152" s="9"/>
      <c r="AA152" s="9" t="s">
        <v>15389</v>
      </c>
      <c r="AB152" s="9"/>
      <c r="AC152" s="9"/>
      <c r="AD152" s="9" t="s">
        <v>15389</v>
      </c>
      <c r="AE152" s="9"/>
      <c r="AF152" s="9"/>
      <c r="AG152" s="9" t="s">
        <v>15389</v>
      </c>
    </row>
    <row r="153" spans="1:33" ht="16.5">
      <c r="A153" s="9">
        <v>148</v>
      </c>
      <c r="B153" s="9" t="s">
        <v>18129</v>
      </c>
      <c r="C153" s="9" t="s">
        <v>14750</v>
      </c>
      <c r="D153" s="9" t="s">
        <v>17690</v>
      </c>
      <c r="E153" s="12">
        <v>44137</v>
      </c>
      <c r="F153" s="14">
        <v>44641</v>
      </c>
      <c r="G153" s="12" t="s">
        <v>14702</v>
      </c>
      <c r="H153" s="9" t="s">
        <v>18128</v>
      </c>
      <c r="I153" s="9" t="s">
        <v>18127</v>
      </c>
      <c r="J153" s="9">
        <v>3911160304</v>
      </c>
      <c r="K153" s="9" t="s">
        <v>15024</v>
      </c>
      <c r="L153" s="9" t="s">
        <v>16132</v>
      </c>
      <c r="M153" s="11" t="s">
        <v>14699</v>
      </c>
      <c r="N153" s="10" t="s">
        <v>16130</v>
      </c>
      <c r="O153" s="9" t="s">
        <v>16129</v>
      </c>
      <c r="P153" s="9" t="s">
        <v>16128</v>
      </c>
      <c r="Q153" s="9" t="s">
        <v>18117</v>
      </c>
      <c r="R153" s="9" t="s">
        <v>16126</v>
      </c>
      <c r="S153" s="9" t="s">
        <v>18116</v>
      </c>
      <c r="T153" s="9" t="s">
        <v>14725</v>
      </c>
      <c r="U153" s="9" t="s">
        <v>16124</v>
      </c>
      <c r="V153" s="9" t="s">
        <v>75</v>
      </c>
      <c r="W153" s="9" t="s">
        <v>18115</v>
      </c>
      <c r="X153" s="9" t="s">
        <v>17054</v>
      </c>
      <c r="Y153" s="9"/>
      <c r="Z153" s="9"/>
      <c r="AA153" s="9" t="s">
        <v>15389</v>
      </c>
      <c r="AB153" s="9"/>
      <c r="AC153" s="9"/>
      <c r="AD153" s="9" t="s">
        <v>15389</v>
      </c>
      <c r="AE153" s="9"/>
      <c r="AF153" s="9"/>
      <c r="AG153" s="9" t="s">
        <v>15389</v>
      </c>
    </row>
    <row r="154" spans="1:33" s="31" customFormat="1" ht="16.5">
      <c r="A154" s="28">
        <v>149</v>
      </c>
      <c r="B154" s="28" t="s">
        <v>18126</v>
      </c>
      <c r="C154" s="28" t="s">
        <v>14750</v>
      </c>
      <c r="D154" s="28" t="s">
        <v>17690</v>
      </c>
      <c r="E154" s="29">
        <v>44137</v>
      </c>
      <c r="F154" s="32">
        <v>44641</v>
      </c>
      <c r="G154" s="29" t="s">
        <v>14702</v>
      </c>
      <c r="H154" s="28" t="s">
        <v>18125</v>
      </c>
      <c r="I154" s="28" t="s">
        <v>18124</v>
      </c>
      <c r="J154" s="28">
        <v>3911160302</v>
      </c>
      <c r="K154" s="28" t="s">
        <v>14907</v>
      </c>
      <c r="L154" s="28" t="s">
        <v>16132</v>
      </c>
      <c r="M154" s="33" t="s">
        <v>14699</v>
      </c>
      <c r="N154" s="30" t="s">
        <v>16130</v>
      </c>
      <c r="O154" s="28" t="s">
        <v>16129</v>
      </c>
      <c r="P154" s="28" t="s">
        <v>16128</v>
      </c>
      <c r="Q154" s="28" t="s">
        <v>18117</v>
      </c>
      <c r="R154" s="28" t="s">
        <v>16126</v>
      </c>
      <c r="S154" s="28" t="s">
        <v>18116</v>
      </c>
      <c r="T154" s="28" t="s">
        <v>14725</v>
      </c>
      <c r="U154" s="28" t="s">
        <v>16124</v>
      </c>
      <c r="V154" s="28" t="s">
        <v>75</v>
      </c>
      <c r="W154" s="28" t="s">
        <v>18115</v>
      </c>
      <c r="X154" s="28" t="s">
        <v>17054</v>
      </c>
      <c r="Y154" s="28"/>
      <c r="Z154" s="28"/>
      <c r="AA154" s="28" t="s">
        <v>15389</v>
      </c>
      <c r="AB154" s="28"/>
      <c r="AC154" s="28"/>
      <c r="AD154" s="28" t="s">
        <v>15389</v>
      </c>
      <c r="AE154" s="28"/>
      <c r="AF154" s="28"/>
      <c r="AG154" s="28" t="s">
        <v>15389</v>
      </c>
    </row>
    <row r="155" spans="1:33" ht="16.5">
      <c r="A155" s="9">
        <v>150</v>
      </c>
      <c r="B155" s="9" t="s">
        <v>18123</v>
      </c>
      <c r="C155" s="9" t="s">
        <v>14750</v>
      </c>
      <c r="D155" s="9" t="s">
        <v>17690</v>
      </c>
      <c r="E155" s="12">
        <v>44137</v>
      </c>
      <c r="F155" s="14">
        <v>44641</v>
      </c>
      <c r="G155" s="12" t="s">
        <v>14702</v>
      </c>
      <c r="H155" s="9" t="s">
        <v>18122</v>
      </c>
      <c r="I155" s="9" t="s">
        <v>18121</v>
      </c>
      <c r="J155" s="9">
        <v>3911160802</v>
      </c>
      <c r="K155" s="9" t="s">
        <v>15018</v>
      </c>
      <c r="L155" s="9" t="s">
        <v>16132</v>
      </c>
      <c r="M155" s="11" t="s">
        <v>14699</v>
      </c>
      <c r="N155" s="10" t="s">
        <v>16130</v>
      </c>
      <c r="O155" s="9" t="s">
        <v>16129</v>
      </c>
      <c r="P155" s="9" t="s">
        <v>16128</v>
      </c>
      <c r="Q155" s="9" t="s">
        <v>18117</v>
      </c>
      <c r="R155" s="9" t="s">
        <v>16126</v>
      </c>
      <c r="S155" s="9" t="s">
        <v>18116</v>
      </c>
      <c r="T155" s="9" t="s">
        <v>14725</v>
      </c>
      <c r="U155" s="9" t="s">
        <v>16124</v>
      </c>
      <c r="V155" s="9" t="s">
        <v>75</v>
      </c>
      <c r="W155" s="9" t="s">
        <v>18115</v>
      </c>
      <c r="X155" s="9" t="s">
        <v>17054</v>
      </c>
      <c r="Y155" s="9"/>
      <c r="Z155" s="9"/>
      <c r="AA155" s="9" t="s">
        <v>15389</v>
      </c>
      <c r="AB155" s="9"/>
      <c r="AC155" s="9"/>
      <c r="AD155" s="9" t="s">
        <v>15389</v>
      </c>
      <c r="AE155" s="9"/>
      <c r="AF155" s="9"/>
      <c r="AG155" s="9" t="s">
        <v>15389</v>
      </c>
    </row>
    <row r="156" spans="1:33" ht="16.5">
      <c r="A156" s="9">
        <v>151</v>
      </c>
      <c r="B156" s="9" t="s">
        <v>18120</v>
      </c>
      <c r="C156" s="9" t="s">
        <v>14750</v>
      </c>
      <c r="D156" s="9" t="s">
        <v>17690</v>
      </c>
      <c r="E156" s="12">
        <v>44137</v>
      </c>
      <c r="F156" s="14">
        <v>44641</v>
      </c>
      <c r="G156" s="12" t="s">
        <v>14702</v>
      </c>
      <c r="H156" s="9" t="s">
        <v>18119</v>
      </c>
      <c r="I156" s="9" t="s">
        <v>18118</v>
      </c>
      <c r="J156" s="9">
        <v>3911151502</v>
      </c>
      <c r="K156" s="9" t="s">
        <v>16115</v>
      </c>
      <c r="L156" s="9" t="s">
        <v>16132</v>
      </c>
      <c r="M156" s="11" t="s">
        <v>14888</v>
      </c>
      <c r="N156" s="10" t="s">
        <v>16130</v>
      </c>
      <c r="O156" s="9" t="s">
        <v>16129</v>
      </c>
      <c r="P156" s="9" t="s">
        <v>16128</v>
      </c>
      <c r="Q156" s="9" t="s">
        <v>18117</v>
      </c>
      <c r="R156" s="9" t="s">
        <v>16126</v>
      </c>
      <c r="S156" s="9" t="s">
        <v>18116</v>
      </c>
      <c r="T156" s="9" t="s">
        <v>14725</v>
      </c>
      <c r="U156" s="9" t="s">
        <v>16124</v>
      </c>
      <c r="V156" s="9" t="s">
        <v>75</v>
      </c>
      <c r="W156" s="9" t="s">
        <v>18115</v>
      </c>
      <c r="X156" s="9" t="s">
        <v>17054</v>
      </c>
      <c r="Y156" s="9"/>
      <c r="Z156" s="9"/>
      <c r="AA156" s="9" t="s">
        <v>15389</v>
      </c>
      <c r="AB156" s="9"/>
      <c r="AC156" s="9"/>
      <c r="AD156" s="9" t="s">
        <v>15389</v>
      </c>
      <c r="AE156" s="9"/>
      <c r="AF156" s="9"/>
      <c r="AG156" s="9" t="s">
        <v>15389</v>
      </c>
    </row>
    <row r="157" spans="1:33" ht="16.5">
      <c r="A157" s="9">
        <v>152</v>
      </c>
      <c r="B157" s="9" t="s">
        <v>18114</v>
      </c>
      <c r="C157" s="9" t="s">
        <v>15155</v>
      </c>
      <c r="D157" s="9" t="s">
        <v>17690</v>
      </c>
      <c r="E157" s="12">
        <v>44137</v>
      </c>
      <c r="F157" s="14">
        <v>45129</v>
      </c>
      <c r="G157" s="12" t="s">
        <v>14702</v>
      </c>
      <c r="H157" s="9" t="s">
        <v>18113</v>
      </c>
      <c r="I157" s="9" t="s">
        <v>18113</v>
      </c>
      <c r="J157" s="9">
        <v>8111159901</v>
      </c>
      <c r="K157" s="9" t="s">
        <v>17047</v>
      </c>
      <c r="L157" s="9" t="s">
        <v>18112</v>
      </c>
      <c r="M157" s="11" t="s">
        <v>14794</v>
      </c>
      <c r="N157" s="10" t="s">
        <v>18111</v>
      </c>
      <c r="O157" s="9" t="s">
        <v>18110</v>
      </c>
      <c r="P157" s="9" t="s">
        <v>18109</v>
      </c>
      <c r="Q157" s="9" t="s">
        <v>18108</v>
      </c>
      <c r="R157" s="9" t="s">
        <v>18107</v>
      </c>
      <c r="S157" s="9" t="s">
        <v>18106</v>
      </c>
      <c r="T157" s="9" t="s">
        <v>14815</v>
      </c>
      <c r="U157" s="9" t="s">
        <v>18105</v>
      </c>
      <c r="V157" s="9" t="s">
        <v>15243</v>
      </c>
      <c r="W157" s="9" t="s">
        <v>18104</v>
      </c>
      <c r="X157" s="9" t="s">
        <v>18103</v>
      </c>
      <c r="Y157" s="9"/>
      <c r="Z157" s="9"/>
      <c r="AA157" s="9" t="s">
        <v>15389</v>
      </c>
      <c r="AB157" s="9"/>
      <c r="AC157" s="9"/>
      <c r="AD157" s="9" t="s">
        <v>15389</v>
      </c>
      <c r="AE157" s="9"/>
      <c r="AF157" s="9"/>
      <c r="AG157" s="9" t="s">
        <v>15389</v>
      </c>
    </row>
    <row r="158" spans="1:33" ht="16.5">
      <c r="A158" s="9">
        <v>153</v>
      </c>
      <c r="B158" s="9" t="s">
        <v>18102</v>
      </c>
      <c r="C158" s="9" t="s">
        <v>15155</v>
      </c>
      <c r="D158" s="9" t="s">
        <v>17690</v>
      </c>
      <c r="E158" s="12">
        <v>44137</v>
      </c>
      <c r="F158" s="14">
        <v>44501</v>
      </c>
      <c r="G158" s="12" t="s">
        <v>14702</v>
      </c>
      <c r="H158" s="9" t="s">
        <v>18101</v>
      </c>
      <c r="I158" s="9" t="s">
        <v>18100</v>
      </c>
      <c r="J158" s="9">
        <v>4111150601</v>
      </c>
      <c r="K158" s="9" t="s">
        <v>18099</v>
      </c>
      <c r="L158" s="9" t="s">
        <v>18098</v>
      </c>
      <c r="M158" s="11" t="s">
        <v>14746</v>
      </c>
      <c r="N158" s="10" t="s">
        <v>6647</v>
      </c>
      <c r="O158" s="9" t="s">
        <v>18097</v>
      </c>
      <c r="P158" s="9" t="s">
        <v>18096</v>
      </c>
      <c r="Q158" s="9" t="s">
        <v>18096</v>
      </c>
      <c r="R158" s="9" t="s">
        <v>18095</v>
      </c>
      <c r="S158" s="9" t="s">
        <v>18094</v>
      </c>
      <c r="T158" s="9" t="s">
        <v>14692</v>
      </c>
      <c r="U158" s="9" t="s">
        <v>18093</v>
      </c>
      <c r="V158" s="9" t="s">
        <v>15374</v>
      </c>
      <c r="W158" s="9" t="s">
        <v>18092</v>
      </c>
      <c r="X158" s="9" t="s">
        <v>18091</v>
      </c>
      <c r="Y158" s="9"/>
      <c r="Z158" s="9"/>
      <c r="AA158" s="9" t="s">
        <v>15389</v>
      </c>
      <c r="AB158" s="9"/>
      <c r="AC158" s="9"/>
      <c r="AD158" s="9" t="s">
        <v>15389</v>
      </c>
      <c r="AE158" s="9"/>
      <c r="AF158" s="9"/>
      <c r="AG158" s="9" t="s">
        <v>15389</v>
      </c>
    </row>
    <row r="159" spans="1:33" ht="16.5">
      <c r="A159" s="9">
        <v>154</v>
      </c>
      <c r="B159" s="9" t="s">
        <v>18090</v>
      </c>
      <c r="C159" s="9" t="s">
        <v>15155</v>
      </c>
      <c r="D159" s="9" t="s">
        <v>17690</v>
      </c>
      <c r="E159" s="12">
        <v>44137</v>
      </c>
      <c r="F159" s="14">
        <v>44501</v>
      </c>
      <c r="G159" s="12" t="s">
        <v>14702</v>
      </c>
      <c r="H159" s="9" t="s">
        <v>18089</v>
      </c>
      <c r="I159" s="9" t="s">
        <v>18088</v>
      </c>
      <c r="J159" s="9">
        <v>4617167001</v>
      </c>
      <c r="K159" s="9" t="s">
        <v>18087</v>
      </c>
      <c r="L159" s="9" t="s">
        <v>18086</v>
      </c>
      <c r="M159" s="11" t="s">
        <v>15065</v>
      </c>
      <c r="N159" s="10" t="s">
        <v>8570</v>
      </c>
      <c r="O159" s="9" t="s">
        <v>18085</v>
      </c>
      <c r="P159" s="9" t="s">
        <v>18084</v>
      </c>
      <c r="Q159" s="9" t="s">
        <v>18083</v>
      </c>
      <c r="R159" s="9" t="s">
        <v>18082</v>
      </c>
      <c r="S159" s="9" t="s">
        <v>18081</v>
      </c>
      <c r="T159" s="9" t="s">
        <v>14756</v>
      </c>
      <c r="U159" s="9" t="s">
        <v>18080</v>
      </c>
      <c r="V159" s="9" t="s">
        <v>15374</v>
      </c>
      <c r="W159" s="9" t="s">
        <v>18079</v>
      </c>
      <c r="X159" s="9" t="s">
        <v>18078</v>
      </c>
      <c r="Y159" s="9"/>
      <c r="Z159" s="9"/>
      <c r="AA159" s="9" t="s">
        <v>15389</v>
      </c>
      <c r="AB159" s="9"/>
      <c r="AC159" s="9"/>
      <c r="AD159" s="9" t="s">
        <v>15389</v>
      </c>
      <c r="AE159" s="9"/>
      <c r="AF159" s="9"/>
      <c r="AG159" s="9" t="s">
        <v>15389</v>
      </c>
    </row>
    <row r="160" spans="1:33" ht="16.5">
      <c r="A160" s="9">
        <v>155</v>
      </c>
      <c r="B160" s="9" t="s">
        <v>18077</v>
      </c>
      <c r="C160" s="9" t="s">
        <v>15155</v>
      </c>
      <c r="D160" s="9" t="s">
        <v>17690</v>
      </c>
      <c r="E160" s="12">
        <v>44137</v>
      </c>
      <c r="F160" s="14">
        <v>44501</v>
      </c>
      <c r="G160" s="12" t="s">
        <v>14702</v>
      </c>
      <c r="H160" s="9" t="s">
        <v>18076</v>
      </c>
      <c r="I160" s="9" t="s">
        <v>18075</v>
      </c>
      <c r="J160" s="9">
        <v>4227161901</v>
      </c>
      <c r="K160" s="9" t="s">
        <v>18074</v>
      </c>
      <c r="L160" s="9" t="s">
        <v>18073</v>
      </c>
      <c r="M160" s="11" t="s">
        <v>14746</v>
      </c>
      <c r="N160" s="10" t="s">
        <v>5983</v>
      </c>
      <c r="O160" s="9" t="s">
        <v>18072</v>
      </c>
      <c r="P160" s="9" t="s">
        <v>18071</v>
      </c>
      <c r="Q160" s="9" t="s">
        <v>18070</v>
      </c>
      <c r="R160" s="9" t="s">
        <v>18069</v>
      </c>
      <c r="S160" s="9" t="s">
        <v>18068</v>
      </c>
      <c r="T160" s="9" t="s">
        <v>14756</v>
      </c>
      <c r="U160" s="9" t="s">
        <v>18067</v>
      </c>
      <c r="V160" s="9" t="s">
        <v>15374</v>
      </c>
      <c r="W160" s="9" t="s">
        <v>18066</v>
      </c>
      <c r="X160" s="9" t="s">
        <v>16889</v>
      </c>
      <c r="Y160" s="9"/>
      <c r="Z160" s="9"/>
      <c r="AA160" s="9" t="s">
        <v>15389</v>
      </c>
      <c r="AB160" s="9"/>
      <c r="AC160" s="9"/>
      <c r="AD160" s="9" t="s">
        <v>15389</v>
      </c>
      <c r="AE160" s="9"/>
      <c r="AF160" s="9"/>
      <c r="AG160" s="9" t="s">
        <v>15389</v>
      </c>
    </row>
    <row r="161" spans="1:33" ht="16.5">
      <c r="A161" s="9">
        <v>156</v>
      </c>
      <c r="B161" s="9" t="s">
        <v>18065</v>
      </c>
      <c r="C161" s="9" t="s">
        <v>14750</v>
      </c>
      <c r="D161" s="9" t="s">
        <v>17690</v>
      </c>
      <c r="E161" s="12">
        <v>44137</v>
      </c>
      <c r="F161" s="14">
        <v>45066</v>
      </c>
      <c r="G161" s="12" t="s">
        <v>14702</v>
      </c>
      <c r="H161" s="9" t="s">
        <v>18064</v>
      </c>
      <c r="I161" s="9" t="s">
        <v>18063</v>
      </c>
      <c r="J161" s="9">
        <v>4617162201</v>
      </c>
      <c r="K161" s="9" t="s">
        <v>14959</v>
      </c>
      <c r="L161" s="9" t="s">
        <v>18062</v>
      </c>
      <c r="M161" s="11" t="s">
        <v>14746</v>
      </c>
      <c r="N161" s="10" t="s">
        <v>5595</v>
      </c>
      <c r="O161" s="9" t="s">
        <v>18061</v>
      </c>
      <c r="P161" s="9" t="s">
        <v>18060</v>
      </c>
      <c r="Q161" s="9" t="s">
        <v>18059</v>
      </c>
      <c r="R161" s="9" t="s">
        <v>18058</v>
      </c>
      <c r="S161" s="9" t="s">
        <v>18057</v>
      </c>
      <c r="T161" s="9" t="s">
        <v>14725</v>
      </c>
      <c r="U161" s="9" t="s">
        <v>18056</v>
      </c>
      <c r="V161" s="9" t="s">
        <v>14754</v>
      </c>
      <c r="W161" s="9" t="s">
        <v>18055</v>
      </c>
      <c r="X161" s="9" t="s">
        <v>17192</v>
      </c>
      <c r="Y161" s="9"/>
      <c r="Z161" s="9"/>
      <c r="AA161" s="9" t="s">
        <v>15389</v>
      </c>
      <c r="AB161" s="9"/>
      <c r="AC161" s="9"/>
      <c r="AD161" s="9" t="s">
        <v>15389</v>
      </c>
      <c r="AE161" s="9"/>
      <c r="AF161" s="9"/>
      <c r="AG161" s="9" t="s">
        <v>15389</v>
      </c>
    </row>
    <row r="162" spans="1:33" ht="16.5">
      <c r="A162" s="9">
        <v>157</v>
      </c>
      <c r="B162" s="9" t="s">
        <v>18054</v>
      </c>
      <c r="C162" s="9" t="s">
        <v>14705</v>
      </c>
      <c r="D162" s="9" t="s">
        <v>17690</v>
      </c>
      <c r="E162" s="12">
        <v>44137</v>
      </c>
      <c r="F162" s="14">
        <v>44445</v>
      </c>
      <c r="G162" s="12" t="s">
        <v>14702</v>
      </c>
      <c r="H162" s="9" t="s">
        <v>18053</v>
      </c>
      <c r="I162" s="9" t="s">
        <v>18052</v>
      </c>
      <c r="J162" s="9">
        <v>3018150501</v>
      </c>
      <c r="K162" s="9" t="s">
        <v>18051</v>
      </c>
      <c r="L162" s="9" t="s">
        <v>18050</v>
      </c>
      <c r="M162" s="11" t="s">
        <v>14763</v>
      </c>
      <c r="N162" s="10" t="s">
        <v>18049</v>
      </c>
      <c r="O162" s="9" t="s">
        <v>18048</v>
      </c>
      <c r="P162" s="9" t="s">
        <v>18047</v>
      </c>
      <c r="Q162" s="9" t="s">
        <v>18046</v>
      </c>
      <c r="R162" s="9" t="s">
        <v>18045</v>
      </c>
      <c r="S162" s="9" t="s">
        <v>18044</v>
      </c>
      <c r="T162" s="9" t="s">
        <v>14773</v>
      </c>
      <c r="U162" s="9" t="s">
        <v>18043</v>
      </c>
      <c r="V162" s="9" t="s">
        <v>14754</v>
      </c>
      <c r="W162" s="9" t="s">
        <v>18042</v>
      </c>
      <c r="X162" s="9" t="s">
        <v>15971</v>
      </c>
      <c r="Y162" s="9"/>
      <c r="Z162" s="9"/>
      <c r="AA162" s="9" t="s">
        <v>15389</v>
      </c>
      <c r="AB162" s="9"/>
      <c r="AC162" s="9"/>
      <c r="AD162" s="9" t="s">
        <v>15389</v>
      </c>
      <c r="AE162" s="9"/>
      <c r="AF162" s="9"/>
      <c r="AG162" s="9" t="s">
        <v>15389</v>
      </c>
    </row>
    <row r="163" spans="1:33" ht="16.5">
      <c r="A163" s="9">
        <v>158</v>
      </c>
      <c r="B163" s="9" t="s">
        <v>18041</v>
      </c>
      <c r="C163" s="9" t="s">
        <v>14705</v>
      </c>
      <c r="D163" s="9" t="s">
        <v>17690</v>
      </c>
      <c r="E163" s="12">
        <v>44137</v>
      </c>
      <c r="F163" s="14">
        <v>45106</v>
      </c>
      <c r="G163" s="12" t="s">
        <v>14702</v>
      </c>
      <c r="H163" s="9" t="s">
        <v>18040</v>
      </c>
      <c r="I163" s="9" t="s">
        <v>18039</v>
      </c>
      <c r="J163" s="9">
        <v>4710153901</v>
      </c>
      <c r="K163" s="9" t="s">
        <v>18038</v>
      </c>
      <c r="L163" s="9" t="s">
        <v>18037</v>
      </c>
      <c r="M163" s="11" t="s">
        <v>14794</v>
      </c>
      <c r="N163" s="10" t="s">
        <v>18036</v>
      </c>
      <c r="O163" s="9" t="s">
        <v>18035</v>
      </c>
      <c r="P163" s="9" t="s">
        <v>18034</v>
      </c>
      <c r="Q163" s="9" t="s">
        <v>18033</v>
      </c>
      <c r="R163" s="9" t="s">
        <v>18032</v>
      </c>
      <c r="S163" s="9" t="s">
        <v>18031</v>
      </c>
      <c r="T163" s="9" t="s">
        <v>14725</v>
      </c>
      <c r="U163" s="9" t="s">
        <v>18030</v>
      </c>
      <c r="V163" s="9" t="s">
        <v>17582</v>
      </c>
      <c r="W163" s="9" t="s">
        <v>18029</v>
      </c>
      <c r="X163" s="9" t="s">
        <v>17921</v>
      </c>
      <c r="Y163" s="9"/>
      <c r="Z163" s="9"/>
      <c r="AA163" s="9" t="s">
        <v>15389</v>
      </c>
      <c r="AB163" s="9"/>
      <c r="AC163" s="9"/>
      <c r="AD163" s="9" t="s">
        <v>15389</v>
      </c>
      <c r="AE163" s="9"/>
      <c r="AF163" s="9"/>
      <c r="AG163" s="9" t="s">
        <v>15389</v>
      </c>
    </row>
    <row r="164" spans="1:33" ht="16.5">
      <c r="A164" s="9">
        <v>159</v>
      </c>
      <c r="B164" s="9" t="s">
        <v>18028</v>
      </c>
      <c r="C164" s="9" t="s">
        <v>14705</v>
      </c>
      <c r="D164" s="9" t="s">
        <v>17690</v>
      </c>
      <c r="E164" s="12">
        <v>44137</v>
      </c>
      <c r="F164" s="14">
        <v>44690</v>
      </c>
      <c r="G164" s="12" t="s">
        <v>14702</v>
      </c>
      <c r="H164" s="9" t="s">
        <v>18027</v>
      </c>
      <c r="I164" s="9" t="s">
        <v>18026</v>
      </c>
      <c r="J164" s="9">
        <v>4616152604</v>
      </c>
      <c r="K164" s="9" t="s">
        <v>15383</v>
      </c>
      <c r="L164" s="9" t="s">
        <v>18025</v>
      </c>
      <c r="M164" s="11" t="s">
        <v>14794</v>
      </c>
      <c r="N164" s="10" t="s">
        <v>18024</v>
      </c>
      <c r="O164" s="9" t="s">
        <v>18023</v>
      </c>
      <c r="P164" s="9" t="s">
        <v>18022</v>
      </c>
      <c r="Q164" s="9" t="s">
        <v>18021</v>
      </c>
      <c r="R164" s="9" t="s">
        <v>18020</v>
      </c>
      <c r="S164" s="9" t="s">
        <v>18019</v>
      </c>
      <c r="T164" s="9" t="s">
        <v>14815</v>
      </c>
      <c r="U164" s="9" t="s">
        <v>18018</v>
      </c>
      <c r="V164" s="9" t="s">
        <v>77</v>
      </c>
      <c r="W164" s="9" t="s">
        <v>18017</v>
      </c>
      <c r="X164" s="9" t="s">
        <v>18016</v>
      </c>
      <c r="Y164" s="9"/>
      <c r="Z164" s="9"/>
      <c r="AA164" s="9" t="s">
        <v>15389</v>
      </c>
      <c r="AB164" s="9"/>
      <c r="AC164" s="9"/>
      <c r="AD164" s="9" t="s">
        <v>15389</v>
      </c>
      <c r="AE164" s="9"/>
      <c r="AF164" s="9"/>
      <c r="AG164" s="9" t="s">
        <v>15389</v>
      </c>
    </row>
    <row r="165" spans="1:33" ht="16.5">
      <c r="A165" s="9">
        <v>160</v>
      </c>
      <c r="B165" s="9" t="s">
        <v>18015</v>
      </c>
      <c r="C165" s="9" t="s">
        <v>15155</v>
      </c>
      <c r="D165" s="9" t="s">
        <v>17690</v>
      </c>
      <c r="E165" s="12">
        <v>44137</v>
      </c>
      <c r="F165" s="14">
        <v>44501</v>
      </c>
      <c r="G165" s="12" t="s">
        <v>14702</v>
      </c>
      <c r="H165" s="9" t="s">
        <v>18014</v>
      </c>
      <c r="I165" s="9" t="s">
        <v>18013</v>
      </c>
      <c r="J165" s="9">
        <v>5212170301</v>
      </c>
      <c r="K165" s="9" t="s">
        <v>18012</v>
      </c>
      <c r="L165" s="9" t="s">
        <v>18011</v>
      </c>
      <c r="M165" s="11" t="s">
        <v>14746</v>
      </c>
      <c r="N165" s="10" t="s">
        <v>5368</v>
      </c>
      <c r="O165" s="9" t="s">
        <v>18010</v>
      </c>
      <c r="P165" s="9" t="s">
        <v>18009</v>
      </c>
      <c r="Q165" s="9" t="s">
        <v>18008</v>
      </c>
      <c r="R165" s="9" t="s">
        <v>18007</v>
      </c>
      <c r="S165" s="9" t="s">
        <v>18006</v>
      </c>
      <c r="T165" s="9" t="s">
        <v>14725</v>
      </c>
      <c r="U165" s="9" t="s">
        <v>18005</v>
      </c>
      <c r="V165" s="9" t="s">
        <v>15374</v>
      </c>
      <c r="W165" s="9" t="s">
        <v>18004</v>
      </c>
      <c r="X165" s="9" t="s">
        <v>17881</v>
      </c>
      <c r="Y165" s="9"/>
      <c r="Z165" s="9"/>
      <c r="AA165" s="9" t="s">
        <v>15389</v>
      </c>
      <c r="AB165" s="9"/>
      <c r="AC165" s="9"/>
      <c r="AD165" s="9" t="s">
        <v>15389</v>
      </c>
      <c r="AE165" s="9"/>
      <c r="AF165" s="9"/>
      <c r="AG165" s="9" t="s">
        <v>15389</v>
      </c>
    </row>
    <row r="166" spans="1:33" ht="16.5">
      <c r="A166" s="9">
        <v>161</v>
      </c>
      <c r="B166" s="9" t="s">
        <v>18003</v>
      </c>
      <c r="C166" s="9" t="s">
        <v>15155</v>
      </c>
      <c r="D166" s="9" t="s">
        <v>17690</v>
      </c>
      <c r="E166" s="12">
        <v>44137</v>
      </c>
      <c r="F166" s="14">
        <v>44501</v>
      </c>
      <c r="G166" s="12" t="s">
        <v>14702</v>
      </c>
      <c r="H166" s="9" t="s">
        <v>18002</v>
      </c>
      <c r="I166" s="9" t="s">
        <v>18001</v>
      </c>
      <c r="J166" s="9">
        <v>4111456901</v>
      </c>
      <c r="K166" s="9" t="s">
        <v>17174</v>
      </c>
      <c r="L166" s="9" t="s">
        <v>18000</v>
      </c>
      <c r="M166" s="11" t="s">
        <v>14732</v>
      </c>
      <c r="N166" s="10" t="s">
        <v>17999</v>
      </c>
      <c r="O166" s="9" t="s">
        <v>17998</v>
      </c>
      <c r="P166" s="9" t="s">
        <v>17997</v>
      </c>
      <c r="Q166" s="9" t="s">
        <v>17996</v>
      </c>
      <c r="R166" s="9" t="s">
        <v>17995</v>
      </c>
      <c r="S166" s="9" t="s">
        <v>17994</v>
      </c>
      <c r="T166" s="9" t="s">
        <v>14815</v>
      </c>
      <c r="U166" s="9" t="s">
        <v>17993</v>
      </c>
      <c r="V166" s="9" t="s">
        <v>15374</v>
      </c>
      <c r="W166" s="9" t="s">
        <v>17992</v>
      </c>
      <c r="X166" s="9" t="s">
        <v>17270</v>
      </c>
      <c r="Y166" s="9"/>
      <c r="Z166" s="9"/>
      <c r="AA166" s="9" t="s">
        <v>15389</v>
      </c>
      <c r="AB166" s="9"/>
      <c r="AC166" s="9"/>
      <c r="AD166" s="9" t="s">
        <v>15389</v>
      </c>
      <c r="AE166" s="9"/>
      <c r="AF166" s="9"/>
      <c r="AG166" s="9" t="s">
        <v>15389</v>
      </c>
    </row>
    <row r="167" spans="1:33" ht="16.5">
      <c r="A167" s="9">
        <v>162</v>
      </c>
      <c r="B167" s="9" t="s">
        <v>17991</v>
      </c>
      <c r="C167" s="9" t="s">
        <v>14750</v>
      </c>
      <c r="D167" s="9" t="s">
        <v>17690</v>
      </c>
      <c r="E167" s="12">
        <v>44137</v>
      </c>
      <c r="F167" s="14">
        <v>44916</v>
      </c>
      <c r="G167" s="12" t="s">
        <v>14702</v>
      </c>
      <c r="H167" s="9" t="s">
        <v>15854</v>
      </c>
      <c r="I167" s="9" t="s">
        <v>17990</v>
      </c>
      <c r="J167" s="9">
        <v>4015151301</v>
      </c>
      <c r="K167" s="9" t="s">
        <v>15854</v>
      </c>
      <c r="L167" s="9" t="s">
        <v>17989</v>
      </c>
      <c r="M167" s="11" t="s">
        <v>14746</v>
      </c>
      <c r="N167" s="10" t="s">
        <v>17988</v>
      </c>
      <c r="O167" s="9" t="s">
        <v>17987</v>
      </c>
      <c r="P167" s="9" t="s">
        <v>17986</v>
      </c>
      <c r="Q167" s="9" t="s">
        <v>17985</v>
      </c>
      <c r="R167" s="9" t="s">
        <v>17984</v>
      </c>
      <c r="S167" s="9" t="s">
        <v>17983</v>
      </c>
      <c r="T167" s="9" t="s">
        <v>14692</v>
      </c>
      <c r="U167" s="9" t="s">
        <v>17982</v>
      </c>
      <c r="V167" s="9" t="s">
        <v>15846</v>
      </c>
      <c r="W167" s="9" t="s">
        <v>17981</v>
      </c>
      <c r="X167" s="9" t="s">
        <v>16357</v>
      </c>
      <c r="Y167" s="9"/>
      <c r="Z167" s="9"/>
      <c r="AA167" s="9" t="s">
        <v>15389</v>
      </c>
      <c r="AB167" s="9"/>
      <c r="AC167" s="9"/>
      <c r="AD167" s="9" t="s">
        <v>15389</v>
      </c>
      <c r="AE167" s="9"/>
      <c r="AF167" s="9"/>
      <c r="AG167" s="9" t="s">
        <v>15389</v>
      </c>
    </row>
    <row r="168" spans="1:33" ht="16.5">
      <c r="A168" s="9">
        <v>163</v>
      </c>
      <c r="B168" s="9" t="s">
        <v>17980</v>
      </c>
      <c r="C168" s="9" t="s">
        <v>15155</v>
      </c>
      <c r="D168" s="9" t="s">
        <v>17690</v>
      </c>
      <c r="E168" s="12">
        <v>44137</v>
      </c>
      <c r="F168" s="14">
        <v>44452</v>
      </c>
      <c r="G168" s="12" t="s">
        <v>14702</v>
      </c>
      <c r="H168" s="9" t="s">
        <v>17979</v>
      </c>
      <c r="I168" s="9" t="s">
        <v>17978</v>
      </c>
      <c r="J168" s="9">
        <v>1116210805</v>
      </c>
      <c r="K168" s="9" t="s">
        <v>17977</v>
      </c>
      <c r="L168" s="9" t="s">
        <v>17976</v>
      </c>
      <c r="M168" s="11" t="s">
        <v>14732</v>
      </c>
      <c r="N168" s="10" t="s">
        <v>17975</v>
      </c>
      <c r="O168" s="9" t="s">
        <v>17974</v>
      </c>
      <c r="P168" s="9" t="s">
        <v>16500</v>
      </c>
      <c r="Q168" s="9" t="s">
        <v>17973</v>
      </c>
      <c r="R168" s="9" t="s">
        <v>17972</v>
      </c>
      <c r="S168" s="9" t="s">
        <v>17971</v>
      </c>
      <c r="T168" s="9" t="s">
        <v>14815</v>
      </c>
      <c r="U168" s="9" t="s">
        <v>17970</v>
      </c>
      <c r="V168" s="9" t="s">
        <v>15374</v>
      </c>
      <c r="W168" s="9" t="s">
        <v>17969</v>
      </c>
      <c r="X168" s="9" t="s">
        <v>17968</v>
      </c>
      <c r="Y168" s="9"/>
      <c r="Z168" s="9"/>
      <c r="AA168" s="9" t="s">
        <v>15389</v>
      </c>
      <c r="AB168" s="9"/>
      <c r="AC168" s="9"/>
      <c r="AD168" s="9" t="s">
        <v>15389</v>
      </c>
      <c r="AE168" s="9"/>
      <c r="AF168" s="9"/>
      <c r="AG168" s="9" t="s">
        <v>15389</v>
      </c>
    </row>
    <row r="169" spans="1:33" ht="16.5">
      <c r="A169" s="9">
        <v>164</v>
      </c>
      <c r="B169" s="9" t="s">
        <v>17967</v>
      </c>
      <c r="C169" s="9" t="s">
        <v>15155</v>
      </c>
      <c r="D169" s="9" t="s">
        <v>17690</v>
      </c>
      <c r="E169" s="12">
        <v>44137</v>
      </c>
      <c r="F169" s="14">
        <v>44501</v>
      </c>
      <c r="G169" s="12" t="s">
        <v>14702</v>
      </c>
      <c r="H169" s="9" t="s">
        <v>17966</v>
      </c>
      <c r="I169" s="9" t="s">
        <v>17965</v>
      </c>
      <c r="J169" s="9">
        <v>4323230401</v>
      </c>
      <c r="K169" s="9" t="s">
        <v>15867</v>
      </c>
      <c r="L169" s="9" t="s">
        <v>17964</v>
      </c>
      <c r="M169" s="11" t="s">
        <v>14746</v>
      </c>
      <c r="N169" s="10" t="s">
        <v>17963</v>
      </c>
      <c r="O169" s="9" t="s">
        <v>17962</v>
      </c>
      <c r="P169" s="9" t="s">
        <v>17961</v>
      </c>
      <c r="Q169" s="9" t="s">
        <v>17961</v>
      </c>
      <c r="R169" s="9" t="s">
        <v>17960</v>
      </c>
      <c r="S169" s="9" t="s">
        <v>17959</v>
      </c>
      <c r="T169" s="9" t="s">
        <v>14692</v>
      </c>
      <c r="U169" s="9" t="s">
        <v>17958</v>
      </c>
      <c r="V169" s="9" t="s">
        <v>15374</v>
      </c>
      <c r="W169" s="9" t="s">
        <v>17957</v>
      </c>
      <c r="X169" s="9" t="s">
        <v>17054</v>
      </c>
      <c r="Y169" s="9"/>
      <c r="Z169" s="9"/>
      <c r="AA169" s="9" t="s">
        <v>15389</v>
      </c>
      <c r="AB169" s="9"/>
      <c r="AC169" s="9"/>
      <c r="AD169" s="9" t="s">
        <v>15389</v>
      </c>
      <c r="AE169" s="9"/>
      <c r="AF169" s="9"/>
      <c r="AG169" s="9" t="s">
        <v>15389</v>
      </c>
    </row>
    <row r="170" spans="1:33" ht="16.5">
      <c r="A170" s="9">
        <v>165</v>
      </c>
      <c r="B170" s="9" t="s">
        <v>17956</v>
      </c>
      <c r="C170" s="9" t="s">
        <v>14705</v>
      </c>
      <c r="D170" s="9" t="s">
        <v>17690</v>
      </c>
      <c r="E170" s="12">
        <v>44137</v>
      </c>
      <c r="F170" s="14">
        <v>45016</v>
      </c>
      <c r="G170" s="12" t="s">
        <v>14702</v>
      </c>
      <c r="H170" s="9" t="s">
        <v>15343</v>
      </c>
      <c r="I170" s="9" t="s">
        <v>17955</v>
      </c>
      <c r="J170" s="9">
        <v>4713182301</v>
      </c>
      <c r="K170" s="9" t="s">
        <v>15343</v>
      </c>
      <c r="L170" s="9" t="s">
        <v>17954</v>
      </c>
      <c r="M170" s="11" t="s">
        <v>14794</v>
      </c>
      <c r="N170" s="10" t="s">
        <v>17953</v>
      </c>
      <c r="O170" s="9" t="s">
        <v>17952</v>
      </c>
      <c r="P170" s="9" t="s">
        <v>15195</v>
      </c>
      <c r="Q170" s="9" t="s">
        <v>17951</v>
      </c>
      <c r="R170" s="9" t="s">
        <v>17950</v>
      </c>
      <c r="S170" s="9" t="s">
        <v>17949</v>
      </c>
      <c r="T170" s="9" t="s">
        <v>14725</v>
      </c>
      <c r="U170" s="9" t="s">
        <v>17948</v>
      </c>
      <c r="V170" s="9" t="s">
        <v>75</v>
      </c>
      <c r="W170" s="9" t="s">
        <v>17947</v>
      </c>
      <c r="X170" s="9" t="s">
        <v>16839</v>
      </c>
      <c r="Y170" s="9"/>
      <c r="Z170" s="9"/>
      <c r="AA170" s="9" t="s">
        <v>15389</v>
      </c>
      <c r="AB170" s="9"/>
      <c r="AC170" s="9"/>
      <c r="AD170" s="9" t="s">
        <v>15389</v>
      </c>
      <c r="AE170" s="9"/>
      <c r="AF170" s="9"/>
      <c r="AG170" s="9" t="s">
        <v>15389</v>
      </c>
    </row>
    <row r="171" spans="1:33" ht="16.5">
      <c r="A171" s="9">
        <v>166</v>
      </c>
      <c r="B171" s="9" t="s">
        <v>17946</v>
      </c>
      <c r="C171" s="9" t="s">
        <v>14750</v>
      </c>
      <c r="D171" s="9" t="s">
        <v>17690</v>
      </c>
      <c r="E171" s="12">
        <v>44137</v>
      </c>
      <c r="F171" s="14">
        <v>44795</v>
      </c>
      <c r="G171" s="12" t="s">
        <v>14702</v>
      </c>
      <c r="H171" s="9" t="s">
        <v>17945</v>
      </c>
      <c r="I171" s="9" t="s">
        <v>17944</v>
      </c>
      <c r="J171" s="9">
        <v>4710998001</v>
      </c>
      <c r="K171" s="9" t="s">
        <v>15541</v>
      </c>
      <c r="L171" s="9" t="s">
        <v>17943</v>
      </c>
      <c r="M171" s="11" t="s">
        <v>14746</v>
      </c>
      <c r="N171" s="10" t="s">
        <v>17942</v>
      </c>
      <c r="O171" s="9" t="s">
        <v>17941</v>
      </c>
      <c r="P171" s="9" t="s">
        <v>17940</v>
      </c>
      <c r="Q171" s="9" t="s">
        <v>17939</v>
      </c>
      <c r="R171" s="9" t="s">
        <v>17938</v>
      </c>
      <c r="S171" s="9" t="s">
        <v>17937</v>
      </c>
      <c r="T171" s="9" t="s">
        <v>15101</v>
      </c>
      <c r="U171" s="9" t="s">
        <v>17936</v>
      </c>
      <c r="V171" s="9" t="s">
        <v>77</v>
      </c>
      <c r="W171" s="9" t="s">
        <v>17935</v>
      </c>
      <c r="X171" s="9" t="s">
        <v>17934</v>
      </c>
      <c r="Y171" s="9"/>
      <c r="Z171" s="9"/>
      <c r="AA171" s="9" t="s">
        <v>15389</v>
      </c>
      <c r="AB171" s="9"/>
      <c r="AC171" s="9"/>
      <c r="AD171" s="9" t="s">
        <v>15389</v>
      </c>
      <c r="AE171" s="9"/>
      <c r="AF171" s="9"/>
      <c r="AG171" s="9" t="s">
        <v>15389</v>
      </c>
    </row>
    <row r="172" spans="1:33" ht="16.5">
      <c r="A172" s="9">
        <v>167</v>
      </c>
      <c r="B172" s="9" t="s">
        <v>17933</v>
      </c>
      <c r="C172" s="9" t="s">
        <v>15155</v>
      </c>
      <c r="D172" s="9" t="s">
        <v>17690</v>
      </c>
      <c r="E172" s="12">
        <v>44137</v>
      </c>
      <c r="F172" s="14">
        <v>45106</v>
      </c>
      <c r="G172" s="12" t="s">
        <v>14702</v>
      </c>
      <c r="H172" s="9" t="s">
        <v>17932</v>
      </c>
      <c r="I172" s="9" t="s">
        <v>17931</v>
      </c>
      <c r="J172" s="9">
        <v>5512190303</v>
      </c>
      <c r="K172" s="9" t="s">
        <v>17930</v>
      </c>
      <c r="L172" s="9" t="s">
        <v>17929</v>
      </c>
      <c r="M172" s="11" t="s">
        <v>14746</v>
      </c>
      <c r="N172" s="10" t="s">
        <v>12300</v>
      </c>
      <c r="O172" s="9" t="s">
        <v>17928</v>
      </c>
      <c r="P172" s="9" t="s">
        <v>17927</v>
      </c>
      <c r="Q172" s="9" t="s">
        <v>17926</v>
      </c>
      <c r="R172" s="9" t="s">
        <v>17925</v>
      </c>
      <c r="S172" s="9" t="s">
        <v>17924</v>
      </c>
      <c r="T172" s="9" t="s">
        <v>17355</v>
      </c>
      <c r="U172" s="9" t="s">
        <v>17923</v>
      </c>
      <c r="V172" s="9" t="s">
        <v>15377</v>
      </c>
      <c r="W172" s="9" t="s">
        <v>17922</v>
      </c>
      <c r="X172" s="9" t="s">
        <v>17921</v>
      </c>
      <c r="Y172" s="9"/>
      <c r="Z172" s="9"/>
      <c r="AA172" s="9" t="s">
        <v>15389</v>
      </c>
      <c r="AB172" s="9"/>
      <c r="AC172" s="9"/>
      <c r="AD172" s="9" t="s">
        <v>15389</v>
      </c>
      <c r="AE172" s="9"/>
      <c r="AF172" s="9"/>
      <c r="AG172" s="9" t="s">
        <v>15389</v>
      </c>
    </row>
    <row r="173" spans="1:33" ht="16.5">
      <c r="A173" s="9">
        <v>168</v>
      </c>
      <c r="B173" s="9" t="s">
        <v>17920</v>
      </c>
      <c r="C173" s="9" t="s">
        <v>15155</v>
      </c>
      <c r="D173" s="9" t="s">
        <v>17690</v>
      </c>
      <c r="E173" s="12">
        <v>44137</v>
      </c>
      <c r="F173" s="14">
        <v>44501</v>
      </c>
      <c r="G173" s="12" t="s">
        <v>14702</v>
      </c>
      <c r="H173" s="9" t="s">
        <v>17919</v>
      </c>
      <c r="I173" s="9" t="s">
        <v>17918</v>
      </c>
      <c r="J173" s="9">
        <v>1116211101</v>
      </c>
      <c r="K173" s="9" t="s">
        <v>17917</v>
      </c>
      <c r="L173" s="9" t="s">
        <v>17916</v>
      </c>
      <c r="M173" s="11" t="s">
        <v>14746</v>
      </c>
      <c r="N173" s="10" t="s">
        <v>17915</v>
      </c>
      <c r="O173" s="9" t="s">
        <v>17914</v>
      </c>
      <c r="P173" s="9" t="s">
        <v>17913</v>
      </c>
      <c r="Q173" s="9" t="s">
        <v>17913</v>
      </c>
      <c r="R173" s="9" t="s">
        <v>17912</v>
      </c>
      <c r="S173" s="9" t="s">
        <v>17911</v>
      </c>
      <c r="T173" s="9" t="s">
        <v>17355</v>
      </c>
      <c r="U173" s="9" t="s">
        <v>17910</v>
      </c>
      <c r="V173" s="9" t="s">
        <v>15374</v>
      </c>
      <c r="W173" s="9" t="s">
        <v>17909</v>
      </c>
      <c r="X173" s="9" t="s">
        <v>17908</v>
      </c>
      <c r="Y173" s="9"/>
      <c r="Z173" s="9"/>
      <c r="AA173" s="9" t="s">
        <v>15389</v>
      </c>
      <c r="AB173" s="9"/>
      <c r="AC173" s="9"/>
      <c r="AD173" s="9" t="s">
        <v>15389</v>
      </c>
      <c r="AE173" s="9"/>
      <c r="AF173" s="9"/>
      <c r="AG173" s="9" t="s">
        <v>15389</v>
      </c>
    </row>
    <row r="174" spans="1:33" ht="16.5">
      <c r="A174" s="9">
        <v>169</v>
      </c>
      <c r="B174" s="9" t="s">
        <v>17907</v>
      </c>
      <c r="C174" s="9" t="s">
        <v>15155</v>
      </c>
      <c r="D174" s="9" t="s">
        <v>17690</v>
      </c>
      <c r="E174" s="12">
        <v>44137</v>
      </c>
      <c r="F174" s="14">
        <v>45383</v>
      </c>
      <c r="G174" s="12" t="s">
        <v>14702</v>
      </c>
      <c r="H174" s="9" t="s">
        <v>17906</v>
      </c>
      <c r="I174" s="9" t="s">
        <v>17905</v>
      </c>
      <c r="J174" s="9">
        <v>5611210101</v>
      </c>
      <c r="K174" s="9" t="s">
        <v>17904</v>
      </c>
      <c r="L174" s="9" t="s">
        <v>17903</v>
      </c>
      <c r="M174" s="11" t="s">
        <v>14699</v>
      </c>
      <c r="N174" s="10" t="s">
        <v>17902</v>
      </c>
      <c r="O174" s="9" t="s">
        <v>17901</v>
      </c>
      <c r="P174" s="9" t="s">
        <v>17900</v>
      </c>
      <c r="Q174" s="9" t="s">
        <v>17899</v>
      </c>
      <c r="R174" s="9" t="s">
        <v>17898</v>
      </c>
      <c r="S174" s="9" t="s">
        <v>17897</v>
      </c>
      <c r="T174" s="9" t="s">
        <v>15678</v>
      </c>
      <c r="U174" s="9" t="s">
        <v>17896</v>
      </c>
      <c r="V174" s="9" t="s">
        <v>75</v>
      </c>
      <c r="W174" s="9" t="s">
        <v>17895</v>
      </c>
      <c r="X174" s="9" t="s">
        <v>17894</v>
      </c>
      <c r="Y174" s="9"/>
      <c r="Z174" s="9"/>
      <c r="AA174" s="9" t="s">
        <v>15389</v>
      </c>
      <c r="AB174" s="9"/>
      <c r="AC174" s="9"/>
      <c r="AD174" s="9" t="s">
        <v>15389</v>
      </c>
      <c r="AE174" s="9"/>
      <c r="AF174" s="9"/>
      <c r="AG174" s="9" t="s">
        <v>15389</v>
      </c>
    </row>
    <row r="175" spans="1:33" ht="16.5">
      <c r="A175" s="9">
        <v>170</v>
      </c>
      <c r="B175" s="9" t="s">
        <v>17893</v>
      </c>
      <c r="C175" s="9" t="s">
        <v>15155</v>
      </c>
      <c r="D175" s="9" t="s">
        <v>17690</v>
      </c>
      <c r="E175" s="12">
        <v>44137</v>
      </c>
      <c r="F175" s="14">
        <v>44501</v>
      </c>
      <c r="G175" s="12" t="s">
        <v>14702</v>
      </c>
      <c r="H175" s="9" t="s">
        <v>17891</v>
      </c>
      <c r="I175" s="9" t="s">
        <v>17892</v>
      </c>
      <c r="J175" s="9">
        <v>3911150403</v>
      </c>
      <c r="K175" s="9" t="s">
        <v>17891</v>
      </c>
      <c r="L175" s="9" t="s">
        <v>17890</v>
      </c>
      <c r="M175" s="11" t="s">
        <v>15065</v>
      </c>
      <c r="N175" s="10" t="s">
        <v>17889</v>
      </c>
      <c r="O175" s="9" t="s">
        <v>17888</v>
      </c>
      <c r="P175" s="9" t="s">
        <v>17887</v>
      </c>
      <c r="Q175" s="9" t="s">
        <v>17886</v>
      </c>
      <c r="R175" s="9" t="s">
        <v>17885</v>
      </c>
      <c r="S175" s="9" t="s">
        <v>17884</v>
      </c>
      <c r="T175" s="9" t="s">
        <v>14815</v>
      </c>
      <c r="U175" s="9" t="s">
        <v>17883</v>
      </c>
      <c r="V175" s="9" t="s">
        <v>15374</v>
      </c>
      <c r="W175" s="9" t="s">
        <v>17882</v>
      </c>
      <c r="X175" s="9" t="s">
        <v>17881</v>
      </c>
      <c r="Y175" s="9"/>
      <c r="Z175" s="9"/>
      <c r="AA175" s="9" t="s">
        <v>15389</v>
      </c>
      <c r="AB175" s="9"/>
      <c r="AC175" s="9"/>
      <c r="AD175" s="9" t="s">
        <v>15389</v>
      </c>
      <c r="AE175" s="9"/>
      <c r="AF175" s="9"/>
      <c r="AG175" s="9" t="s">
        <v>15389</v>
      </c>
    </row>
    <row r="176" spans="1:33" ht="16.5">
      <c r="A176" s="9">
        <v>171</v>
      </c>
      <c r="B176" s="9" t="s">
        <v>17880</v>
      </c>
      <c r="C176" s="9" t="s">
        <v>14705</v>
      </c>
      <c r="D176" s="9" t="s">
        <v>17690</v>
      </c>
      <c r="E176" s="12">
        <v>44137</v>
      </c>
      <c r="F176" s="14">
        <v>45122</v>
      </c>
      <c r="G176" s="12" t="s">
        <v>14702</v>
      </c>
      <c r="H176" s="9" t="s">
        <v>17879</v>
      </c>
      <c r="I176" s="9" t="s">
        <v>17878</v>
      </c>
      <c r="J176" s="9">
        <v>3015190101</v>
      </c>
      <c r="K176" s="9" t="s">
        <v>17877</v>
      </c>
      <c r="L176" s="9" t="s">
        <v>17876</v>
      </c>
      <c r="M176" s="11" t="s">
        <v>14746</v>
      </c>
      <c r="N176" s="10" t="s">
        <v>17875</v>
      </c>
      <c r="O176" s="9" t="s">
        <v>17874</v>
      </c>
      <c r="P176" s="9" t="s">
        <v>17873</v>
      </c>
      <c r="Q176" s="9" t="s">
        <v>17872</v>
      </c>
      <c r="R176" s="9" t="s">
        <v>17871</v>
      </c>
      <c r="S176" s="9" t="s">
        <v>17870</v>
      </c>
      <c r="T176" s="9" t="s">
        <v>14725</v>
      </c>
      <c r="U176" s="9" t="s">
        <v>17869</v>
      </c>
      <c r="V176" s="9" t="s">
        <v>77</v>
      </c>
      <c r="W176" s="9" t="s">
        <v>17868</v>
      </c>
      <c r="X176" s="9" t="s">
        <v>17867</v>
      </c>
      <c r="Y176" s="9"/>
      <c r="Z176" s="9"/>
      <c r="AA176" s="9" t="s">
        <v>15389</v>
      </c>
      <c r="AB176" s="9"/>
      <c r="AC176" s="9"/>
      <c r="AD176" s="9" t="s">
        <v>15389</v>
      </c>
      <c r="AE176" s="9"/>
      <c r="AF176" s="9"/>
      <c r="AG176" s="9" t="s">
        <v>15389</v>
      </c>
    </row>
    <row r="177" spans="1:33" ht="16.5">
      <c r="A177" s="9">
        <v>172</v>
      </c>
      <c r="B177" s="9" t="s">
        <v>17866</v>
      </c>
      <c r="C177" s="9" t="s">
        <v>14705</v>
      </c>
      <c r="D177" s="9" t="s">
        <v>17690</v>
      </c>
      <c r="E177" s="12">
        <v>44137</v>
      </c>
      <c r="F177" s="14">
        <v>44724</v>
      </c>
      <c r="G177" s="12" t="s">
        <v>14702</v>
      </c>
      <c r="H177" s="9" t="s">
        <v>17865</v>
      </c>
      <c r="I177" s="9" t="s">
        <v>17864</v>
      </c>
      <c r="J177" s="9">
        <v>4010170901</v>
      </c>
      <c r="K177" s="9" t="s">
        <v>17863</v>
      </c>
      <c r="L177" s="9" t="s">
        <v>17862</v>
      </c>
      <c r="M177" s="11" t="s">
        <v>14732</v>
      </c>
      <c r="N177" s="10" t="s">
        <v>17861</v>
      </c>
      <c r="O177" s="9" t="s">
        <v>17860</v>
      </c>
      <c r="P177" s="9" t="s">
        <v>17859</v>
      </c>
      <c r="Q177" s="9" t="s">
        <v>17858</v>
      </c>
      <c r="R177" s="9" t="s">
        <v>17857</v>
      </c>
      <c r="S177" s="9" t="s">
        <v>17856</v>
      </c>
      <c r="T177" s="9" t="s">
        <v>14725</v>
      </c>
      <c r="U177" s="9" t="s">
        <v>17855</v>
      </c>
      <c r="V177" s="9" t="s">
        <v>75</v>
      </c>
      <c r="W177" s="9" t="s">
        <v>17854</v>
      </c>
      <c r="X177" s="9" t="s">
        <v>15717</v>
      </c>
      <c r="Y177" s="9"/>
      <c r="Z177" s="9"/>
      <c r="AA177" s="9" t="s">
        <v>15389</v>
      </c>
      <c r="AB177" s="9"/>
      <c r="AC177" s="9"/>
      <c r="AD177" s="9" t="s">
        <v>15389</v>
      </c>
      <c r="AE177" s="9"/>
      <c r="AF177" s="9"/>
      <c r="AG177" s="9" t="s">
        <v>15389</v>
      </c>
    </row>
    <row r="178" spans="1:33" ht="16.5">
      <c r="A178" s="9">
        <v>173</v>
      </c>
      <c r="B178" s="9" t="s">
        <v>17853</v>
      </c>
      <c r="C178" s="9" t="s">
        <v>14705</v>
      </c>
      <c r="D178" s="9" t="s">
        <v>17690</v>
      </c>
      <c r="E178" s="12">
        <v>44137</v>
      </c>
      <c r="F178" s="14">
        <v>44791</v>
      </c>
      <c r="G178" s="12" t="s">
        <v>14702</v>
      </c>
      <c r="H178" s="9" t="s">
        <v>17852</v>
      </c>
      <c r="I178" s="9" t="s">
        <v>17851</v>
      </c>
      <c r="J178" s="9">
        <v>2413150301</v>
      </c>
      <c r="K178" s="9" t="s">
        <v>17850</v>
      </c>
      <c r="L178" s="9" t="s">
        <v>17849</v>
      </c>
      <c r="M178" s="11" t="s">
        <v>14732</v>
      </c>
      <c r="N178" s="10" t="s">
        <v>17848</v>
      </c>
      <c r="O178" s="9" t="s">
        <v>17847</v>
      </c>
      <c r="P178" s="9" t="s">
        <v>17846</v>
      </c>
      <c r="Q178" s="9" t="s">
        <v>17845</v>
      </c>
      <c r="R178" s="9" t="s">
        <v>17844</v>
      </c>
      <c r="S178" s="9" t="s">
        <v>17843</v>
      </c>
      <c r="T178" s="9" t="s">
        <v>14692</v>
      </c>
      <c r="U178" s="9" t="s">
        <v>17842</v>
      </c>
      <c r="V178" s="9" t="s">
        <v>75</v>
      </c>
      <c r="W178" s="9" t="s">
        <v>17841</v>
      </c>
      <c r="X178" s="9" t="s">
        <v>16241</v>
      </c>
      <c r="Y178" s="9"/>
      <c r="Z178" s="9"/>
      <c r="AA178" s="9" t="s">
        <v>15389</v>
      </c>
      <c r="AB178" s="9"/>
      <c r="AC178" s="9"/>
      <c r="AD178" s="9" t="s">
        <v>15389</v>
      </c>
      <c r="AE178" s="9"/>
      <c r="AF178" s="9"/>
      <c r="AG178" s="9" t="s">
        <v>15389</v>
      </c>
    </row>
    <row r="179" spans="1:33" ht="16.5">
      <c r="A179" s="9">
        <v>174</v>
      </c>
      <c r="B179" s="9" t="s">
        <v>17840</v>
      </c>
      <c r="C179" s="9" t="s">
        <v>14750</v>
      </c>
      <c r="D179" s="9" t="s">
        <v>17690</v>
      </c>
      <c r="E179" s="12">
        <v>44137</v>
      </c>
      <c r="F179" s="14">
        <v>45168</v>
      </c>
      <c r="G179" s="12" t="s">
        <v>14702</v>
      </c>
      <c r="H179" s="9" t="s">
        <v>17839</v>
      </c>
      <c r="I179" s="9" t="s">
        <v>17838</v>
      </c>
      <c r="J179" s="9">
        <v>4010160201</v>
      </c>
      <c r="K179" s="9" t="s">
        <v>17837</v>
      </c>
      <c r="L179" s="9" t="s">
        <v>17836</v>
      </c>
      <c r="M179" s="11" t="s">
        <v>14746</v>
      </c>
      <c r="N179" s="10" t="s">
        <v>17835</v>
      </c>
      <c r="O179" s="9" t="s">
        <v>17834</v>
      </c>
      <c r="P179" s="9" t="s">
        <v>17833</v>
      </c>
      <c r="Q179" s="9" t="s">
        <v>17832</v>
      </c>
      <c r="R179" s="9" t="s">
        <v>17831</v>
      </c>
      <c r="S179" s="9" t="s">
        <v>17830</v>
      </c>
      <c r="T179" s="9" t="s">
        <v>14815</v>
      </c>
      <c r="U179" s="9" t="s">
        <v>17829</v>
      </c>
      <c r="V179" s="9" t="s">
        <v>77</v>
      </c>
      <c r="W179" s="9" t="s">
        <v>17828</v>
      </c>
      <c r="X179" s="9" t="s">
        <v>17827</v>
      </c>
      <c r="Y179" s="9"/>
      <c r="Z179" s="9"/>
      <c r="AA179" s="9" t="s">
        <v>15389</v>
      </c>
      <c r="AB179" s="9"/>
      <c r="AC179" s="9"/>
      <c r="AD179" s="9" t="s">
        <v>15389</v>
      </c>
      <c r="AE179" s="9"/>
      <c r="AF179" s="9"/>
      <c r="AG179" s="9" t="s">
        <v>15389</v>
      </c>
    </row>
    <row r="180" spans="1:33" ht="16.5">
      <c r="A180" s="9">
        <v>175</v>
      </c>
      <c r="B180" s="9" t="s">
        <v>17826</v>
      </c>
      <c r="C180" s="9" t="s">
        <v>14750</v>
      </c>
      <c r="D180" s="9" t="s">
        <v>17690</v>
      </c>
      <c r="E180" s="12">
        <v>44137</v>
      </c>
      <c r="F180" s="14">
        <v>45134</v>
      </c>
      <c r="G180" s="12" t="s">
        <v>14702</v>
      </c>
      <c r="H180" s="9" t="s">
        <v>17825</v>
      </c>
      <c r="I180" s="9" t="s">
        <v>17824</v>
      </c>
      <c r="J180" s="9">
        <v>4014211701</v>
      </c>
      <c r="K180" s="9" t="s">
        <v>17823</v>
      </c>
      <c r="L180" s="9" t="s">
        <v>17822</v>
      </c>
      <c r="M180" s="11" t="s">
        <v>15065</v>
      </c>
      <c r="N180" s="10" t="s">
        <v>17821</v>
      </c>
      <c r="O180" s="9" t="s">
        <v>17820</v>
      </c>
      <c r="P180" s="9" t="s">
        <v>17819</v>
      </c>
      <c r="Q180" s="9" t="s">
        <v>17818</v>
      </c>
      <c r="R180" s="9" t="s">
        <v>17817</v>
      </c>
      <c r="S180" s="9" t="s">
        <v>17816</v>
      </c>
      <c r="T180" s="9" t="s">
        <v>15488</v>
      </c>
      <c r="U180" s="9" t="s">
        <v>17815</v>
      </c>
      <c r="V180" s="9" t="s">
        <v>77</v>
      </c>
      <c r="W180" s="9" t="s">
        <v>17814</v>
      </c>
      <c r="X180" s="9" t="s">
        <v>17813</v>
      </c>
      <c r="Y180" s="9"/>
      <c r="Z180" s="9"/>
      <c r="AA180" s="9" t="s">
        <v>15389</v>
      </c>
      <c r="AB180" s="9"/>
      <c r="AC180" s="9"/>
      <c r="AD180" s="9" t="s">
        <v>15389</v>
      </c>
      <c r="AE180" s="9"/>
      <c r="AF180" s="9"/>
      <c r="AG180" s="9" t="s">
        <v>15389</v>
      </c>
    </row>
    <row r="181" spans="1:33" ht="16.5">
      <c r="A181" s="9">
        <v>176</v>
      </c>
      <c r="B181" s="9" t="s">
        <v>17812</v>
      </c>
      <c r="C181" s="9" t="s">
        <v>14705</v>
      </c>
      <c r="D181" s="9" t="s">
        <v>17690</v>
      </c>
      <c r="E181" s="12">
        <v>44137</v>
      </c>
      <c r="F181" s="14">
        <v>44624</v>
      </c>
      <c r="G181" s="12" t="s">
        <v>14702</v>
      </c>
      <c r="H181" s="9" t="s">
        <v>17811</v>
      </c>
      <c r="I181" s="9" t="s">
        <v>17810</v>
      </c>
      <c r="J181" s="9">
        <v>3013150206</v>
      </c>
      <c r="K181" s="9" t="s">
        <v>17809</v>
      </c>
      <c r="L181" s="9" t="s">
        <v>17808</v>
      </c>
      <c r="M181" s="11" t="s">
        <v>14794</v>
      </c>
      <c r="N181" s="10" t="s">
        <v>17807</v>
      </c>
      <c r="O181" s="9" t="s">
        <v>17806</v>
      </c>
      <c r="P181" s="9" t="s">
        <v>17805</v>
      </c>
      <c r="Q181" s="9" t="s">
        <v>17804</v>
      </c>
      <c r="R181" s="9" t="s">
        <v>17803</v>
      </c>
      <c r="S181" s="9" t="s">
        <v>17802</v>
      </c>
      <c r="T181" s="9" t="s">
        <v>15488</v>
      </c>
      <c r="U181" s="9" t="s">
        <v>17801</v>
      </c>
      <c r="V181" s="9" t="s">
        <v>77</v>
      </c>
      <c r="W181" s="9" t="s">
        <v>17800</v>
      </c>
      <c r="X181" s="9" t="s">
        <v>17799</v>
      </c>
      <c r="Y181" s="9"/>
      <c r="Z181" s="9"/>
      <c r="AA181" s="9" t="s">
        <v>15389</v>
      </c>
      <c r="AB181" s="9"/>
      <c r="AC181" s="9"/>
      <c r="AD181" s="9" t="s">
        <v>15389</v>
      </c>
      <c r="AE181" s="9"/>
      <c r="AF181" s="9"/>
      <c r="AG181" s="9" t="s">
        <v>15389</v>
      </c>
    </row>
    <row r="182" spans="1:33" ht="16.5">
      <c r="A182" s="9">
        <v>177</v>
      </c>
      <c r="B182" s="9" t="s">
        <v>17798</v>
      </c>
      <c r="C182" s="9" t="s">
        <v>15155</v>
      </c>
      <c r="D182" s="9" t="s">
        <v>17690</v>
      </c>
      <c r="E182" s="12">
        <v>44137</v>
      </c>
      <c r="F182" s="14">
        <v>45052</v>
      </c>
      <c r="G182" s="12" t="s">
        <v>14702</v>
      </c>
      <c r="H182" s="9" t="s">
        <v>17797</v>
      </c>
      <c r="I182" s="9" t="s">
        <v>17796</v>
      </c>
      <c r="J182" s="9">
        <v>3911160304</v>
      </c>
      <c r="K182" s="9" t="s">
        <v>15024</v>
      </c>
      <c r="L182" s="9" t="s">
        <v>17795</v>
      </c>
      <c r="M182" s="11" t="s">
        <v>14746</v>
      </c>
      <c r="N182" s="10" t="s">
        <v>17711</v>
      </c>
      <c r="O182" s="9" t="s">
        <v>17710</v>
      </c>
      <c r="P182" s="9" t="s">
        <v>17709</v>
      </c>
      <c r="Q182" s="9" t="s">
        <v>17709</v>
      </c>
      <c r="R182" s="9" t="s">
        <v>17708</v>
      </c>
      <c r="S182" s="9" t="s">
        <v>17707</v>
      </c>
      <c r="T182" s="9" t="s">
        <v>15101</v>
      </c>
      <c r="U182" s="9" t="s">
        <v>17706</v>
      </c>
      <c r="V182" s="9" t="s">
        <v>16929</v>
      </c>
      <c r="W182" s="9" t="s">
        <v>17790</v>
      </c>
      <c r="X182" s="9" t="s">
        <v>17704</v>
      </c>
      <c r="Y182" s="9"/>
      <c r="Z182" s="9"/>
      <c r="AA182" s="9" t="s">
        <v>15389</v>
      </c>
      <c r="AB182" s="9"/>
      <c r="AC182" s="9"/>
      <c r="AD182" s="9" t="s">
        <v>15389</v>
      </c>
      <c r="AE182" s="9"/>
      <c r="AF182" s="9"/>
      <c r="AG182" s="9" t="s">
        <v>15389</v>
      </c>
    </row>
    <row r="183" spans="1:33" ht="16.5">
      <c r="A183" s="9">
        <v>178</v>
      </c>
      <c r="B183" s="9" t="s">
        <v>17794</v>
      </c>
      <c r="C183" s="9" t="s">
        <v>15155</v>
      </c>
      <c r="D183" s="9" t="s">
        <v>17690</v>
      </c>
      <c r="E183" s="12">
        <v>44137</v>
      </c>
      <c r="F183" s="14">
        <v>45052</v>
      </c>
      <c r="G183" s="12" t="s">
        <v>14702</v>
      </c>
      <c r="H183" s="9" t="s">
        <v>17793</v>
      </c>
      <c r="I183" s="9" t="s">
        <v>17792</v>
      </c>
      <c r="J183" s="9">
        <v>3911160802</v>
      </c>
      <c r="K183" s="9" t="s">
        <v>15018</v>
      </c>
      <c r="L183" s="9" t="s">
        <v>17712</v>
      </c>
      <c r="M183" s="11" t="s">
        <v>14746</v>
      </c>
      <c r="N183" s="10" t="s">
        <v>17711</v>
      </c>
      <c r="O183" s="9" t="s">
        <v>17710</v>
      </c>
      <c r="P183" s="9" t="s">
        <v>17709</v>
      </c>
      <c r="Q183" s="9" t="s">
        <v>17709</v>
      </c>
      <c r="R183" s="9" t="s">
        <v>17708</v>
      </c>
      <c r="S183" s="9" t="s">
        <v>17707</v>
      </c>
      <c r="T183" s="9" t="s">
        <v>15101</v>
      </c>
      <c r="U183" s="9" t="s">
        <v>17791</v>
      </c>
      <c r="V183" s="9" t="s">
        <v>16929</v>
      </c>
      <c r="W183" s="9" t="s">
        <v>17790</v>
      </c>
      <c r="X183" s="9" t="s">
        <v>17704</v>
      </c>
      <c r="Y183" s="9"/>
      <c r="Z183" s="9"/>
      <c r="AA183" s="9" t="s">
        <v>15389</v>
      </c>
      <c r="AB183" s="9"/>
      <c r="AC183" s="9"/>
      <c r="AD183" s="9" t="s">
        <v>15389</v>
      </c>
      <c r="AE183" s="9"/>
      <c r="AF183" s="9"/>
      <c r="AG183" s="9" t="s">
        <v>15389</v>
      </c>
    </row>
    <row r="184" spans="1:33" ht="16.5">
      <c r="A184" s="9">
        <v>179</v>
      </c>
      <c r="B184" s="9" t="s">
        <v>17789</v>
      </c>
      <c r="C184" s="9" t="s">
        <v>14705</v>
      </c>
      <c r="D184" s="9" t="s">
        <v>17690</v>
      </c>
      <c r="E184" s="12">
        <v>44137</v>
      </c>
      <c r="F184" s="14">
        <v>44791</v>
      </c>
      <c r="G184" s="12" t="s">
        <v>14702</v>
      </c>
      <c r="H184" s="9" t="s">
        <v>17788</v>
      </c>
      <c r="I184" s="9" t="s">
        <v>17787</v>
      </c>
      <c r="J184" s="9">
        <v>2410162601</v>
      </c>
      <c r="K184" s="9" t="s">
        <v>17786</v>
      </c>
      <c r="L184" s="9" t="s">
        <v>17785</v>
      </c>
      <c r="M184" s="11" t="s">
        <v>14794</v>
      </c>
      <c r="N184" s="10" t="s">
        <v>17784</v>
      </c>
      <c r="O184" s="9" t="s">
        <v>17783</v>
      </c>
      <c r="P184" s="9" t="s">
        <v>17782</v>
      </c>
      <c r="Q184" s="9" t="s">
        <v>17781</v>
      </c>
      <c r="R184" s="9" t="s">
        <v>17780</v>
      </c>
      <c r="S184" s="9" t="s">
        <v>17779</v>
      </c>
      <c r="T184" s="9" t="s">
        <v>14712</v>
      </c>
      <c r="U184" s="9" t="s">
        <v>17778</v>
      </c>
      <c r="V184" s="9" t="s">
        <v>75</v>
      </c>
      <c r="W184" s="9" t="s">
        <v>17777</v>
      </c>
      <c r="X184" s="9" t="s">
        <v>16241</v>
      </c>
      <c r="Y184" s="9"/>
      <c r="Z184" s="9"/>
      <c r="AA184" s="9" t="s">
        <v>15389</v>
      </c>
      <c r="AB184" s="9"/>
      <c r="AC184" s="9"/>
      <c r="AD184" s="9" t="s">
        <v>15389</v>
      </c>
      <c r="AE184" s="9"/>
      <c r="AF184" s="9"/>
      <c r="AG184" s="9" t="s">
        <v>15389</v>
      </c>
    </row>
    <row r="185" spans="1:33" ht="16.5">
      <c r="A185" s="9">
        <v>180</v>
      </c>
      <c r="B185" s="9" t="s">
        <v>17776</v>
      </c>
      <c r="C185" s="9" t="s">
        <v>14705</v>
      </c>
      <c r="D185" s="9" t="s">
        <v>17690</v>
      </c>
      <c r="E185" s="12">
        <v>44137</v>
      </c>
      <c r="F185" s="14">
        <v>44724</v>
      </c>
      <c r="G185" s="12" t="s">
        <v>14702</v>
      </c>
      <c r="H185" s="9" t="s">
        <v>17775</v>
      </c>
      <c r="I185" s="9" t="s">
        <v>17774</v>
      </c>
      <c r="J185" s="9">
        <v>4010189401</v>
      </c>
      <c r="K185" s="9" t="s">
        <v>17773</v>
      </c>
      <c r="L185" s="9" t="s">
        <v>17772</v>
      </c>
      <c r="M185" s="11" t="s">
        <v>14763</v>
      </c>
      <c r="N185" s="10" t="s">
        <v>17771</v>
      </c>
      <c r="O185" s="9" t="s">
        <v>17770</v>
      </c>
      <c r="P185" s="9" t="s">
        <v>17769</v>
      </c>
      <c r="Q185" s="9" t="s">
        <v>17768</v>
      </c>
      <c r="R185" s="9" t="s">
        <v>17767</v>
      </c>
      <c r="S185" s="9" t="s">
        <v>17766</v>
      </c>
      <c r="T185" s="9" t="s">
        <v>14815</v>
      </c>
      <c r="U185" s="9" t="s">
        <v>17765</v>
      </c>
      <c r="V185" s="9" t="s">
        <v>75</v>
      </c>
      <c r="W185" s="9" t="s">
        <v>17764</v>
      </c>
      <c r="X185" s="9" t="s">
        <v>15717</v>
      </c>
      <c r="Y185" s="9"/>
      <c r="Z185" s="9"/>
      <c r="AA185" s="9" t="s">
        <v>15389</v>
      </c>
      <c r="AB185" s="9"/>
      <c r="AC185" s="9"/>
      <c r="AD185" s="9" t="s">
        <v>15389</v>
      </c>
      <c r="AE185" s="9"/>
      <c r="AF185" s="9"/>
      <c r="AG185" s="9" t="s">
        <v>15389</v>
      </c>
    </row>
    <row r="186" spans="1:33" ht="16.5">
      <c r="A186" s="9">
        <v>181</v>
      </c>
      <c r="B186" s="9" t="s">
        <v>17763</v>
      </c>
      <c r="C186" s="9" t="s">
        <v>14750</v>
      </c>
      <c r="D186" s="9" t="s">
        <v>17690</v>
      </c>
      <c r="E186" s="12">
        <v>44137</v>
      </c>
      <c r="F186" s="14">
        <v>44906</v>
      </c>
      <c r="G186" s="12" t="s">
        <v>14702</v>
      </c>
      <c r="H186" s="9" t="s">
        <v>17762</v>
      </c>
      <c r="I186" s="9" t="s">
        <v>17762</v>
      </c>
      <c r="J186" s="9">
        <v>4323320501</v>
      </c>
      <c r="K186" s="9" t="s">
        <v>15740</v>
      </c>
      <c r="L186" s="9" t="s">
        <v>17761</v>
      </c>
      <c r="M186" s="11" t="s">
        <v>14746</v>
      </c>
      <c r="N186" s="10" t="s">
        <v>17760</v>
      </c>
      <c r="O186" s="9" t="s">
        <v>17759</v>
      </c>
      <c r="P186" s="9" t="s">
        <v>17758</v>
      </c>
      <c r="Q186" s="9" t="s">
        <v>17757</v>
      </c>
      <c r="R186" s="9" t="s">
        <v>17756</v>
      </c>
      <c r="S186" s="9" t="s">
        <v>17755</v>
      </c>
      <c r="T186" s="9" t="s">
        <v>14815</v>
      </c>
      <c r="U186" s="9" t="s">
        <v>17754</v>
      </c>
      <c r="V186" s="9" t="s">
        <v>15243</v>
      </c>
      <c r="W186" s="9" t="s">
        <v>17753</v>
      </c>
      <c r="X186" s="9" t="s">
        <v>17752</v>
      </c>
      <c r="Y186" s="9"/>
      <c r="Z186" s="9"/>
      <c r="AA186" s="9" t="s">
        <v>15389</v>
      </c>
      <c r="AB186" s="9"/>
      <c r="AC186" s="9"/>
      <c r="AD186" s="9" t="s">
        <v>15389</v>
      </c>
      <c r="AE186" s="9"/>
      <c r="AF186" s="9"/>
      <c r="AG186" s="9" t="s">
        <v>15389</v>
      </c>
    </row>
    <row r="187" spans="1:33" s="49" customFormat="1" ht="16.5">
      <c r="A187" s="44">
        <v>182</v>
      </c>
      <c r="B187" s="44" t="s">
        <v>17751</v>
      </c>
      <c r="C187" s="44" t="s">
        <v>15155</v>
      </c>
      <c r="D187" s="44" t="s">
        <v>17690</v>
      </c>
      <c r="E187" s="45">
        <v>44137</v>
      </c>
      <c r="F187" s="46">
        <v>44878</v>
      </c>
      <c r="G187" s="45" t="s">
        <v>14702</v>
      </c>
      <c r="H187" s="41" t="s">
        <v>17750</v>
      </c>
      <c r="I187" s="41" t="s">
        <v>19883</v>
      </c>
      <c r="J187" s="44">
        <v>4618200104</v>
      </c>
      <c r="K187" s="44" t="s">
        <v>17749</v>
      </c>
      <c r="L187" s="44" t="s">
        <v>17748</v>
      </c>
      <c r="M187" s="47" t="s">
        <v>14732</v>
      </c>
      <c r="N187" s="48" t="s">
        <v>17747</v>
      </c>
      <c r="O187" s="44" t="s">
        <v>17746</v>
      </c>
      <c r="P187" s="44" t="s">
        <v>17745</v>
      </c>
      <c r="Q187" s="44" t="s">
        <v>17744</v>
      </c>
      <c r="R187" s="44" t="s">
        <v>19892</v>
      </c>
      <c r="S187" s="44" t="s">
        <v>17743</v>
      </c>
      <c r="T187" s="44" t="s">
        <v>14725</v>
      </c>
      <c r="U187" s="44" t="s">
        <v>17742</v>
      </c>
      <c r="V187" s="44" t="s">
        <v>15572</v>
      </c>
      <c r="W187" s="44" t="s">
        <v>17741</v>
      </c>
      <c r="X187" s="44" t="s">
        <v>17740</v>
      </c>
      <c r="Y187" s="44"/>
      <c r="Z187" s="44"/>
      <c r="AA187" s="44" t="s">
        <v>15389</v>
      </c>
      <c r="AB187" s="44"/>
      <c r="AC187" s="44"/>
      <c r="AD187" s="44" t="s">
        <v>15389</v>
      </c>
      <c r="AE187" s="44"/>
      <c r="AF187" s="44"/>
      <c r="AG187" s="44" t="s">
        <v>15389</v>
      </c>
    </row>
    <row r="188" spans="1:33" ht="16.5">
      <c r="A188" s="9">
        <v>183</v>
      </c>
      <c r="B188" s="9" t="s">
        <v>17739</v>
      </c>
      <c r="C188" s="9" t="s">
        <v>15155</v>
      </c>
      <c r="D188" s="9" t="s">
        <v>17690</v>
      </c>
      <c r="E188" s="12">
        <v>44137</v>
      </c>
      <c r="F188" s="14">
        <v>45016</v>
      </c>
      <c r="G188" s="12" t="s">
        <v>14702</v>
      </c>
      <c r="H188" s="9" t="s">
        <v>17738</v>
      </c>
      <c r="I188" s="9" t="s">
        <v>17737</v>
      </c>
      <c r="J188" s="9">
        <v>4411190601</v>
      </c>
      <c r="K188" s="9" t="s">
        <v>17736</v>
      </c>
      <c r="L188" s="9" t="s">
        <v>17735</v>
      </c>
      <c r="M188" s="11" t="s">
        <v>14732</v>
      </c>
      <c r="N188" s="10" t="s">
        <v>17734</v>
      </c>
      <c r="O188" s="9" t="s">
        <v>17733</v>
      </c>
      <c r="P188" s="9" t="s">
        <v>17732</v>
      </c>
      <c r="Q188" s="9" t="s">
        <v>17731</v>
      </c>
      <c r="R188" s="9" t="s">
        <v>17730</v>
      </c>
      <c r="S188" s="9" t="s">
        <v>17729</v>
      </c>
      <c r="T188" s="9" t="s">
        <v>14725</v>
      </c>
      <c r="U188" s="9" t="s">
        <v>17728</v>
      </c>
      <c r="V188" s="9" t="s">
        <v>75</v>
      </c>
      <c r="W188" s="9" t="s">
        <v>17727</v>
      </c>
      <c r="X188" s="9" t="s">
        <v>16839</v>
      </c>
      <c r="Y188" s="9"/>
      <c r="Z188" s="9"/>
      <c r="AA188" s="9" t="s">
        <v>15389</v>
      </c>
      <c r="AB188" s="9"/>
      <c r="AC188" s="9"/>
      <c r="AD188" s="9" t="s">
        <v>15389</v>
      </c>
      <c r="AE188" s="9"/>
      <c r="AF188" s="9"/>
      <c r="AG188" s="9" t="s">
        <v>15389</v>
      </c>
    </row>
    <row r="189" spans="1:33" ht="16.5">
      <c r="A189" s="9">
        <v>184</v>
      </c>
      <c r="B189" s="9" t="s">
        <v>17726</v>
      </c>
      <c r="C189" s="9" t="s">
        <v>15155</v>
      </c>
      <c r="D189" s="9" t="s">
        <v>17690</v>
      </c>
      <c r="E189" s="12">
        <v>44137</v>
      </c>
      <c r="F189" s="14">
        <v>44501</v>
      </c>
      <c r="G189" s="12" t="s">
        <v>14702</v>
      </c>
      <c r="H189" s="9" t="s">
        <v>17725</v>
      </c>
      <c r="I189" s="9" t="s">
        <v>17724</v>
      </c>
      <c r="J189" s="9">
        <v>4617160401</v>
      </c>
      <c r="K189" s="9" t="s">
        <v>17723</v>
      </c>
      <c r="L189" s="9" t="s">
        <v>17722</v>
      </c>
      <c r="M189" s="11" t="s">
        <v>15065</v>
      </c>
      <c r="N189" s="10" t="s">
        <v>4931</v>
      </c>
      <c r="O189" s="9" t="s">
        <v>17721</v>
      </c>
      <c r="P189" s="9" t="s">
        <v>17720</v>
      </c>
      <c r="Q189" s="9" t="s">
        <v>17720</v>
      </c>
      <c r="R189" s="9" t="s">
        <v>17719</v>
      </c>
      <c r="S189" s="9" t="s">
        <v>17718</v>
      </c>
      <c r="T189" s="9" t="s">
        <v>14815</v>
      </c>
      <c r="U189" s="9" t="s">
        <v>17717</v>
      </c>
      <c r="V189" s="9" t="s">
        <v>15374</v>
      </c>
      <c r="W189" s="9" t="s">
        <v>17716</v>
      </c>
      <c r="X189" s="9" t="s">
        <v>16725</v>
      </c>
      <c r="Y189" s="9"/>
      <c r="Z189" s="9"/>
      <c r="AA189" s="9" t="s">
        <v>15389</v>
      </c>
      <c r="AB189" s="9"/>
      <c r="AC189" s="9"/>
      <c r="AD189" s="9" t="s">
        <v>15389</v>
      </c>
      <c r="AE189" s="9"/>
      <c r="AF189" s="9"/>
      <c r="AG189" s="9" t="s">
        <v>15389</v>
      </c>
    </row>
    <row r="190" spans="1:33" ht="16.5">
      <c r="A190" s="9">
        <v>185</v>
      </c>
      <c r="B190" s="9" t="s">
        <v>17715</v>
      </c>
      <c r="C190" s="9" t="s">
        <v>15155</v>
      </c>
      <c r="D190" s="9" t="s">
        <v>17690</v>
      </c>
      <c r="E190" s="12">
        <v>44137</v>
      </c>
      <c r="F190" s="14">
        <v>45052</v>
      </c>
      <c r="G190" s="12" t="s">
        <v>14702</v>
      </c>
      <c r="H190" s="9" t="s">
        <v>17714</v>
      </c>
      <c r="I190" s="9" t="s">
        <v>17713</v>
      </c>
      <c r="J190" s="9">
        <v>3911160302</v>
      </c>
      <c r="K190" s="9" t="s">
        <v>14907</v>
      </c>
      <c r="L190" s="9" t="s">
        <v>17712</v>
      </c>
      <c r="M190" s="11" t="s">
        <v>15065</v>
      </c>
      <c r="N190" s="10" t="s">
        <v>17711</v>
      </c>
      <c r="O190" s="9" t="s">
        <v>17710</v>
      </c>
      <c r="P190" s="9" t="s">
        <v>17709</v>
      </c>
      <c r="Q190" s="9" t="s">
        <v>17709</v>
      </c>
      <c r="R190" s="9" t="s">
        <v>17708</v>
      </c>
      <c r="S190" s="9" t="s">
        <v>17707</v>
      </c>
      <c r="T190" s="9" t="s">
        <v>15101</v>
      </c>
      <c r="U190" s="9" t="s">
        <v>17706</v>
      </c>
      <c r="V190" s="9" t="s">
        <v>16929</v>
      </c>
      <c r="W190" s="9" t="s">
        <v>17705</v>
      </c>
      <c r="X190" s="9" t="s">
        <v>17704</v>
      </c>
      <c r="Y190" s="9"/>
      <c r="Z190" s="9"/>
      <c r="AA190" s="9" t="s">
        <v>15389</v>
      </c>
      <c r="AB190" s="9"/>
      <c r="AC190" s="9"/>
      <c r="AD190" s="9" t="s">
        <v>15389</v>
      </c>
      <c r="AE190" s="9"/>
      <c r="AF190" s="9"/>
      <c r="AG190" s="9" t="s">
        <v>15389</v>
      </c>
    </row>
    <row r="191" spans="1:33" ht="16.5">
      <c r="A191" s="9">
        <v>186</v>
      </c>
      <c r="B191" s="9" t="s">
        <v>17703</v>
      </c>
      <c r="C191" s="9" t="s">
        <v>15155</v>
      </c>
      <c r="D191" s="9" t="s">
        <v>17690</v>
      </c>
      <c r="E191" s="12">
        <v>44137</v>
      </c>
      <c r="F191" s="14">
        <v>44501</v>
      </c>
      <c r="G191" s="12" t="s">
        <v>14702</v>
      </c>
      <c r="H191" s="9" t="s">
        <v>17702</v>
      </c>
      <c r="I191" s="9" t="s">
        <v>17701</v>
      </c>
      <c r="J191" s="9">
        <v>4014169001</v>
      </c>
      <c r="K191" s="9" t="s">
        <v>17700</v>
      </c>
      <c r="L191" s="9" t="s">
        <v>17699</v>
      </c>
      <c r="M191" s="11" t="s">
        <v>15065</v>
      </c>
      <c r="N191" s="10" t="s">
        <v>17698</v>
      </c>
      <c r="O191" s="9" t="s">
        <v>17697</v>
      </c>
      <c r="P191" s="9" t="s">
        <v>17696</v>
      </c>
      <c r="Q191" s="9" t="s">
        <v>17696</v>
      </c>
      <c r="R191" s="9" t="s">
        <v>17695</v>
      </c>
      <c r="S191" s="9" t="s">
        <v>17694</v>
      </c>
      <c r="T191" s="9" t="s">
        <v>14725</v>
      </c>
      <c r="U191" s="9" t="s">
        <v>17693</v>
      </c>
      <c r="V191" s="9" t="s">
        <v>15139</v>
      </c>
      <c r="W191" s="9" t="s">
        <v>17692</v>
      </c>
      <c r="X191" s="9" t="s">
        <v>17192</v>
      </c>
      <c r="Y191" s="9"/>
      <c r="Z191" s="9"/>
      <c r="AA191" s="9" t="s">
        <v>15389</v>
      </c>
      <c r="AB191" s="9"/>
      <c r="AC191" s="9"/>
      <c r="AD191" s="9" t="s">
        <v>15389</v>
      </c>
      <c r="AE191" s="9"/>
      <c r="AF191" s="9"/>
      <c r="AG191" s="9" t="s">
        <v>15389</v>
      </c>
    </row>
    <row r="192" spans="1:33" ht="16.5">
      <c r="A192" s="9">
        <v>187</v>
      </c>
      <c r="B192" s="9" t="s">
        <v>17691</v>
      </c>
      <c r="C192" s="9" t="s">
        <v>14705</v>
      </c>
      <c r="D192" s="9" t="s">
        <v>17690</v>
      </c>
      <c r="E192" s="12">
        <v>44137</v>
      </c>
      <c r="F192" s="14">
        <v>45127</v>
      </c>
      <c r="G192" s="12" t="s">
        <v>14702</v>
      </c>
      <c r="H192" s="9" t="s">
        <v>17689</v>
      </c>
      <c r="I192" s="9" t="s">
        <v>17689</v>
      </c>
      <c r="J192" s="9">
        <v>4323260501</v>
      </c>
      <c r="K192" s="9" t="s">
        <v>17688</v>
      </c>
      <c r="L192" s="9" t="s">
        <v>17687</v>
      </c>
      <c r="M192" s="11" t="s">
        <v>14794</v>
      </c>
      <c r="N192" s="10" t="s">
        <v>17686</v>
      </c>
      <c r="O192" s="9" t="s">
        <v>17685</v>
      </c>
      <c r="P192" s="9" t="s">
        <v>17684</v>
      </c>
      <c r="Q192" s="9" t="s">
        <v>17683</v>
      </c>
      <c r="R192" s="9" t="s">
        <v>17682</v>
      </c>
      <c r="S192" s="50" t="s">
        <v>19893</v>
      </c>
      <c r="T192" s="9" t="s">
        <v>14815</v>
      </c>
      <c r="U192" s="9" t="s">
        <v>17681</v>
      </c>
      <c r="V192" s="9" t="s">
        <v>17582</v>
      </c>
      <c r="W192" s="9" t="s">
        <v>17680</v>
      </c>
      <c r="X192" s="9" t="s">
        <v>17679</v>
      </c>
      <c r="Y192" s="9"/>
      <c r="Z192" s="9"/>
      <c r="AA192" s="9" t="s">
        <v>15389</v>
      </c>
      <c r="AB192" s="9"/>
      <c r="AC192" s="9"/>
      <c r="AD192" s="9" t="s">
        <v>15389</v>
      </c>
      <c r="AE192" s="9"/>
      <c r="AF192" s="9"/>
      <c r="AG192" s="9" t="s">
        <v>15389</v>
      </c>
    </row>
    <row r="193" spans="1:33" ht="16.5">
      <c r="A193" s="9">
        <v>188</v>
      </c>
      <c r="B193" s="9" t="s">
        <v>17678</v>
      </c>
      <c r="C193" s="9" t="s">
        <v>15155</v>
      </c>
      <c r="D193" s="9" t="s">
        <v>17206</v>
      </c>
      <c r="E193" s="12">
        <v>44071</v>
      </c>
      <c r="F193" s="14">
        <v>44864</v>
      </c>
      <c r="G193" s="12" t="s">
        <v>14702</v>
      </c>
      <c r="H193" s="9" t="s">
        <v>17677</v>
      </c>
      <c r="I193" s="9" t="s">
        <v>17677</v>
      </c>
      <c r="J193" s="9" t="s">
        <v>17362</v>
      </c>
      <c r="K193" s="9" t="s">
        <v>15740</v>
      </c>
      <c r="L193" s="9" t="s">
        <v>17676</v>
      </c>
      <c r="M193" s="11" t="s">
        <v>14746</v>
      </c>
      <c r="N193" s="10" t="s">
        <v>17675</v>
      </c>
      <c r="O193" s="9" t="s">
        <v>17674</v>
      </c>
      <c r="P193" s="9" t="s">
        <v>17673</v>
      </c>
      <c r="Q193" s="9" t="s">
        <v>17672</v>
      </c>
      <c r="R193" s="9" t="s">
        <v>17671</v>
      </c>
      <c r="S193" s="9" t="s">
        <v>17670</v>
      </c>
      <c r="T193" s="9" t="s">
        <v>14712</v>
      </c>
      <c r="U193" s="9" t="s">
        <v>17669</v>
      </c>
      <c r="V193" s="9" t="s">
        <v>15243</v>
      </c>
      <c r="W193" s="9" t="s">
        <v>17668</v>
      </c>
      <c r="X193" s="9" t="s">
        <v>17667</v>
      </c>
      <c r="Y193" s="9"/>
      <c r="Z193" s="9"/>
      <c r="AA193" s="9" t="s">
        <v>15389</v>
      </c>
      <c r="AB193" s="9"/>
      <c r="AC193" s="9"/>
      <c r="AD193" s="9" t="s">
        <v>15389</v>
      </c>
      <c r="AE193" s="9"/>
      <c r="AF193" s="9"/>
      <c r="AG193" s="9" t="s">
        <v>15389</v>
      </c>
    </row>
    <row r="194" spans="1:33" ht="16.5">
      <c r="A194" s="9">
        <v>189</v>
      </c>
      <c r="B194" s="9" t="s">
        <v>17666</v>
      </c>
      <c r="C194" s="9" t="s">
        <v>14750</v>
      </c>
      <c r="D194" s="9" t="s">
        <v>17206</v>
      </c>
      <c r="E194" s="12">
        <v>44071</v>
      </c>
      <c r="F194" s="14">
        <v>45168</v>
      </c>
      <c r="G194" s="12" t="s">
        <v>14702</v>
      </c>
      <c r="H194" s="9" t="s">
        <v>17665</v>
      </c>
      <c r="I194" s="9" t="s">
        <v>17664</v>
      </c>
      <c r="J194" s="9" t="s">
        <v>17663</v>
      </c>
      <c r="K194" s="9" t="s">
        <v>17662</v>
      </c>
      <c r="L194" s="9" t="s">
        <v>17633</v>
      </c>
      <c r="M194" s="11" t="s">
        <v>14746</v>
      </c>
      <c r="N194" s="10" t="s">
        <v>17632</v>
      </c>
      <c r="O194" s="9" t="s">
        <v>17631</v>
      </c>
      <c r="P194" s="9" t="s">
        <v>17630</v>
      </c>
      <c r="Q194" s="9" t="s">
        <v>17629</v>
      </c>
      <c r="R194" s="9" t="s">
        <v>17628</v>
      </c>
      <c r="S194" s="9" t="s">
        <v>17627</v>
      </c>
      <c r="T194" s="9" t="s">
        <v>14725</v>
      </c>
      <c r="U194" s="9" t="s">
        <v>17626</v>
      </c>
      <c r="V194" s="9" t="s">
        <v>15846</v>
      </c>
      <c r="W194" s="9" t="s">
        <v>17625</v>
      </c>
      <c r="X194" s="9" t="s">
        <v>17624</v>
      </c>
      <c r="Y194" s="9"/>
      <c r="Z194" s="9"/>
      <c r="AA194" s="9" t="s">
        <v>15389</v>
      </c>
      <c r="AB194" s="9"/>
      <c r="AC194" s="9"/>
      <c r="AD194" s="9" t="s">
        <v>15389</v>
      </c>
      <c r="AE194" s="9"/>
      <c r="AF194" s="9"/>
      <c r="AG194" s="9" t="s">
        <v>15389</v>
      </c>
    </row>
    <row r="195" spans="1:33" ht="16.5">
      <c r="A195" s="9">
        <v>190</v>
      </c>
      <c r="B195" s="9" t="s">
        <v>17661</v>
      </c>
      <c r="C195" s="9" t="s">
        <v>14750</v>
      </c>
      <c r="D195" s="9" t="s">
        <v>17206</v>
      </c>
      <c r="E195" s="12">
        <v>44071</v>
      </c>
      <c r="F195" s="14">
        <v>45168</v>
      </c>
      <c r="G195" s="12" t="s">
        <v>14702</v>
      </c>
      <c r="H195" s="9" t="s">
        <v>17660</v>
      </c>
      <c r="I195" s="9" t="s">
        <v>17659</v>
      </c>
      <c r="J195" s="9" t="s">
        <v>17658</v>
      </c>
      <c r="K195" s="9" t="s">
        <v>17657</v>
      </c>
      <c r="L195" s="9" t="s">
        <v>17633</v>
      </c>
      <c r="M195" s="11" t="s">
        <v>14746</v>
      </c>
      <c r="N195" s="10" t="s">
        <v>17632</v>
      </c>
      <c r="O195" s="9" t="s">
        <v>17631</v>
      </c>
      <c r="P195" s="9" t="s">
        <v>17630</v>
      </c>
      <c r="Q195" s="9" t="s">
        <v>17629</v>
      </c>
      <c r="R195" s="9" t="s">
        <v>17628</v>
      </c>
      <c r="S195" s="9" t="s">
        <v>17627</v>
      </c>
      <c r="T195" s="9" t="s">
        <v>14725</v>
      </c>
      <c r="U195" s="9" t="s">
        <v>17626</v>
      </c>
      <c r="V195" s="9" t="s">
        <v>15846</v>
      </c>
      <c r="W195" s="9" t="s">
        <v>17625</v>
      </c>
      <c r="X195" s="9" t="s">
        <v>17624</v>
      </c>
      <c r="Y195" s="9"/>
      <c r="Z195" s="9"/>
      <c r="AA195" s="9" t="s">
        <v>15389</v>
      </c>
      <c r="AB195" s="9"/>
      <c r="AC195" s="9"/>
      <c r="AD195" s="9" t="s">
        <v>15389</v>
      </c>
      <c r="AE195" s="9"/>
      <c r="AF195" s="9"/>
      <c r="AG195" s="9" t="s">
        <v>15389</v>
      </c>
    </row>
    <row r="196" spans="1:33" ht="16.5">
      <c r="A196" s="9">
        <v>191</v>
      </c>
      <c r="B196" s="9" t="s">
        <v>17656</v>
      </c>
      <c r="C196" s="9" t="s">
        <v>14750</v>
      </c>
      <c r="D196" s="9" t="s">
        <v>17206</v>
      </c>
      <c r="E196" s="12">
        <v>44071</v>
      </c>
      <c r="F196" s="14">
        <v>45168</v>
      </c>
      <c r="G196" s="12" t="s">
        <v>14702</v>
      </c>
      <c r="H196" s="9" t="s">
        <v>17655</v>
      </c>
      <c r="I196" s="9" t="s">
        <v>17654</v>
      </c>
      <c r="J196" s="9" t="s">
        <v>17653</v>
      </c>
      <c r="K196" s="9" t="s">
        <v>17652</v>
      </c>
      <c r="L196" s="9" t="s">
        <v>17633</v>
      </c>
      <c r="M196" s="11" t="s">
        <v>14746</v>
      </c>
      <c r="N196" s="10" t="s">
        <v>17632</v>
      </c>
      <c r="O196" s="9" t="s">
        <v>17631</v>
      </c>
      <c r="P196" s="9" t="s">
        <v>17630</v>
      </c>
      <c r="Q196" s="9" t="s">
        <v>17629</v>
      </c>
      <c r="R196" s="9" t="s">
        <v>17628</v>
      </c>
      <c r="S196" s="9" t="s">
        <v>17627</v>
      </c>
      <c r="T196" s="9" t="s">
        <v>14725</v>
      </c>
      <c r="U196" s="9" t="s">
        <v>17626</v>
      </c>
      <c r="V196" s="9" t="s">
        <v>15846</v>
      </c>
      <c r="W196" s="9" t="s">
        <v>17625</v>
      </c>
      <c r="X196" s="9" t="s">
        <v>17624</v>
      </c>
      <c r="Y196" s="9"/>
      <c r="Z196" s="9"/>
      <c r="AA196" s="9" t="s">
        <v>15389</v>
      </c>
      <c r="AB196" s="9"/>
      <c r="AC196" s="9"/>
      <c r="AD196" s="9" t="s">
        <v>15389</v>
      </c>
      <c r="AE196" s="9"/>
      <c r="AF196" s="9"/>
      <c r="AG196" s="9" t="s">
        <v>15389</v>
      </c>
    </row>
    <row r="197" spans="1:33" ht="16.5">
      <c r="A197" s="9">
        <v>192</v>
      </c>
      <c r="B197" s="9" t="s">
        <v>17651</v>
      </c>
      <c r="C197" s="9" t="s">
        <v>15155</v>
      </c>
      <c r="D197" s="9" t="s">
        <v>17206</v>
      </c>
      <c r="E197" s="12">
        <v>44071</v>
      </c>
      <c r="F197" s="14">
        <v>44835</v>
      </c>
      <c r="G197" s="12" t="s">
        <v>14702</v>
      </c>
      <c r="H197" s="9" t="s">
        <v>17650</v>
      </c>
      <c r="I197" s="9" t="s">
        <v>17649</v>
      </c>
      <c r="J197" s="9" t="s">
        <v>17648</v>
      </c>
      <c r="K197" s="9" t="s">
        <v>16734</v>
      </c>
      <c r="L197" s="9" t="s">
        <v>17647</v>
      </c>
      <c r="M197" s="11" t="s">
        <v>14794</v>
      </c>
      <c r="N197" s="10" t="s">
        <v>17646</v>
      </c>
      <c r="O197" s="9" t="s">
        <v>17645</v>
      </c>
      <c r="P197" s="9" t="s">
        <v>17644</v>
      </c>
      <c r="Q197" s="9" t="s">
        <v>17643</v>
      </c>
      <c r="R197" s="9" t="s">
        <v>17642</v>
      </c>
      <c r="S197" s="9" t="s">
        <v>17641</v>
      </c>
      <c r="T197" s="9" t="s">
        <v>15101</v>
      </c>
      <c r="U197" s="9" t="s">
        <v>17640</v>
      </c>
      <c r="V197" s="9" t="s">
        <v>16929</v>
      </c>
      <c r="W197" s="9" t="s">
        <v>17639</v>
      </c>
      <c r="X197" s="9" t="s">
        <v>15943</v>
      </c>
      <c r="Y197" s="9"/>
      <c r="Z197" s="9"/>
      <c r="AA197" s="9" t="s">
        <v>15389</v>
      </c>
      <c r="AB197" s="9"/>
      <c r="AC197" s="9"/>
      <c r="AD197" s="9" t="s">
        <v>15389</v>
      </c>
      <c r="AE197" s="9"/>
      <c r="AF197" s="9"/>
      <c r="AG197" s="9" t="s">
        <v>15389</v>
      </c>
    </row>
    <row r="198" spans="1:33" ht="16.5">
      <c r="A198" s="9">
        <v>193</v>
      </c>
      <c r="B198" s="9" t="s">
        <v>17638</v>
      </c>
      <c r="C198" s="9" t="s">
        <v>14750</v>
      </c>
      <c r="D198" s="9" t="s">
        <v>17206</v>
      </c>
      <c r="E198" s="12">
        <v>44071</v>
      </c>
      <c r="F198" s="14">
        <v>45168</v>
      </c>
      <c r="G198" s="12" t="s">
        <v>14702</v>
      </c>
      <c r="H198" s="9" t="s">
        <v>17637</v>
      </c>
      <c r="I198" s="9" t="s">
        <v>17636</v>
      </c>
      <c r="J198" s="9" t="s">
        <v>17635</v>
      </c>
      <c r="K198" s="9" t="s">
        <v>17634</v>
      </c>
      <c r="L198" s="9" t="s">
        <v>17633</v>
      </c>
      <c r="M198" s="11" t="s">
        <v>15065</v>
      </c>
      <c r="N198" s="10" t="s">
        <v>17632</v>
      </c>
      <c r="O198" s="9" t="s">
        <v>17631</v>
      </c>
      <c r="P198" s="9" t="s">
        <v>17630</v>
      </c>
      <c r="Q198" s="9" t="s">
        <v>17629</v>
      </c>
      <c r="R198" s="9" t="s">
        <v>17628</v>
      </c>
      <c r="S198" s="9" t="s">
        <v>17627</v>
      </c>
      <c r="T198" s="9" t="s">
        <v>14725</v>
      </c>
      <c r="U198" s="9" t="s">
        <v>17626</v>
      </c>
      <c r="V198" s="9" t="s">
        <v>15846</v>
      </c>
      <c r="W198" s="9" t="s">
        <v>17625</v>
      </c>
      <c r="X198" s="9" t="s">
        <v>17624</v>
      </c>
      <c r="Y198" s="9"/>
      <c r="Z198" s="9"/>
      <c r="AA198" s="9" t="s">
        <v>15389</v>
      </c>
      <c r="AB198" s="9"/>
      <c r="AC198" s="9"/>
      <c r="AD198" s="9" t="s">
        <v>15389</v>
      </c>
      <c r="AE198" s="9"/>
      <c r="AF198" s="9"/>
      <c r="AG198" s="9" t="s">
        <v>15389</v>
      </c>
    </row>
    <row r="199" spans="1:33" ht="16.5">
      <c r="A199" s="9">
        <v>194</v>
      </c>
      <c r="B199" s="9" t="s">
        <v>17623</v>
      </c>
      <c r="C199" s="9" t="s">
        <v>14705</v>
      </c>
      <c r="D199" s="9" t="s">
        <v>17206</v>
      </c>
      <c r="E199" s="12">
        <v>44071</v>
      </c>
      <c r="F199" s="14">
        <v>44527</v>
      </c>
      <c r="G199" s="12" t="s">
        <v>14702</v>
      </c>
      <c r="H199" s="9" t="s">
        <v>17622</v>
      </c>
      <c r="I199" s="9" t="s">
        <v>17621</v>
      </c>
      <c r="J199" s="9" t="s">
        <v>17620</v>
      </c>
      <c r="K199" s="9" t="s">
        <v>17619</v>
      </c>
      <c r="L199" s="9" t="s">
        <v>17618</v>
      </c>
      <c r="M199" s="11" t="s">
        <v>14794</v>
      </c>
      <c r="N199" s="10" t="s">
        <v>17617</v>
      </c>
      <c r="O199" s="9" t="s">
        <v>17616</v>
      </c>
      <c r="P199" s="9" t="s">
        <v>17615</v>
      </c>
      <c r="Q199" s="9" t="s">
        <v>17614</v>
      </c>
      <c r="R199" s="9" t="s">
        <v>17613</v>
      </c>
      <c r="S199" s="9" t="s">
        <v>17612</v>
      </c>
      <c r="T199" s="9" t="s">
        <v>14725</v>
      </c>
      <c r="U199" s="9" t="s">
        <v>17611</v>
      </c>
      <c r="V199" s="9" t="s">
        <v>77</v>
      </c>
      <c r="W199" s="9" t="s">
        <v>17610</v>
      </c>
      <c r="X199" s="9" t="s">
        <v>15831</v>
      </c>
      <c r="Y199" s="9"/>
      <c r="Z199" s="9"/>
      <c r="AA199" s="9" t="s">
        <v>15389</v>
      </c>
      <c r="AB199" s="9"/>
      <c r="AC199" s="9"/>
      <c r="AD199" s="9" t="s">
        <v>15389</v>
      </c>
      <c r="AE199" s="9"/>
      <c r="AF199" s="9"/>
      <c r="AG199" s="9" t="s">
        <v>15389</v>
      </c>
    </row>
    <row r="200" spans="1:33" ht="16.5">
      <c r="A200" s="9">
        <v>195</v>
      </c>
      <c r="B200" s="9" t="s">
        <v>17609</v>
      </c>
      <c r="C200" s="9" t="s">
        <v>14750</v>
      </c>
      <c r="D200" s="9" t="s">
        <v>17206</v>
      </c>
      <c r="E200" s="12">
        <v>44071</v>
      </c>
      <c r="F200" s="14">
        <v>44857</v>
      </c>
      <c r="G200" s="12" t="s">
        <v>14702</v>
      </c>
      <c r="H200" s="9" t="s">
        <v>17608</v>
      </c>
      <c r="I200" s="9" t="s">
        <v>17608</v>
      </c>
      <c r="J200" s="9" t="s">
        <v>17607</v>
      </c>
      <c r="K200" s="9" t="s">
        <v>17606</v>
      </c>
      <c r="L200" s="9" t="s">
        <v>17605</v>
      </c>
      <c r="M200" s="11" t="s">
        <v>15065</v>
      </c>
      <c r="N200" s="10" t="s">
        <v>17604</v>
      </c>
      <c r="O200" s="9" t="s">
        <v>17603</v>
      </c>
      <c r="P200" s="9" t="s">
        <v>17602</v>
      </c>
      <c r="Q200" s="9" t="s">
        <v>17601</v>
      </c>
      <c r="R200" s="9" t="s">
        <v>17600</v>
      </c>
      <c r="S200" s="9" t="s">
        <v>17599</v>
      </c>
      <c r="T200" s="9" t="s">
        <v>14815</v>
      </c>
      <c r="U200" s="9" t="s">
        <v>17598</v>
      </c>
      <c r="V200" s="9" t="s">
        <v>15243</v>
      </c>
      <c r="W200" s="9" t="s">
        <v>17597</v>
      </c>
      <c r="X200" s="9" t="s">
        <v>17596</v>
      </c>
      <c r="Y200" s="9"/>
      <c r="Z200" s="9"/>
      <c r="AA200" s="9" t="s">
        <v>15389</v>
      </c>
      <c r="AB200" s="9"/>
      <c r="AC200" s="9"/>
      <c r="AD200" s="9" t="s">
        <v>15389</v>
      </c>
      <c r="AE200" s="9"/>
      <c r="AF200" s="9"/>
      <c r="AG200" s="9" t="s">
        <v>15389</v>
      </c>
    </row>
    <row r="201" spans="1:33" ht="16.5">
      <c r="A201" s="9">
        <v>196</v>
      </c>
      <c r="B201" s="9" t="s">
        <v>17595</v>
      </c>
      <c r="C201" s="9" t="s">
        <v>14705</v>
      </c>
      <c r="D201" s="9" t="s">
        <v>17206</v>
      </c>
      <c r="E201" s="12">
        <v>44071</v>
      </c>
      <c r="F201" s="14">
        <v>45091</v>
      </c>
      <c r="G201" s="12" t="s">
        <v>14702</v>
      </c>
      <c r="H201" s="9" t="s">
        <v>17594</v>
      </c>
      <c r="I201" s="9" t="s">
        <v>17593</v>
      </c>
      <c r="J201" s="9" t="s">
        <v>17592</v>
      </c>
      <c r="K201" s="9" t="s">
        <v>17591</v>
      </c>
      <c r="L201" s="9" t="s">
        <v>17590</v>
      </c>
      <c r="M201" s="11" t="s">
        <v>14732</v>
      </c>
      <c r="N201" s="10" t="s">
        <v>17589</v>
      </c>
      <c r="O201" s="9" t="s">
        <v>17588</v>
      </c>
      <c r="P201" s="9" t="s">
        <v>17587</v>
      </c>
      <c r="Q201" s="9" t="s">
        <v>17586</v>
      </c>
      <c r="R201" s="9" t="s">
        <v>17585</v>
      </c>
      <c r="S201" s="9" t="s">
        <v>17584</v>
      </c>
      <c r="T201" s="9" t="s">
        <v>14725</v>
      </c>
      <c r="U201" s="9" t="s">
        <v>17583</v>
      </c>
      <c r="V201" s="9" t="s">
        <v>17582</v>
      </c>
      <c r="W201" s="9" t="s">
        <v>17581</v>
      </c>
      <c r="X201" s="9" t="s">
        <v>17580</v>
      </c>
      <c r="Y201" s="9"/>
      <c r="Z201" s="9"/>
      <c r="AA201" s="9" t="s">
        <v>15389</v>
      </c>
      <c r="AB201" s="9"/>
      <c r="AC201" s="9"/>
      <c r="AD201" s="9" t="s">
        <v>15389</v>
      </c>
      <c r="AE201" s="9"/>
      <c r="AF201" s="9"/>
      <c r="AG201" s="9" t="s">
        <v>15389</v>
      </c>
    </row>
    <row r="202" spans="1:33" ht="16.5">
      <c r="A202" s="9">
        <v>197</v>
      </c>
      <c r="B202" s="9" t="s">
        <v>17579</v>
      </c>
      <c r="C202" s="9" t="s">
        <v>14705</v>
      </c>
      <c r="D202" s="9" t="s">
        <v>17206</v>
      </c>
      <c r="E202" s="12">
        <v>44071</v>
      </c>
      <c r="F202" s="14">
        <v>44916</v>
      </c>
      <c r="G202" s="12" t="s">
        <v>14702</v>
      </c>
      <c r="H202" s="9" t="s">
        <v>15854</v>
      </c>
      <c r="I202" s="9" t="s">
        <v>17578</v>
      </c>
      <c r="J202" s="9" t="s">
        <v>17242</v>
      </c>
      <c r="K202" s="9" t="s">
        <v>15854</v>
      </c>
      <c r="L202" s="9" t="s">
        <v>17577</v>
      </c>
      <c r="M202" s="11" t="s">
        <v>14794</v>
      </c>
      <c r="N202" s="10" t="s">
        <v>17576</v>
      </c>
      <c r="O202" s="9" t="s">
        <v>17575</v>
      </c>
      <c r="P202" s="9" t="s">
        <v>17574</v>
      </c>
      <c r="Q202" s="9" t="s">
        <v>17573</v>
      </c>
      <c r="R202" s="9" t="s">
        <v>17572</v>
      </c>
      <c r="S202" s="9" t="s">
        <v>17571</v>
      </c>
      <c r="T202" s="9" t="s">
        <v>14725</v>
      </c>
      <c r="U202" s="9" t="s">
        <v>17570</v>
      </c>
      <c r="V202" s="9" t="s">
        <v>15846</v>
      </c>
      <c r="W202" s="9" t="s">
        <v>17569</v>
      </c>
      <c r="X202" s="9" t="s">
        <v>16357</v>
      </c>
      <c r="Y202" s="9"/>
      <c r="Z202" s="9"/>
      <c r="AA202" s="9" t="s">
        <v>15389</v>
      </c>
      <c r="AB202" s="9"/>
      <c r="AC202" s="9"/>
      <c r="AD202" s="9" t="s">
        <v>15389</v>
      </c>
      <c r="AE202" s="9"/>
      <c r="AF202" s="9"/>
      <c r="AG202" s="9" t="s">
        <v>15389</v>
      </c>
    </row>
    <row r="203" spans="1:33" ht="16.5">
      <c r="A203" s="9">
        <v>198</v>
      </c>
      <c r="B203" s="9" t="s">
        <v>17568</v>
      </c>
      <c r="C203" s="9" t="s">
        <v>14705</v>
      </c>
      <c r="D203" s="9" t="s">
        <v>17206</v>
      </c>
      <c r="E203" s="12">
        <v>44071</v>
      </c>
      <c r="F203" s="14">
        <v>44707</v>
      </c>
      <c r="G203" s="12" t="s">
        <v>14702</v>
      </c>
      <c r="H203" s="9" t="s">
        <v>17567</v>
      </c>
      <c r="I203" s="9" t="s">
        <v>17567</v>
      </c>
      <c r="J203" s="9" t="s">
        <v>17566</v>
      </c>
      <c r="K203" s="9" t="s">
        <v>17565</v>
      </c>
      <c r="L203" s="9" t="s">
        <v>17564</v>
      </c>
      <c r="M203" s="11" t="s">
        <v>14732</v>
      </c>
      <c r="N203" s="10" t="s">
        <v>17563</v>
      </c>
      <c r="O203" s="9" t="s">
        <v>17562</v>
      </c>
      <c r="P203" s="9" t="s">
        <v>17561</v>
      </c>
      <c r="Q203" s="9" t="s">
        <v>17560</v>
      </c>
      <c r="R203" s="9" t="s">
        <v>17559</v>
      </c>
      <c r="S203" s="9" t="s">
        <v>17558</v>
      </c>
      <c r="T203" s="9" t="s">
        <v>14815</v>
      </c>
      <c r="U203" s="9" t="s">
        <v>17557</v>
      </c>
      <c r="V203" s="9" t="s">
        <v>15703</v>
      </c>
      <c r="W203" s="9" t="s">
        <v>17556</v>
      </c>
      <c r="X203" s="9" t="s">
        <v>17555</v>
      </c>
      <c r="Y203" s="9"/>
      <c r="Z203" s="9"/>
      <c r="AA203" s="9" t="s">
        <v>15389</v>
      </c>
      <c r="AB203" s="9"/>
      <c r="AC203" s="9"/>
      <c r="AD203" s="9" t="s">
        <v>15389</v>
      </c>
      <c r="AE203" s="9"/>
      <c r="AF203" s="9"/>
      <c r="AG203" s="9" t="s">
        <v>15389</v>
      </c>
    </row>
    <row r="204" spans="1:33" ht="16.5">
      <c r="A204" s="9">
        <v>199</v>
      </c>
      <c r="B204" s="9" t="s">
        <v>17554</v>
      </c>
      <c r="C204" s="9" t="s">
        <v>14705</v>
      </c>
      <c r="D204" s="9" t="s">
        <v>17206</v>
      </c>
      <c r="E204" s="12">
        <v>44071</v>
      </c>
      <c r="F204" s="14">
        <v>44750</v>
      </c>
      <c r="G204" s="12" t="s">
        <v>14702</v>
      </c>
      <c r="H204" s="9" t="s">
        <v>17553</v>
      </c>
      <c r="I204" s="9" t="s">
        <v>17552</v>
      </c>
      <c r="J204" s="9" t="s">
        <v>17551</v>
      </c>
      <c r="K204" s="9" t="s">
        <v>17550</v>
      </c>
      <c r="L204" s="9" t="s">
        <v>17549</v>
      </c>
      <c r="M204" s="11" t="s">
        <v>14746</v>
      </c>
      <c r="N204" s="10" t="s">
        <v>17548</v>
      </c>
      <c r="O204" s="9" t="s">
        <v>17547</v>
      </c>
      <c r="P204" s="9" t="s">
        <v>17546</v>
      </c>
      <c r="Q204" s="9" t="s">
        <v>17545</v>
      </c>
      <c r="R204" s="9" t="s">
        <v>17544</v>
      </c>
      <c r="S204" s="9" t="s">
        <v>17543</v>
      </c>
      <c r="T204" s="9" t="s">
        <v>15488</v>
      </c>
      <c r="U204" s="9" t="s">
        <v>17542</v>
      </c>
      <c r="V204" s="9" t="s">
        <v>77</v>
      </c>
      <c r="W204" s="9" t="s">
        <v>17541</v>
      </c>
      <c r="X204" s="9" t="s">
        <v>17540</v>
      </c>
      <c r="Y204" s="9"/>
      <c r="Z204" s="9"/>
      <c r="AA204" s="9" t="s">
        <v>15389</v>
      </c>
      <c r="AB204" s="9"/>
      <c r="AC204" s="9"/>
      <c r="AD204" s="9" t="s">
        <v>15389</v>
      </c>
      <c r="AE204" s="9"/>
      <c r="AF204" s="9"/>
      <c r="AG204" s="9" t="s">
        <v>15389</v>
      </c>
    </row>
    <row r="205" spans="1:33" ht="16.5">
      <c r="A205" s="9">
        <v>200</v>
      </c>
      <c r="B205" s="9" t="s">
        <v>17539</v>
      </c>
      <c r="C205" s="9" t="s">
        <v>15155</v>
      </c>
      <c r="D205" s="9" t="s">
        <v>17206</v>
      </c>
      <c r="E205" s="12">
        <v>44071</v>
      </c>
      <c r="F205" s="14">
        <v>44499</v>
      </c>
      <c r="G205" s="12" t="s">
        <v>14702</v>
      </c>
      <c r="H205" s="9" t="s">
        <v>17538</v>
      </c>
      <c r="I205" s="9" t="s">
        <v>17537</v>
      </c>
      <c r="J205" s="9" t="s">
        <v>17536</v>
      </c>
      <c r="K205" s="9" t="s">
        <v>16616</v>
      </c>
      <c r="L205" s="9" t="s">
        <v>17535</v>
      </c>
      <c r="M205" s="11" t="s">
        <v>14794</v>
      </c>
      <c r="N205" s="10" t="s">
        <v>17534</v>
      </c>
      <c r="O205" s="9" t="s">
        <v>17533</v>
      </c>
      <c r="P205" s="9" t="s">
        <v>17532</v>
      </c>
      <c r="Q205" s="9" t="s">
        <v>17531</v>
      </c>
      <c r="R205" s="9" t="s">
        <v>17530</v>
      </c>
      <c r="S205" s="9" t="s">
        <v>17529</v>
      </c>
      <c r="T205" s="9" t="s">
        <v>14725</v>
      </c>
      <c r="U205" s="9" t="s">
        <v>17528</v>
      </c>
      <c r="V205" s="9" t="s">
        <v>77</v>
      </c>
      <c r="W205" s="9" t="s">
        <v>17527</v>
      </c>
      <c r="X205" s="9" t="s">
        <v>17526</v>
      </c>
      <c r="Y205" s="9"/>
      <c r="Z205" s="9"/>
      <c r="AA205" s="9" t="s">
        <v>15389</v>
      </c>
      <c r="AB205" s="9"/>
      <c r="AC205" s="9"/>
      <c r="AD205" s="9" t="s">
        <v>15389</v>
      </c>
      <c r="AE205" s="9"/>
      <c r="AF205" s="9"/>
      <c r="AG205" s="9" t="s">
        <v>15389</v>
      </c>
    </row>
    <row r="206" spans="1:33" ht="16.5">
      <c r="A206" s="9">
        <v>201</v>
      </c>
      <c r="B206" s="9" t="s">
        <v>17525</v>
      </c>
      <c r="C206" s="9" t="s">
        <v>14705</v>
      </c>
      <c r="D206" s="9" t="s">
        <v>17206</v>
      </c>
      <c r="E206" s="12">
        <v>44071</v>
      </c>
      <c r="F206" s="14">
        <v>44916</v>
      </c>
      <c r="G206" s="12" t="s">
        <v>14702</v>
      </c>
      <c r="H206" s="9" t="s">
        <v>15854</v>
      </c>
      <c r="I206" s="9" t="s">
        <v>17524</v>
      </c>
      <c r="J206" s="9" t="s">
        <v>17242</v>
      </c>
      <c r="K206" s="9" t="s">
        <v>15854</v>
      </c>
      <c r="L206" s="9" t="s">
        <v>17523</v>
      </c>
      <c r="M206" s="11" t="s">
        <v>14794</v>
      </c>
      <c r="N206" s="10" t="s">
        <v>17522</v>
      </c>
      <c r="O206" s="9" t="s">
        <v>17521</v>
      </c>
      <c r="P206" s="9" t="s">
        <v>17520</v>
      </c>
      <c r="Q206" s="9" t="s">
        <v>17519</v>
      </c>
      <c r="R206" s="9" t="s">
        <v>17518</v>
      </c>
      <c r="S206" s="9" t="s">
        <v>17517</v>
      </c>
      <c r="T206" s="9" t="s">
        <v>15588</v>
      </c>
      <c r="U206" s="9" t="s">
        <v>17516</v>
      </c>
      <c r="V206" s="9" t="s">
        <v>15846</v>
      </c>
      <c r="W206" s="9" t="s">
        <v>17515</v>
      </c>
      <c r="X206" s="9" t="s">
        <v>16357</v>
      </c>
      <c r="Y206" s="9"/>
      <c r="Z206" s="9"/>
      <c r="AA206" s="9" t="s">
        <v>15389</v>
      </c>
      <c r="AB206" s="9"/>
      <c r="AC206" s="9"/>
      <c r="AD206" s="9" t="s">
        <v>15389</v>
      </c>
      <c r="AE206" s="9"/>
      <c r="AF206" s="9"/>
      <c r="AG206" s="9" t="s">
        <v>15389</v>
      </c>
    </row>
    <row r="207" spans="1:33" ht="16.5">
      <c r="A207" s="9">
        <v>202</v>
      </c>
      <c r="B207" s="9" t="s">
        <v>17514</v>
      </c>
      <c r="C207" s="9" t="s">
        <v>15155</v>
      </c>
      <c r="D207" s="9" t="s">
        <v>17206</v>
      </c>
      <c r="E207" s="12">
        <v>44071</v>
      </c>
      <c r="F207" s="14">
        <v>44561</v>
      </c>
      <c r="G207" s="12" t="s">
        <v>14702</v>
      </c>
      <c r="H207" s="9" t="s">
        <v>17513</v>
      </c>
      <c r="I207" s="9" t="s">
        <v>17512</v>
      </c>
      <c r="J207" s="9" t="s">
        <v>17511</v>
      </c>
      <c r="K207" s="9" t="s">
        <v>17510</v>
      </c>
      <c r="L207" s="9" t="s">
        <v>17509</v>
      </c>
      <c r="M207" s="11" t="s">
        <v>16719</v>
      </c>
      <c r="N207" s="10" t="s">
        <v>17508</v>
      </c>
      <c r="O207" s="9" t="s">
        <v>17507</v>
      </c>
      <c r="P207" s="9" t="s">
        <v>17506</v>
      </c>
      <c r="Q207" s="9" t="s">
        <v>17505</v>
      </c>
      <c r="R207" s="9" t="s">
        <v>17504</v>
      </c>
      <c r="S207" s="9" t="s">
        <v>17503</v>
      </c>
      <c r="T207" s="9" t="s">
        <v>14815</v>
      </c>
      <c r="U207" s="9" t="s">
        <v>17502</v>
      </c>
      <c r="V207" s="9" t="s">
        <v>16215</v>
      </c>
      <c r="W207" s="9" t="s">
        <v>17501</v>
      </c>
      <c r="X207" s="9" t="s">
        <v>16213</v>
      </c>
      <c r="Y207" s="9"/>
      <c r="Z207" s="9"/>
      <c r="AA207" s="9" t="s">
        <v>15389</v>
      </c>
      <c r="AB207" s="9"/>
      <c r="AC207" s="9"/>
      <c r="AD207" s="9" t="s">
        <v>15389</v>
      </c>
      <c r="AE207" s="9"/>
      <c r="AF207" s="9"/>
      <c r="AG207" s="9" t="s">
        <v>15389</v>
      </c>
    </row>
    <row r="208" spans="1:33" ht="16.5">
      <c r="A208" s="9">
        <v>203</v>
      </c>
      <c r="B208" s="9" t="s">
        <v>17500</v>
      </c>
      <c r="C208" s="9" t="s">
        <v>15155</v>
      </c>
      <c r="D208" s="9" t="s">
        <v>17206</v>
      </c>
      <c r="E208" s="12">
        <v>44071</v>
      </c>
      <c r="F208" s="14">
        <v>45094</v>
      </c>
      <c r="G208" s="12" t="s">
        <v>14702</v>
      </c>
      <c r="H208" s="9" t="s">
        <v>17499</v>
      </c>
      <c r="I208" s="9" t="s">
        <v>17498</v>
      </c>
      <c r="J208" s="9" t="s">
        <v>17497</v>
      </c>
      <c r="K208" s="9" t="s">
        <v>17496</v>
      </c>
      <c r="L208" s="9" t="s">
        <v>17495</v>
      </c>
      <c r="M208" s="11" t="s">
        <v>14746</v>
      </c>
      <c r="N208" s="10" t="s">
        <v>17494</v>
      </c>
      <c r="O208" s="9" t="s">
        <v>17493</v>
      </c>
      <c r="P208" s="9" t="s">
        <v>17492</v>
      </c>
      <c r="Q208" s="9" t="s">
        <v>17491</v>
      </c>
      <c r="R208" s="9" t="s">
        <v>17490</v>
      </c>
      <c r="S208" s="9" t="s">
        <v>17489</v>
      </c>
      <c r="T208" s="9" t="s">
        <v>15291</v>
      </c>
      <c r="U208" s="9" t="s">
        <v>17488</v>
      </c>
      <c r="V208" s="9" t="s">
        <v>15572</v>
      </c>
      <c r="W208" s="9" t="s">
        <v>17487</v>
      </c>
      <c r="X208" s="9" t="s">
        <v>17486</v>
      </c>
      <c r="Y208" s="9"/>
      <c r="Z208" s="9"/>
      <c r="AA208" s="9" t="s">
        <v>15389</v>
      </c>
      <c r="AB208" s="9"/>
      <c r="AC208" s="9"/>
      <c r="AD208" s="9" t="s">
        <v>15389</v>
      </c>
      <c r="AE208" s="9"/>
      <c r="AF208" s="9"/>
      <c r="AG208" s="9" t="s">
        <v>15389</v>
      </c>
    </row>
    <row r="209" spans="1:33" ht="16.5">
      <c r="A209" s="9">
        <v>204</v>
      </c>
      <c r="B209" s="9" t="s">
        <v>17485</v>
      </c>
      <c r="C209" s="9" t="s">
        <v>14750</v>
      </c>
      <c r="D209" s="9" t="s">
        <v>17206</v>
      </c>
      <c r="E209" s="12">
        <v>44071</v>
      </c>
      <c r="F209" s="14">
        <v>44589</v>
      </c>
      <c r="G209" s="12" t="s">
        <v>14702</v>
      </c>
      <c r="H209" s="9" t="s">
        <v>17484</v>
      </c>
      <c r="I209" s="9" t="s">
        <v>17483</v>
      </c>
      <c r="J209" s="9" t="s">
        <v>17482</v>
      </c>
      <c r="K209" s="9" t="s">
        <v>17481</v>
      </c>
      <c r="L209" s="9" t="s">
        <v>17480</v>
      </c>
      <c r="M209" s="11" t="s">
        <v>15065</v>
      </c>
      <c r="N209" s="10" t="s">
        <v>17479</v>
      </c>
      <c r="O209" s="9" t="s">
        <v>17478</v>
      </c>
      <c r="P209" s="9" t="s">
        <v>17477</v>
      </c>
      <c r="Q209" s="9" t="s">
        <v>17476</v>
      </c>
      <c r="R209" s="9" t="s">
        <v>17475</v>
      </c>
      <c r="S209" s="9" t="s">
        <v>17474</v>
      </c>
      <c r="T209" s="9" t="s">
        <v>15690</v>
      </c>
      <c r="U209" s="9" t="s">
        <v>17473</v>
      </c>
      <c r="V209" s="9" t="s">
        <v>77</v>
      </c>
      <c r="W209" s="9" t="s">
        <v>17472</v>
      </c>
      <c r="X209" s="9" t="s">
        <v>17471</v>
      </c>
      <c r="Y209" s="9"/>
      <c r="Z209" s="9"/>
      <c r="AA209" s="9" t="s">
        <v>15389</v>
      </c>
      <c r="AB209" s="9"/>
      <c r="AC209" s="9"/>
      <c r="AD209" s="9" t="s">
        <v>15389</v>
      </c>
      <c r="AE209" s="9"/>
      <c r="AF209" s="9"/>
      <c r="AG209" s="9" t="s">
        <v>15389</v>
      </c>
    </row>
    <row r="210" spans="1:33" ht="16.5">
      <c r="A210" s="9">
        <v>205</v>
      </c>
      <c r="B210" s="9" t="s">
        <v>17470</v>
      </c>
      <c r="C210" s="9" t="s">
        <v>15155</v>
      </c>
      <c r="D210" s="9" t="s">
        <v>17206</v>
      </c>
      <c r="E210" s="12">
        <v>44071</v>
      </c>
      <c r="F210" s="14">
        <v>44840</v>
      </c>
      <c r="G210" s="12" t="s">
        <v>14702</v>
      </c>
      <c r="H210" s="9" t="s">
        <v>17469</v>
      </c>
      <c r="I210" s="9" t="s">
        <v>17468</v>
      </c>
      <c r="J210" s="9" t="s">
        <v>17467</v>
      </c>
      <c r="K210" s="9" t="s">
        <v>17466</v>
      </c>
      <c r="L210" s="9" t="s">
        <v>17465</v>
      </c>
      <c r="M210" s="11" t="s">
        <v>15065</v>
      </c>
      <c r="N210" s="10" t="s">
        <v>17464</v>
      </c>
      <c r="O210" s="9" t="s">
        <v>17463</v>
      </c>
      <c r="P210" s="9" t="s">
        <v>17462</v>
      </c>
      <c r="Q210" s="9" t="s">
        <v>16934</v>
      </c>
      <c r="R210" s="9" t="s">
        <v>17461</v>
      </c>
      <c r="S210" s="9" t="s">
        <v>17460</v>
      </c>
      <c r="T210" s="9" t="s">
        <v>14725</v>
      </c>
      <c r="U210" s="9" t="s">
        <v>17459</v>
      </c>
      <c r="V210" s="9" t="s">
        <v>15605</v>
      </c>
      <c r="W210" s="9" t="s">
        <v>17458</v>
      </c>
      <c r="X210" s="9" t="s">
        <v>16916</v>
      </c>
      <c r="Y210" s="9"/>
      <c r="Z210" s="9"/>
      <c r="AA210" s="9" t="s">
        <v>15389</v>
      </c>
      <c r="AB210" s="9"/>
      <c r="AC210" s="9"/>
      <c r="AD210" s="9" t="s">
        <v>15389</v>
      </c>
      <c r="AE210" s="9"/>
      <c r="AF210" s="9"/>
      <c r="AG210" s="9" t="s">
        <v>15389</v>
      </c>
    </row>
    <row r="211" spans="1:33" ht="16.5">
      <c r="A211" s="9">
        <v>206</v>
      </c>
      <c r="B211" s="9" t="s">
        <v>17457</v>
      </c>
      <c r="C211" s="9" t="s">
        <v>15155</v>
      </c>
      <c r="D211" s="9" t="s">
        <v>17206</v>
      </c>
      <c r="E211" s="12">
        <v>44071</v>
      </c>
      <c r="F211" s="14">
        <v>44619</v>
      </c>
      <c r="G211" s="12" t="s">
        <v>14702</v>
      </c>
      <c r="H211" s="9" t="s">
        <v>17456</v>
      </c>
      <c r="I211" s="9" t="s">
        <v>17455</v>
      </c>
      <c r="J211" s="9" t="s">
        <v>17362</v>
      </c>
      <c r="K211" s="9" t="s">
        <v>15740</v>
      </c>
      <c r="L211" s="9" t="s">
        <v>17454</v>
      </c>
      <c r="M211" s="11" t="s">
        <v>15065</v>
      </c>
      <c r="N211" s="10" t="s">
        <v>17453</v>
      </c>
      <c r="O211" s="9" t="s">
        <v>17452</v>
      </c>
      <c r="P211" s="9" t="s">
        <v>17451</v>
      </c>
      <c r="Q211" s="9" t="s">
        <v>17450</v>
      </c>
      <c r="R211" s="9" t="s">
        <v>17449</v>
      </c>
      <c r="S211" s="9" t="s">
        <v>17448</v>
      </c>
      <c r="T211" s="9" t="s">
        <v>14725</v>
      </c>
      <c r="U211" s="9" t="s">
        <v>17447</v>
      </c>
      <c r="V211" s="9" t="s">
        <v>15243</v>
      </c>
      <c r="W211" s="9" t="s">
        <v>17446</v>
      </c>
      <c r="X211" s="9" t="s">
        <v>17445</v>
      </c>
      <c r="Y211" s="9"/>
      <c r="Z211" s="9"/>
      <c r="AA211" s="9" t="s">
        <v>15389</v>
      </c>
      <c r="AB211" s="9"/>
      <c r="AC211" s="9"/>
      <c r="AD211" s="9" t="s">
        <v>15389</v>
      </c>
      <c r="AE211" s="9"/>
      <c r="AF211" s="9"/>
      <c r="AG211" s="9" t="s">
        <v>15389</v>
      </c>
    </row>
    <row r="212" spans="1:33" ht="16.5">
      <c r="A212" s="9">
        <v>207</v>
      </c>
      <c r="B212" s="9" t="s">
        <v>17444</v>
      </c>
      <c r="C212" s="9" t="s">
        <v>14750</v>
      </c>
      <c r="D212" s="9" t="s">
        <v>17206</v>
      </c>
      <c r="E212" s="12">
        <v>44071</v>
      </c>
      <c r="F212" s="14">
        <v>44759</v>
      </c>
      <c r="G212" s="12" t="s">
        <v>14702</v>
      </c>
      <c r="H212" s="9" t="s">
        <v>17443</v>
      </c>
      <c r="I212" s="9" t="s">
        <v>17442</v>
      </c>
      <c r="J212" s="9" t="s">
        <v>17441</v>
      </c>
      <c r="K212" s="9" t="s">
        <v>17440</v>
      </c>
      <c r="L212" s="9" t="s">
        <v>17439</v>
      </c>
      <c r="M212" s="11" t="s">
        <v>14746</v>
      </c>
      <c r="N212" s="10" t="s">
        <v>17438</v>
      </c>
      <c r="O212" s="9" t="s">
        <v>17437</v>
      </c>
      <c r="P212" s="9" t="s">
        <v>17436</v>
      </c>
      <c r="Q212" s="9" t="s">
        <v>17435</v>
      </c>
      <c r="R212" s="9" t="s">
        <v>17434</v>
      </c>
      <c r="S212" s="9" t="s">
        <v>17433</v>
      </c>
      <c r="T212" s="9" t="s">
        <v>14815</v>
      </c>
      <c r="U212" s="9" t="s">
        <v>17432</v>
      </c>
      <c r="V212" s="9" t="s">
        <v>77</v>
      </c>
      <c r="W212" s="9" t="s">
        <v>17431</v>
      </c>
      <c r="X212" s="9" t="s">
        <v>17430</v>
      </c>
      <c r="Y212" s="9"/>
      <c r="Z212" s="9"/>
      <c r="AA212" s="9" t="s">
        <v>15389</v>
      </c>
      <c r="AB212" s="9"/>
      <c r="AC212" s="9"/>
      <c r="AD212" s="9" t="s">
        <v>15389</v>
      </c>
      <c r="AE212" s="9"/>
      <c r="AF212" s="9"/>
      <c r="AG212" s="9" t="s">
        <v>15389</v>
      </c>
    </row>
    <row r="213" spans="1:33" ht="16.5">
      <c r="A213" s="9">
        <v>208</v>
      </c>
      <c r="B213" s="9" t="s">
        <v>17429</v>
      </c>
      <c r="C213" s="9" t="s">
        <v>15155</v>
      </c>
      <c r="D213" s="9" t="s">
        <v>17206</v>
      </c>
      <c r="E213" s="12">
        <v>44071</v>
      </c>
      <c r="F213" s="14">
        <v>44435</v>
      </c>
      <c r="G213" s="12" t="s">
        <v>14702</v>
      </c>
      <c r="H213" s="9" t="s">
        <v>17428</v>
      </c>
      <c r="I213" s="9" t="s">
        <v>17427</v>
      </c>
      <c r="J213" s="9" t="s">
        <v>17426</v>
      </c>
      <c r="K213" s="9" t="s">
        <v>17064</v>
      </c>
      <c r="L213" s="9" t="s">
        <v>17425</v>
      </c>
      <c r="M213" s="11" t="s">
        <v>14794</v>
      </c>
      <c r="N213" s="10" t="s">
        <v>17424</v>
      </c>
      <c r="O213" s="9" t="s">
        <v>17423</v>
      </c>
      <c r="P213" s="9" t="s">
        <v>17422</v>
      </c>
      <c r="Q213" s="9" t="s">
        <v>17422</v>
      </c>
      <c r="R213" s="9" t="s">
        <v>17421</v>
      </c>
      <c r="S213" s="9" t="s">
        <v>17420</v>
      </c>
      <c r="T213" s="9" t="s">
        <v>14692</v>
      </c>
      <c r="U213" s="9" t="s">
        <v>17419</v>
      </c>
      <c r="V213" s="9" t="s">
        <v>15139</v>
      </c>
      <c r="W213" s="9" t="s">
        <v>17418</v>
      </c>
      <c r="X213" s="9" t="s">
        <v>17192</v>
      </c>
      <c r="Y213" s="9"/>
      <c r="Z213" s="9"/>
      <c r="AA213" s="9" t="s">
        <v>15389</v>
      </c>
      <c r="AB213" s="9"/>
      <c r="AC213" s="9"/>
      <c r="AD213" s="9" t="s">
        <v>15389</v>
      </c>
      <c r="AE213" s="9"/>
      <c r="AF213" s="9"/>
      <c r="AG213" s="9" t="s">
        <v>15389</v>
      </c>
    </row>
    <row r="214" spans="1:33" ht="16.5">
      <c r="A214" s="9">
        <v>209</v>
      </c>
      <c r="B214" s="9" t="s">
        <v>17417</v>
      </c>
      <c r="C214" s="9" t="s">
        <v>14705</v>
      </c>
      <c r="D214" s="9" t="s">
        <v>17206</v>
      </c>
      <c r="E214" s="12">
        <v>44071</v>
      </c>
      <c r="F214" s="14">
        <v>44924</v>
      </c>
      <c r="G214" s="12" t="s">
        <v>14702</v>
      </c>
      <c r="H214" s="9" t="s">
        <v>17416</v>
      </c>
      <c r="I214" s="9" t="s">
        <v>17415</v>
      </c>
      <c r="J214" s="9" t="s">
        <v>17414</v>
      </c>
      <c r="K214" s="9" t="s">
        <v>17413</v>
      </c>
      <c r="L214" s="9" t="s">
        <v>17412</v>
      </c>
      <c r="M214" s="11" t="s">
        <v>14717</v>
      </c>
      <c r="N214" s="10" t="s">
        <v>17411</v>
      </c>
      <c r="O214" s="9" t="s">
        <v>17410</v>
      </c>
      <c r="P214" s="9" t="s">
        <v>17409</v>
      </c>
      <c r="Q214" s="9" t="s">
        <v>17408</v>
      </c>
      <c r="R214" s="9" t="s">
        <v>17407</v>
      </c>
      <c r="S214" s="9" t="s">
        <v>17406</v>
      </c>
      <c r="T214" s="9" t="s">
        <v>14725</v>
      </c>
      <c r="U214" s="9" t="s">
        <v>17405</v>
      </c>
      <c r="V214" s="9" t="s">
        <v>75</v>
      </c>
      <c r="W214" s="9" t="s">
        <v>17404</v>
      </c>
      <c r="X214" s="9" t="s">
        <v>16386</v>
      </c>
      <c r="Y214" s="9"/>
      <c r="Z214" s="9"/>
      <c r="AA214" s="9" t="s">
        <v>15389</v>
      </c>
      <c r="AB214" s="9"/>
      <c r="AC214" s="9"/>
      <c r="AD214" s="9" t="s">
        <v>15389</v>
      </c>
      <c r="AE214" s="9"/>
      <c r="AF214" s="9"/>
      <c r="AG214" s="9" t="s">
        <v>15389</v>
      </c>
    </row>
    <row r="215" spans="1:33" ht="16.5">
      <c r="A215" s="9">
        <v>210</v>
      </c>
      <c r="B215" s="9" t="s">
        <v>17403</v>
      </c>
      <c r="C215" s="9" t="s">
        <v>14705</v>
      </c>
      <c r="D215" s="9" t="s">
        <v>17206</v>
      </c>
      <c r="E215" s="12">
        <v>44071</v>
      </c>
      <c r="F215" s="14">
        <v>45072</v>
      </c>
      <c r="G215" s="12" t="s">
        <v>14702</v>
      </c>
      <c r="H215" s="9" t="s">
        <v>17402</v>
      </c>
      <c r="I215" s="9" t="s">
        <v>17401</v>
      </c>
      <c r="J215" s="9" t="s">
        <v>17400</v>
      </c>
      <c r="K215" s="9" t="s">
        <v>17399</v>
      </c>
      <c r="L215" s="9" t="s">
        <v>17398</v>
      </c>
      <c r="M215" s="11" t="s">
        <v>14732</v>
      </c>
      <c r="N215" s="10" t="s">
        <v>17397</v>
      </c>
      <c r="O215" s="9" t="s">
        <v>17396</v>
      </c>
      <c r="P215" s="9" t="s">
        <v>17395</v>
      </c>
      <c r="Q215" s="9" t="s">
        <v>17394</v>
      </c>
      <c r="R215" s="9" t="s">
        <v>17393</v>
      </c>
      <c r="S215" s="9" t="s">
        <v>17392</v>
      </c>
      <c r="T215" s="9" t="s">
        <v>14787</v>
      </c>
      <c r="U215" s="9" t="s">
        <v>17391</v>
      </c>
      <c r="V215" s="9" t="s">
        <v>77</v>
      </c>
      <c r="W215" s="9" t="s">
        <v>17390</v>
      </c>
      <c r="X215" s="9" t="s">
        <v>17389</v>
      </c>
      <c r="Y215" s="9"/>
      <c r="Z215" s="9"/>
      <c r="AA215" s="9" t="s">
        <v>15389</v>
      </c>
      <c r="AB215" s="9"/>
      <c r="AC215" s="9"/>
      <c r="AD215" s="9" t="s">
        <v>15389</v>
      </c>
      <c r="AE215" s="9"/>
      <c r="AF215" s="9"/>
      <c r="AG215" s="9" t="s">
        <v>15389</v>
      </c>
    </row>
    <row r="216" spans="1:33" ht="16.5">
      <c r="A216" s="9">
        <v>211</v>
      </c>
      <c r="B216" s="9" t="s">
        <v>17388</v>
      </c>
      <c r="C216" s="9" t="s">
        <v>15155</v>
      </c>
      <c r="D216" s="9" t="s">
        <v>17206</v>
      </c>
      <c r="E216" s="12">
        <v>44071</v>
      </c>
      <c r="F216" s="14">
        <v>44435</v>
      </c>
      <c r="G216" s="12" t="s">
        <v>14702</v>
      </c>
      <c r="H216" s="9" t="s">
        <v>17387</v>
      </c>
      <c r="I216" s="9" t="s">
        <v>17386</v>
      </c>
      <c r="J216" s="9" t="s">
        <v>17307</v>
      </c>
      <c r="K216" s="9" t="s">
        <v>15594</v>
      </c>
      <c r="L216" s="9" t="s">
        <v>17385</v>
      </c>
      <c r="M216" s="11" t="s">
        <v>14746</v>
      </c>
      <c r="N216" s="10" t="s">
        <v>17384</v>
      </c>
      <c r="O216" s="9" t="s">
        <v>17383</v>
      </c>
      <c r="P216" s="9" t="s">
        <v>17382</v>
      </c>
      <c r="Q216" s="9" t="s">
        <v>17382</v>
      </c>
      <c r="R216" s="9" t="s">
        <v>17381</v>
      </c>
      <c r="S216" s="9" t="s">
        <v>17380</v>
      </c>
      <c r="T216" s="9" t="s">
        <v>14725</v>
      </c>
      <c r="U216" s="9" t="s">
        <v>17379</v>
      </c>
      <c r="V216" s="9" t="s">
        <v>15139</v>
      </c>
      <c r="W216" s="9" t="s">
        <v>17378</v>
      </c>
      <c r="X216" s="9" t="s">
        <v>17192</v>
      </c>
      <c r="Y216" s="9"/>
      <c r="Z216" s="9"/>
      <c r="AA216" s="9" t="s">
        <v>15389</v>
      </c>
      <c r="AB216" s="9"/>
      <c r="AC216" s="9"/>
      <c r="AD216" s="9" t="s">
        <v>15389</v>
      </c>
      <c r="AE216" s="9"/>
      <c r="AF216" s="9"/>
      <c r="AG216" s="9" t="s">
        <v>15389</v>
      </c>
    </row>
    <row r="217" spans="1:33" ht="16.5">
      <c r="A217" s="9">
        <v>212</v>
      </c>
      <c r="B217" s="9" t="s">
        <v>17377</v>
      </c>
      <c r="C217" s="9" t="s">
        <v>15155</v>
      </c>
      <c r="D217" s="9" t="s">
        <v>17206</v>
      </c>
      <c r="E217" s="12">
        <v>44071</v>
      </c>
      <c r="F217" s="14">
        <v>44435</v>
      </c>
      <c r="G217" s="12" t="s">
        <v>14702</v>
      </c>
      <c r="H217" s="9" t="s">
        <v>17376</v>
      </c>
      <c r="I217" s="9" t="s">
        <v>17375</v>
      </c>
      <c r="J217" s="9" t="s">
        <v>17374</v>
      </c>
      <c r="K217" s="9" t="s">
        <v>17373</v>
      </c>
      <c r="L217" s="9" t="s">
        <v>17372</v>
      </c>
      <c r="M217" s="11" t="s">
        <v>14746</v>
      </c>
      <c r="N217" s="10" t="s">
        <v>5314</v>
      </c>
      <c r="O217" s="9" t="s">
        <v>17371</v>
      </c>
      <c r="P217" s="9" t="s">
        <v>17370</v>
      </c>
      <c r="Q217" s="9" t="s">
        <v>17369</v>
      </c>
      <c r="R217" s="9" t="s">
        <v>17368</v>
      </c>
      <c r="S217" s="9" t="s">
        <v>17367</v>
      </c>
      <c r="T217" s="9" t="s">
        <v>15291</v>
      </c>
      <c r="U217" s="9" t="s">
        <v>17366</v>
      </c>
      <c r="V217" s="9" t="s">
        <v>15374</v>
      </c>
      <c r="W217" s="9" t="s">
        <v>17365</v>
      </c>
      <c r="X217" s="9" t="s">
        <v>17311</v>
      </c>
      <c r="Y217" s="9"/>
      <c r="Z217" s="9"/>
      <c r="AA217" s="9" t="s">
        <v>15389</v>
      </c>
      <c r="AB217" s="9"/>
      <c r="AC217" s="9"/>
      <c r="AD217" s="9" t="s">
        <v>15389</v>
      </c>
      <c r="AE217" s="9"/>
      <c r="AF217" s="9"/>
      <c r="AG217" s="9" t="s">
        <v>15389</v>
      </c>
    </row>
    <row r="218" spans="1:33" ht="16.5">
      <c r="A218" s="9">
        <v>213</v>
      </c>
      <c r="B218" s="9" t="s">
        <v>17364</v>
      </c>
      <c r="C218" s="9" t="s">
        <v>15155</v>
      </c>
      <c r="D218" s="9" t="s">
        <v>17206</v>
      </c>
      <c r="E218" s="12">
        <v>44071</v>
      </c>
      <c r="F218" s="14">
        <v>44903</v>
      </c>
      <c r="G218" s="12" t="s">
        <v>14702</v>
      </c>
      <c r="H218" s="9" t="s">
        <v>17363</v>
      </c>
      <c r="I218" s="9" t="s">
        <v>17363</v>
      </c>
      <c r="J218" s="9" t="s">
        <v>17362</v>
      </c>
      <c r="K218" s="9" t="s">
        <v>15740</v>
      </c>
      <c r="L218" s="9" t="s">
        <v>17361</v>
      </c>
      <c r="M218" s="11" t="s">
        <v>15065</v>
      </c>
      <c r="N218" s="10" t="s">
        <v>17360</v>
      </c>
      <c r="O218" s="9" t="s">
        <v>17359</v>
      </c>
      <c r="P218" s="9" t="s">
        <v>17358</v>
      </c>
      <c r="Q218" s="9" t="s">
        <v>17358</v>
      </c>
      <c r="R218" s="9" t="s">
        <v>17357</v>
      </c>
      <c r="S218" s="9" t="s">
        <v>17356</v>
      </c>
      <c r="T218" s="9" t="s">
        <v>17355</v>
      </c>
      <c r="U218" s="9" t="s">
        <v>17354</v>
      </c>
      <c r="V218" s="9" t="s">
        <v>15243</v>
      </c>
      <c r="W218" s="9" t="s">
        <v>17353</v>
      </c>
      <c r="X218" s="9" t="s">
        <v>17352</v>
      </c>
      <c r="Y218" s="9"/>
      <c r="Z218" s="9"/>
      <c r="AA218" s="9" t="s">
        <v>15389</v>
      </c>
      <c r="AB218" s="9"/>
      <c r="AC218" s="9"/>
      <c r="AD218" s="9" t="s">
        <v>15389</v>
      </c>
      <c r="AE218" s="9"/>
      <c r="AF218" s="9"/>
      <c r="AG218" s="9" t="s">
        <v>15389</v>
      </c>
    </row>
    <row r="219" spans="1:33" ht="16.5">
      <c r="A219" s="9">
        <v>214</v>
      </c>
      <c r="B219" s="9" t="s">
        <v>17351</v>
      </c>
      <c r="C219" s="9" t="s">
        <v>14705</v>
      </c>
      <c r="D219" s="9" t="s">
        <v>17206</v>
      </c>
      <c r="E219" s="12">
        <v>44071</v>
      </c>
      <c r="F219" s="14">
        <v>44632</v>
      </c>
      <c r="G219" s="12" t="s">
        <v>14702</v>
      </c>
      <c r="H219" s="9" t="s">
        <v>17350</v>
      </c>
      <c r="I219" s="9" t="s">
        <v>17349</v>
      </c>
      <c r="J219" s="9" t="s">
        <v>17348</v>
      </c>
      <c r="K219" s="9" t="s">
        <v>17347</v>
      </c>
      <c r="L219" s="9" t="s">
        <v>17346</v>
      </c>
      <c r="M219" s="11" t="s">
        <v>14794</v>
      </c>
      <c r="N219" s="10" t="s">
        <v>17345</v>
      </c>
      <c r="O219" s="9" t="s">
        <v>17344</v>
      </c>
      <c r="P219" s="9" t="s">
        <v>17343</v>
      </c>
      <c r="Q219" s="9" t="s">
        <v>17342</v>
      </c>
      <c r="R219" s="9" t="s">
        <v>17341</v>
      </c>
      <c r="S219" s="9" t="s">
        <v>17340</v>
      </c>
      <c r="T219" s="9" t="s">
        <v>14725</v>
      </c>
      <c r="U219" s="9" t="s">
        <v>17339</v>
      </c>
      <c r="V219" s="9" t="s">
        <v>77</v>
      </c>
      <c r="W219" s="9" t="s">
        <v>17338</v>
      </c>
      <c r="X219" s="9" t="s">
        <v>15633</v>
      </c>
      <c r="Y219" s="9"/>
      <c r="Z219" s="9"/>
      <c r="AA219" s="9" t="s">
        <v>15389</v>
      </c>
      <c r="AB219" s="9"/>
      <c r="AC219" s="9"/>
      <c r="AD219" s="9" t="s">
        <v>15389</v>
      </c>
      <c r="AE219" s="9"/>
      <c r="AF219" s="9"/>
      <c r="AG219" s="9" t="s">
        <v>15389</v>
      </c>
    </row>
    <row r="220" spans="1:33" ht="16.5">
      <c r="A220" s="9">
        <v>215</v>
      </c>
      <c r="B220" s="9" t="s">
        <v>17337</v>
      </c>
      <c r="C220" s="9" t="s">
        <v>15155</v>
      </c>
      <c r="D220" s="9" t="s">
        <v>17206</v>
      </c>
      <c r="E220" s="12">
        <v>44071</v>
      </c>
      <c r="F220" s="14">
        <v>44435</v>
      </c>
      <c r="G220" s="12" t="s">
        <v>14702</v>
      </c>
      <c r="H220" s="9" t="s">
        <v>17336</v>
      </c>
      <c r="I220" s="9" t="s">
        <v>17335</v>
      </c>
      <c r="J220" s="9" t="s">
        <v>17334</v>
      </c>
      <c r="K220" s="9" t="s">
        <v>17333</v>
      </c>
      <c r="L220" s="9" t="s">
        <v>17332</v>
      </c>
      <c r="M220" s="11" t="s">
        <v>15065</v>
      </c>
      <c r="N220" s="10" t="s">
        <v>17331</v>
      </c>
      <c r="O220" s="9" t="s">
        <v>17330</v>
      </c>
      <c r="P220" s="9" t="s">
        <v>17329</v>
      </c>
      <c r="Q220" s="9" t="s">
        <v>17328</v>
      </c>
      <c r="R220" s="9" t="s">
        <v>17327</v>
      </c>
      <c r="S220" s="9" t="s">
        <v>17326</v>
      </c>
      <c r="T220" s="9" t="s">
        <v>15588</v>
      </c>
      <c r="U220" s="9" t="s">
        <v>17325</v>
      </c>
      <c r="V220" s="9" t="s">
        <v>15139</v>
      </c>
      <c r="W220" s="9" t="s">
        <v>17324</v>
      </c>
      <c r="X220" s="9" t="s">
        <v>17192</v>
      </c>
      <c r="Y220" s="9"/>
      <c r="Z220" s="9"/>
      <c r="AA220" s="9" t="s">
        <v>15389</v>
      </c>
      <c r="AB220" s="9"/>
      <c r="AC220" s="9"/>
      <c r="AD220" s="9" t="s">
        <v>15389</v>
      </c>
      <c r="AE220" s="9"/>
      <c r="AF220" s="9"/>
      <c r="AG220" s="9" t="s">
        <v>15389</v>
      </c>
    </row>
    <row r="221" spans="1:33" ht="16.5">
      <c r="A221" s="9">
        <v>216</v>
      </c>
      <c r="B221" s="9" t="s">
        <v>17323</v>
      </c>
      <c r="C221" s="9" t="s">
        <v>15155</v>
      </c>
      <c r="D221" s="9" t="s">
        <v>17206</v>
      </c>
      <c r="E221" s="12">
        <v>44071</v>
      </c>
      <c r="F221" s="14">
        <v>44435</v>
      </c>
      <c r="G221" s="12" t="s">
        <v>14702</v>
      </c>
      <c r="H221" s="9" t="s">
        <v>14733</v>
      </c>
      <c r="I221" s="9" t="s">
        <v>17322</v>
      </c>
      <c r="J221" s="9" t="s">
        <v>17321</v>
      </c>
      <c r="K221" s="9" t="s">
        <v>14733</v>
      </c>
      <c r="L221" s="9" t="s">
        <v>17320</v>
      </c>
      <c r="M221" s="11" t="s">
        <v>14746</v>
      </c>
      <c r="N221" s="10" t="s">
        <v>17319</v>
      </c>
      <c r="O221" s="9" t="s">
        <v>17318</v>
      </c>
      <c r="P221" s="9" t="s">
        <v>17317</v>
      </c>
      <c r="Q221" s="9" t="s">
        <v>17316</v>
      </c>
      <c r="R221" s="9" t="s">
        <v>17315</v>
      </c>
      <c r="S221" s="9" t="s">
        <v>17314</v>
      </c>
      <c r="T221" s="9" t="s">
        <v>14712</v>
      </c>
      <c r="U221" s="9" t="s">
        <v>17313</v>
      </c>
      <c r="V221" s="9" t="s">
        <v>15374</v>
      </c>
      <c r="W221" s="9" t="s">
        <v>17312</v>
      </c>
      <c r="X221" s="9" t="s">
        <v>17311</v>
      </c>
      <c r="Y221" s="9"/>
      <c r="Z221" s="9"/>
      <c r="AA221" s="9" t="s">
        <v>15389</v>
      </c>
      <c r="AB221" s="9"/>
      <c r="AC221" s="9"/>
      <c r="AD221" s="9" t="s">
        <v>15389</v>
      </c>
      <c r="AE221" s="9"/>
      <c r="AF221" s="9"/>
      <c r="AG221" s="9" t="s">
        <v>15389</v>
      </c>
    </row>
    <row r="222" spans="1:33" ht="16.5">
      <c r="A222" s="9">
        <v>217</v>
      </c>
      <c r="B222" s="9" t="s">
        <v>17310</v>
      </c>
      <c r="C222" s="9" t="s">
        <v>14705</v>
      </c>
      <c r="D222" s="9" t="s">
        <v>17206</v>
      </c>
      <c r="E222" s="12">
        <v>44071</v>
      </c>
      <c r="F222" s="14">
        <v>44924</v>
      </c>
      <c r="G222" s="12" t="s">
        <v>14702</v>
      </c>
      <c r="H222" s="9" t="s">
        <v>17309</v>
      </c>
      <c r="I222" s="9" t="s">
        <v>17308</v>
      </c>
      <c r="J222" s="9" t="s">
        <v>17307</v>
      </c>
      <c r="K222" s="9" t="s">
        <v>15594</v>
      </c>
      <c r="L222" s="9" t="s">
        <v>17306</v>
      </c>
      <c r="M222" s="11" t="s">
        <v>14717</v>
      </c>
      <c r="N222" s="10" t="s">
        <v>17305</v>
      </c>
      <c r="O222" s="9" t="s">
        <v>17304</v>
      </c>
      <c r="P222" s="9" t="s">
        <v>17303</v>
      </c>
      <c r="Q222" s="9" t="s">
        <v>17302</v>
      </c>
      <c r="R222" s="9" t="s">
        <v>17301</v>
      </c>
      <c r="S222" s="9" t="s">
        <v>17300</v>
      </c>
      <c r="T222" s="9" t="s">
        <v>15678</v>
      </c>
      <c r="U222" s="9" t="s">
        <v>17299</v>
      </c>
      <c r="V222" s="9" t="s">
        <v>75</v>
      </c>
      <c r="W222" s="9" t="s">
        <v>17298</v>
      </c>
      <c r="X222" s="9" t="s">
        <v>16386</v>
      </c>
      <c r="Y222" s="9"/>
      <c r="Z222" s="9"/>
      <c r="AA222" s="9" t="s">
        <v>15389</v>
      </c>
      <c r="AB222" s="9"/>
      <c r="AC222" s="9"/>
      <c r="AD222" s="9" t="s">
        <v>15389</v>
      </c>
      <c r="AE222" s="9"/>
      <c r="AF222" s="9"/>
      <c r="AG222" s="9" t="s">
        <v>15389</v>
      </c>
    </row>
    <row r="223" spans="1:33" ht="16.5">
      <c r="A223" s="9">
        <v>218</v>
      </c>
      <c r="B223" s="9" t="s">
        <v>17297</v>
      </c>
      <c r="C223" s="9" t="s">
        <v>15155</v>
      </c>
      <c r="D223" s="9" t="s">
        <v>17206</v>
      </c>
      <c r="E223" s="12">
        <v>44071</v>
      </c>
      <c r="F223" s="14">
        <v>44435</v>
      </c>
      <c r="G223" s="12" t="s">
        <v>14702</v>
      </c>
      <c r="H223" s="9" t="s">
        <v>17296</v>
      </c>
      <c r="I223" s="9" t="s">
        <v>17295</v>
      </c>
      <c r="J223" s="9" t="s">
        <v>17294</v>
      </c>
      <c r="K223" s="9" t="s">
        <v>17293</v>
      </c>
      <c r="L223" s="9" t="s">
        <v>17292</v>
      </c>
      <c r="M223" s="11" t="s">
        <v>15065</v>
      </c>
      <c r="N223" s="10" t="s">
        <v>17291</v>
      </c>
      <c r="O223" s="9" t="s">
        <v>17290</v>
      </c>
      <c r="P223" s="9" t="s">
        <v>17289</v>
      </c>
      <c r="Q223" s="9" t="s">
        <v>17288</v>
      </c>
      <c r="R223" s="9" t="s">
        <v>17287</v>
      </c>
      <c r="S223" s="9" t="s">
        <v>17286</v>
      </c>
      <c r="T223" s="9" t="s">
        <v>14815</v>
      </c>
      <c r="U223" s="9" t="s">
        <v>17285</v>
      </c>
      <c r="V223" s="9" t="s">
        <v>15139</v>
      </c>
      <c r="W223" s="9" t="s">
        <v>17284</v>
      </c>
      <c r="X223" s="9" t="s">
        <v>16785</v>
      </c>
      <c r="Y223" s="9"/>
      <c r="Z223" s="9"/>
      <c r="AA223" s="9" t="s">
        <v>15389</v>
      </c>
      <c r="AB223" s="9"/>
      <c r="AC223" s="9"/>
      <c r="AD223" s="9" t="s">
        <v>15389</v>
      </c>
      <c r="AE223" s="9"/>
      <c r="AF223" s="9"/>
      <c r="AG223" s="9" t="s">
        <v>15389</v>
      </c>
    </row>
    <row r="224" spans="1:33" ht="16.5">
      <c r="A224" s="9">
        <v>219</v>
      </c>
      <c r="B224" s="9" t="s">
        <v>17283</v>
      </c>
      <c r="C224" s="9" t="s">
        <v>15155</v>
      </c>
      <c r="D224" s="9" t="s">
        <v>17206</v>
      </c>
      <c r="E224" s="12">
        <v>44071</v>
      </c>
      <c r="F224" s="14">
        <v>44435</v>
      </c>
      <c r="G224" s="12" t="s">
        <v>14702</v>
      </c>
      <c r="H224" s="9" t="s">
        <v>17282</v>
      </c>
      <c r="I224" s="9" t="s">
        <v>17281</v>
      </c>
      <c r="J224" s="9" t="s">
        <v>17280</v>
      </c>
      <c r="K224" s="9" t="s">
        <v>17279</v>
      </c>
      <c r="L224" s="9" t="s">
        <v>17278</v>
      </c>
      <c r="M224" s="11" t="s">
        <v>14794</v>
      </c>
      <c r="N224" s="10" t="s">
        <v>17277</v>
      </c>
      <c r="O224" s="9" t="s">
        <v>17276</v>
      </c>
      <c r="P224" s="9" t="s">
        <v>17275</v>
      </c>
      <c r="Q224" s="9" t="s">
        <v>17275</v>
      </c>
      <c r="R224" s="9" t="s">
        <v>17274</v>
      </c>
      <c r="S224" s="9" t="s">
        <v>17273</v>
      </c>
      <c r="T224" s="9" t="s">
        <v>14815</v>
      </c>
      <c r="U224" s="9" t="s">
        <v>17272</v>
      </c>
      <c r="V224" s="9" t="s">
        <v>15374</v>
      </c>
      <c r="W224" s="9" t="s">
        <v>17271</v>
      </c>
      <c r="X224" s="9" t="s">
        <v>17270</v>
      </c>
      <c r="Y224" s="9"/>
      <c r="Z224" s="9"/>
      <c r="AA224" s="9" t="s">
        <v>15389</v>
      </c>
      <c r="AB224" s="9"/>
      <c r="AC224" s="9"/>
      <c r="AD224" s="9" t="s">
        <v>15389</v>
      </c>
      <c r="AE224" s="9"/>
      <c r="AF224" s="9"/>
      <c r="AG224" s="9" t="s">
        <v>15389</v>
      </c>
    </row>
    <row r="225" spans="1:33" ht="16.5">
      <c r="A225" s="9">
        <v>220</v>
      </c>
      <c r="B225" s="9" t="s">
        <v>17269</v>
      </c>
      <c r="C225" s="9" t="s">
        <v>15155</v>
      </c>
      <c r="D225" s="9" t="s">
        <v>17206</v>
      </c>
      <c r="E225" s="12">
        <v>44071</v>
      </c>
      <c r="F225" s="14">
        <v>44435</v>
      </c>
      <c r="G225" s="12" t="s">
        <v>14702</v>
      </c>
      <c r="H225" s="9" t="s">
        <v>17268</v>
      </c>
      <c r="I225" s="9" t="s">
        <v>17267</v>
      </c>
      <c r="J225" s="9" t="s">
        <v>17266</v>
      </c>
      <c r="K225" s="9" t="s">
        <v>17265</v>
      </c>
      <c r="L225" s="9" t="s">
        <v>17264</v>
      </c>
      <c r="M225" s="11" t="s">
        <v>14746</v>
      </c>
      <c r="N225" s="10" t="s">
        <v>5636</v>
      </c>
      <c r="O225" s="9" t="s">
        <v>17263</v>
      </c>
      <c r="P225" s="9" t="s">
        <v>17262</v>
      </c>
      <c r="Q225" s="9" t="s">
        <v>17261</v>
      </c>
      <c r="R225" s="9" t="s">
        <v>17260</v>
      </c>
      <c r="S225" s="9" t="s">
        <v>17259</v>
      </c>
      <c r="T225" s="9" t="s">
        <v>14725</v>
      </c>
      <c r="U225" s="9" t="s">
        <v>17258</v>
      </c>
      <c r="V225" s="9" t="s">
        <v>15139</v>
      </c>
      <c r="W225" s="9" t="s">
        <v>17257</v>
      </c>
      <c r="X225" s="9" t="s">
        <v>17192</v>
      </c>
      <c r="Y225" s="9"/>
      <c r="Z225" s="9"/>
      <c r="AA225" s="9" t="s">
        <v>15389</v>
      </c>
      <c r="AB225" s="9"/>
      <c r="AC225" s="9"/>
      <c r="AD225" s="9" t="s">
        <v>15389</v>
      </c>
      <c r="AE225" s="9"/>
      <c r="AF225" s="9"/>
      <c r="AG225" s="9" t="s">
        <v>15389</v>
      </c>
    </row>
    <row r="226" spans="1:33" ht="16.5">
      <c r="A226" s="9">
        <v>221</v>
      </c>
      <c r="B226" s="9" t="s">
        <v>17256</v>
      </c>
      <c r="C226" s="9" t="s">
        <v>15155</v>
      </c>
      <c r="D226" s="9" t="s">
        <v>17206</v>
      </c>
      <c r="E226" s="12">
        <v>44071</v>
      </c>
      <c r="F226" s="14">
        <v>44435</v>
      </c>
      <c r="G226" s="12" t="s">
        <v>14702</v>
      </c>
      <c r="H226" s="9" t="s">
        <v>17255</v>
      </c>
      <c r="I226" s="9" t="s">
        <v>17254</v>
      </c>
      <c r="J226" s="9" t="s">
        <v>17253</v>
      </c>
      <c r="K226" s="9" t="s">
        <v>17252</v>
      </c>
      <c r="L226" s="9" t="s">
        <v>17251</v>
      </c>
      <c r="M226" s="11" t="s">
        <v>14746</v>
      </c>
      <c r="N226" s="10" t="s">
        <v>6065</v>
      </c>
      <c r="O226" s="9" t="s">
        <v>17250</v>
      </c>
      <c r="P226" s="9" t="s">
        <v>17249</v>
      </c>
      <c r="Q226" s="9" t="s">
        <v>17249</v>
      </c>
      <c r="R226" s="9" t="s">
        <v>17248</v>
      </c>
      <c r="S226" s="9" t="s">
        <v>17247</v>
      </c>
      <c r="T226" s="9" t="s">
        <v>14725</v>
      </c>
      <c r="U226" s="9" t="s">
        <v>17246</v>
      </c>
      <c r="V226" s="9" t="s">
        <v>15139</v>
      </c>
      <c r="W226" s="9" t="s">
        <v>17245</v>
      </c>
      <c r="X226" s="9" t="s">
        <v>17192</v>
      </c>
      <c r="Y226" s="9"/>
      <c r="Z226" s="9"/>
      <c r="AA226" s="9" t="s">
        <v>15389</v>
      </c>
      <c r="AB226" s="9"/>
      <c r="AC226" s="9"/>
      <c r="AD226" s="9" t="s">
        <v>15389</v>
      </c>
      <c r="AE226" s="9"/>
      <c r="AF226" s="9"/>
      <c r="AG226" s="9" t="s">
        <v>15389</v>
      </c>
    </row>
    <row r="227" spans="1:33" ht="16.5">
      <c r="A227" s="9">
        <v>222</v>
      </c>
      <c r="B227" s="9" t="s">
        <v>17244</v>
      </c>
      <c r="C227" s="9" t="s">
        <v>14705</v>
      </c>
      <c r="D227" s="9" t="s">
        <v>17206</v>
      </c>
      <c r="E227" s="12">
        <v>44071</v>
      </c>
      <c r="F227" s="14">
        <v>44916</v>
      </c>
      <c r="G227" s="12" t="s">
        <v>14702</v>
      </c>
      <c r="H227" s="9" t="s">
        <v>15854</v>
      </c>
      <c r="I227" s="9" t="s">
        <v>17243</v>
      </c>
      <c r="J227" s="9" t="s">
        <v>17242</v>
      </c>
      <c r="K227" s="9" t="s">
        <v>15854</v>
      </c>
      <c r="L227" s="9" t="s">
        <v>17241</v>
      </c>
      <c r="M227" s="11" t="s">
        <v>14732</v>
      </c>
      <c r="N227" s="10" t="s">
        <v>17240</v>
      </c>
      <c r="O227" s="9" t="s">
        <v>17239</v>
      </c>
      <c r="P227" s="9" t="s">
        <v>17238</v>
      </c>
      <c r="Q227" s="9" t="s">
        <v>17237</v>
      </c>
      <c r="R227" s="9" t="s">
        <v>17236</v>
      </c>
      <c r="S227" s="9" t="s">
        <v>17235</v>
      </c>
      <c r="T227" s="9" t="s">
        <v>14712</v>
      </c>
      <c r="U227" s="9" t="s">
        <v>17234</v>
      </c>
      <c r="V227" s="9" t="s">
        <v>15846</v>
      </c>
      <c r="W227" s="9" t="s">
        <v>17233</v>
      </c>
      <c r="X227" s="9" t="s">
        <v>16357</v>
      </c>
      <c r="Y227" s="9"/>
      <c r="Z227" s="9"/>
      <c r="AA227" s="9" t="s">
        <v>15389</v>
      </c>
      <c r="AB227" s="9"/>
      <c r="AC227" s="9"/>
      <c r="AD227" s="9" t="s">
        <v>15389</v>
      </c>
      <c r="AE227" s="9"/>
      <c r="AF227" s="9"/>
      <c r="AG227" s="9" t="s">
        <v>15389</v>
      </c>
    </row>
    <row r="228" spans="1:33" ht="16.5">
      <c r="A228" s="9">
        <v>223</v>
      </c>
      <c r="B228" s="9" t="s">
        <v>17232</v>
      </c>
      <c r="C228" s="9" t="s">
        <v>14705</v>
      </c>
      <c r="D228" s="9" t="s">
        <v>17206</v>
      </c>
      <c r="E228" s="12">
        <v>44071</v>
      </c>
      <c r="F228" s="14">
        <v>44653</v>
      </c>
      <c r="G228" s="12" t="s">
        <v>14702</v>
      </c>
      <c r="H228" s="9" t="s">
        <v>14920</v>
      </c>
      <c r="I228" s="9" t="s">
        <v>17231</v>
      </c>
      <c r="J228" s="9" t="s">
        <v>17230</v>
      </c>
      <c r="K228" s="9" t="s">
        <v>14920</v>
      </c>
      <c r="L228" s="9" t="s">
        <v>17229</v>
      </c>
      <c r="M228" s="11" t="s">
        <v>14794</v>
      </c>
      <c r="N228" s="10" t="s">
        <v>17228</v>
      </c>
      <c r="O228" s="9" t="s">
        <v>17227</v>
      </c>
      <c r="P228" s="9" t="s">
        <v>17226</v>
      </c>
      <c r="Q228" s="9" t="s">
        <v>17225</v>
      </c>
      <c r="R228" s="9" t="s">
        <v>17224</v>
      </c>
      <c r="S228" s="9" t="s">
        <v>17223</v>
      </c>
      <c r="T228" s="9" t="s">
        <v>15060</v>
      </c>
      <c r="U228" s="9" t="s">
        <v>17222</v>
      </c>
      <c r="V228" s="9" t="s">
        <v>75</v>
      </c>
      <c r="W228" s="9" t="s">
        <v>17221</v>
      </c>
      <c r="X228" s="9" t="s">
        <v>15510</v>
      </c>
      <c r="Y228" s="9"/>
      <c r="Z228" s="9"/>
      <c r="AA228" s="9" t="s">
        <v>15389</v>
      </c>
      <c r="AB228" s="9"/>
      <c r="AC228" s="9"/>
      <c r="AD228" s="9" t="s">
        <v>15389</v>
      </c>
      <c r="AE228" s="9"/>
      <c r="AF228" s="9"/>
      <c r="AG228" s="9" t="s">
        <v>15389</v>
      </c>
    </row>
    <row r="229" spans="1:33" ht="16.5">
      <c r="A229" s="9">
        <v>224</v>
      </c>
      <c r="B229" s="9" t="s">
        <v>17220</v>
      </c>
      <c r="C229" s="9" t="s">
        <v>14705</v>
      </c>
      <c r="D229" s="9" t="s">
        <v>17206</v>
      </c>
      <c r="E229" s="12">
        <v>44071</v>
      </c>
      <c r="F229" s="14">
        <v>44724</v>
      </c>
      <c r="G229" s="12" t="s">
        <v>14702</v>
      </c>
      <c r="H229" s="9" t="s">
        <v>17219</v>
      </c>
      <c r="I229" s="9" t="s">
        <v>17218</v>
      </c>
      <c r="J229" s="9" t="s">
        <v>17217</v>
      </c>
      <c r="K229" s="9" t="s">
        <v>14959</v>
      </c>
      <c r="L229" s="9" t="s">
        <v>17216</v>
      </c>
      <c r="M229" s="11" t="s">
        <v>14732</v>
      </c>
      <c r="N229" s="10" t="s">
        <v>17215</v>
      </c>
      <c r="O229" s="9" t="s">
        <v>17214</v>
      </c>
      <c r="P229" s="9" t="s">
        <v>17213</v>
      </c>
      <c r="Q229" s="9" t="s">
        <v>17212</v>
      </c>
      <c r="R229" s="9" t="s">
        <v>17211</v>
      </c>
      <c r="S229" s="9" t="s">
        <v>17210</v>
      </c>
      <c r="T229" s="9" t="s">
        <v>14815</v>
      </c>
      <c r="U229" s="9" t="s">
        <v>17209</v>
      </c>
      <c r="V229" s="9" t="s">
        <v>75</v>
      </c>
      <c r="W229" s="9" t="s">
        <v>17208</v>
      </c>
      <c r="X229" s="9" t="s">
        <v>15717</v>
      </c>
      <c r="Y229" s="9"/>
      <c r="Z229" s="9"/>
      <c r="AA229" s="9" t="s">
        <v>15389</v>
      </c>
      <c r="AB229" s="9"/>
      <c r="AC229" s="9"/>
      <c r="AD229" s="9" t="s">
        <v>15389</v>
      </c>
      <c r="AE229" s="9"/>
      <c r="AF229" s="9"/>
      <c r="AG229" s="9" t="s">
        <v>15389</v>
      </c>
    </row>
    <row r="230" spans="1:33" ht="16.5">
      <c r="A230" s="9">
        <v>225</v>
      </c>
      <c r="B230" s="9" t="s">
        <v>17207</v>
      </c>
      <c r="C230" s="9" t="s">
        <v>15155</v>
      </c>
      <c r="D230" s="9" t="s">
        <v>17206</v>
      </c>
      <c r="E230" s="12">
        <v>44071</v>
      </c>
      <c r="F230" s="14">
        <v>44435</v>
      </c>
      <c r="G230" s="12" t="s">
        <v>14702</v>
      </c>
      <c r="H230" s="9" t="s">
        <v>17205</v>
      </c>
      <c r="I230" s="9" t="s">
        <v>17204</v>
      </c>
      <c r="J230" s="9" t="s">
        <v>17203</v>
      </c>
      <c r="K230" s="9" t="s">
        <v>17202</v>
      </c>
      <c r="L230" s="9" t="s">
        <v>17201</v>
      </c>
      <c r="M230" s="11" t="s">
        <v>14746</v>
      </c>
      <c r="N230" s="10" t="s">
        <v>17200</v>
      </c>
      <c r="O230" s="9" t="s">
        <v>17199</v>
      </c>
      <c r="P230" s="9" t="s">
        <v>17198</v>
      </c>
      <c r="Q230" s="9" t="s">
        <v>17197</v>
      </c>
      <c r="R230" s="9" t="s">
        <v>17196</v>
      </c>
      <c r="S230" s="9" t="s">
        <v>17195</v>
      </c>
      <c r="T230" s="9" t="s">
        <v>14815</v>
      </c>
      <c r="U230" s="9" t="s">
        <v>17194</v>
      </c>
      <c r="V230" s="9" t="s">
        <v>15139</v>
      </c>
      <c r="W230" s="9" t="s">
        <v>17193</v>
      </c>
      <c r="X230" s="9" t="s">
        <v>17192</v>
      </c>
      <c r="Y230" s="9"/>
      <c r="Z230" s="9"/>
      <c r="AA230" s="9" t="s">
        <v>15389</v>
      </c>
      <c r="AB230" s="9"/>
      <c r="AC230" s="9"/>
      <c r="AD230" s="9" t="s">
        <v>15389</v>
      </c>
      <c r="AE230" s="9"/>
      <c r="AF230" s="9"/>
      <c r="AG230" s="9" t="s">
        <v>15389</v>
      </c>
    </row>
    <row r="231" spans="1:33" ht="16.5">
      <c r="A231" s="9">
        <v>226</v>
      </c>
      <c r="B231" s="9" t="s">
        <v>17191</v>
      </c>
      <c r="C231" s="9" t="s">
        <v>14705</v>
      </c>
      <c r="D231" s="9" t="s">
        <v>16669</v>
      </c>
      <c r="E231" s="12" t="s">
        <v>16668</v>
      </c>
      <c r="F231" s="12">
        <v>44654</v>
      </c>
      <c r="G231" s="12" t="s">
        <v>14702</v>
      </c>
      <c r="H231" s="9" t="s">
        <v>17190</v>
      </c>
      <c r="I231" s="9" t="s">
        <v>17189</v>
      </c>
      <c r="J231" s="9">
        <v>3912110507</v>
      </c>
      <c r="K231" s="9" t="s">
        <v>17188</v>
      </c>
      <c r="L231" s="9" t="s">
        <v>17187</v>
      </c>
      <c r="M231" s="11" t="s">
        <v>14763</v>
      </c>
      <c r="N231" s="10" t="s">
        <v>17186</v>
      </c>
      <c r="O231" s="9" t="s">
        <v>17185</v>
      </c>
      <c r="P231" s="9" t="s">
        <v>17184</v>
      </c>
      <c r="Q231" s="9" t="s">
        <v>17183</v>
      </c>
      <c r="R231" s="9" t="s">
        <v>17182</v>
      </c>
      <c r="S231" s="9" t="s">
        <v>17181</v>
      </c>
      <c r="T231" s="9" t="s">
        <v>14725</v>
      </c>
      <c r="U231" s="9" t="s">
        <v>17180</v>
      </c>
      <c r="V231" s="9" t="s">
        <v>15044</v>
      </c>
      <c r="W231" s="9" t="s">
        <v>17179</v>
      </c>
      <c r="X231" s="9" t="s">
        <v>17178</v>
      </c>
      <c r="Y231" s="9"/>
      <c r="Z231" s="9"/>
      <c r="AA231" s="9" t="s">
        <v>15389</v>
      </c>
      <c r="AB231" s="9"/>
      <c r="AC231" s="9"/>
      <c r="AD231" s="9" t="s">
        <v>15389</v>
      </c>
      <c r="AE231" s="9"/>
      <c r="AF231" s="9"/>
      <c r="AG231" s="9" t="s">
        <v>15389</v>
      </c>
    </row>
    <row r="232" spans="1:33" ht="16.5">
      <c r="A232" s="9">
        <v>227</v>
      </c>
      <c r="B232" s="9" t="s">
        <v>17177</v>
      </c>
      <c r="C232" s="9" t="s">
        <v>15155</v>
      </c>
      <c r="D232" s="9" t="s">
        <v>16669</v>
      </c>
      <c r="E232" s="12" t="s">
        <v>16668</v>
      </c>
      <c r="F232" s="12">
        <v>44375</v>
      </c>
      <c r="G232" s="12" t="s">
        <v>14702</v>
      </c>
      <c r="H232" s="9" t="s">
        <v>17176</v>
      </c>
      <c r="I232" s="9" t="s">
        <v>17175</v>
      </c>
      <c r="J232" s="9">
        <v>4111456901</v>
      </c>
      <c r="K232" s="9" t="s">
        <v>17174</v>
      </c>
      <c r="L232" s="9" t="s">
        <v>17173</v>
      </c>
      <c r="M232" s="11" t="s">
        <v>14794</v>
      </c>
      <c r="N232" s="10" t="s">
        <v>17172</v>
      </c>
      <c r="O232" s="9" t="s">
        <v>17171</v>
      </c>
      <c r="P232" s="9" t="s">
        <v>17170</v>
      </c>
      <c r="Q232" s="9" t="s">
        <v>17169</v>
      </c>
      <c r="R232" s="9" t="s">
        <v>17168</v>
      </c>
      <c r="S232" s="9" t="s">
        <v>17167</v>
      </c>
      <c r="T232" s="9" t="s">
        <v>14756</v>
      </c>
      <c r="U232" s="9" t="s">
        <v>17166</v>
      </c>
      <c r="V232" s="9" t="s">
        <v>15374</v>
      </c>
      <c r="W232" s="9" t="s">
        <v>17165</v>
      </c>
      <c r="X232" s="9" t="s">
        <v>17164</v>
      </c>
      <c r="Y232" s="9"/>
      <c r="Z232" s="9"/>
      <c r="AA232" s="9" t="s">
        <v>15389</v>
      </c>
      <c r="AB232" s="9"/>
      <c r="AC232" s="9"/>
      <c r="AD232" s="9" t="s">
        <v>15389</v>
      </c>
      <c r="AE232" s="9"/>
      <c r="AF232" s="9"/>
      <c r="AG232" s="9" t="s">
        <v>15389</v>
      </c>
    </row>
    <row r="233" spans="1:33" ht="16.5">
      <c r="A233" s="9">
        <v>228</v>
      </c>
      <c r="B233" s="9" t="s">
        <v>17163</v>
      </c>
      <c r="C233" s="9" t="s">
        <v>14705</v>
      </c>
      <c r="D233" s="9" t="s">
        <v>16669</v>
      </c>
      <c r="E233" s="12" t="s">
        <v>16668</v>
      </c>
      <c r="F233" s="12">
        <v>44672</v>
      </c>
      <c r="G233" s="12" t="s">
        <v>14702</v>
      </c>
      <c r="H233" s="9" t="s">
        <v>17162</v>
      </c>
      <c r="I233" s="9" t="s">
        <v>17161</v>
      </c>
      <c r="J233" s="9">
        <v>4710998001</v>
      </c>
      <c r="K233" s="9" t="s">
        <v>15541</v>
      </c>
      <c r="L233" s="9" t="s">
        <v>17160</v>
      </c>
      <c r="M233" s="11" t="s">
        <v>14794</v>
      </c>
      <c r="N233" s="10" t="s">
        <v>17159</v>
      </c>
      <c r="O233" s="9" t="s">
        <v>17158</v>
      </c>
      <c r="P233" s="9" t="s">
        <v>17157</v>
      </c>
      <c r="Q233" s="9" t="s">
        <v>17156</v>
      </c>
      <c r="R233" s="9" t="s">
        <v>17155</v>
      </c>
      <c r="S233" s="9" t="s">
        <v>17154</v>
      </c>
      <c r="T233" s="9" t="s">
        <v>14692</v>
      </c>
      <c r="U233" s="9" t="s">
        <v>17153</v>
      </c>
      <c r="V233" s="9" t="s">
        <v>77</v>
      </c>
      <c r="W233" s="9" t="s">
        <v>17152</v>
      </c>
      <c r="X233" s="9" t="s">
        <v>17151</v>
      </c>
      <c r="Y233" s="9"/>
      <c r="Z233" s="9"/>
      <c r="AA233" s="9" t="s">
        <v>15389</v>
      </c>
      <c r="AB233" s="9"/>
      <c r="AC233" s="9"/>
      <c r="AD233" s="9" t="s">
        <v>15389</v>
      </c>
      <c r="AE233" s="9"/>
      <c r="AF233" s="9"/>
      <c r="AG233" s="9" t="s">
        <v>15389</v>
      </c>
    </row>
    <row r="234" spans="1:33" ht="16.5">
      <c r="A234" s="9">
        <v>229</v>
      </c>
      <c r="B234" s="9" t="s">
        <v>17150</v>
      </c>
      <c r="C234" s="9" t="s">
        <v>15155</v>
      </c>
      <c r="D234" s="9" t="s">
        <v>16669</v>
      </c>
      <c r="E234" s="12" t="s">
        <v>16668</v>
      </c>
      <c r="F234" s="12">
        <v>44375</v>
      </c>
      <c r="G234" s="12" t="s">
        <v>14702</v>
      </c>
      <c r="H234" s="9" t="s">
        <v>17149</v>
      </c>
      <c r="I234" s="9" t="s">
        <v>17148</v>
      </c>
      <c r="J234" s="9">
        <v>4321151403</v>
      </c>
      <c r="K234" s="9" t="s">
        <v>17147</v>
      </c>
      <c r="L234" s="9" t="s">
        <v>17146</v>
      </c>
      <c r="M234" s="11" t="s">
        <v>15065</v>
      </c>
      <c r="N234" s="10" t="s">
        <v>17145</v>
      </c>
      <c r="O234" s="9" t="s">
        <v>17144</v>
      </c>
      <c r="P234" s="9" t="s">
        <v>17143</v>
      </c>
      <c r="Q234" s="9" t="s">
        <v>17142</v>
      </c>
      <c r="R234" s="9" t="s">
        <v>17141</v>
      </c>
      <c r="S234" s="9" t="s">
        <v>17140</v>
      </c>
      <c r="T234" s="9" t="s">
        <v>14725</v>
      </c>
      <c r="U234" s="9" t="s">
        <v>17139</v>
      </c>
      <c r="V234" s="9" t="s">
        <v>15374</v>
      </c>
      <c r="W234" s="9" t="s">
        <v>17138</v>
      </c>
      <c r="X234" s="9" t="s">
        <v>16889</v>
      </c>
      <c r="Y234" s="9"/>
      <c r="Z234" s="9"/>
      <c r="AA234" s="9" t="s">
        <v>15389</v>
      </c>
      <c r="AB234" s="9"/>
      <c r="AC234" s="9"/>
      <c r="AD234" s="9" t="s">
        <v>15389</v>
      </c>
      <c r="AE234" s="9"/>
      <c r="AF234" s="9"/>
      <c r="AG234" s="9" t="s">
        <v>15389</v>
      </c>
    </row>
    <row r="235" spans="1:33" ht="16.5">
      <c r="A235" s="9">
        <v>230</v>
      </c>
      <c r="B235" s="9" t="s">
        <v>17137</v>
      </c>
      <c r="C235" s="9" t="s">
        <v>15155</v>
      </c>
      <c r="D235" s="9" t="s">
        <v>16669</v>
      </c>
      <c r="E235" s="12" t="s">
        <v>16668</v>
      </c>
      <c r="F235" s="12">
        <v>44584</v>
      </c>
      <c r="G235" s="12" t="s">
        <v>14702</v>
      </c>
      <c r="H235" s="9" t="s">
        <v>17136</v>
      </c>
      <c r="I235" s="9" t="s">
        <v>17136</v>
      </c>
      <c r="J235" s="9">
        <v>3912180101</v>
      </c>
      <c r="K235" s="9" t="s">
        <v>15066</v>
      </c>
      <c r="L235" s="9" t="s">
        <v>17135</v>
      </c>
      <c r="M235" s="11" t="s">
        <v>14794</v>
      </c>
      <c r="N235" s="10" t="s">
        <v>17134</v>
      </c>
      <c r="O235" s="9" t="s">
        <v>17133</v>
      </c>
      <c r="P235" s="9" t="s">
        <v>17132</v>
      </c>
      <c r="Q235" s="9" t="s">
        <v>17131</v>
      </c>
      <c r="R235" s="9" t="s">
        <v>17130</v>
      </c>
      <c r="S235" s="9" t="s">
        <v>17129</v>
      </c>
      <c r="T235" s="9" t="s">
        <v>14815</v>
      </c>
      <c r="U235" s="9" t="s">
        <v>17128</v>
      </c>
      <c r="V235" s="9" t="s">
        <v>17127</v>
      </c>
      <c r="W235" s="9" t="s">
        <v>17126</v>
      </c>
      <c r="X235" s="9" t="s">
        <v>17125</v>
      </c>
      <c r="Y235" s="9" t="s">
        <v>15572</v>
      </c>
      <c r="Z235" s="9" t="s">
        <v>17124</v>
      </c>
      <c r="AA235" s="9" t="s">
        <v>17123</v>
      </c>
      <c r="AB235" s="9"/>
      <c r="AC235" s="9"/>
      <c r="AD235" s="9" t="s">
        <v>15389</v>
      </c>
      <c r="AE235" s="9"/>
      <c r="AF235" s="9"/>
      <c r="AG235" s="9" t="s">
        <v>15389</v>
      </c>
    </row>
    <row r="236" spans="1:33" ht="16.5">
      <c r="A236" s="9">
        <v>231</v>
      </c>
      <c r="B236" s="9" t="s">
        <v>17122</v>
      </c>
      <c r="C236" s="9" t="s">
        <v>15155</v>
      </c>
      <c r="D236" s="9" t="s">
        <v>16669</v>
      </c>
      <c r="E236" s="12" t="s">
        <v>16668</v>
      </c>
      <c r="F236" s="12">
        <v>44375</v>
      </c>
      <c r="G236" s="12" t="s">
        <v>14702</v>
      </c>
      <c r="H236" s="9" t="s">
        <v>17121</v>
      </c>
      <c r="I236" s="9" t="s">
        <v>17120</v>
      </c>
      <c r="J236" s="9">
        <v>4711159601</v>
      </c>
      <c r="K236" s="9" t="s">
        <v>17119</v>
      </c>
      <c r="L236" s="9" t="s">
        <v>17118</v>
      </c>
      <c r="M236" s="11" t="s">
        <v>15065</v>
      </c>
      <c r="N236" s="10" t="s">
        <v>17117</v>
      </c>
      <c r="O236" s="9" t="s">
        <v>17116</v>
      </c>
      <c r="P236" s="9" t="s">
        <v>17115</v>
      </c>
      <c r="Q236" s="9" t="s">
        <v>17115</v>
      </c>
      <c r="R236" s="9" t="s">
        <v>17114</v>
      </c>
      <c r="S236" s="9" t="s">
        <v>17113</v>
      </c>
      <c r="T236" s="9" t="s">
        <v>14756</v>
      </c>
      <c r="U236" s="9" t="s">
        <v>17112</v>
      </c>
      <c r="V236" s="9" t="s">
        <v>15374</v>
      </c>
      <c r="W236" s="9" t="s">
        <v>17111</v>
      </c>
      <c r="X236" s="9" t="s">
        <v>17110</v>
      </c>
      <c r="Y236" s="9"/>
      <c r="Z236" s="9"/>
      <c r="AA236" s="9" t="s">
        <v>15389</v>
      </c>
      <c r="AB236" s="9"/>
      <c r="AC236" s="9"/>
      <c r="AD236" s="9" t="s">
        <v>15389</v>
      </c>
      <c r="AE236" s="9"/>
      <c r="AF236" s="9"/>
      <c r="AG236" s="9" t="s">
        <v>15389</v>
      </c>
    </row>
    <row r="237" spans="1:33" ht="16.5">
      <c r="A237" s="9">
        <v>232</v>
      </c>
      <c r="B237" s="9" t="s">
        <v>17109</v>
      </c>
      <c r="C237" s="9" t="s">
        <v>15155</v>
      </c>
      <c r="D237" s="9" t="s">
        <v>16669</v>
      </c>
      <c r="E237" s="12" t="s">
        <v>16668</v>
      </c>
      <c r="F237" s="12">
        <v>44375</v>
      </c>
      <c r="G237" s="12" t="s">
        <v>14702</v>
      </c>
      <c r="H237" s="9" t="s">
        <v>17108</v>
      </c>
      <c r="I237" s="9" t="s">
        <v>17107</v>
      </c>
      <c r="J237" s="9">
        <v>4411160801</v>
      </c>
      <c r="K237" s="9" t="s">
        <v>17106</v>
      </c>
      <c r="L237" s="9" t="s">
        <v>17105</v>
      </c>
      <c r="M237" s="11" t="s">
        <v>14746</v>
      </c>
      <c r="N237" s="10" t="s">
        <v>17104</v>
      </c>
      <c r="O237" s="9" t="s">
        <v>17103</v>
      </c>
      <c r="P237" s="9" t="s">
        <v>17102</v>
      </c>
      <c r="Q237" s="9" t="s">
        <v>17102</v>
      </c>
      <c r="R237" s="9" t="s">
        <v>17101</v>
      </c>
      <c r="S237" s="9" t="s">
        <v>17100</v>
      </c>
      <c r="T237" s="9" t="s">
        <v>14815</v>
      </c>
      <c r="U237" s="9" t="s">
        <v>17099</v>
      </c>
      <c r="V237" s="9" t="s">
        <v>15139</v>
      </c>
      <c r="W237" s="9" t="s">
        <v>17098</v>
      </c>
      <c r="X237" s="9" t="s">
        <v>17097</v>
      </c>
      <c r="Y237" s="9"/>
      <c r="Z237" s="9"/>
      <c r="AA237" s="9" t="s">
        <v>15389</v>
      </c>
      <c r="AB237" s="9"/>
      <c r="AC237" s="9"/>
      <c r="AD237" s="9" t="s">
        <v>15389</v>
      </c>
      <c r="AE237" s="9"/>
      <c r="AF237" s="9"/>
      <c r="AG237" s="9" t="s">
        <v>15389</v>
      </c>
    </row>
    <row r="238" spans="1:33" ht="16.5">
      <c r="A238" s="9">
        <v>233</v>
      </c>
      <c r="B238" s="9" t="s">
        <v>17096</v>
      </c>
      <c r="C238" s="9" t="s">
        <v>15155</v>
      </c>
      <c r="D238" s="9" t="s">
        <v>16669</v>
      </c>
      <c r="E238" s="12" t="s">
        <v>16668</v>
      </c>
      <c r="F238" s="12">
        <v>44973</v>
      </c>
      <c r="G238" s="12" t="s">
        <v>14702</v>
      </c>
      <c r="H238" s="9" t="s">
        <v>17095</v>
      </c>
      <c r="I238" s="9" t="s">
        <v>17095</v>
      </c>
      <c r="J238" s="9">
        <v>8611159701</v>
      </c>
      <c r="K238" s="9" t="s">
        <v>17094</v>
      </c>
      <c r="L238" s="9" t="s">
        <v>17093</v>
      </c>
      <c r="M238" s="11" t="s">
        <v>14746</v>
      </c>
      <c r="N238" s="10" t="s">
        <v>17092</v>
      </c>
      <c r="O238" s="9" t="s">
        <v>17091</v>
      </c>
      <c r="P238" s="9" t="s">
        <v>17090</v>
      </c>
      <c r="Q238" s="9" t="s">
        <v>17090</v>
      </c>
      <c r="R238" s="9" t="s">
        <v>17089</v>
      </c>
      <c r="S238" s="9" t="s">
        <v>17088</v>
      </c>
      <c r="T238" s="9" t="s">
        <v>15349</v>
      </c>
      <c r="U238" s="9" t="s">
        <v>17087</v>
      </c>
      <c r="V238" s="9" t="s">
        <v>15243</v>
      </c>
      <c r="W238" s="9" t="s">
        <v>17086</v>
      </c>
      <c r="X238" s="9" t="s">
        <v>17085</v>
      </c>
      <c r="Y238" s="9"/>
      <c r="Z238" s="9"/>
      <c r="AA238" s="9" t="s">
        <v>15389</v>
      </c>
      <c r="AB238" s="9"/>
      <c r="AC238" s="9"/>
      <c r="AD238" s="9" t="s">
        <v>15389</v>
      </c>
      <c r="AE238" s="9"/>
      <c r="AF238" s="9"/>
      <c r="AG238" s="9" t="s">
        <v>15389</v>
      </c>
    </row>
    <row r="239" spans="1:33" ht="16.5">
      <c r="A239" s="9">
        <v>234</v>
      </c>
      <c r="B239" s="9" t="s">
        <v>17084</v>
      </c>
      <c r="C239" s="9" t="s">
        <v>15155</v>
      </c>
      <c r="D239" s="9" t="s">
        <v>16669</v>
      </c>
      <c r="E239" s="12" t="s">
        <v>16668</v>
      </c>
      <c r="F239" s="12">
        <v>44375</v>
      </c>
      <c r="G239" s="12" t="s">
        <v>14702</v>
      </c>
      <c r="H239" s="9" t="s">
        <v>17083</v>
      </c>
      <c r="I239" s="9" t="s">
        <v>17082</v>
      </c>
      <c r="J239" s="9">
        <v>4712169801</v>
      </c>
      <c r="K239" s="9" t="s">
        <v>16640</v>
      </c>
      <c r="L239" s="9" t="s">
        <v>17081</v>
      </c>
      <c r="M239" s="11" t="s">
        <v>15065</v>
      </c>
      <c r="N239" s="13" t="s">
        <v>17080</v>
      </c>
      <c r="O239" s="9" t="s">
        <v>17079</v>
      </c>
      <c r="P239" s="9" t="s">
        <v>14956</v>
      </c>
      <c r="Q239" s="9" t="s">
        <v>17078</v>
      </c>
      <c r="R239" s="9" t="s">
        <v>17077</v>
      </c>
      <c r="S239" s="9" t="s">
        <v>17076</v>
      </c>
      <c r="T239" s="9" t="s">
        <v>15101</v>
      </c>
      <c r="U239" s="9" t="s">
        <v>17075</v>
      </c>
      <c r="V239" s="9" t="s">
        <v>15374</v>
      </c>
      <c r="W239" s="9" t="s">
        <v>17074</v>
      </c>
      <c r="X239" s="9" t="s">
        <v>17054</v>
      </c>
      <c r="Y239" s="9"/>
      <c r="Z239" s="9"/>
      <c r="AA239" s="9" t="s">
        <v>15389</v>
      </c>
      <c r="AB239" s="9"/>
      <c r="AC239" s="9"/>
      <c r="AD239" s="9" t="s">
        <v>15389</v>
      </c>
      <c r="AE239" s="9"/>
      <c r="AF239" s="9"/>
      <c r="AG239" s="9" t="s">
        <v>15389</v>
      </c>
    </row>
    <row r="240" spans="1:33" ht="16.5">
      <c r="A240" s="9">
        <v>235</v>
      </c>
      <c r="B240" s="9" t="s">
        <v>17073</v>
      </c>
      <c r="C240" s="9" t="s">
        <v>14705</v>
      </c>
      <c r="D240" s="9" t="s">
        <v>16669</v>
      </c>
      <c r="E240" s="12" t="s">
        <v>16668</v>
      </c>
      <c r="F240" s="12">
        <v>44912</v>
      </c>
      <c r="G240" s="12" t="s">
        <v>14702</v>
      </c>
      <c r="H240" s="9" t="s">
        <v>17072</v>
      </c>
      <c r="I240" s="9" t="s">
        <v>17071</v>
      </c>
      <c r="J240" s="9">
        <v>3911161102</v>
      </c>
      <c r="K240" s="9" t="s">
        <v>14920</v>
      </c>
      <c r="L240" s="9" t="s">
        <v>17030</v>
      </c>
      <c r="M240" s="11" t="s">
        <v>14794</v>
      </c>
      <c r="N240" s="10" t="s">
        <v>16652</v>
      </c>
      <c r="O240" s="9" t="s">
        <v>16651</v>
      </c>
      <c r="P240" s="9" t="s">
        <v>16650</v>
      </c>
      <c r="Q240" s="9" t="s">
        <v>16649</v>
      </c>
      <c r="R240" s="9" t="s">
        <v>16648</v>
      </c>
      <c r="S240" s="9" t="s">
        <v>17029</v>
      </c>
      <c r="T240" s="9" t="s">
        <v>14725</v>
      </c>
      <c r="U240" s="9" t="s">
        <v>16646</v>
      </c>
      <c r="V240" s="9" t="s">
        <v>75</v>
      </c>
      <c r="W240" s="9" t="s">
        <v>16645</v>
      </c>
      <c r="X240" s="9" t="s">
        <v>16644</v>
      </c>
      <c r="Y240" s="9"/>
      <c r="Z240" s="9"/>
      <c r="AA240" s="9" t="s">
        <v>15389</v>
      </c>
      <c r="AB240" s="9"/>
      <c r="AC240" s="9"/>
      <c r="AD240" s="9" t="s">
        <v>15389</v>
      </c>
      <c r="AE240" s="9"/>
      <c r="AF240" s="9"/>
      <c r="AG240" s="9" t="s">
        <v>15389</v>
      </c>
    </row>
    <row r="241" spans="1:33" ht="16.5">
      <c r="A241" s="9">
        <v>236</v>
      </c>
      <c r="B241" s="9" t="s">
        <v>17070</v>
      </c>
      <c r="C241" s="9" t="s">
        <v>14705</v>
      </c>
      <c r="D241" s="9" t="s">
        <v>16669</v>
      </c>
      <c r="E241" s="12" t="s">
        <v>16668</v>
      </c>
      <c r="F241" s="12">
        <v>44912</v>
      </c>
      <c r="G241" s="12" t="s">
        <v>14702</v>
      </c>
      <c r="H241" s="9" t="s">
        <v>17069</v>
      </c>
      <c r="I241" s="9" t="s">
        <v>17068</v>
      </c>
      <c r="J241" s="9">
        <v>3911160304</v>
      </c>
      <c r="K241" s="9" t="s">
        <v>15024</v>
      </c>
      <c r="L241" s="9" t="s">
        <v>17030</v>
      </c>
      <c r="M241" s="11" t="s">
        <v>14794</v>
      </c>
      <c r="N241" s="10" t="s">
        <v>16652</v>
      </c>
      <c r="O241" s="9" t="s">
        <v>16651</v>
      </c>
      <c r="P241" s="9" t="s">
        <v>16650</v>
      </c>
      <c r="Q241" s="9" t="s">
        <v>16649</v>
      </c>
      <c r="R241" s="9" t="s">
        <v>16648</v>
      </c>
      <c r="S241" s="9" t="s">
        <v>17029</v>
      </c>
      <c r="T241" s="9" t="s">
        <v>14725</v>
      </c>
      <c r="U241" s="9" t="s">
        <v>16646</v>
      </c>
      <c r="V241" s="9" t="s">
        <v>75</v>
      </c>
      <c r="W241" s="9" t="s">
        <v>16645</v>
      </c>
      <c r="X241" s="9" t="s">
        <v>16644</v>
      </c>
      <c r="Y241" s="9"/>
      <c r="Z241" s="9"/>
      <c r="AA241" s="9" t="s">
        <v>15389</v>
      </c>
      <c r="AB241" s="9"/>
      <c r="AC241" s="9"/>
      <c r="AD241" s="9" t="s">
        <v>15389</v>
      </c>
      <c r="AE241" s="9"/>
      <c r="AF241" s="9"/>
      <c r="AG241" s="9" t="s">
        <v>15389</v>
      </c>
    </row>
    <row r="242" spans="1:33" ht="16.5">
      <c r="A242" s="9">
        <v>237</v>
      </c>
      <c r="B242" s="9" t="s">
        <v>17067</v>
      </c>
      <c r="C242" s="9" t="s">
        <v>15155</v>
      </c>
      <c r="D242" s="9" t="s">
        <v>16669</v>
      </c>
      <c r="E242" s="12" t="s">
        <v>16668</v>
      </c>
      <c r="F242" s="12">
        <v>44375</v>
      </c>
      <c r="G242" s="12" t="s">
        <v>14702</v>
      </c>
      <c r="H242" s="9" t="s">
        <v>17066</v>
      </c>
      <c r="I242" s="9" t="s">
        <v>17065</v>
      </c>
      <c r="J242" s="9">
        <v>4616158501</v>
      </c>
      <c r="K242" s="9" t="s">
        <v>17064</v>
      </c>
      <c r="L242" s="9" t="s">
        <v>17063</v>
      </c>
      <c r="M242" s="11" t="s">
        <v>14732</v>
      </c>
      <c r="N242" s="13" t="s">
        <v>17062</v>
      </c>
      <c r="O242" s="9" t="s">
        <v>17061</v>
      </c>
      <c r="P242" s="9" t="s">
        <v>17060</v>
      </c>
      <c r="Q242" s="9" t="s">
        <v>17059</v>
      </c>
      <c r="R242" s="9" t="s">
        <v>17058</v>
      </c>
      <c r="S242" s="9" t="s">
        <v>17057</v>
      </c>
      <c r="T242" s="9" t="s">
        <v>14756</v>
      </c>
      <c r="U242" s="9" t="s">
        <v>17056</v>
      </c>
      <c r="V242" s="9" t="s">
        <v>15374</v>
      </c>
      <c r="W242" s="9" t="s">
        <v>17055</v>
      </c>
      <c r="X242" s="9" t="s">
        <v>17054</v>
      </c>
      <c r="Y242" s="9"/>
      <c r="Z242" s="9"/>
      <c r="AA242" s="9" t="s">
        <v>15389</v>
      </c>
      <c r="AB242" s="9"/>
      <c r="AC242" s="9"/>
      <c r="AD242" s="9" t="s">
        <v>15389</v>
      </c>
      <c r="AE242" s="9"/>
      <c r="AF242" s="9"/>
      <c r="AG242" s="9" t="s">
        <v>15389</v>
      </c>
    </row>
    <row r="243" spans="1:33" ht="16.5">
      <c r="A243" s="9">
        <v>238</v>
      </c>
      <c r="B243" s="9" t="s">
        <v>17053</v>
      </c>
      <c r="C243" s="9" t="s">
        <v>14705</v>
      </c>
      <c r="D243" s="9" t="s">
        <v>16669</v>
      </c>
      <c r="E243" s="12" t="s">
        <v>16668</v>
      </c>
      <c r="F243" s="12">
        <v>44912</v>
      </c>
      <c r="G243" s="12" t="s">
        <v>14702</v>
      </c>
      <c r="H243" s="9" t="s">
        <v>17052</v>
      </c>
      <c r="I243" s="9" t="s">
        <v>17051</v>
      </c>
      <c r="J243" s="9">
        <v>3911160802</v>
      </c>
      <c r="K243" s="9" t="s">
        <v>15018</v>
      </c>
      <c r="L243" s="9" t="s">
        <v>17030</v>
      </c>
      <c r="M243" s="11" t="s">
        <v>14732</v>
      </c>
      <c r="N243" s="10" t="s">
        <v>16652</v>
      </c>
      <c r="O243" s="9" t="s">
        <v>16651</v>
      </c>
      <c r="P243" s="9" t="s">
        <v>16650</v>
      </c>
      <c r="Q243" s="9" t="s">
        <v>16649</v>
      </c>
      <c r="R243" s="9" t="s">
        <v>16648</v>
      </c>
      <c r="S243" s="9" t="s">
        <v>17029</v>
      </c>
      <c r="T243" s="9" t="s">
        <v>14725</v>
      </c>
      <c r="U243" s="9" t="s">
        <v>16646</v>
      </c>
      <c r="V243" s="9" t="s">
        <v>75</v>
      </c>
      <c r="W243" s="9" t="s">
        <v>16645</v>
      </c>
      <c r="X243" s="9" t="s">
        <v>16644</v>
      </c>
      <c r="Y243" s="9"/>
      <c r="Z243" s="9"/>
      <c r="AA243" s="9" t="s">
        <v>15389</v>
      </c>
      <c r="AB243" s="9"/>
      <c r="AC243" s="9"/>
      <c r="AD243" s="9" t="s">
        <v>15389</v>
      </c>
      <c r="AE243" s="9"/>
      <c r="AF243" s="9"/>
      <c r="AG243" s="9" t="s">
        <v>15389</v>
      </c>
    </row>
    <row r="244" spans="1:33" ht="16.5">
      <c r="A244" s="9">
        <v>239</v>
      </c>
      <c r="B244" s="9" t="s">
        <v>17050</v>
      </c>
      <c r="C244" s="9" t="s">
        <v>14750</v>
      </c>
      <c r="D244" s="9" t="s">
        <v>16669</v>
      </c>
      <c r="E244" s="12" t="s">
        <v>16668</v>
      </c>
      <c r="F244" s="12">
        <v>44966</v>
      </c>
      <c r="G244" s="12" t="s">
        <v>14702</v>
      </c>
      <c r="H244" s="9" t="s">
        <v>17049</v>
      </c>
      <c r="I244" s="9" t="s">
        <v>17048</v>
      </c>
      <c r="J244" s="9">
        <v>8111159901</v>
      </c>
      <c r="K244" s="9" t="s">
        <v>17047</v>
      </c>
      <c r="L244" s="9" t="s">
        <v>17046</v>
      </c>
      <c r="M244" s="11" t="s">
        <v>14746</v>
      </c>
      <c r="N244" s="10" t="s">
        <v>17045</v>
      </c>
      <c r="O244" s="9" t="s">
        <v>17044</v>
      </c>
      <c r="P244" s="9" t="s">
        <v>17043</v>
      </c>
      <c r="Q244" s="9" t="s">
        <v>17042</v>
      </c>
      <c r="R244" s="9" t="s">
        <v>17041</v>
      </c>
      <c r="S244" s="9" t="s">
        <v>17040</v>
      </c>
      <c r="T244" s="9" t="s">
        <v>14815</v>
      </c>
      <c r="U244" s="9" t="s">
        <v>17039</v>
      </c>
      <c r="V244" s="9" t="s">
        <v>15243</v>
      </c>
      <c r="W244" s="9" t="s">
        <v>17038</v>
      </c>
      <c r="X244" s="9" t="s">
        <v>17037</v>
      </c>
      <c r="Y244" s="9"/>
      <c r="Z244" s="9"/>
      <c r="AA244" s="9" t="s">
        <v>15389</v>
      </c>
      <c r="AB244" s="9"/>
      <c r="AC244" s="9"/>
      <c r="AD244" s="9" t="s">
        <v>15389</v>
      </c>
      <c r="AE244" s="9"/>
      <c r="AF244" s="9"/>
      <c r="AG244" s="9" t="s">
        <v>15389</v>
      </c>
    </row>
    <row r="245" spans="1:33" ht="16.5">
      <c r="A245" s="9">
        <v>240</v>
      </c>
      <c r="B245" s="9" t="s">
        <v>17036</v>
      </c>
      <c r="C245" s="9" t="s">
        <v>14705</v>
      </c>
      <c r="D245" s="9" t="s">
        <v>16669</v>
      </c>
      <c r="E245" s="12" t="s">
        <v>16668</v>
      </c>
      <c r="F245" s="12">
        <v>44912</v>
      </c>
      <c r="G245" s="12" t="s">
        <v>14702</v>
      </c>
      <c r="H245" s="9" t="s">
        <v>17035</v>
      </c>
      <c r="I245" s="9" t="s">
        <v>17034</v>
      </c>
      <c r="J245" s="9">
        <v>3911160302</v>
      </c>
      <c r="K245" s="9" t="s">
        <v>14907</v>
      </c>
      <c r="L245" s="9" t="s">
        <v>17030</v>
      </c>
      <c r="M245" s="11" t="s">
        <v>14732</v>
      </c>
      <c r="N245" s="10" t="s">
        <v>16652</v>
      </c>
      <c r="O245" s="9" t="s">
        <v>16651</v>
      </c>
      <c r="P245" s="9" t="s">
        <v>16650</v>
      </c>
      <c r="Q245" s="9" t="s">
        <v>16649</v>
      </c>
      <c r="R245" s="9" t="s">
        <v>16648</v>
      </c>
      <c r="S245" s="9" t="s">
        <v>17029</v>
      </c>
      <c r="T245" s="9" t="s">
        <v>14725</v>
      </c>
      <c r="U245" s="9" t="s">
        <v>16646</v>
      </c>
      <c r="V245" s="9" t="s">
        <v>75</v>
      </c>
      <c r="W245" s="9" t="s">
        <v>16645</v>
      </c>
      <c r="X245" s="9" t="s">
        <v>16644</v>
      </c>
      <c r="Y245" s="9"/>
      <c r="Z245" s="9"/>
      <c r="AA245" s="9" t="s">
        <v>15389</v>
      </c>
      <c r="AB245" s="9"/>
      <c r="AC245" s="9"/>
      <c r="AD245" s="9" t="s">
        <v>15389</v>
      </c>
      <c r="AE245" s="9"/>
      <c r="AF245" s="9"/>
      <c r="AG245" s="9" t="s">
        <v>15389</v>
      </c>
    </row>
    <row r="246" spans="1:33" ht="16.5">
      <c r="A246" s="9">
        <v>241</v>
      </c>
      <c r="B246" s="9" t="s">
        <v>17033</v>
      </c>
      <c r="C246" s="9" t="s">
        <v>14705</v>
      </c>
      <c r="D246" s="9" t="s">
        <v>16669</v>
      </c>
      <c r="E246" s="12" t="s">
        <v>16668</v>
      </c>
      <c r="F246" s="12">
        <v>44912</v>
      </c>
      <c r="G246" s="12" t="s">
        <v>14702</v>
      </c>
      <c r="H246" s="9" t="s">
        <v>17032</v>
      </c>
      <c r="I246" s="9" t="s">
        <v>17031</v>
      </c>
      <c r="J246" s="9">
        <v>3911151502</v>
      </c>
      <c r="K246" s="9" t="s">
        <v>16115</v>
      </c>
      <c r="L246" s="9" t="s">
        <v>17030</v>
      </c>
      <c r="M246" s="11" t="s">
        <v>14732</v>
      </c>
      <c r="N246" s="10" t="s">
        <v>16652</v>
      </c>
      <c r="O246" s="9" t="s">
        <v>16651</v>
      </c>
      <c r="P246" s="9" t="s">
        <v>16650</v>
      </c>
      <c r="Q246" s="9" t="s">
        <v>16649</v>
      </c>
      <c r="R246" s="9" t="s">
        <v>16648</v>
      </c>
      <c r="S246" s="9" t="s">
        <v>17029</v>
      </c>
      <c r="T246" s="9" t="s">
        <v>14725</v>
      </c>
      <c r="U246" s="9" t="s">
        <v>16646</v>
      </c>
      <c r="V246" s="9" t="s">
        <v>75</v>
      </c>
      <c r="W246" s="9" t="s">
        <v>16645</v>
      </c>
      <c r="X246" s="9" t="s">
        <v>16644</v>
      </c>
      <c r="Y246" s="9"/>
      <c r="Z246" s="9"/>
      <c r="AA246" s="9" t="s">
        <v>15389</v>
      </c>
      <c r="AB246" s="9"/>
      <c r="AC246" s="9"/>
      <c r="AD246" s="9" t="s">
        <v>15389</v>
      </c>
      <c r="AE246" s="9"/>
      <c r="AF246" s="9"/>
      <c r="AG246" s="9" t="s">
        <v>15389</v>
      </c>
    </row>
    <row r="247" spans="1:33" ht="16.5">
      <c r="A247" s="9">
        <v>242</v>
      </c>
      <c r="B247" s="9" t="s">
        <v>17028</v>
      </c>
      <c r="C247" s="9" t="s">
        <v>14750</v>
      </c>
      <c r="D247" s="9" t="s">
        <v>16669</v>
      </c>
      <c r="E247" s="12" t="s">
        <v>16668</v>
      </c>
      <c r="F247" s="12">
        <v>45179</v>
      </c>
      <c r="G247" s="12" t="s">
        <v>14702</v>
      </c>
      <c r="H247" s="9" t="s">
        <v>17027</v>
      </c>
      <c r="I247" s="9" t="s">
        <v>17026</v>
      </c>
      <c r="J247" s="9">
        <v>3011159601</v>
      </c>
      <c r="K247" s="9" t="s">
        <v>17025</v>
      </c>
      <c r="L247" s="9" t="s">
        <v>17024</v>
      </c>
      <c r="M247" s="11" t="s">
        <v>14888</v>
      </c>
      <c r="N247" s="10" t="s">
        <v>17023</v>
      </c>
      <c r="O247" s="9" t="s">
        <v>17022</v>
      </c>
      <c r="P247" s="9" t="s">
        <v>17021</v>
      </c>
      <c r="Q247" s="9" t="s">
        <v>17020</v>
      </c>
      <c r="R247" s="9" t="s">
        <v>17019</v>
      </c>
      <c r="S247" s="9" t="s">
        <v>17018</v>
      </c>
      <c r="T247" s="9" t="s">
        <v>14756</v>
      </c>
      <c r="U247" s="9" t="s">
        <v>17017</v>
      </c>
      <c r="V247" s="9" t="s">
        <v>17016</v>
      </c>
      <c r="W247" s="9" t="s">
        <v>17015</v>
      </c>
      <c r="X247" s="9" t="s">
        <v>15445</v>
      </c>
      <c r="Y247" s="9" t="s">
        <v>75</v>
      </c>
      <c r="Z247" s="9" t="s">
        <v>17014</v>
      </c>
      <c r="AA247" s="9" t="s">
        <v>16386</v>
      </c>
      <c r="AB247" s="9" t="s">
        <v>14868</v>
      </c>
      <c r="AC247" s="9" t="s">
        <v>17013</v>
      </c>
      <c r="AD247" s="9" t="s">
        <v>17012</v>
      </c>
      <c r="AE247" s="9"/>
      <c r="AF247" s="9"/>
      <c r="AG247" s="9" t="s">
        <v>15389</v>
      </c>
    </row>
    <row r="248" spans="1:33" ht="16.5">
      <c r="A248" s="9">
        <v>243</v>
      </c>
      <c r="B248" s="9" t="s">
        <v>17011</v>
      </c>
      <c r="C248" s="9" t="s">
        <v>14705</v>
      </c>
      <c r="D248" s="9" t="s">
        <v>16669</v>
      </c>
      <c r="E248" s="12" t="s">
        <v>16668</v>
      </c>
      <c r="F248" s="12">
        <v>45016</v>
      </c>
      <c r="G248" s="12" t="s">
        <v>14702</v>
      </c>
      <c r="H248" s="9" t="s">
        <v>17010</v>
      </c>
      <c r="I248" s="9" t="s">
        <v>17009</v>
      </c>
      <c r="J248" s="9">
        <v>5512171002</v>
      </c>
      <c r="K248" s="9" t="s">
        <v>17008</v>
      </c>
      <c r="L248" s="9" t="s">
        <v>17007</v>
      </c>
      <c r="M248" s="11" t="s">
        <v>14732</v>
      </c>
      <c r="N248" s="10" t="s">
        <v>17006</v>
      </c>
      <c r="O248" s="9" t="s">
        <v>17005</v>
      </c>
      <c r="P248" s="9" t="s">
        <v>17004</v>
      </c>
      <c r="Q248" s="9" t="s">
        <v>17003</v>
      </c>
      <c r="R248" s="9" t="s">
        <v>17002</v>
      </c>
      <c r="S248" s="9" t="s">
        <v>17001</v>
      </c>
      <c r="T248" s="9" t="s">
        <v>14725</v>
      </c>
      <c r="U248" s="9" t="s">
        <v>17000</v>
      </c>
      <c r="V248" s="9" t="s">
        <v>75</v>
      </c>
      <c r="W248" s="9" t="s">
        <v>16999</v>
      </c>
      <c r="X248" s="9" t="s">
        <v>16839</v>
      </c>
      <c r="Y248" s="9"/>
      <c r="Z248" s="9"/>
      <c r="AA248" s="9" t="s">
        <v>15389</v>
      </c>
      <c r="AB248" s="9"/>
      <c r="AC248" s="9"/>
      <c r="AD248" s="9" t="s">
        <v>15389</v>
      </c>
      <c r="AE248" s="9"/>
      <c r="AF248" s="9"/>
      <c r="AG248" s="9" t="s">
        <v>15389</v>
      </c>
    </row>
    <row r="249" spans="1:33" ht="16.5">
      <c r="A249" s="9">
        <v>244</v>
      </c>
      <c r="B249" s="9" t="s">
        <v>16998</v>
      </c>
      <c r="C249" s="9" t="s">
        <v>14750</v>
      </c>
      <c r="D249" s="9" t="s">
        <v>16669</v>
      </c>
      <c r="E249" s="12" t="s">
        <v>16668</v>
      </c>
      <c r="F249" s="12">
        <v>44924</v>
      </c>
      <c r="G249" s="12" t="s">
        <v>14702</v>
      </c>
      <c r="H249" s="9" t="s">
        <v>16997</v>
      </c>
      <c r="I249" s="9" t="s">
        <v>16996</v>
      </c>
      <c r="J249" s="9">
        <v>5510159901</v>
      </c>
      <c r="K249" s="9" t="s">
        <v>16995</v>
      </c>
      <c r="L249" s="9" t="s">
        <v>16994</v>
      </c>
      <c r="M249" s="11" t="s">
        <v>15065</v>
      </c>
      <c r="N249" s="10" t="s">
        <v>16993</v>
      </c>
      <c r="O249" s="9" t="s">
        <v>16992</v>
      </c>
      <c r="P249" s="9" t="s">
        <v>16991</v>
      </c>
      <c r="Q249" s="9" t="s">
        <v>16990</v>
      </c>
      <c r="R249" s="9" t="s">
        <v>16989</v>
      </c>
      <c r="S249" s="9" t="s">
        <v>16988</v>
      </c>
      <c r="T249" s="9" t="s">
        <v>14712</v>
      </c>
      <c r="U249" s="9" t="s">
        <v>16987</v>
      </c>
      <c r="V249" s="9" t="s">
        <v>16971</v>
      </c>
      <c r="W249" s="9" t="s">
        <v>16986</v>
      </c>
      <c r="X249" s="9" t="s">
        <v>16386</v>
      </c>
      <c r="Y249" s="9" t="s">
        <v>77</v>
      </c>
      <c r="Z249" s="9" t="s">
        <v>16985</v>
      </c>
      <c r="AA249" s="9" t="s">
        <v>16984</v>
      </c>
      <c r="AB249" s="9"/>
      <c r="AC249" s="9"/>
      <c r="AD249" s="9" t="s">
        <v>15389</v>
      </c>
      <c r="AE249" s="9"/>
      <c r="AF249" s="9"/>
      <c r="AG249" s="9" t="s">
        <v>15389</v>
      </c>
    </row>
    <row r="250" spans="1:33" ht="16.5">
      <c r="A250" s="9">
        <v>245</v>
      </c>
      <c r="B250" s="9" t="s">
        <v>16983</v>
      </c>
      <c r="C250" s="9" t="s">
        <v>14705</v>
      </c>
      <c r="D250" s="9" t="s">
        <v>16669</v>
      </c>
      <c r="E250" s="12" t="s">
        <v>16668</v>
      </c>
      <c r="F250" s="12">
        <v>45016</v>
      </c>
      <c r="G250" s="12" t="s">
        <v>14702</v>
      </c>
      <c r="H250" s="9" t="s">
        <v>16982</v>
      </c>
      <c r="I250" s="9" t="s">
        <v>16981</v>
      </c>
      <c r="J250" s="9">
        <v>3011159801</v>
      </c>
      <c r="K250" s="9" t="s">
        <v>16980</v>
      </c>
      <c r="L250" s="9" t="s">
        <v>16979</v>
      </c>
      <c r="M250" s="11" t="s">
        <v>15065</v>
      </c>
      <c r="N250" s="10" t="s">
        <v>16978</v>
      </c>
      <c r="O250" s="9" t="s">
        <v>16977</v>
      </c>
      <c r="P250" s="9" t="s">
        <v>16976</v>
      </c>
      <c r="Q250" s="9" t="s">
        <v>16975</v>
      </c>
      <c r="R250" s="9" t="s">
        <v>16974</v>
      </c>
      <c r="S250" s="9" t="s">
        <v>16973</v>
      </c>
      <c r="T250" s="9" t="s">
        <v>15678</v>
      </c>
      <c r="U250" s="9" t="s">
        <v>16972</v>
      </c>
      <c r="V250" s="9" t="s">
        <v>16971</v>
      </c>
      <c r="W250" s="9" t="s">
        <v>16970</v>
      </c>
      <c r="X250" s="9" t="s">
        <v>16839</v>
      </c>
      <c r="Y250" s="9" t="s">
        <v>77</v>
      </c>
      <c r="Z250" s="9" t="s">
        <v>16969</v>
      </c>
      <c r="AA250" s="9" t="s">
        <v>16968</v>
      </c>
      <c r="AB250" s="9"/>
      <c r="AC250" s="9"/>
      <c r="AD250" s="9" t="s">
        <v>15389</v>
      </c>
      <c r="AE250" s="9"/>
      <c r="AF250" s="9"/>
      <c r="AG250" s="9" t="s">
        <v>15389</v>
      </c>
    </row>
    <row r="251" spans="1:33" ht="16.5">
      <c r="A251" s="9">
        <v>246</v>
      </c>
      <c r="B251" s="9" t="s">
        <v>16967</v>
      </c>
      <c r="C251" s="9" t="s">
        <v>14705</v>
      </c>
      <c r="D251" s="9" t="s">
        <v>16669</v>
      </c>
      <c r="E251" s="12" t="s">
        <v>16668</v>
      </c>
      <c r="F251" s="12">
        <v>44791</v>
      </c>
      <c r="G251" s="12" t="s">
        <v>14702</v>
      </c>
      <c r="H251" s="9" t="s">
        <v>16966</v>
      </c>
      <c r="I251" s="9" t="s">
        <v>16965</v>
      </c>
      <c r="J251" s="9">
        <v>4617162201</v>
      </c>
      <c r="K251" s="9" t="s">
        <v>14959</v>
      </c>
      <c r="L251" s="9" t="s">
        <v>16964</v>
      </c>
      <c r="M251" s="11" t="s">
        <v>14794</v>
      </c>
      <c r="N251" s="10" t="s">
        <v>16963</v>
      </c>
      <c r="O251" s="9" t="s">
        <v>16962</v>
      </c>
      <c r="P251" s="9" t="s">
        <v>16961</v>
      </c>
      <c r="Q251" s="9" t="s">
        <v>16960</v>
      </c>
      <c r="R251" s="9" t="s">
        <v>16959</v>
      </c>
      <c r="S251" s="9" t="s">
        <v>16958</v>
      </c>
      <c r="T251" s="9" t="s">
        <v>14725</v>
      </c>
      <c r="U251" s="9" t="s">
        <v>16957</v>
      </c>
      <c r="V251" s="9" t="s">
        <v>75</v>
      </c>
      <c r="W251" s="9" t="s">
        <v>16956</v>
      </c>
      <c r="X251" s="9" t="s">
        <v>16241</v>
      </c>
      <c r="Y251" s="9"/>
      <c r="Z251" s="9"/>
      <c r="AA251" s="9" t="s">
        <v>15389</v>
      </c>
      <c r="AB251" s="9"/>
      <c r="AC251" s="9"/>
      <c r="AD251" s="9" t="s">
        <v>15389</v>
      </c>
      <c r="AE251" s="9"/>
      <c r="AF251" s="9"/>
      <c r="AG251" s="9" t="s">
        <v>15389</v>
      </c>
    </row>
    <row r="252" spans="1:33" ht="16.5">
      <c r="A252" s="9">
        <v>247</v>
      </c>
      <c r="B252" s="9" t="s">
        <v>16955</v>
      </c>
      <c r="C252" s="9" t="s">
        <v>15155</v>
      </c>
      <c r="D252" s="9" t="s">
        <v>16669</v>
      </c>
      <c r="E252" s="12" t="s">
        <v>16668</v>
      </c>
      <c r="F252" s="12">
        <v>44411</v>
      </c>
      <c r="G252" s="12" t="s">
        <v>14702</v>
      </c>
      <c r="H252" s="9" t="s">
        <v>16954</v>
      </c>
      <c r="I252" s="9" t="s">
        <v>16953</v>
      </c>
      <c r="J252" s="9">
        <v>4617162201</v>
      </c>
      <c r="K252" s="9" t="s">
        <v>14959</v>
      </c>
      <c r="L252" s="9" t="s">
        <v>16952</v>
      </c>
      <c r="M252" s="11" t="s">
        <v>14732</v>
      </c>
      <c r="N252" s="13" t="s">
        <v>16951</v>
      </c>
      <c r="O252" s="9" t="s">
        <v>16950</v>
      </c>
      <c r="P252" s="9" t="s">
        <v>16949</v>
      </c>
      <c r="Q252" s="9" t="s">
        <v>16948</v>
      </c>
      <c r="R252" s="9" t="s">
        <v>16947</v>
      </c>
      <c r="S252" s="9" t="s">
        <v>16946</v>
      </c>
      <c r="T252" s="9" t="s">
        <v>14815</v>
      </c>
      <c r="U252" s="9" t="s">
        <v>16945</v>
      </c>
      <c r="V252" s="9" t="s">
        <v>15377</v>
      </c>
      <c r="W252" s="9" t="s">
        <v>16944</v>
      </c>
      <c r="X252" s="9" t="s">
        <v>16942</v>
      </c>
      <c r="Y252" s="9" t="s">
        <v>15377</v>
      </c>
      <c r="Z252" s="9" t="s">
        <v>16943</v>
      </c>
      <c r="AA252" s="9" t="s">
        <v>16942</v>
      </c>
      <c r="AB252" s="9"/>
      <c r="AC252" s="9"/>
      <c r="AD252" s="9" t="s">
        <v>15389</v>
      </c>
      <c r="AE252" s="9"/>
      <c r="AF252" s="9"/>
      <c r="AG252" s="9" t="s">
        <v>15389</v>
      </c>
    </row>
    <row r="253" spans="1:33" ht="16.5">
      <c r="A253" s="9">
        <v>248</v>
      </c>
      <c r="B253" s="9" t="s">
        <v>16941</v>
      </c>
      <c r="C253" s="9" t="s">
        <v>15155</v>
      </c>
      <c r="D253" s="9" t="s">
        <v>16669</v>
      </c>
      <c r="E253" s="12" t="s">
        <v>16668</v>
      </c>
      <c r="F253" s="12">
        <v>44835</v>
      </c>
      <c r="G253" s="12" t="s">
        <v>14702</v>
      </c>
      <c r="H253" s="9" t="s">
        <v>16940</v>
      </c>
      <c r="I253" s="9" t="s">
        <v>16939</v>
      </c>
      <c r="J253" s="9">
        <v>3019150101</v>
      </c>
      <c r="K253" s="9" t="s">
        <v>16938</v>
      </c>
      <c r="L253" s="9" t="s">
        <v>16937</v>
      </c>
      <c r="M253" s="11" t="s">
        <v>14732</v>
      </c>
      <c r="N253" s="13" t="s">
        <v>16936</v>
      </c>
      <c r="O253" s="9" t="s">
        <v>16935</v>
      </c>
      <c r="P253" s="9" t="s">
        <v>16934</v>
      </c>
      <c r="Q253" s="9" t="s">
        <v>16933</v>
      </c>
      <c r="R253" s="9" t="s">
        <v>16932</v>
      </c>
      <c r="S253" s="9" t="s">
        <v>16931</v>
      </c>
      <c r="T253" s="9" t="s">
        <v>14787</v>
      </c>
      <c r="U253" s="9" t="s">
        <v>16930</v>
      </c>
      <c r="V253" s="9" t="s">
        <v>16929</v>
      </c>
      <c r="W253" s="9" t="s">
        <v>16928</v>
      </c>
      <c r="X253" s="9" t="s">
        <v>15943</v>
      </c>
      <c r="Y253" s="9"/>
      <c r="Z253" s="9"/>
      <c r="AA253" s="9" t="s">
        <v>15389</v>
      </c>
      <c r="AB253" s="9"/>
      <c r="AC253" s="9"/>
      <c r="AD253" s="9" t="s">
        <v>15389</v>
      </c>
      <c r="AE253" s="9"/>
      <c r="AF253" s="9"/>
      <c r="AG253" s="9" t="s">
        <v>15389</v>
      </c>
    </row>
    <row r="254" spans="1:33" ht="16.5">
      <c r="A254" s="9">
        <v>249</v>
      </c>
      <c r="B254" s="9" t="s">
        <v>16927</v>
      </c>
      <c r="C254" s="9" t="s">
        <v>15155</v>
      </c>
      <c r="D254" s="9" t="s">
        <v>16669</v>
      </c>
      <c r="E254" s="12" t="s">
        <v>16668</v>
      </c>
      <c r="F254" s="12">
        <v>44840</v>
      </c>
      <c r="G254" s="12" t="s">
        <v>14702</v>
      </c>
      <c r="H254" s="9" t="s">
        <v>16926</v>
      </c>
      <c r="I254" s="9" t="s">
        <v>16926</v>
      </c>
      <c r="J254" s="9">
        <v>4014175901</v>
      </c>
      <c r="K254" s="9" t="s">
        <v>16925</v>
      </c>
      <c r="L254" s="9" t="s">
        <v>16924</v>
      </c>
      <c r="M254" s="11" t="s">
        <v>14794</v>
      </c>
      <c r="N254" s="13" t="s">
        <v>16923</v>
      </c>
      <c r="O254" s="9" t="s">
        <v>16922</v>
      </c>
      <c r="P254" s="9" t="s">
        <v>16921</v>
      </c>
      <c r="Q254" s="9" t="s">
        <v>16921</v>
      </c>
      <c r="R254" s="9" t="s">
        <v>16920</v>
      </c>
      <c r="S254" s="9" t="s">
        <v>16919</v>
      </c>
      <c r="T254" s="9" t="s">
        <v>15488</v>
      </c>
      <c r="U254" s="9" t="s">
        <v>16918</v>
      </c>
      <c r="V254" s="9" t="s">
        <v>15605</v>
      </c>
      <c r="W254" s="9" t="s">
        <v>16917</v>
      </c>
      <c r="X254" s="9" t="s">
        <v>16916</v>
      </c>
      <c r="Y254" s="9"/>
      <c r="Z254" s="9"/>
      <c r="AA254" s="9" t="s">
        <v>15389</v>
      </c>
      <c r="AB254" s="9"/>
      <c r="AC254" s="9"/>
      <c r="AD254" s="9" t="s">
        <v>15389</v>
      </c>
      <c r="AE254" s="9"/>
      <c r="AF254" s="9"/>
      <c r="AG254" s="9" t="s">
        <v>15389</v>
      </c>
    </row>
    <row r="255" spans="1:33" ht="16.5">
      <c r="A255" s="9">
        <v>250</v>
      </c>
      <c r="B255" s="9" t="s">
        <v>16915</v>
      </c>
      <c r="C255" s="9" t="s">
        <v>14705</v>
      </c>
      <c r="D255" s="9" t="s">
        <v>16669</v>
      </c>
      <c r="E255" s="12">
        <v>44011</v>
      </c>
      <c r="F255" s="12">
        <v>44922</v>
      </c>
      <c r="G255" s="12" t="s">
        <v>14702</v>
      </c>
      <c r="H255" s="9" t="s">
        <v>16914</v>
      </c>
      <c r="I255" s="9" t="s">
        <v>16913</v>
      </c>
      <c r="J255" s="9">
        <v>4710998001</v>
      </c>
      <c r="K255" s="9" t="s">
        <v>15541</v>
      </c>
      <c r="L255" s="9" t="s">
        <v>16912</v>
      </c>
      <c r="M255" s="11" t="s">
        <v>14763</v>
      </c>
      <c r="N255" s="10" t="s">
        <v>16911</v>
      </c>
      <c r="O255" s="9" t="s">
        <v>16910</v>
      </c>
      <c r="P255" s="9" t="s">
        <v>16909</v>
      </c>
      <c r="Q255" s="9" t="s">
        <v>16908</v>
      </c>
      <c r="R255" s="9" t="s">
        <v>16907</v>
      </c>
      <c r="S255" s="9" t="s">
        <v>16906</v>
      </c>
      <c r="T255" s="9" t="s">
        <v>14756</v>
      </c>
      <c r="U255" s="9" t="s">
        <v>16905</v>
      </c>
      <c r="V255" s="9" t="s">
        <v>75</v>
      </c>
      <c r="W255" s="9" t="s">
        <v>16904</v>
      </c>
      <c r="X255" s="9" t="s">
        <v>16903</v>
      </c>
      <c r="Y255" s="9"/>
      <c r="Z255" s="9"/>
      <c r="AA255" s="9" t="s">
        <v>15389</v>
      </c>
      <c r="AB255" s="9"/>
      <c r="AC255" s="9"/>
      <c r="AD255" s="9" t="s">
        <v>15389</v>
      </c>
      <c r="AE255" s="9"/>
      <c r="AF255" s="9"/>
      <c r="AG255" s="9" t="s">
        <v>15389</v>
      </c>
    </row>
    <row r="256" spans="1:33" ht="16.5">
      <c r="A256" s="9">
        <v>251</v>
      </c>
      <c r="B256" s="9" t="s">
        <v>16902</v>
      </c>
      <c r="C256" s="9" t="s">
        <v>15155</v>
      </c>
      <c r="D256" s="9" t="s">
        <v>16669</v>
      </c>
      <c r="E256" s="12" t="s">
        <v>16668</v>
      </c>
      <c r="F256" s="12">
        <v>44375</v>
      </c>
      <c r="G256" s="12" t="s">
        <v>14702</v>
      </c>
      <c r="H256" s="9" t="s">
        <v>16901</v>
      </c>
      <c r="I256" s="9" t="s">
        <v>16900</v>
      </c>
      <c r="J256" s="9">
        <v>6014120501</v>
      </c>
      <c r="K256" s="9" t="s">
        <v>16899</v>
      </c>
      <c r="L256" s="9" t="s">
        <v>16898</v>
      </c>
      <c r="M256" s="11" t="s">
        <v>15065</v>
      </c>
      <c r="N256" s="13" t="s">
        <v>16897</v>
      </c>
      <c r="O256" s="9" t="s">
        <v>16896</v>
      </c>
      <c r="P256" s="9" t="s">
        <v>16895</v>
      </c>
      <c r="Q256" s="9" t="s">
        <v>16894</v>
      </c>
      <c r="R256" s="9" t="s">
        <v>16893</v>
      </c>
      <c r="S256" s="9" t="s">
        <v>16892</v>
      </c>
      <c r="T256" s="9" t="s">
        <v>15575</v>
      </c>
      <c r="U256" s="9" t="s">
        <v>16891</v>
      </c>
      <c r="V256" s="9" t="s">
        <v>15374</v>
      </c>
      <c r="W256" s="9" t="s">
        <v>16890</v>
      </c>
      <c r="X256" s="9" t="s">
        <v>16889</v>
      </c>
      <c r="Y256" s="9"/>
      <c r="Z256" s="9"/>
      <c r="AA256" s="9" t="s">
        <v>15389</v>
      </c>
      <c r="AB256" s="9"/>
      <c r="AC256" s="9"/>
      <c r="AD256" s="9" t="s">
        <v>15389</v>
      </c>
      <c r="AE256" s="9"/>
      <c r="AF256" s="9"/>
      <c r="AG256" s="9" t="s">
        <v>15389</v>
      </c>
    </row>
    <row r="257" spans="1:33" ht="16.5">
      <c r="A257" s="9">
        <v>252</v>
      </c>
      <c r="B257" s="9" t="s">
        <v>16888</v>
      </c>
      <c r="C257" s="9" t="s">
        <v>15155</v>
      </c>
      <c r="D257" s="9" t="s">
        <v>16669</v>
      </c>
      <c r="E257" s="12" t="s">
        <v>16668</v>
      </c>
      <c r="F257" s="12">
        <v>44375</v>
      </c>
      <c r="G257" s="12" t="s">
        <v>14702</v>
      </c>
      <c r="H257" s="9" t="s">
        <v>16887</v>
      </c>
      <c r="I257" s="9" t="s">
        <v>16886</v>
      </c>
      <c r="J257" s="9">
        <v>5313160801</v>
      </c>
      <c r="K257" s="9" t="s">
        <v>16885</v>
      </c>
      <c r="L257" s="9" t="s">
        <v>16884</v>
      </c>
      <c r="M257" s="11" t="s">
        <v>14746</v>
      </c>
      <c r="N257" s="13" t="s">
        <v>5484</v>
      </c>
      <c r="O257" s="9" t="s">
        <v>16883</v>
      </c>
      <c r="P257" s="9" t="s">
        <v>16882</v>
      </c>
      <c r="Q257" s="9" t="s">
        <v>16881</v>
      </c>
      <c r="R257" s="9" t="s">
        <v>16880</v>
      </c>
      <c r="S257" s="9" t="s">
        <v>16879</v>
      </c>
      <c r="T257" s="9" t="s">
        <v>14756</v>
      </c>
      <c r="U257" s="9" t="s">
        <v>16878</v>
      </c>
      <c r="V257" s="9" t="s">
        <v>15374</v>
      </c>
      <c r="W257" s="9" t="s">
        <v>16877</v>
      </c>
      <c r="X257" s="9" t="s">
        <v>16876</v>
      </c>
      <c r="Y257" s="9"/>
      <c r="Z257" s="9"/>
      <c r="AA257" s="9" t="s">
        <v>15389</v>
      </c>
      <c r="AB257" s="9"/>
      <c r="AC257" s="9"/>
      <c r="AD257" s="9" t="s">
        <v>15389</v>
      </c>
      <c r="AE257" s="9"/>
      <c r="AF257" s="9"/>
      <c r="AG257" s="9" t="s">
        <v>15389</v>
      </c>
    </row>
    <row r="258" spans="1:33" ht="16.5">
      <c r="A258" s="9">
        <v>253</v>
      </c>
      <c r="B258" s="9" t="s">
        <v>16875</v>
      </c>
      <c r="C258" s="9" t="s">
        <v>14705</v>
      </c>
      <c r="D258" s="9" t="s">
        <v>16669</v>
      </c>
      <c r="E258" s="12" t="s">
        <v>16668</v>
      </c>
      <c r="F258" s="12">
        <v>44547</v>
      </c>
      <c r="G258" s="12" t="s">
        <v>14702</v>
      </c>
      <c r="H258" s="9" t="s">
        <v>16874</v>
      </c>
      <c r="I258" s="9" t="s">
        <v>16873</v>
      </c>
      <c r="J258" s="9">
        <v>3016160102</v>
      </c>
      <c r="K258" s="9" t="s">
        <v>16872</v>
      </c>
      <c r="L258" s="9" t="s">
        <v>16871</v>
      </c>
      <c r="M258" s="11" t="s">
        <v>14888</v>
      </c>
      <c r="N258" s="10" t="s">
        <v>16870</v>
      </c>
      <c r="O258" s="9" t="s">
        <v>16869</v>
      </c>
      <c r="P258" s="9" t="s">
        <v>16868</v>
      </c>
      <c r="Q258" s="9" t="s">
        <v>16867</v>
      </c>
      <c r="R258" s="9" t="s">
        <v>16866</v>
      </c>
      <c r="S258" s="9" t="s">
        <v>16865</v>
      </c>
      <c r="T258" s="9" t="s">
        <v>14692</v>
      </c>
      <c r="U258" s="9" t="s">
        <v>16864</v>
      </c>
      <c r="V258" s="9" t="s">
        <v>75</v>
      </c>
      <c r="W258" s="9" t="s">
        <v>16863</v>
      </c>
      <c r="X258" s="9" t="s">
        <v>15231</v>
      </c>
      <c r="Y258" s="9"/>
      <c r="Z258" s="9"/>
      <c r="AA258" s="9" t="s">
        <v>15389</v>
      </c>
      <c r="AB258" s="9"/>
      <c r="AC258" s="9"/>
      <c r="AD258" s="9" t="s">
        <v>15389</v>
      </c>
      <c r="AE258" s="9"/>
      <c r="AF258" s="9"/>
      <c r="AG258" s="9" t="s">
        <v>15389</v>
      </c>
    </row>
    <row r="259" spans="1:33" ht="16.5">
      <c r="A259" s="9">
        <v>254</v>
      </c>
      <c r="B259" s="9" t="s">
        <v>16862</v>
      </c>
      <c r="C259" s="9" t="s">
        <v>14705</v>
      </c>
      <c r="D259" s="9" t="s">
        <v>16669</v>
      </c>
      <c r="E259" s="12" t="s">
        <v>16668</v>
      </c>
      <c r="F259" s="12">
        <v>44738</v>
      </c>
      <c r="G259" s="12" t="s">
        <v>14702</v>
      </c>
      <c r="H259" s="9" t="s">
        <v>16861</v>
      </c>
      <c r="I259" s="9" t="s">
        <v>16861</v>
      </c>
      <c r="J259" s="9">
        <v>4323249901</v>
      </c>
      <c r="K259" s="9" t="s">
        <v>16860</v>
      </c>
      <c r="L259" s="9" t="s">
        <v>16859</v>
      </c>
      <c r="M259" s="11" t="s">
        <v>14794</v>
      </c>
      <c r="N259" s="10" t="s">
        <v>16858</v>
      </c>
      <c r="O259" s="9" t="s">
        <v>16857</v>
      </c>
      <c r="P259" s="9" t="s">
        <v>16856</v>
      </c>
      <c r="Q259" s="9" t="s">
        <v>16855</v>
      </c>
      <c r="R259" s="9" t="s">
        <v>16854</v>
      </c>
      <c r="S259" s="9" t="s">
        <v>16853</v>
      </c>
      <c r="T259" s="9" t="s">
        <v>14815</v>
      </c>
      <c r="U259" s="9" t="s">
        <v>16852</v>
      </c>
      <c r="V259" s="9" t="s">
        <v>15243</v>
      </c>
      <c r="W259" s="9" t="s">
        <v>16851</v>
      </c>
      <c r="X259" s="9" t="s">
        <v>15997</v>
      </c>
      <c r="Y259" s="9"/>
      <c r="Z259" s="9"/>
      <c r="AA259" s="9" t="s">
        <v>15389</v>
      </c>
      <c r="AB259" s="9"/>
      <c r="AC259" s="9"/>
      <c r="AD259" s="9" t="s">
        <v>15389</v>
      </c>
      <c r="AE259" s="9"/>
      <c r="AF259" s="9"/>
      <c r="AG259" s="9" t="s">
        <v>15389</v>
      </c>
    </row>
    <row r="260" spans="1:33" ht="16.5">
      <c r="A260" s="9">
        <v>255</v>
      </c>
      <c r="B260" s="9" t="s">
        <v>16850</v>
      </c>
      <c r="C260" s="9" t="s">
        <v>14705</v>
      </c>
      <c r="D260" s="9" t="s">
        <v>16669</v>
      </c>
      <c r="E260" s="12" t="s">
        <v>16668</v>
      </c>
      <c r="F260" s="12">
        <v>45016</v>
      </c>
      <c r="G260" s="12" t="s">
        <v>14702</v>
      </c>
      <c r="H260" s="9" t="s">
        <v>16848</v>
      </c>
      <c r="I260" s="9" t="s">
        <v>16849</v>
      </c>
      <c r="J260" s="9">
        <v>3010369901</v>
      </c>
      <c r="K260" s="9" t="s">
        <v>16848</v>
      </c>
      <c r="L260" s="9" t="s">
        <v>16847</v>
      </c>
      <c r="M260" s="11" t="s">
        <v>15065</v>
      </c>
      <c r="N260" s="10" t="s">
        <v>6969</v>
      </c>
      <c r="O260" s="9" t="s">
        <v>16846</v>
      </c>
      <c r="P260" s="9" t="s">
        <v>16845</v>
      </c>
      <c r="Q260" s="9" t="s">
        <v>16844</v>
      </c>
      <c r="R260" s="9" t="s">
        <v>16843</v>
      </c>
      <c r="S260" s="9" t="s">
        <v>16842</v>
      </c>
      <c r="T260" s="9" t="s">
        <v>15678</v>
      </c>
      <c r="U260" s="9" t="s">
        <v>16841</v>
      </c>
      <c r="V260" s="9" t="s">
        <v>75</v>
      </c>
      <c r="W260" s="9" t="s">
        <v>16840</v>
      </c>
      <c r="X260" s="9" t="s">
        <v>16839</v>
      </c>
      <c r="Y260" s="9"/>
      <c r="Z260" s="9"/>
      <c r="AA260" s="9" t="s">
        <v>15389</v>
      </c>
      <c r="AB260" s="9"/>
      <c r="AC260" s="9"/>
      <c r="AD260" s="9" t="s">
        <v>15389</v>
      </c>
      <c r="AE260" s="9"/>
      <c r="AF260" s="9"/>
      <c r="AG260" s="9" t="s">
        <v>15389</v>
      </c>
    </row>
    <row r="261" spans="1:33" ht="16.5">
      <c r="A261" s="9">
        <v>256</v>
      </c>
      <c r="B261" s="9" t="s">
        <v>16838</v>
      </c>
      <c r="C261" s="9" t="s">
        <v>14705</v>
      </c>
      <c r="D261" s="9" t="s">
        <v>16669</v>
      </c>
      <c r="E261" s="12" t="s">
        <v>16668</v>
      </c>
      <c r="F261" s="12">
        <v>44889</v>
      </c>
      <c r="G261" s="12" t="s">
        <v>14702</v>
      </c>
      <c r="H261" s="9" t="s">
        <v>16837</v>
      </c>
      <c r="I261" s="9" t="s">
        <v>16836</v>
      </c>
      <c r="J261" s="9">
        <v>4111311001</v>
      </c>
      <c r="K261" s="9" t="s">
        <v>16835</v>
      </c>
      <c r="L261" s="9" t="s">
        <v>16834</v>
      </c>
      <c r="M261" s="11" t="s">
        <v>14732</v>
      </c>
      <c r="N261" s="10" t="s">
        <v>16833</v>
      </c>
      <c r="O261" s="9" t="s">
        <v>16832</v>
      </c>
      <c r="P261" s="9" t="s">
        <v>16831</v>
      </c>
      <c r="Q261" s="9" t="s">
        <v>16830</v>
      </c>
      <c r="R261" s="9" t="s">
        <v>16829</v>
      </c>
      <c r="S261" s="9" t="s">
        <v>16828</v>
      </c>
      <c r="T261" s="9" t="s">
        <v>14725</v>
      </c>
      <c r="U261" s="9" t="s">
        <v>16827</v>
      </c>
      <c r="V261" s="9" t="s">
        <v>77</v>
      </c>
      <c r="W261" s="9" t="s">
        <v>16826</v>
      </c>
      <c r="X261" s="9" t="s">
        <v>16699</v>
      </c>
      <c r="Y261" s="9"/>
      <c r="Z261" s="9"/>
      <c r="AA261" s="9" t="s">
        <v>15389</v>
      </c>
      <c r="AB261" s="9"/>
      <c r="AC261" s="9"/>
      <c r="AD261" s="9" t="s">
        <v>15389</v>
      </c>
      <c r="AE261" s="9"/>
      <c r="AF261" s="9"/>
      <c r="AG261" s="9" t="s">
        <v>15389</v>
      </c>
    </row>
    <row r="262" spans="1:33" ht="16.5">
      <c r="A262" s="9">
        <v>257</v>
      </c>
      <c r="B262" s="9" t="s">
        <v>16825</v>
      </c>
      <c r="C262" s="9" t="s">
        <v>15155</v>
      </c>
      <c r="D262" s="9" t="s">
        <v>16669</v>
      </c>
      <c r="E262" s="12" t="s">
        <v>16668</v>
      </c>
      <c r="F262" s="12">
        <v>44912</v>
      </c>
      <c r="G262" s="12" t="s">
        <v>14702</v>
      </c>
      <c r="H262" s="9" t="s">
        <v>16824</v>
      </c>
      <c r="I262" s="9" t="s">
        <v>16823</v>
      </c>
      <c r="J262" s="9">
        <v>4712161001</v>
      </c>
      <c r="K262" s="9" t="s">
        <v>16822</v>
      </c>
      <c r="L262" s="9" t="s">
        <v>16821</v>
      </c>
      <c r="M262" s="11" t="s">
        <v>14746</v>
      </c>
      <c r="N262" s="13" t="s">
        <v>16820</v>
      </c>
      <c r="O262" s="9" t="s">
        <v>16819</v>
      </c>
      <c r="P262" s="9" t="s">
        <v>16818</v>
      </c>
      <c r="Q262" s="9" t="s">
        <v>16817</v>
      </c>
      <c r="R262" s="9" t="s">
        <v>16816</v>
      </c>
      <c r="S262" s="9" t="s">
        <v>16815</v>
      </c>
      <c r="T262" s="9" t="s">
        <v>14692</v>
      </c>
      <c r="U262" s="9" t="s">
        <v>16814</v>
      </c>
      <c r="V262" s="9" t="s">
        <v>77</v>
      </c>
      <c r="W262" s="9" t="s">
        <v>16813</v>
      </c>
      <c r="X262" s="9" t="s">
        <v>16812</v>
      </c>
      <c r="Y262" s="9"/>
      <c r="Z262" s="9"/>
      <c r="AA262" s="9" t="s">
        <v>15389</v>
      </c>
      <c r="AB262" s="9"/>
      <c r="AC262" s="9"/>
      <c r="AD262" s="9" t="s">
        <v>15389</v>
      </c>
      <c r="AE262" s="9"/>
      <c r="AF262" s="9"/>
      <c r="AG262" s="9" t="s">
        <v>15389</v>
      </c>
    </row>
    <row r="263" spans="1:33" ht="16.5">
      <c r="A263" s="9">
        <v>258</v>
      </c>
      <c r="B263" s="9" t="s">
        <v>16811</v>
      </c>
      <c r="C263" s="9" t="s">
        <v>15155</v>
      </c>
      <c r="D263" s="9" t="s">
        <v>16669</v>
      </c>
      <c r="E263" s="12" t="s">
        <v>16668</v>
      </c>
      <c r="F263" s="12">
        <v>44462</v>
      </c>
      <c r="G263" s="12" t="s">
        <v>14702</v>
      </c>
      <c r="H263" s="9" t="s">
        <v>16810</v>
      </c>
      <c r="I263" s="9" t="s">
        <v>16809</v>
      </c>
      <c r="J263" s="9">
        <v>1019150901</v>
      </c>
      <c r="K263" s="9" t="s">
        <v>16808</v>
      </c>
      <c r="L263" s="9" t="s">
        <v>16807</v>
      </c>
      <c r="M263" s="11" t="s">
        <v>14794</v>
      </c>
      <c r="N263" s="13" t="s">
        <v>16806</v>
      </c>
      <c r="O263" s="9" t="s">
        <v>16805</v>
      </c>
      <c r="P263" s="9" t="s">
        <v>16804</v>
      </c>
      <c r="Q263" s="9" t="s">
        <v>16803</v>
      </c>
      <c r="R263" s="9" t="s">
        <v>16802</v>
      </c>
      <c r="S263" s="9" t="s">
        <v>16801</v>
      </c>
      <c r="T263" s="9" t="s">
        <v>15678</v>
      </c>
      <c r="U263" s="9" t="s">
        <v>16800</v>
      </c>
      <c r="V263" s="9" t="s">
        <v>15572</v>
      </c>
      <c r="W263" s="9" t="s">
        <v>16799</v>
      </c>
      <c r="X263" s="9" t="s">
        <v>16798</v>
      </c>
      <c r="Y263" s="9"/>
      <c r="Z263" s="9"/>
      <c r="AA263" s="9" t="s">
        <v>15389</v>
      </c>
      <c r="AB263" s="9"/>
      <c r="AC263" s="9"/>
      <c r="AD263" s="9" t="s">
        <v>15389</v>
      </c>
      <c r="AE263" s="9"/>
      <c r="AF263" s="9"/>
      <c r="AG263" s="9" t="s">
        <v>15389</v>
      </c>
    </row>
    <row r="264" spans="1:33" ht="16.5">
      <c r="A264" s="9">
        <v>259</v>
      </c>
      <c r="B264" s="9" t="s">
        <v>16797</v>
      </c>
      <c r="C264" s="9" t="s">
        <v>15155</v>
      </c>
      <c r="D264" s="9" t="s">
        <v>16669</v>
      </c>
      <c r="E264" s="12" t="s">
        <v>16668</v>
      </c>
      <c r="F264" s="12">
        <v>44375</v>
      </c>
      <c r="G264" s="12" t="s">
        <v>14702</v>
      </c>
      <c r="H264" s="9" t="s">
        <v>16796</v>
      </c>
      <c r="I264" s="9" t="s">
        <v>16795</v>
      </c>
      <c r="J264" s="9">
        <v>5313150301</v>
      </c>
      <c r="K264" s="9" t="s">
        <v>16794</v>
      </c>
      <c r="L264" s="9" t="s">
        <v>16793</v>
      </c>
      <c r="M264" s="11" t="s">
        <v>14732</v>
      </c>
      <c r="N264" s="13" t="s">
        <v>16792</v>
      </c>
      <c r="O264" s="9" t="s">
        <v>16791</v>
      </c>
      <c r="P264" s="9" t="s">
        <v>16790</v>
      </c>
      <c r="Q264" s="9" t="s">
        <v>16790</v>
      </c>
      <c r="R264" s="9" t="s">
        <v>16789</v>
      </c>
      <c r="S264" s="9" t="s">
        <v>16788</v>
      </c>
      <c r="T264" s="9" t="s">
        <v>14725</v>
      </c>
      <c r="U264" s="9" t="s">
        <v>16787</v>
      </c>
      <c r="V264" s="9" t="s">
        <v>15139</v>
      </c>
      <c r="W264" s="9" t="s">
        <v>16786</v>
      </c>
      <c r="X264" s="9" t="s">
        <v>16785</v>
      </c>
      <c r="Y264" s="9"/>
      <c r="Z264" s="9"/>
      <c r="AA264" s="9" t="s">
        <v>15389</v>
      </c>
      <c r="AB264" s="9"/>
      <c r="AC264" s="9"/>
      <c r="AD264" s="9" t="s">
        <v>15389</v>
      </c>
      <c r="AE264" s="9"/>
      <c r="AF264" s="9"/>
      <c r="AG264" s="9" t="s">
        <v>15389</v>
      </c>
    </row>
    <row r="265" spans="1:33" ht="16.5">
      <c r="A265" s="9">
        <v>260</v>
      </c>
      <c r="B265" s="9" t="s">
        <v>16784</v>
      </c>
      <c r="C265" s="9" t="s">
        <v>14705</v>
      </c>
      <c r="D265" s="9" t="s">
        <v>16669</v>
      </c>
      <c r="E265" s="12" t="s">
        <v>16668</v>
      </c>
      <c r="F265" s="12">
        <v>44660</v>
      </c>
      <c r="G265" s="12" t="s">
        <v>14702</v>
      </c>
      <c r="H265" s="9" t="s">
        <v>16783</v>
      </c>
      <c r="I265" s="9" t="s">
        <v>16782</v>
      </c>
      <c r="J265" s="9">
        <v>4111220501</v>
      </c>
      <c r="K265" s="9" t="s">
        <v>16781</v>
      </c>
      <c r="L265" s="9" t="s">
        <v>16780</v>
      </c>
      <c r="M265" s="11" t="s">
        <v>14732</v>
      </c>
      <c r="N265" s="10" t="s">
        <v>14849</v>
      </c>
      <c r="O265" s="9" t="s">
        <v>14848</v>
      </c>
      <c r="P265" s="9" t="s">
        <v>14847</v>
      </c>
      <c r="Q265" s="9" t="s">
        <v>14846</v>
      </c>
      <c r="R265" s="9" t="s">
        <v>16779</v>
      </c>
      <c r="S265" s="9" t="s">
        <v>14844</v>
      </c>
      <c r="T265" s="9" t="s">
        <v>14815</v>
      </c>
      <c r="U265" s="9" t="s">
        <v>16778</v>
      </c>
      <c r="V265" s="9" t="s">
        <v>77</v>
      </c>
      <c r="W265" s="9" t="s">
        <v>16777</v>
      </c>
      <c r="X265" s="9" t="s">
        <v>16776</v>
      </c>
      <c r="Y265" s="9"/>
      <c r="Z265" s="9"/>
      <c r="AA265" s="9" t="s">
        <v>15389</v>
      </c>
      <c r="AB265" s="9"/>
      <c r="AC265" s="9"/>
      <c r="AD265" s="9" t="s">
        <v>15389</v>
      </c>
      <c r="AE265" s="9"/>
      <c r="AF265" s="9"/>
      <c r="AG265" s="9" t="s">
        <v>15389</v>
      </c>
    </row>
    <row r="266" spans="1:33" ht="16.5">
      <c r="A266" s="9">
        <v>261</v>
      </c>
      <c r="B266" s="9" t="s">
        <v>16775</v>
      </c>
      <c r="C266" s="9" t="s">
        <v>15155</v>
      </c>
      <c r="D266" s="9" t="s">
        <v>16669</v>
      </c>
      <c r="E266" s="12" t="s">
        <v>16668</v>
      </c>
      <c r="F266" s="12">
        <v>44852</v>
      </c>
      <c r="G266" s="12" t="s">
        <v>14702</v>
      </c>
      <c r="H266" s="9" t="s">
        <v>16774</v>
      </c>
      <c r="I266" s="9" t="s">
        <v>16773</v>
      </c>
      <c r="J266" s="9">
        <v>4016160201</v>
      </c>
      <c r="K266" s="9" t="s">
        <v>16602</v>
      </c>
      <c r="L266" s="9" t="s">
        <v>16772</v>
      </c>
      <c r="M266" s="11" t="s">
        <v>14746</v>
      </c>
      <c r="N266" s="10" t="s">
        <v>16771</v>
      </c>
      <c r="O266" s="9" t="s">
        <v>16770</v>
      </c>
      <c r="P266" s="9" t="s">
        <v>16769</v>
      </c>
      <c r="Q266" s="9" t="s">
        <v>16768</v>
      </c>
      <c r="R266" s="9" t="s">
        <v>16767</v>
      </c>
      <c r="S266" s="9" t="s">
        <v>16766</v>
      </c>
      <c r="T266" s="9" t="s">
        <v>14815</v>
      </c>
      <c r="U266" s="9" t="s">
        <v>16765</v>
      </c>
      <c r="V266" s="9" t="s">
        <v>15605</v>
      </c>
      <c r="W266" s="9" t="s">
        <v>16764</v>
      </c>
      <c r="X266" s="9" t="s">
        <v>16763</v>
      </c>
      <c r="Y266" s="9"/>
      <c r="Z266" s="9"/>
      <c r="AA266" s="9" t="s">
        <v>15389</v>
      </c>
      <c r="AB266" s="9"/>
      <c r="AC266" s="9"/>
      <c r="AD266" s="9" t="s">
        <v>15389</v>
      </c>
      <c r="AE266" s="9"/>
      <c r="AF266" s="9"/>
      <c r="AG266" s="9" t="s">
        <v>15389</v>
      </c>
    </row>
    <row r="267" spans="1:33" ht="16.5">
      <c r="A267" s="9">
        <v>262</v>
      </c>
      <c r="B267" s="9" t="s">
        <v>16762</v>
      </c>
      <c r="C267" s="9" t="s">
        <v>15155</v>
      </c>
      <c r="D267" s="9" t="s">
        <v>16669</v>
      </c>
      <c r="E267" s="12" t="s">
        <v>16668</v>
      </c>
      <c r="F267" s="12">
        <v>44375</v>
      </c>
      <c r="G267" s="12" t="s">
        <v>14702</v>
      </c>
      <c r="H267" s="9" t="s">
        <v>16761</v>
      </c>
      <c r="I267" s="9" t="s">
        <v>16760</v>
      </c>
      <c r="J267" s="9">
        <v>4712160401</v>
      </c>
      <c r="K267" s="9" t="s">
        <v>16759</v>
      </c>
      <c r="L267" s="9" t="s">
        <v>16758</v>
      </c>
      <c r="M267" s="11" t="s">
        <v>14746</v>
      </c>
      <c r="N267" s="10" t="s">
        <v>4373</v>
      </c>
      <c r="O267" s="9" t="s">
        <v>16757</v>
      </c>
      <c r="P267" s="9" t="s">
        <v>16756</v>
      </c>
      <c r="Q267" s="9" t="s">
        <v>16756</v>
      </c>
      <c r="R267" s="9" t="s">
        <v>16755</v>
      </c>
      <c r="S267" s="9" t="s">
        <v>16754</v>
      </c>
      <c r="T267" s="9" t="s">
        <v>14756</v>
      </c>
      <c r="U267" s="9" t="s">
        <v>16753</v>
      </c>
      <c r="V267" s="9" t="s">
        <v>15374</v>
      </c>
      <c r="W267" s="9" t="s">
        <v>16752</v>
      </c>
      <c r="X267" s="9" t="s">
        <v>16751</v>
      </c>
      <c r="Y267" s="9"/>
      <c r="Z267" s="9"/>
      <c r="AA267" s="9" t="s">
        <v>15389</v>
      </c>
      <c r="AB267" s="9"/>
      <c r="AC267" s="9"/>
      <c r="AD267" s="9" t="s">
        <v>15389</v>
      </c>
      <c r="AE267" s="9"/>
      <c r="AF267" s="9"/>
      <c r="AG267" s="9" t="s">
        <v>15389</v>
      </c>
    </row>
    <row r="268" spans="1:33" ht="16.5">
      <c r="A268" s="9">
        <v>263</v>
      </c>
      <c r="B268" s="9" t="s">
        <v>16750</v>
      </c>
      <c r="C268" s="9" t="s">
        <v>15155</v>
      </c>
      <c r="D268" s="9" t="s">
        <v>16669</v>
      </c>
      <c r="E268" s="12" t="s">
        <v>16668</v>
      </c>
      <c r="F268" s="12">
        <v>44375</v>
      </c>
      <c r="G268" s="12" t="s">
        <v>14702</v>
      </c>
      <c r="H268" s="9" t="s">
        <v>16749</v>
      </c>
      <c r="I268" s="9" t="s">
        <v>16748</v>
      </c>
      <c r="J268" s="9">
        <v>4010170301</v>
      </c>
      <c r="K268" s="9" t="s">
        <v>16747</v>
      </c>
      <c r="L268" s="9" t="s">
        <v>16746</v>
      </c>
      <c r="M268" s="11" t="s">
        <v>14746</v>
      </c>
      <c r="N268" s="10" t="s">
        <v>6130</v>
      </c>
      <c r="O268" s="9" t="s">
        <v>16745</v>
      </c>
      <c r="P268" s="9" t="s">
        <v>16744</v>
      </c>
      <c r="Q268" s="9" t="s">
        <v>16743</v>
      </c>
      <c r="R268" s="9" t="s">
        <v>16742</v>
      </c>
      <c r="S268" s="9" t="s">
        <v>16741</v>
      </c>
      <c r="T268" s="9" t="s">
        <v>15678</v>
      </c>
      <c r="U268" s="9" t="s">
        <v>16740</v>
      </c>
      <c r="V268" s="9" t="s">
        <v>15374</v>
      </c>
      <c r="W268" s="9" t="s">
        <v>16739</v>
      </c>
      <c r="X268" s="9" t="s">
        <v>16738</v>
      </c>
      <c r="Y268" s="9"/>
      <c r="Z268" s="9"/>
      <c r="AA268" s="9" t="s">
        <v>15389</v>
      </c>
      <c r="AB268" s="9"/>
      <c r="AC268" s="9"/>
      <c r="AD268" s="9" t="s">
        <v>15389</v>
      </c>
      <c r="AE268" s="9"/>
      <c r="AF268" s="9"/>
      <c r="AG268" s="9" t="s">
        <v>15389</v>
      </c>
    </row>
    <row r="269" spans="1:33" ht="16.5">
      <c r="A269" s="9">
        <v>264</v>
      </c>
      <c r="B269" s="9" t="s">
        <v>16737</v>
      </c>
      <c r="C269" s="9" t="s">
        <v>15155</v>
      </c>
      <c r="D269" s="9" t="s">
        <v>16669</v>
      </c>
      <c r="E269" s="12" t="s">
        <v>16668</v>
      </c>
      <c r="F269" s="12">
        <v>44375</v>
      </c>
      <c r="G269" s="12" t="s">
        <v>14702</v>
      </c>
      <c r="H269" s="9" t="s">
        <v>16736</v>
      </c>
      <c r="I269" s="9" t="s">
        <v>16735</v>
      </c>
      <c r="J269" s="9">
        <v>4616150407</v>
      </c>
      <c r="K269" s="9" t="s">
        <v>16734</v>
      </c>
      <c r="L269" s="9" t="s">
        <v>16733</v>
      </c>
      <c r="M269" s="11" t="s">
        <v>14746</v>
      </c>
      <c r="N269" s="10" t="s">
        <v>16732</v>
      </c>
      <c r="O269" s="9" t="s">
        <v>16731</v>
      </c>
      <c r="P269" s="9" t="s">
        <v>16730</v>
      </c>
      <c r="Q269" s="9" t="s">
        <v>16730</v>
      </c>
      <c r="R269" s="9" t="s">
        <v>16729</v>
      </c>
      <c r="S269" s="9" t="s">
        <v>16728</v>
      </c>
      <c r="T269" s="9" t="s">
        <v>14725</v>
      </c>
      <c r="U269" s="9" t="s">
        <v>16727</v>
      </c>
      <c r="V269" s="9" t="s">
        <v>15374</v>
      </c>
      <c r="W269" s="9" t="s">
        <v>16726</v>
      </c>
      <c r="X269" s="9" t="s">
        <v>16725</v>
      </c>
      <c r="Y269" s="9"/>
      <c r="Z269" s="9"/>
      <c r="AA269" s="9" t="s">
        <v>15389</v>
      </c>
      <c r="AB269" s="9"/>
      <c r="AC269" s="9"/>
      <c r="AD269" s="9" t="s">
        <v>15389</v>
      </c>
      <c r="AE269" s="9"/>
      <c r="AF269" s="9"/>
      <c r="AG269" s="9" t="s">
        <v>15389</v>
      </c>
    </row>
    <row r="270" spans="1:33" ht="16.5">
      <c r="A270" s="9">
        <v>265</v>
      </c>
      <c r="B270" s="9" t="s">
        <v>16724</v>
      </c>
      <c r="C270" s="9" t="s">
        <v>14705</v>
      </c>
      <c r="D270" s="9" t="s">
        <v>16669</v>
      </c>
      <c r="E270" s="12" t="s">
        <v>16668</v>
      </c>
      <c r="F270" s="12">
        <v>44493</v>
      </c>
      <c r="G270" s="12" t="s">
        <v>14702</v>
      </c>
      <c r="H270" s="9" t="s">
        <v>16723</v>
      </c>
      <c r="I270" s="9" t="s">
        <v>16722</v>
      </c>
      <c r="J270" s="9">
        <v>4110400701</v>
      </c>
      <c r="K270" s="9" t="s">
        <v>16721</v>
      </c>
      <c r="L270" s="9" t="s">
        <v>16720</v>
      </c>
      <c r="M270" s="11" t="s">
        <v>16719</v>
      </c>
      <c r="N270" s="10" t="s">
        <v>16718</v>
      </c>
      <c r="O270" s="9" t="s">
        <v>16717</v>
      </c>
      <c r="P270" s="9" t="s">
        <v>16716</v>
      </c>
      <c r="Q270" s="9" t="s">
        <v>16715</v>
      </c>
      <c r="R270" s="9" t="s">
        <v>16714</v>
      </c>
      <c r="S270" s="9" t="s">
        <v>16713</v>
      </c>
      <c r="T270" s="9" t="s">
        <v>14725</v>
      </c>
      <c r="U270" s="9" t="s">
        <v>16712</v>
      </c>
      <c r="V270" s="9" t="s">
        <v>15044</v>
      </c>
      <c r="W270" s="9" t="s">
        <v>16711</v>
      </c>
      <c r="X270" s="9" t="s">
        <v>16710</v>
      </c>
      <c r="Y270" s="9"/>
      <c r="Z270" s="9"/>
      <c r="AA270" s="9" t="s">
        <v>15389</v>
      </c>
      <c r="AB270" s="9"/>
      <c r="AC270" s="9"/>
      <c r="AD270" s="9" t="s">
        <v>15389</v>
      </c>
      <c r="AE270" s="9"/>
      <c r="AF270" s="9"/>
      <c r="AG270" s="9" t="s">
        <v>15389</v>
      </c>
    </row>
    <row r="271" spans="1:33" ht="16.5">
      <c r="A271" s="9">
        <v>266</v>
      </c>
      <c r="B271" s="9" t="s">
        <v>16709</v>
      </c>
      <c r="C271" s="9" t="s">
        <v>14750</v>
      </c>
      <c r="D271" s="9" t="s">
        <v>16669</v>
      </c>
      <c r="E271" s="12" t="s">
        <v>16668</v>
      </c>
      <c r="F271" s="12">
        <v>44889</v>
      </c>
      <c r="G271" s="12" t="s">
        <v>14702</v>
      </c>
      <c r="H271" s="9" t="s">
        <v>16708</v>
      </c>
      <c r="I271" s="9" t="s">
        <v>16707</v>
      </c>
      <c r="J271" s="9">
        <v>4323229901</v>
      </c>
      <c r="K271" s="9" t="s">
        <v>16021</v>
      </c>
      <c r="L271" s="9" t="s">
        <v>16706</v>
      </c>
      <c r="M271" s="11" t="s">
        <v>14746</v>
      </c>
      <c r="N271" s="10" t="s">
        <v>4097</v>
      </c>
      <c r="O271" s="9" t="s">
        <v>16705</v>
      </c>
      <c r="P271" s="9" t="s">
        <v>16704</v>
      </c>
      <c r="Q271" s="9" t="s">
        <v>16704</v>
      </c>
      <c r="R271" s="9" t="s">
        <v>16703</v>
      </c>
      <c r="S271" s="9" t="s">
        <v>16702</v>
      </c>
      <c r="T271" s="9" t="s">
        <v>14815</v>
      </c>
      <c r="U271" s="9" t="s">
        <v>16701</v>
      </c>
      <c r="V271" s="9" t="s">
        <v>15243</v>
      </c>
      <c r="W271" s="9" t="s">
        <v>16700</v>
      </c>
      <c r="X271" s="9" t="s">
        <v>16699</v>
      </c>
      <c r="Y271" s="9"/>
      <c r="Z271" s="9"/>
      <c r="AA271" s="9" t="s">
        <v>15389</v>
      </c>
      <c r="AB271" s="9"/>
      <c r="AC271" s="9"/>
      <c r="AD271" s="9" t="s">
        <v>15389</v>
      </c>
      <c r="AE271" s="9"/>
      <c r="AF271" s="9"/>
      <c r="AG271" s="9" t="s">
        <v>15389</v>
      </c>
    </row>
    <row r="272" spans="1:33" ht="16.5">
      <c r="A272" s="9">
        <v>267</v>
      </c>
      <c r="B272" s="9" t="s">
        <v>16698</v>
      </c>
      <c r="C272" s="9" t="s">
        <v>14705</v>
      </c>
      <c r="D272" s="9" t="s">
        <v>16669</v>
      </c>
      <c r="E272" s="12" t="s">
        <v>16668</v>
      </c>
      <c r="F272" s="12">
        <v>44956</v>
      </c>
      <c r="G272" s="12" t="s">
        <v>14702</v>
      </c>
      <c r="H272" s="9" t="s">
        <v>16697</v>
      </c>
      <c r="I272" s="9" t="s">
        <v>16696</v>
      </c>
      <c r="J272" s="9">
        <v>3911170901</v>
      </c>
      <c r="K272" s="9" t="s">
        <v>16695</v>
      </c>
      <c r="L272" s="9" t="s">
        <v>16694</v>
      </c>
      <c r="M272" s="11" t="s">
        <v>14732</v>
      </c>
      <c r="N272" s="10" t="s">
        <v>16693</v>
      </c>
      <c r="O272" s="9" t="s">
        <v>16692</v>
      </c>
      <c r="P272" s="9" t="s">
        <v>16691</v>
      </c>
      <c r="Q272" s="9" t="s">
        <v>16690</v>
      </c>
      <c r="R272" s="9" t="s">
        <v>16689</v>
      </c>
      <c r="S272" s="9" t="s">
        <v>16688</v>
      </c>
      <c r="T272" s="9" t="s">
        <v>14725</v>
      </c>
      <c r="U272" s="9" t="s">
        <v>16687</v>
      </c>
      <c r="V272" s="9" t="s">
        <v>77</v>
      </c>
      <c r="W272" s="9" t="s">
        <v>16686</v>
      </c>
      <c r="X272" s="9" t="s">
        <v>16685</v>
      </c>
      <c r="Y272" s="9"/>
      <c r="Z272" s="9"/>
      <c r="AA272" s="9" t="s">
        <v>15389</v>
      </c>
      <c r="AB272" s="9"/>
      <c r="AC272" s="9"/>
      <c r="AD272" s="9" t="s">
        <v>15389</v>
      </c>
      <c r="AE272" s="9"/>
      <c r="AF272" s="9"/>
      <c r="AG272" s="9" t="s">
        <v>15389</v>
      </c>
    </row>
    <row r="273" spans="1:33" ht="16.5">
      <c r="A273" s="9">
        <v>268</v>
      </c>
      <c r="B273" s="9" t="s">
        <v>16684</v>
      </c>
      <c r="C273" s="9" t="s">
        <v>14705</v>
      </c>
      <c r="D273" s="9" t="s">
        <v>16669</v>
      </c>
      <c r="E273" s="12" t="s">
        <v>16668</v>
      </c>
      <c r="F273" s="12">
        <v>45022</v>
      </c>
      <c r="G273" s="12" t="s">
        <v>14702</v>
      </c>
      <c r="H273" s="9" t="s">
        <v>16683</v>
      </c>
      <c r="I273" s="9" t="s">
        <v>16682</v>
      </c>
      <c r="J273" s="9">
        <v>2525032701</v>
      </c>
      <c r="K273" s="9" t="s">
        <v>16681</v>
      </c>
      <c r="L273" s="9" t="s">
        <v>16680</v>
      </c>
      <c r="M273" s="11" t="s">
        <v>14794</v>
      </c>
      <c r="N273" s="10" t="s">
        <v>16679</v>
      </c>
      <c r="O273" s="9" t="s">
        <v>16678</v>
      </c>
      <c r="P273" s="9" t="s">
        <v>16677</v>
      </c>
      <c r="Q273" s="9" t="s">
        <v>16676</v>
      </c>
      <c r="R273" s="9" t="s">
        <v>16675</v>
      </c>
      <c r="S273" s="9" t="s">
        <v>16674</v>
      </c>
      <c r="T273" s="9" t="s">
        <v>14725</v>
      </c>
      <c r="U273" s="9" t="s">
        <v>16673</v>
      </c>
      <c r="V273" s="9" t="s">
        <v>15044</v>
      </c>
      <c r="W273" s="9" t="s">
        <v>16672</v>
      </c>
      <c r="X273" s="9" t="s">
        <v>16671</v>
      </c>
      <c r="Y273" s="9"/>
      <c r="Z273" s="9"/>
      <c r="AA273" s="9" t="s">
        <v>15389</v>
      </c>
      <c r="AB273" s="9"/>
      <c r="AC273" s="9"/>
      <c r="AD273" s="9" t="s">
        <v>15389</v>
      </c>
      <c r="AE273" s="9"/>
      <c r="AF273" s="9"/>
      <c r="AG273" s="9" t="s">
        <v>15389</v>
      </c>
    </row>
    <row r="274" spans="1:33" ht="16.5">
      <c r="A274" s="9">
        <v>269</v>
      </c>
      <c r="B274" s="9" t="s">
        <v>16670</v>
      </c>
      <c r="C274" s="9" t="s">
        <v>14705</v>
      </c>
      <c r="D274" s="9" t="s">
        <v>16669</v>
      </c>
      <c r="E274" s="12" t="s">
        <v>16668</v>
      </c>
      <c r="F274" s="12">
        <v>44551</v>
      </c>
      <c r="G274" s="12" t="s">
        <v>14702</v>
      </c>
      <c r="H274" s="9" t="s">
        <v>16667</v>
      </c>
      <c r="I274" s="9" t="s">
        <v>16666</v>
      </c>
      <c r="J274" s="9">
        <v>3912110301</v>
      </c>
      <c r="K274" s="9" t="s">
        <v>14808</v>
      </c>
      <c r="L274" s="9" t="s">
        <v>16665</v>
      </c>
      <c r="M274" s="11" t="s">
        <v>14717</v>
      </c>
      <c r="N274" s="10" t="s">
        <v>16664</v>
      </c>
      <c r="O274" s="9" t="s">
        <v>16663</v>
      </c>
      <c r="P274" s="9" t="s">
        <v>16662</v>
      </c>
      <c r="Q274" s="9" t="s">
        <v>16661</v>
      </c>
      <c r="R274" s="9" t="s">
        <v>16660</v>
      </c>
      <c r="S274" s="9" t="s">
        <v>16659</v>
      </c>
      <c r="T274" s="9" t="s">
        <v>14725</v>
      </c>
      <c r="U274" s="9" t="s">
        <v>16658</v>
      </c>
      <c r="V274" s="9" t="s">
        <v>75</v>
      </c>
      <c r="W274" s="9" t="s">
        <v>16657</v>
      </c>
      <c r="X274" s="9" t="s">
        <v>15687</v>
      </c>
      <c r="Y274" s="9"/>
      <c r="Z274" s="9"/>
      <c r="AA274" s="9" t="s">
        <v>15389</v>
      </c>
      <c r="AB274" s="9"/>
      <c r="AC274" s="9"/>
      <c r="AD274" s="9" t="s">
        <v>15389</v>
      </c>
      <c r="AE274" s="9"/>
      <c r="AF274" s="9"/>
      <c r="AG274" s="9" t="s">
        <v>15389</v>
      </c>
    </row>
    <row r="275" spans="1:33" ht="16.5">
      <c r="A275" s="9">
        <v>270</v>
      </c>
      <c r="B275" s="9" t="s">
        <v>16656</v>
      </c>
      <c r="C275" s="9" t="s">
        <v>14705</v>
      </c>
      <c r="D275" s="9" t="s">
        <v>16207</v>
      </c>
      <c r="E275" s="12">
        <v>43941</v>
      </c>
      <c r="F275" s="12">
        <v>44912</v>
      </c>
      <c r="G275" s="12" t="s">
        <v>14702</v>
      </c>
      <c r="H275" s="9" t="s">
        <v>16655</v>
      </c>
      <c r="I275" s="9" t="s">
        <v>16654</v>
      </c>
      <c r="J275" s="9">
        <v>3911210201</v>
      </c>
      <c r="K275" s="9" t="s">
        <v>14933</v>
      </c>
      <c r="L275" s="9" t="s">
        <v>16653</v>
      </c>
      <c r="M275" s="11" t="s">
        <v>14732</v>
      </c>
      <c r="N275" s="10" t="s">
        <v>16652</v>
      </c>
      <c r="O275" s="9" t="s">
        <v>16651</v>
      </c>
      <c r="P275" s="9" t="s">
        <v>16650</v>
      </c>
      <c r="Q275" s="9" t="s">
        <v>16649</v>
      </c>
      <c r="R275" s="9" t="s">
        <v>16648</v>
      </c>
      <c r="S275" s="9" t="s">
        <v>16647</v>
      </c>
      <c r="T275" s="9" t="s">
        <v>14725</v>
      </c>
      <c r="U275" s="9" t="s">
        <v>16646</v>
      </c>
      <c r="V275" s="9" t="s">
        <v>75</v>
      </c>
      <c r="W275" s="9" t="s">
        <v>16645</v>
      </c>
      <c r="X275" s="9" t="s">
        <v>16644</v>
      </c>
      <c r="Y275" s="9"/>
      <c r="Z275" s="9"/>
      <c r="AA275" s="9" t="s">
        <v>15389</v>
      </c>
      <c r="AB275" s="9"/>
      <c r="AC275" s="9"/>
      <c r="AD275" s="9" t="s">
        <v>15389</v>
      </c>
      <c r="AE275" s="9"/>
      <c r="AF275" s="9"/>
      <c r="AG275" s="9" t="s">
        <v>15389</v>
      </c>
    </row>
    <row r="276" spans="1:33" ht="16.5">
      <c r="A276" s="9">
        <v>271</v>
      </c>
      <c r="B276" s="9" t="s">
        <v>16643</v>
      </c>
      <c r="C276" s="9" t="s">
        <v>14705</v>
      </c>
      <c r="D276" s="9" t="s">
        <v>16207</v>
      </c>
      <c r="E276" s="12">
        <v>43941</v>
      </c>
      <c r="F276" s="12">
        <v>44634</v>
      </c>
      <c r="G276" s="12" t="s">
        <v>14702</v>
      </c>
      <c r="H276" s="9" t="s">
        <v>16642</v>
      </c>
      <c r="I276" s="9" t="s">
        <v>16641</v>
      </c>
      <c r="J276" s="9">
        <v>4712169801</v>
      </c>
      <c r="K276" s="9" t="s">
        <v>16640</v>
      </c>
      <c r="L276" s="9" t="s">
        <v>16639</v>
      </c>
      <c r="M276" s="11" t="s">
        <v>14732</v>
      </c>
      <c r="N276" s="10" t="s">
        <v>16638</v>
      </c>
      <c r="O276" s="9" t="s">
        <v>16637</v>
      </c>
      <c r="P276" s="9" t="s">
        <v>16636</v>
      </c>
      <c r="Q276" s="9" t="s">
        <v>16635</v>
      </c>
      <c r="R276" s="9" t="s">
        <v>16634</v>
      </c>
      <c r="S276" s="9" t="s">
        <v>16633</v>
      </c>
      <c r="T276" s="9" t="s">
        <v>14725</v>
      </c>
      <c r="U276" s="9" t="s">
        <v>16632</v>
      </c>
      <c r="V276" s="9" t="s">
        <v>77</v>
      </c>
      <c r="W276" s="9" t="s">
        <v>16631</v>
      </c>
      <c r="X276" s="9" t="s">
        <v>16606</v>
      </c>
      <c r="Y276" s="9"/>
      <c r="Z276" s="9"/>
      <c r="AA276" s="9" t="s">
        <v>15389</v>
      </c>
      <c r="AB276" s="9"/>
      <c r="AC276" s="9"/>
      <c r="AD276" s="9" t="s">
        <v>15389</v>
      </c>
      <c r="AE276" s="9"/>
      <c r="AF276" s="9"/>
      <c r="AG276" s="9" t="s">
        <v>15389</v>
      </c>
    </row>
    <row r="277" spans="1:33" ht="16.5">
      <c r="A277" s="9">
        <v>272</v>
      </c>
      <c r="B277" s="9" t="s">
        <v>16630</v>
      </c>
      <c r="C277" s="9" t="s">
        <v>14750</v>
      </c>
      <c r="D277" s="9" t="s">
        <v>16207</v>
      </c>
      <c r="E277" s="12">
        <v>43941</v>
      </c>
      <c r="F277" s="12">
        <v>44791</v>
      </c>
      <c r="G277" s="12" t="s">
        <v>14702</v>
      </c>
      <c r="H277" s="9" t="s">
        <v>16629</v>
      </c>
      <c r="I277" s="9" t="s">
        <v>16628</v>
      </c>
      <c r="J277" s="9">
        <v>4014218902</v>
      </c>
      <c r="K277" s="9" t="s">
        <v>16377</v>
      </c>
      <c r="L277" s="9" t="s">
        <v>16627</v>
      </c>
      <c r="M277" s="11" t="s">
        <v>14888</v>
      </c>
      <c r="N277" s="10" t="s">
        <v>5433</v>
      </c>
      <c r="O277" s="9" t="s">
        <v>16626</v>
      </c>
      <c r="P277" s="9" t="s">
        <v>16625</v>
      </c>
      <c r="Q277" s="9" t="s">
        <v>16624</v>
      </c>
      <c r="R277" s="9" t="s">
        <v>16623</v>
      </c>
      <c r="S277" s="9" t="s">
        <v>16622</v>
      </c>
      <c r="T277" s="9" t="s">
        <v>15588</v>
      </c>
      <c r="U277" s="9" t="s">
        <v>16621</v>
      </c>
      <c r="V277" s="9" t="s">
        <v>75</v>
      </c>
      <c r="W277" s="9" t="s">
        <v>16620</v>
      </c>
      <c r="X277" s="9" t="s">
        <v>16241</v>
      </c>
      <c r="Y277" s="9"/>
      <c r="Z277" s="9"/>
      <c r="AA277" s="9" t="s">
        <v>15389</v>
      </c>
      <c r="AB277" s="9"/>
      <c r="AC277" s="9"/>
      <c r="AD277" s="9" t="s">
        <v>15389</v>
      </c>
      <c r="AE277" s="9"/>
      <c r="AF277" s="9"/>
      <c r="AG277" s="9" t="s">
        <v>15389</v>
      </c>
    </row>
    <row r="278" spans="1:33" ht="16.5">
      <c r="A278" s="9">
        <v>273</v>
      </c>
      <c r="B278" s="9" t="s">
        <v>16619</v>
      </c>
      <c r="C278" s="9" t="s">
        <v>14705</v>
      </c>
      <c r="D278" s="9" t="s">
        <v>16207</v>
      </c>
      <c r="E278" s="12">
        <v>43941</v>
      </c>
      <c r="F278" s="12">
        <v>44634</v>
      </c>
      <c r="G278" s="12" t="s">
        <v>14702</v>
      </c>
      <c r="H278" s="9" t="s">
        <v>16618</v>
      </c>
      <c r="I278" s="9" t="s">
        <v>16617</v>
      </c>
      <c r="J278" s="9">
        <v>3125150501</v>
      </c>
      <c r="K278" s="9" t="s">
        <v>16616</v>
      </c>
      <c r="L278" s="9" t="s">
        <v>16615</v>
      </c>
      <c r="M278" s="11" t="s">
        <v>14732</v>
      </c>
      <c r="N278" s="10" t="s">
        <v>16614</v>
      </c>
      <c r="O278" s="9" t="s">
        <v>16613</v>
      </c>
      <c r="P278" s="9" t="s">
        <v>16612</v>
      </c>
      <c r="Q278" s="9" t="s">
        <v>16611</v>
      </c>
      <c r="R278" s="9" t="s">
        <v>16610</v>
      </c>
      <c r="S278" s="9" t="s">
        <v>16609</v>
      </c>
      <c r="T278" s="9" t="s">
        <v>14725</v>
      </c>
      <c r="U278" s="9" t="s">
        <v>16608</v>
      </c>
      <c r="V278" s="9" t="s">
        <v>77</v>
      </c>
      <c r="W278" s="9" t="s">
        <v>16607</v>
      </c>
      <c r="X278" s="9" t="s">
        <v>16606</v>
      </c>
      <c r="Y278" s="9"/>
      <c r="Z278" s="9"/>
      <c r="AA278" s="9" t="s">
        <v>15389</v>
      </c>
      <c r="AB278" s="9"/>
      <c r="AC278" s="9"/>
      <c r="AD278" s="9" t="s">
        <v>15389</v>
      </c>
      <c r="AE278" s="9"/>
      <c r="AF278" s="9"/>
      <c r="AG278" s="9" t="s">
        <v>15389</v>
      </c>
    </row>
    <row r="279" spans="1:33" ht="16.5">
      <c r="A279" s="9">
        <v>274</v>
      </c>
      <c r="B279" s="9" t="s">
        <v>16605</v>
      </c>
      <c r="C279" s="9" t="s">
        <v>14705</v>
      </c>
      <c r="D279" s="9" t="s">
        <v>16207</v>
      </c>
      <c r="E279" s="12">
        <v>43941</v>
      </c>
      <c r="F279" s="12">
        <v>44760</v>
      </c>
      <c r="G279" s="12" t="s">
        <v>14702</v>
      </c>
      <c r="H279" s="9" t="s">
        <v>16604</v>
      </c>
      <c r="I279" s="9" t="s">
        <v>16603</v>
      </c>
      <c r="J279" s="9">
        <v>4016160201</v>
      </c>
      <c r="K279" s="9" t="s">
        <v>16602</v>
      </c>
      <c r="L279" s="9" t="s">
        <v>16601</v>
      </c>
      <c r="M279" s="11" t="s">
        <v>14794</v>
      </c>
      <c r="N279" s="10" t="s">
        <v>16600</v>
      </c>
      <c r="O279" s="9" t="s">
        <v>16599</v>
      </c>
      <c r="P279" s="9" t="s">
        <v>16598</v>
      </c>
      <c r="Q279" s="9" t="s">
        <v>16597</v>
      </c>
      <c r="R279" s="9" t="s">
        <v>16596</v>
      </c>
      <c r="S279" s="9" t="s">
        <v>16595</v>
      </c>
      <c r="T279" s="9" t="s">
        <v>15060</v>
      </c>
      <c r="U279" s="9" t="s">
        <v>16594</v>
      </c>
      <c r="V279" s="9" t="s">
        <v>77</v>
      </c>
      <c r="W279" s="9" t="s">
        <v>16593</v>
      </c>
      <c r="X279" s="9" t="s">
        <v>16592</v>
      </c>
      <c r="Y279" s="9"/>
      <c r="Z279" s="9"/>
      <c r="AA279" s="9" t="s">
        <v>15389</v>
      </c>
      <c r="AB279" s="9"/>
      <c r="AC279" s="9"/>
      <c r="AD279" s="9" t="s">
        <v>15389</v>
      </c>
      <c r="AE279" s="9"/>
      <c r="AF279" s="9"/>
      <c r="AG279" s="9" t="s">
        <v>15389</v>
      </c>
    </row>
    <row r="280" spans="1:33" ht="16.5">
      <c r="A280" s="9">
        <v>275</v>
      </c>
      <c r="B280" s="9" t="s">
        <v>16591</v>
      </c>
      <c r="C280" s="9" t="s">
        <v>14705</v>
      </c>
      <c r="D280" s="9" t="s">
        <v>16207</v>
      </c>
      <c r="E280" s="12">
        <v>43941</v>
      </c>
      <c r="F280" s="12">
        <v>44954</v>
      </c>
      <c r="G280" s="12" t="s">
        <v>14702</v>
      </c>
      <c r="H280" s="9" t="s">
        <v>16590</v>
      </c>
      <c r="I280" s="9" t="s">
        <v>16589</v>
      </c>
      <c r="J280" s="9">
        <v>4511189301</v>
      </c>
      <c r="K280" s="9" t="s">
        <v>16588</v>
      </c>
      <c r="L280" s="9" t="s">
        <v>16587</v>
      </c>
      <c r="M280" s="11" t="s">
        <v>14794</v>
      </c>
      <c r="N280" s="10" t="s">
        <v>16586</v>
      </c>
      <c r="O280" s="9" t="s">
        <v>16585</v>
      </c>
      <c r="P280" s="9" t="s">
        <v>16584</v>
      </c>
      <c r="Q280" s="9" t="s">
        <v>16583</v>
      </c>
      <c r="R280" s="9" t="s">
        <v>16582</v>
      </c>
      <c r="S280" s="9" t="s">
        <v>16581</v>
      </c>
      <c r="T280" s="9" t="s">
        <v>14725</v>
      </c>
      <c r="U280" s="9" t="s">
        <v>16580</v>
      </c>
      <c r="V280" s="9" t="s">
        <v>77</v>
      </c>
      <c r="W280" s="9" t="s">
        <v>16579</v>
      </c>
      <c r="X280" s="9" t="s">
        <v>16578</v>
      </c>
      <c r="Y280" s="9"/>
      <c r="Z280" s="9"/>
      <c r="AA280" s="9" t="s">
        <v>15389</v>
      </c>
      <c r="AB280" s="9"/>
      <c r="AC280" s="9"/>
      <c r="AD280" s="9" t="s">
        <v>15389</v>
      </c>
      <c r="AE280" s="9"/>
      <c r="AF280" s="9"/>
      <c r="AG280" s="9" t="s">
        <v>15389</v>
      </c>
    </row>
    <row r="281" spans="1:33" ht="16.5">
      <c r="A281" s="9">
        <v>276</v>
      </c>
      <c r="B281" s="9" t="s">
        <v>16577</v>
      </c>
      <c r="C281" s="9" t="s">
        <v>14705</v>
      </c>
      <c r="D281" s="9" t="s">
        <v>16207</v>
      </c>
      <c r="E281" s="12">
        <v>43941</v>
      </c>
      <c r="F281" s="12">
        <v>44637</v>
      </c>
      <c r="G281" s="12" t="s">
        <v>14702</v>
      </c>
      <c r="H281" s="9" t="s">
        <v>16576</v>
      </c>
      <c r="I281" s="9" t="s">
        <v>16575</v>
      </c>
      <c r="J281" s="9">
        <v>4015151301</v>
      </c>
      <c r="K281" s="9" t="s">
        <v>15854</v>
      </c>
      <c r="L281" s="9" t="s">
        <v>16574</v>
      </c>
      <c r="M281" s="11" t="s">
        <v>14699</v>
      </c>
      <c r="N281" s="10" t="s">
        <v>16573</v>
      </c>
      <c r="O281" s="9" t="s">
        <v>16572</v>
      </c>
      <c r="P281" s="9" t="s">
        <v>16571</v>
      </c>
      <c r="Q281" s="9" t="s">
        <v>16570</v>
      </c>
      <c r="R281" s="9" t="s">
        <v>16569</v>
      </c>
      <c r="S281" s="9" t="s">
        <v>16568</v>
      </c>
      <c r="T281" s="9" t="s">
        <v>15488</v>
      </c>
      <c r="U281" s="9" t="s">
        <v>16567</v>
      </c>
      <c r="V281" s="9" t="s">
        <v>77</v>
      </c>
      <c r="W281" s="9" t="s">
        <v>16566</v>
      </c>
      <c r="X281" s="9" t="s">
        <v>16565</v>
      </c>
      <c r="Y281" s="9"/>
      <c r="Z281" s="9"/>
      <c r="AA281" s="9" t="s">
        <v>15389</v>
      </c>
      <c r="AB281" s="9"/>
      <c r="AC281" s="9"/>
      <c r="AD281" s="9" t="s">
        <v>15389</v>
      </c>
      <c r="AE281" s="9"/>
      <c r="AF281" s="9"/>
      <c r="AG281" s="9" t="s">
        <v>15389</v>
      </c>
    </row>
    <row r="282" spans="1:33" ht="16.5">
      <c r="A282" s="9">
        <v>277</v>
      </c>
      <c r="B282" s="9" t="s">
        <v>16564</v>
      </c>
      <c r="C282" s="9" t="s">
        <v>14705</v>
      </c>
      <c r="D282" s="9" t="s">
        <v>16207</v>
      </c>
      <c r="E282" s="12">
        <v>43941</v>
      </c>
      <c r="F282" s="12">
        <v>44871</v>
      </c>
      <c r="G282" s="12" t="s">
        <v>14702</v>
      </c>
      <c r="H282" s="9" t="s">
        <v>16563</v>
      </c>
      <c r="I282" s="9" t="s">
        <v>16562</v>
      </c>
      <c r="J282" s="9">
        <v>2611160701</v>
      </c>
      <c r="K282" s="9" t="s">
        <v>15080</v>
      </c>
      <c r="L282" s="9" t="s">
        <v>16561</v>
      </c>
      <c r="M282" s="11" t="s">
        <v>14888</v>
      </c>
      <c r="N282" s="10" t="s">
        <v>16560</v>
      </c>
      <c r="O282" s="9" t="s">
        <v>16559</v>
      </c>
      <c r="P282" s="9" t="s">
        <v>16558</v>
      </c>
      <c r="Q282" s="9" t="s">
        <v>16558</v>
      </c>
      <c r="R282" s="9" t="s">
        <v>16557</v>
      </c>
      <c r="S282" s="9" t="s">
        <v>16556</v>
      </c>
      <c r="T282" s="9" t="s">
        <v>14815</v>
      </c>
      <c r="U282" s="9" t="s">
        <v>16555</v>
      </c>
      <c r="V282" s="9" t="s">
        <v>77</v>
      </c>
      <c r="W282" s="9" t="s">
        <v>16554</v>
      </c>
      <c r="X282" s="9" t="s">
        <v>15570</v>
      </c>
      <c r="Y282" s="9" t="s">
        <v>75</v>
      </c>
      <c r="Z282" s="9" t="s">
        <v>16553</v>
      </c>
      <c r="AA282" s="9" t="s">
        <v>16037</v>
      </c>
      <c r="AB282" s="9"/>
      <c r="AC282" s="9"/>
      <c r="AD282" s="9" t="s">
        <v>15389</v>
      </c>
      <c r="AE282" s="9"/>
      <c r="AF282" s="9"/>
      <c r="AG282" s="9" t="s">
        <v>15389</v>
      </c>
    </row>
    <row r="283" spans="1:33" ht="16.5">
      <c r="A283" s="9">
        <v>278</v>
      </c>
      <c r="B283" s="9" t="s">
        <v>16552</v>
      </c>
      <c r="C283" s="9" t="s">
        <v>15155</v>
      </c>
      <c r="D283" s="9" t="s">
        <v>16207</v>
      </c>
      <c r="E283" s="12">
        <v>43941</v>
      </c>
      <c r="F283" s="12">
        <v>44791</v>
      </c>
      <c r="G283" s="12" t="s">
        <v>14702</v>
      </c>
      <c r="H283" s="9" t="s">
        <v>16551</v>
      </c>
      <c r="I283" s="9" t="s">
        <v>16550</v>
      </c>
      <c r="J283" s="9">
        <v>3016160202</v>
      </c>
      <c r="K283" s="9" t="s">
        <v>16549</v>
      </c>
      <c r="L283" s="9" t="s">
        <v>16548</v>
      </c>
      <c r="M283" s="11" t="s">
        <v>14746</v>
      </c>
      <c r="N283" s="10" t="s">
        <v>16547</v>
      </c>
      <c r="O283" s="9" t="s">
        <v>16546</v>
      </c>
      <c r="P283" s="9" t="s">
        <v>16545</v>
      </c>
      <c r="Q283" s="9" t="s">
        <v>16544</v>
      </c>
      <c r="R283" s="9" t="s">
        <v>16543</v>
      </c>
      <c r="S283" s="9" t="s">
        <v>16542</v>
      </c>
      <c r="T283" s="9" t="s">
        <v>14725</v>
      </c>
      <c r="U283" s="9" t="s">
        <v>16541</v>
      </c>
      <c r="V283" s="9" t="s">
        <v>75</v>
      </c>
      <c r="W283" s="9" t="s">
        <v>16540</v>
      </c>
      <c r="X283" s="9" t="s">
        <v>16241</v>
      </c>
      <c r="Y283" s="9" t="s">
        <v>77</v>
      </c>
      <c r="Z283" s="9" t="s">
        <v>16539</v>
      </c>
      <c r="AA283" s="9" t="s">
        <v>15432</v>
      </c>
      <c r="AB283" s="9"/>
      <c r="AC283" s="9"/>
      <c r="AD283" s="9" t="s">
        <v>15389</v>
      </c>
      <c r="AE283" s="9"/>
      <c r="AF283" s="9"/>
      <c r="AG283" s="9" t="s">
        <v>15389</v>
      </c>
    </row>
    <row r="284" spans="1:33" ht="16.5">
      <c r="A284" s="9">
        <v>279</v>
      </c>
      <c r="B284" s="9" t="s">
        <v>16538</v>
      </c>
      <c r="C284" s="9" t="s">
        <v>14705</v>
      </c>
      <c r="D284" s="9" t="s">
        <v>16207</v>
      </c>
      <c r="E284" s="12">
        <v>43941</v>
      </c>
      <c r="F284" s="12">
        <v>44890</v>
      </c>
      <c r="G284" s="12" t="s">
        <v>14702</v>
      </c>
      <c r="H284" s="9" t="s">
        <v>16537</v>
      </c>
      <c r="I284" s="9" t="s">
        <v>16536</v>
      </c>
      <c r="J284" s="9">
        <v>2522191701</v>
      </c>
      <c r="K284" s="9" t="s">
        <v>16535</v>
      </c>
      <c r="L284" s="9" t="s">
        <v>16534</v>
      </c>
      <c r="M284" s="11" t="s">
        <v>14732</v>
      </c>
      <c r="N284" s="10" t="s">
        <v>16533</v>
      </c>
      <c r="O284" s="9" t="s">
        <v>16532</v>
      </c>
      <c r="P284" s="9" t="s">
        <v>16531</v>
      </c>
      <c r="Q284" s="9" t="s">
        <v>16530</v>
      </c>
      <c r="R284" s="9" t="s">
        <v>16529</v>
      </c>
      <c r="S284" s="9" t="s">
        <v>16528</v>
      </c>
      <c r="T284" s="9" t="s">
        <v>14725</v>
      </c>
      <c r="U284" s="9" t="s">
        <v>16527</v>
      </c>
      <c r="V284" s="9" t="s">
        <v>15460</v>
      </c>
      <c r="W284" s="9" t="s">
        <v>16526</v>
      </c>
      <c r="X284" s="9" t="s">
        <v>16525</v>
      </c>
      <c r="Y284" s="9"/>
      <c r="Z284" s="9"/>
      <c r="AA284" s="9" t="s">
        <v>15389</v>
      </c>
      <c r="AB284" s="9"/>
      <c r="AC284" s="9"/>
      <c r="AD284" s="9" t="s">
        <v>15389</v>
      </c>
      <c r="AE284" s="9"/>
      <c r="AF284" s="9"/>
      <c r="AG284" s="9" t="s">
        <v>15389</v>
      </c>
    </row>
    <row r="285" spans="1:33" ht="16.5">
      <c r="A285" s="9">
        <v>280</v>
      </c>
      <c r="B285" s="9" t="s">
        <v>16524</v>
      </c>
      <c r="C285" s="9" t="s">
        <v>14705</v>
      </c>
      <c r="D285" s="9" t="s">
        <v>16207</v>
      </c>
      <c r="E285" s="12">
        <v>43941</v>
      </c>
      <c r="F285" s="12">
        <v>44482</v>
      </c>
      <c r="G285" s="12" t="s">
        <v>14702</v>
      </c>
      <c r="H285" s="9" t="s">
        <v>16523</v>
      </c>
      <c r="I285" s="9" t="s">
        <v>16522</v>
      </c>
      <c r="J285" s="9">
        <v>4321190301</v>
      </c>
      <c r="K285" s="9" t="s">
        <v>16304</v>
      </c>
      <c r="L285" s="9" t="s">
        <v>16521</v>
      </c>
      <c r="M285" s="11" t="s">
        <v>14732</v>
      </c>
      <c r="N285" s="10" t="s">
        <v>16520</v>
      </c>
      <c r="O285" s="9" t="s">
        <v>16519</v>
      </c>
      <c r="P285" s="9" t="s">
        <v>16518</v>
      </c>
      <c r="Q285" s="9" t="s">
        <v>16517</v>
      </c>
      <c r="R285" s="9" t="s">
        <v>16516</v>
      </c>
      <c r="S285" s="9" t="s">
        <v>16515</v>
      </c>
      <c r="T285" s="9" t="s">
        <v>14725</v>
      </c>
      <c r="U285" s="9" t="s">
        <v>16514</v>
      </c>
      <c r="V285" s="9" t="s">
        <v>15703</v>
      </c>
      <c r="W285" s="9" t="s">
        <v>16513</v>
      </c>
      <c r="X285" s="9" t="s">
        <v>16512</v>
      </c>
      <c r="Y285" s="9"/>
      <c r="Z285" s="9"/>
      <c r="AA285" s="9" t="s">
        <v>15389</v>
      </c>
      <c r="AB285" s="9"/>
      <c r="AC285" s="9"/>
      <c r="AD285" s="9" t="s">
        <v>15389</v>
      </c>
      <c r="AE285" s="9"/>
      <c r="AF285" s="9"/>
      <c r="AG285" s="9" t="s">
        <v>15389</v>
      </c>
    </row>
    <row r="286" spans="1:33" ht="16.5">
      <c r="A286" s="9">
        <v>281</v>
      </c>
      <c r="B286" s="9" t="s">
        <v>16511</v>
      </c>
      <c r="C286" s="9" t="s">
        <v>14705</v>
      </c>
      <c r="D286" s="9" t="s">
        <v>16207</v>
      </c>
      <c r="E286" s="12">
        <v>43941</v>
      </c>
      <c r="F286" s="12">
        <v>44871</v>
      </c>
      <c r="G286" s="12" t="s">
        <v>14702</v>
      </c>
      <c r="H286" s="9" t="s">
        <v>16206</v>
      </c>
      <c r="I286" s="9" t="s">
        <v>16510</v>
      </c>
      <c r="J286" s="9">
        <v>3911152602</v>
      </c>
      <c r="K286" s="9" t="s">
        <v>16509</v>
      </c>
      <c r="L286" s="9" t="s">
        <v>16203</v>
      </c>
      <c r="M286" s="11" t="s">
        <v>14763</v>
      </c>
      <c r="N286" s="10" t="s">
        <v>16202</v>
      </c>
      <c r="O286" s="9" t="s">
        <v>16201</v>
      </c>
      <c r="P286" s="9" t="s">
        <v>16200</v>
      </c>
      <c r="Q286" s="9" t="s">
        <v>16199</v>
      </c>
      <c r="R286" s="9" t="s">
        <v>16198</v>
      </c>
      <c r="S286" s="9" t="s">
        <v>16197</v>
      </c>
      <c r="T286" s="9" t="s">
        <v>14725</v>
      </c>
      <c r="U286" s="9" t="s">
        <v>16196</v>
      </c>
      <c r="V286" s="9" t="s">
        <v>75</v>
      </c>
      <c r="W286" s="9" t="s">
        <v>16195</v>
      </c>
      <c r="X286" s="9" t="s">
        <v>16037</v>
      </c>
      <c r="Y286" s="9"/>
      <c r="Z286" s="9"/>
      <c r="AA286" s="9" t="s">
        <v>15389</v>
      </c>
      <c r="AB286" s="9"/>
      <c r="AC286" s="9"/>
      <c r="AD286" s="9" t="s">
        <v>15389</v>
      </c>
      <c r="AE286" s="9"/>
      <c r="AF286" s="9"/>
      <c r="AG286" s="9" t="s">
        <v>15389</v>
      </c>
    </row>
    <row r="287" spans="1:33" ht="16.5">
      <c r="A287" s="9">
        <v>282</v>
      </c>
      <c r="B287" s="9" t="s">
        <v>16508</v>
      </c>
      <c r="C287" s="9" t="s">
        <v>14705</v>
      </c>
      <c r="D287" s="9" t="s">
        <v>16207</v>
      </c>
      <c r="E287" s="12">
        <v>43941</v>
      </c>
      <c r="F287" s="12">
        <v>44472</v>
      </c>
      <c r="G287" s="12" t="s">
        <v>14702</v>
      </c>
      <c r="H287" s="9" t="s">
        <v>16507</v>
      </c>
      <c r="I287" s="9" t="s">
        <v>16506</v>
      </c>
      <c r="J287" s="9">
        <v>3015200104</v>
      </c>
      <c r="K287" s="9" t="s">
        <v>16505</v>
      </c>
      <c r="L287" s="9" t="s">
        <v>16504</v>
      </c>
      <c r="M287" s="11" t="s">
        <v>14732</v>
      </c>
      <c r="N287" s="10" t="s">
        <v>16503</v>
      </c>
      <c r="O287" s="9" t="s">
        <v>16502</v>
      </c>
      <c r="P287" s="9" t="s">
        <v>16501</v>
      </c>
      <c r="Q287" s="9" t="s">
        <v>16500</v>
      </c>
      <c r="R287" s="9" t="s">
        <v>16499</v>
      </c>
      <c r="S287" s="9" t="s">
        <v>16498</v>
      </c>
      <c r="T287" s="9" t="s">
        <v>14712</v>
      </c>
      <c r="U287" s="9" t="s">
        <v>16497</v>
      </c>
      <c r="V287" s="9" t="s">
        <v>77</v>
      </c>
      <c r="W287" s="9" t="s">
        <v>16496</v>
      </c>
      <c r="X287" s="9" t="s">
        <v>15325</v>
      </c>
      <c r="Y287" s="9"/>
      <c r="Z287" s="9"/>
      <c r="AA287" s="9" t="s">
        <v>15389</v>
      </c>
      <c r="AB287" s="9"/>
      <c r="AC287" s="9"/>
      <c r="AD287" s="9" t="s">
        <v>15389</v>
      </c>
      <c r="AE287" s="9"/>
      <c r="AF287" s="9"/>
      <c r="AG287" s="9" t="s">
        <v>15389</v>
      </c>
    </row>
    <row r="288" spans="1:33" ht="16.5">
      <c r="A288" s="9">
        <v>283</v>
      </c>
      <c r="B288" s="9" t="s">
        <v>16495</v>
      </c>
      <c r="C288" s="9" t="s">
        <v>14705</v>
      </c>
      <c r="D288" s="9" t="s">
        <v>16207</v>
      </c>
      <c r="E288" s="12">
        <v>43941</v>
      </c>
      <c r="F288" s="12">
        <v>45140</v>
      </c>
      <c r="G288" s="12" t="s">
        <v>14702</v>
      </c>
      <c r="H288" s="9" t="s">
        <v>16494</v>
      </c>
      <c r="I288" s="9" t="s">
        <v>16493</v>
      </c>
      <c r="J288" s="9">
        <v>3912118901</v>
      </c>
      <c r="K288" s="9" t="s">
        <v>14718</v>
      </c>
      <c r="L288" s="9" t="s">
        <v>16492</v>
      </c>
      <c r="M288" s="11" t="s">
        <v>14763</v>
      </c>
      <c r="N288" s="10" t="s">
        <v>16491</v>
      </c>
      <c r="O288" s="9" t="s">
        <v>16490</v>
      </c>
      <c r="P288" s="9" t="s">
        <v>15478</v>
      </c>
      <c r="Q288" s="9" t="s">
        <v>16489</v>
      </c>
      <c r="R288" s="9" t="s">
        <v>16488</v>
      </c>
      <c r="S288" s="9" t="s">
        <v>16487</v>
      </c>
      <c r="T288" s="9" t="s">
        <v>14725</v>
      </c>
      <c r="U288" s="9" t="s">
        <v>16486</v>
      </c>
      <c r="V288" s="9" t="s">
        <v>77</v>
      </c>
      <c r="W288" s="9" t="s">
        <v>16485</v>
      </c>
      <c r="X288" s="9" t="s">
        <v>16484</v>
      </c>
      <c r="Y288" s="9"/>
      <c r="Z288" s="9"/>
      <c r="AA288" s="9" t="s">
        <v>15389</v>
      </c>
      <c r="AB288" s="9"/>
      <c r="AC288" s="9"/>
      <c r="AD288" s="9" t="s">
        <v>15389</v>
      </c>
      <c r="AE288" s="9"/>
      <c r="AF288" s="9"/>
      <c r="AG288" s="9" t="s">
        <v>15389</v>
      </c>
    </row>
    <row r="289" spans="1:33" ht="16.5">
      <c r="A289" s="9">
        <v>284</v>
      </c>
      <c r="B289" s="9" t="s">
        <v>16483</v>
      </c>
      <c r="C289" s="9" t="s">
        <v>14705</v>
      </c>
      <c r="D289" s="9" t="s">
        <v>16207</v>
      </c>
      <c r="E289" s="12">
        <v>43941</v>
      </c>
      <c r="F289" s="12">
        <v>44898</v>
      </c>
      <c r="G289" s="12" t="s">
        <v>14702</v>
      </c>
      <c r="H289" s="9" t="s">
        <v>16482</v>
      </c>
      <c r="I289" s="9" t="s">
        <v>16481</v>
      </c>
      <c r="J289" s="9">
        <v>2410170901</v>
      </c>
      <c r="K289" s="9" t="s">
        <v>16480</v>
      </c>
      <c r="L289" s="9" t="s">
        <v>16479</v>
      </c>
      <c r="M289" s="11" t="s">
        <v>14794</v>
      </c>
      <c r="N289" s="10" t="s">
        <v>16478</v>
      </c>
      <c r="O289" s="9" t="s">
        <v>16477</v>
      </c>
      <c r="P289" s="9" t="s">
        <v>16476</v>
      </c>
      <c r="Q289" s="9" t="s">
        <v>16475</v>
      </c>
      <c r="R289" s="9" t="s">
        <v>16474</v>
      </c>
      <c r="S289" s="9" t="s">
        <v>16473</v>
      </c>
      <c r="T289" s="9" t="s">
        <v>15101</v>
      </c>
      <c r="U289" s="9" t="s">
        <v>16472</v>
      </c>
      <c r="V289" s="9" t="s">
        <v>14710</v>
      </c>
      <c r="W289" s="9" t="s">
        <v>16471</v>
      </c>
      <c r="X289" s="9" t="s">
        <v>16470</v>
      </c>
      <c r="Y289" s="9"/>
      <c r="Z289" s="9"/>
      <c r="AA289" s="9" t="s">
        <v>15389</v>
      </c>
      <c r="AB289" s="9"/>
      <c r="AC289" s="9"/>
      <c r="AD289" s="9" t="s">
        <v>15389</v>
      </c>
      <c r="AE289" s="9"/>
      <c r="AF289" s="9"/>
      <c r="AG289" s="9" t="s">
        <v>15389</v>
      </c>
    </row>
    <row r="290" spans="1:33" ht="16.5">
      <c r="A290" s="9">
        <v>285</v>
      </c>
      <c r="B290" s="9" t="s">
        <v>16469</v>
      </c>
      <c r="C290" s="9" t="s">
        <v>14705</v>
      </c>
      <c r="D290" s="9" t="s">
        <v>16207</v>
      </c>
      <c r="E290" s="12">
        <v>43941</v>
      </c>
      <c r="F290" s="12">
        <v>44871</v>
      </c>
      <c r="G290" s="12" t="s">
        <v>14702</v>
      </c>
      <c r="H290" s="9" t="s">
        <v>16467</v>
      </c>
      <c r="I290" s="9" t="s">
        <v>16468</v>
      </c>
      <c r="J290" s="9">
        <v>2413190201</v>
      </c>
      <c r="K290" s="9" t="s">
        <v>16467</v>
      </c>
      <c r="L290" s="9" t="s">
        <v>16466</v>
      </c>
      <c r="M290" s="11" t="s">
        <v>14794</v>
      </c>
      <c r="N290" s="10" t="s">
        <v>16465</v>
      </c>
      <c r="O290" s="9" t="s">
        <v>16464</v>
      </c>
      <c r="P290" s="9" t="s">
        <v>16463</v>
      </c>
      <c r="Q290" s="9" t="s">
        <v>16462</v>
      </c>
      <c r="R290" s="9" t="s">
        <v>16461</v>
      </c>
      <c r="S290" s="9" t="s">
        <v>16460</v>
      </c>
      <c r="T290" s="9" t="s">
        <v>14712</v>
      </c>
      <c r="U290" s="9" t="s">
        <v>16459</v>
      </c>
      <c r="V290" s="9" t="s">
        <v>75</v>
      </c>
      <c r="W290" s="9" t="s">
        <v>16458</v>
      </c>
      <c r="X290" s="9" t="s">
        <v>16037</v>
      </c>
      <c r="Y290" s="9"/>
      <c r="Z290" s="9"/>
      <c r="AA290" s="9" t="s">
        <v>15389</v>
      </c>
      <c r="AB290" s="9"/>
      <c r="AC290" s="9"/>
      <c r="AD290" s="9" t="s">
        <v>15389</v>
      </c>
      <c r="AE290" s="9"/>
      <c r="AF290" s="9"/>
      <c r="AG290" s="9" t="s">
        <v>15389</v>
      </c>
    </row>
    <row r="291" spans="1:33" ht="16.5">
      <c r="A291" s="9">
        <v>286</v>
      </c>
      <c r="B291" s="9" t="s">
        <v>16457</v>
      </c>
      <c r="C291" s="9" t="s">
        <v>15155</v>
      </c>
      <c r="D291" s="9" t="s">
        <v>16207</v>
      </c>
      <c r="E291" s="12">
        <v>43941</v>
      </c>
      <c r="F291" s="12">
        <v>44851</v>
      </c>
      <c r="G291" s="12" t="s">
        <v>14702</v>
      </c>
      <c r="H291" s="9" t="s">
        <v>16456</v>
      </c>
      <c r="I291" s="9" t="s">
        <v>16455</v>
      </c>
      <c r="J291" s="9">
        <v>3012171501</v>
      </c>
      <c r="K291" s="9" t="s">
        <v>16454</v>
      </c>
      <c r="L291" s="9" t="s">
        <v>16453</v>
      </c>
      <c r="M291" s="11" t="s">
        <v>14746</v>
      </c>
      <c r="N291" s="10" t="s">
        <v>16452</v>
      </c>
      <c r="O291" s="9" t="s">
        <v>16451</v>
      </c>
      <c r="P291" s="9" t="s">
        <v>16450</v>
      </c>
      <c r="Q291" s="9" t="s">
        <v>16449</v>
      </c>
      <c r="R291" s="9" t="s">
        <v>16448</v>
      </c>
      <c r="S291" s="9" t="s">
        <v>16447</v>
      </c>
      <c r="T291" s="9" t="s">
        <v>14725</v>
      </c>
      <c r="U291" s="9" t="s">
        <v>16446</v>
      </c>
      <c r="V291" s="9" t="s">
        <v>15139</v>
      </c>
      <c r="W291" s="9" t="s">
        <v>16445</v>
      </c>
      <c r="X291" s="9" t="s">
        <v>15137</v>
      </c>
      <c r="Y291" s="9" t="s">
        <v>15605</v>
      </c>
      <c r="Z291" s="9" t="s">
        <v>16444</v>
      </c>
      <c r="AA291" s="9" t="s">
        <v>16322</v>
      </c>
      <c r="AB291" s="9"/>
      <c r="AC291" s="9"/>
      <c r="AD291" s="9" t="s">
        <v>15389</v>
      </c>
      <c r="AE291" s="9"/>
      <c r="AF291" s="9"/>
      <c r="AG291" s="9" t="s">
        <v>15389</v>
      </c>
    </row>
    <row r="292" spans="1:33" ht="16.5">
      <c r="A292" s="9">
        <v>287</v>
      </c>
      <c r="B292" s="9" t="s">
        <v>16443</v>
      </c>
      <c r="C292" s="9" t="s">
        <v>15155</v>
      </c>
      <c r="D292" s="9" t="s">
        <v>16207</v>
      </c>
      <c r="E292" s="12">
        <v>43941</v>
      </c>
      <c r="F292" s="12">
        <v>44731</v>
      </c>
      <c r="G292" s="12" t="s">
        <v>14702</v>
      </c>
      <c r="H292" s="9" t="s">
        <v>16442</v>
      </c>
      <c r="I292" s="9" t="s">
        <v>16441</v>
      </c>
      <c r="J292" s="9">
        <v>3911210201</v>
      </c>
      <c r="K292" s="9" t="s">
        <v>14933</v>
      </c>
      <c r="L292" s="9" t="s">
        <v>16440</v>
      </c>
      <c r="M292" s="11" t="s">
        <v>14888</v>
      </c>
      <c r="N292" s="10" t="s">
        <v>16439</v>
      </c>
      <c r="O292" s="9" t="s">
        <v>16438</v>
      </c>
      <c r="P292" s="9" t="s">
        <v>16437</v>
      </c>
      <c r="Q292" s="9" t="s">
        <v>16436</v>
      </c>
      <c r="R292" s="9" t="s">
        <v>16435</v>
      </c>
      <c r="S292" s="9" t="s">
        <v>16434</v>
      </c>
      <c r="T292" s="9" t="s">
        <v>14725</v>
      </c>
      <c r="U292" s="9" t="s">
        <v>16433</v>
      </c>
      <c r="V292" s="9" t="s">
        <v>75</v>
      </c>
      <c r="W292" s="9" t="s">
        <v>16432</v>
      </c>
      <c r="X292" s="9" t="s">
        <v>14893</v>
      </c>
      <c r="Y292" s="9" t="s">
        <v>14754</v>
      </c>
      <c r="Z292" s="9" t="s">
        <v>16431</v>
      </c>
      <c r="AA292" s="9" t="s">
        <v>16430</v>
      </c>
      <c r="AB292" s="9" t="s">
        <v>14868</v>
      </c>
      <c r="AC292" s="9" t="s">
        <v>16429</v>
      </c>
      <c r="AD292" s="9" t="s">
        <v>16428</v>
      </c>
      <c r="AE292" s="9"/>
      <c r="AF292" s="9"/>
      <c r="AG292" s="9" t="s">
        <v>15389</v>
      </c>
    </row>
    <row r="293" spans="1:33" ht="16.5">
      <c r="A293" s="9">
        <v>288</v>
      </c>
      <c r="B293" s="9" t="s">
        <v>16427</v>
      </c>
      <c r="C293" s="9" t="s">
        <v>14750</v>
      </c>
      <c r="D293" s="9" t="s">
        <v>16207</v>
      </c>
      <c r="E293" s="12">
        <v>43941</v>
      </c>
      <c r="F293" s="12">
        <v>45354</v>
      </c>
      <c r="G293" s="12" t="s">
        <v>14702</v>
      </c>
      <c r="H293" s="9" t="s">
        <v>16426</v>
      </c>
      <c r="I293" s="9" t="s">
        <v>16425</v>
      </c>
      <c r="J293" s="9">
        <v>3013170201</v>
      </c>
      <c r="K293" s="9" t="s">
        <v>16424</v>
      </c>
      <c r="L293" s="9" t="s">
        <v>16423</v>
      </c>
      <c r="M293" s="11" t="s">
        <v>14746</v>
      </c>
      <c r="N293" s="10" t="s">
        <v>16422</v>
      </c>
      <c r="O293" s="9" t="s">
        <v>16421</v>
      </c>
      <c r="P293" s="9" t="s">
        <v>16420</v>
      </c>
      <c r="Q293" s="9" t="s">
        <v>16419</v>
      </c>
      <c r="R293" s="9" t="s">
        <v>16418</v>
      </c>
      <c r="S293" s="9" t="s">
        <v>16417</v>
      </c>
      <c r="T293" s="9" t="s">
        <v>14787</v>
      </c>
      <c r="U293" s="9" t="s">
        <v>16416</v>
      </c>
      <c r="V293" s="9" t="s">
        <v>14868</v>
      </c>
      <c r="W293" s="9" t="s">
        <v>16415</v>
      </c>
      <c r="X293" s="9" t="s">
        <v>16414</v>
      </c>
      <c r="Y293" s="9"/>
      <c r="Z293" s="9"/>
      <c r="AA293" s="9" t="s">
        <v>15389</v>
      </c>
      <c r="AB293" s="9"/>
      <c r="AC293" s="9"/>
      <c r="AD293" s="9" t="s">
        <v>15389</v>
      </c>
      <c r="AE293" s="9"/>
      <c r="AF293" s="9"/>
      <c r="AG293" s="9" t="s">
        <v>15389</v>
      </c>
    </row>
    <row r="294" spans="1:33" ht="16.5">
      <c r="A294" s="9">
        <v>289</v>
      </c>
      <c r="B294" s="9" t="s">
        <v>16413</v>
      </c>
      <c r="C294" s="9" t="s">
        <v>14705</v>
      </c>
      <c r="D294" s="9" t="s">
        <v>16207</v>
      </c>
      <c r="E294" s="12">
        <v>43941</v>
      </c>
      <c r="F294" s="12">
        <v>44798</v>
      </c>
      <c r="G294" s="12" t="s">
        <v>14702</v>
      </c>
      <c r="H294" s="9" t="s">
        <v>16412</v>
      </c>
      <c r="I294" s="9" t="s">
        <v>16411</v>
      </c>
      <c r="J294" s="9">
        <v>4111249801</v>
      </c>
      <c r="K294" s="9" t="s">
        <v>16410</v>
      </c>
      <c r="L294" s="9" t="s">
        <v>16409</v>
      </c>
      <c r="M294" s="11" t="s">
        <v>14732</v>
      </c>
      <c r="N294" s="10" t="s">
        <v>16408</v>
      </c>
      <c r="O294" s="9" t="s">
        <v>16407</v>
      </c>
      <c r="P294" s="9" t="s">
        <v>16406</v>
      </c>
      <c r="Q294" s="9" t="s">
        <v>16405</v>
      </c>
      <c r="R294" s="9" t="s">
        <v>16404</v>
      </c>
      <c r="S294" s="9" t="s">
        <v>16403</v>
      </c>
      <c r="T294" s="9" t="s">
        <v>14815</v>
      </c>
      <c r="U294" s="9" t="s">
        <v>16402</v>
      </c>
      <c r="V294" s="9" t="s">
        <v>15460</v>
      </c>
      <c r="W294" s="9" t="s">
        <v>16401</v>
      </c>
      <c r="X294" s="9" t="s">
        <v>16400</v>
      </c>
      <c r="Y294" s="9"/>
      <c r="Z294" s="9"/>
      <c r="AA294" s="9" t="s">
        <v>15389</v>
      </c>
      <c r="AB294" s="9"/>
      <c r="AC294" s="9"/>
      <c r="AD294" s="9" t="s">
        <v>15389</v>
      </c>
      <c r="AE294" s="9"/>
      <c r="AF294" s="9"/>
      <c r="AG294" s="9" t="s">
        <v>15389</v>
      </c>
    </row>
    <row r="295" spans="1:33" ht="16.5">
      <c r="A295" s="9">
        <v>290</v>
      </c>
      <c r="B295" s="9" t="s">
        <v>16399</v>
      </c>
      <c r="C295" s="9" t="s">
        <v>14705</v>
      </c>
      <c r="D295" s="9" t="s">
        <v>16207</v>
      </c>
      <c r="E295" s="12">
        <v>43941</v>
      </c>
      <c r="F295" s="12">
        <v>44924</v>
      </c>
      <c r="G295" s="12" t="s">
        <v>14702</v>
      </c>
      <c r="H295" s="9" t="s">
        <v>16398</v>
      </c>
      <c r="I295" s="9" t="s">
        <v>16397</v>
      </c>
      <c r="J295" s="9">
        <v>3912152101</v>
      </c>
      <c r="K295" s="9" t="s">
        <v>16396</v>
      </c>
      <c r="L295" s="9" t="s">
        <v>16395</v>
      </c>
      <c r="M295" s="11" t="s">
        <v>14732</v>
      </c>
      <c r="N295" s="10" t="s">
        <v>16394</v>
      </c>
      <c r="O295" s="9" t="s">
        <v>16393</v>
      </c>
      <c r="P295" s="9" t="s">
        <v>16392</v>
      </c>
      <c r="Q295" s="9" t="s">
        <v>16391</v>
      </c>
      <c r="R295" s="9" t="s">
        <v>16390</v>
      </c>
      <c r="S295" s="9" t="s">
        <v>16389</v>
      </c>
      <c r="T295" s="9" t="s">
        <v>14725</v>
      </c>
      <c r="U295" s="9" t="s">
        <v>16388</v>
      </c>
      <c r="V295" s="9" t="s">
        <v>75</v>
      </c>
      <c r="W295" s="9" t="s">
        <v>16387</v>
      </c>
      <c r="X295" s="9" t="s">
        <v>16386</v>
      </c>
      <c r="Y295" s="9"/>
      <c r="Z295" s="9"/>
      <c r="AA295" s="9" t="s">
        <v>15389</v>
      </c>
      <c r="AB295" s="9"/>
      <c r="AC295" s="9"/>
      <c r="AD295" s="9" t="s">
        <v>15389</v>
      </c>
      <c r="AE295" s="9"/>
      <c r="AF295" s="9"/>
      <c r="AG295" s="9" t="s">
        <v>15389</v>
      </c>
    </row>
    <row r="296" spans="1:33" ht="16.5">
      <c r="A296" s="9">
        <v>291</v>
      </c>
      <c r="B296" s="9" t="s">
        <v>16385</v>
      </c>
      <c r="C296" s="9" t="s">
        <v>14750</v>
      </c>
      <c r="D296" s="9" t="s">
        <v>16207</v>
      </c>
      <c r="E296" s="12">
        <v>43941</v>
      </c>
      <c r="F296" s="12">
        <v>44791</v>
      </c>
      <c r="G296" s="12" t="s">
        <v>14702</v>
      </c>
      <c r="H296" s="9" t="s">
        <v>16384</v>
      </c>
      <c r="I296" s="9" t="s">
        <v>16383</v>
      </c>
      <c r="J296" s="9">
        <v>4014238401</v>
      </c>
      <c r="K296" s="9" t="s">
        <v>16382</v>
      </c>
      <c r="L296" s="9" t="s">
        <v>16376</v>
      </c>
      <c r="M296" s="11" t="s">
        <v>14888</v>
      </c>
      <c r="N296" s="10" t="s">
        <v>5703</v>
      </c>
      <c r="O296" s="9" t="s">
        <v>16375</v>
      </c>
      <c r="P296" s="9" t="s">
        <v>16374</v>
      </c>
      <c r="Q296" s="9" t="s">
        <v>16381</v>
      </c>
      <c r="R296" s="9" t="s">
        <v>16372</v>
      </c>
      <c r="S296" s="9" t="s">
        <v>16371</v>
      </c>
      <c r="T296" s="9" t="s">
        <v>15291</v>
      </c>
      <c r="U296" s="9" t="s">
        <v>16370</v>
      </c>
      <c r="V296" s="9" t="s">
        <v>75</v>
      </c>
      <c r="W296" s="9" t="s">
        <v>16369</v>
      </c>
      <c r="X296" s="9" t="s">
        <v>16241</v>
      </c>
      <c r="Y296" s="9"/>
      <c r="Z296" s="9"/>
      <c r="AA296" s="9" t="s">
        <v>15389</v>
      </c>
      <c r="AB296" s="9"/>
      <c r="AC296" s="9"/>
      <c r="AD296" s="9" t="s">
        <v>15389</v>
      </c>
      <c r="AE296" s="9"/>
      <c r="AF296" s="9"/>
      <c r="AG296" s="9" t="s">
        <v>15389</v>
      </c>
    </row>
    <row r="297" spans="1:33" ht="16.5">
      <c r="A297" s="9">
        <v>292</v>
      </c>
      <c r="B297" s="9" t="s">
        <v>16380</v>
      </c>
      <c r="C297" s="9" t="s">
        <v>14750</v>
      </c>
      <c r="D297" s="9" t="s">
        <v>16207</v>
      </c>
      <c r="E297" s="12">
        <v>43941</v>
      </c>
      <c r="F297" s="12">
        <v>44791</v>
      </c>
      <c r="G297" s="12" t="s">
        <v>14702</v>
      </c>
      <c r="H297" s="9" t="s">
        <v>16379</v>
      </c>
      <c r="I297" s="9" t="s">
        <v>16378</v>
      </c>
      <c r="J297" s="9">
        <v>4014218902</v>
      </c>
      <c r="K297" s="9" t="s">
        <v>16377</v>
      </c>
      <c r="L297" s="9" t="s">
        <v>16376</v>
      </c>
      <c r="M297" s="11" t="s">
        <v>14699</v>
      </c>
      <c r="N297" s="10" t="s">
        <v>5703</v>
      </c>
      <c r="O297" s="9" t="s">
        <v>16375</v>
      </c>
      <c r="P297" s="9" t="s">
        <v>16374</v>
      </c>
      <c r="Q297" s="9" t="s">
        <v>16373</v>
      </c>
      <c r="R297" s="9" t="s">
        <v>16372</v>
      </c>
      <c r="S297" s="9" t="s">
        <v>16371</v>
      </c>
      <c r="T297" s="9" t="s">
        <v>15291</v>
      </c>
      <c r="U297" s="9" t="s">
        <v>16370</v>
      </c>
      <c r="V297" s="9" t="s">
        <v>75</v>
      </c>
      <c r="W297" s="9" t="s">
        <v>16369</v>
      </c>
      <c r="X297" s="9" t="s">
        <v>16241</v>
      </c>
      <c r="Y297" s="9"/>
      <c r="Z297" s="9"/>
      <c r="AA297" s="9" t="s">
        <v>15389</v>
      </c>
      <c r="AB297" s="9"/>
      <c r="AC297" s="9"/>
      <c r="AD297" s="9" t="s">
        <v>15389</v>
      </c>
      <c r="AE297" s="9"/>
      <c r="AF297" s="9"/>
      <c r="AG297" s="9" t="s">
        <v>15389</v>
      </c>
    </row>
    <row r="298" spans="1:33" ht="16.5">
      <c r="A298" s="9">
        <v>293</v>
      </c>
      <c r="B298" s="9" t="s">
        <v>16368</v>
      </c>
      <c r="C298" s="9" t="s">
        <v>14705</v>
      </c>
      <c r="D298" s="9" t="s">
        <v>16207</v>
      </c>
      <c r="E298" s="12">
        <v>43941</v>
      </c>
      <c r="F298" s="12">
        <v>44916</v>
      </c>
      <c r="G298" s="12" t="s">
        <v>14702</v>
      </c>
      <c r="H298" s="9" t="s">
        <v>15854</v>
      </c>
      <c r="I298" s="9" t="s">
        <v>16367</v>
      </c>
      <c r="J298" s="9">
        <v>4015151301</v>
      </c>
      <c r="K298" s="9" t="s">
        <v>15854</v>
      </c>
      <c r="L298" s="9" t="s">
        <v>16366</v>
      </c>
      <c r="M298" s="11" t="s">
        <v>14732</v>
      </c>
      <c r="N298" s="10" t="s">
        <v>16365</v>
      </c>
      <c r="O298" s="9" t="s">
        <v>16364</v>
      </c>
      <c r="P298" s="9" t="s">
        <v>16363</v>
      </c>
      <c r="Q298" s="9" t="s">
        <v>16362</v>
      </c>
      <c r="R298" s="9" t="s">
        <v>16361</v>
      </c>
      <c r="S298" s="9" t="s">
        <v>16360</v>
      </c>
      <c r="T298" s="9" t="s">
        <v>14725</v>
      </c>
      <c r="U298" s="9" t="s">
        <v>16359</v>
      </c>
      <c r="V298" s="9" t="s">
        <v>15846</v>
      </c>
      <c r="W298" s="9" t="s">
        <v>16358</v>
      </c>
      <c r="X298" s="9" t="s">
        <v>16357</v>
      </c>
      <c r="Y298" s="9"/>
      <c r="Z298" s="9"/>
      <c r="AA298" s="9" t="s">
        <v>15389</v>
      </c>
      <c r="AB298" s="9"/>
      <c r="AC298" s="9"/>
      <c r="AD298" s="9" t="s">
        <v>15389</v>
      </c>
      <c r="AE298" s="9"/>
      <c r="AF298" s="9"/>
      <c r="AG298" s="9" t="s">
        <v>15389</v>
      </c>
    </row>
    <row r="299" spans="1:33" ht="16.5">
      <c r="A299" s="9">
        <v>294</v>
      </c>
      <c r="B299" s="9" t="s">
        <v>16356</v>
      </c>
      <c r="C299" s="9" t="s">
        <v>14705</v>
      </c>
      <c r="D299" s="9" t="s">
        <v>16207</v>
      </c>
      <c r="E299" s="12">
        <v>43941</v>
      </c>
      <c r="F299" s="12">
        <v>44528</v>
      </c>
      <c r="G299" s="12" t="s">
        <v>14702</v>
      </c>
      <c r="H299" s="9" t="s">
        <v>16355</v>
      </c>
      <c r="I299" s="9" t="s">
        <v>16354</v>
      </c>
      <c r="J299" s="9">
        <v>2525032901</v>
      </c>
      <c r="K299" s="9" t="s">
        <v>16353</v>
      </c>
      <c r="L299" s="9" t="s">
        <v>16352</v>
      </c>
      <c r="M299" s="11" t="s">
        <v>14732</v>
      </c>
      <c r="N299" s="10" t="s">
        <v>15710</v>
      </c>
      <c r="O299" s="9" t="s">
        <v>15709</v>
      </c>
      <c r="P299" s="9" t="s">
        <v>15708</v>
      </c>
      <c r="Q299" s="9" t="s">
        <v>15707</v>
      </c>
      <c r="R299" s="9" t="s">
        <v>15706</v>
      </c>
      <c r="S299" s="9" t="s">
        <v>15705</v>
      </c>
      <c r="T299" s="9" t="s">
        <v>15060</v>
      </c>
      <c r="U299" s="9" t="s">
        <v>15704</v>
      </c>
      <c r="V299" s="9" t="s">
        <v>15703</v>
      </c>
      <c r="W299" s="9" t="s">
        <v>16351</v>
      </c>
      <c r="X299" s="9" t="s">
        <v>16350</v>
      </c>
      <c r="Y299" s="9"/>
      <c r="Z299" s="9"/>
      <c r="AA299" s="9" t="s">
        <v>15389</v>
      </c>
      <c r="AB299" s="9"/>
      <c r="AC299" s="9"/>
      <c r="AD299" s="9" t="s">
        <v>15389</v>
      </c>
      <c r="AE299" s="9"/>
      <c r="AF299" s="9"/>
      <c r="AG299" s="9" t="s">
        <v>15389</v>
      </c>
    </row>
    <row r="300" spans="1:33" ht="16.5">
      <c r="A300" s="9">
        <v>295</v>
      </c>
      <c r="B300" s="9" t="s">
        <v>16349</v>
      </c>
      <c r="C300" s="9" t="s">
        <v>14705</v>
      </c>
      <c r="D300" s="9" t="s">
        <v>16207</v>
      </c>
      <c r="E300" s="12">
        <v>43941</v>
      </c>
      <c r="F300" s="12">
        <v>44802</v>
      </c>
      <c r="G300" s="12" t="s">
        <v>14702</v>
      </c>
      <c r="H300" s="9" t="s">
        <v>16348</v>
      </c>
      <c r="I300" s="9" t="s">
        <v>16347</v>
      </c>
      <c r="J300" s="9">
        <v>2410159901</v>
      </c>
      <c r="K300" s="9" t="s">
        <v>16346</v>
      </c>
      <c r="L300" s="9" t="s">
        <v>16345</v>
      </c>
      <c r="M300" s="11" t="s">
        <v>14732</v>
      </c>
      <c r="N300" s="10" t="s">
        <v>16344</v>
      </c>
      <c r="O300" s="9" t="s">
        <v>16343</v>
      </c>
      <c r="P300" s="9" t="s">
        <v>16342</v>
      </c>
      <c r="Q300" s="9" t="s">
        <v>16341</v>
      </c>
      <c r="R300" s="9" t="s">
        <v>16340</v>
      </c>
      <c r="S300" s="9" t="s">
        <v>16339</v>
      </c>
      <c r="T300" s="9" t="s">
        <v>14773</v>
      </c>
      <c r="U300" s="9" t="s">
        <v>16338</v>
      </c>
      <c r="V300" s="9" t="s">
        <v>77</v>
      </c>
      <c r="W300" s="9" t="s">
        <v>16337</v>
      </c>
      <c r="X300" s="9" t="s">
        <v>16336</v>
      </c>
      <c r="Y300" s="9" t="s">
        <v>75</v>
      </c>
      <c r="Z300" s="9" t="s">
        <v>16335</v>
      </c>
      <c r="AA300" s="9" t="s">
        <v>15687</v>
      </c>
      <c r="AB300" s="9"/>
      <c r="AC300" s="9"/>
      <c r="AD300" s="9" t="s">
        <v>15389</v>
      </c>
      <c r="AE300" s="9"/>
      <c r="AF300" s="9"/>
      <c r="AG300" s="9" t="s">
        <v>15389</v>
      </c>
    </row>
    <row r="301" spans="1:33" ht="16.5">
      <c r="A301" s="9">
        <v>296</v>
      </c>
      <c r="B301" s="9" t="s">
        <v>16334</v>
      </c>
      <c r="C301" s="9" t="s">
        <v>15155</v>
      </c>
      <c r="D301" s="9" t="s">
        <v>16207</v>
      </c>
      <c r="E301" s="12">
        <v>43941</v>
      </c>
      <c r="F301" s="12">
        <v>44851</v>
      </c>
      <c r="G301" s="12" t="s">
        <v>14702</v>
      </c>
      <c r="H301" s="9" t="s">
        <v>16333</v>
      </c>
      <c r="I301" s="9" t="s">
        <v>16332</v>
      </c>
      <c r="J301" s="9">
        <v>5214160401</v>
      </c>
      <c r="K301" s="9" t="s">
        <v>16331</v>
      </c>
      <c r="L301" s="9" t="s">
        <v>16330</v>
      </c>
      <c r="M301" s="11" t="s">
        <v>15065</v>
      </c>
      <c r="N301" s="10" t="s">
        <v>6348</v>
      </c>
      <c r="O301" s="9" t="s">
        <v>16329</v>
      </c>
      <c r="P301" s="9" t="s">
        <v>16328</v>
      </c>
      <c r="Q301" s="9" t="s">
        <v>16327</v>
      </c>
      <c r="R301" s="9" t="s">
        <v>16326</v>
      </c>
      <c r="S301" s="9" t="s">
        <v>16325</v>
      </c>
      <c r="T301" s="9" t="s">
        <v>15488</v>
      </c>
      <c r="U301" s="9" t="s">
        <v>16324</v>
      </c>
      <c r="V301" s="9" t="s">
        <v>15605</v>
      </c>
      <c r="W301" s="9" t="s">
        <v>16323</v>
      </c>
      <c r="X301" s="9" t="s">
        <v>16322</v>
      </c>
      <c r="Y301" s="9"/>
      <c r="Z301" s="9"/>
      <c r="AA301" s="9" t="s">
        <v>15389</v>
      </c>
      <c r="AB301" s="9"/>
      <c r="AC301" s="9"/>
      <c r="AD301" s="9" t="s">
        <v>15389</v>
      </c>
      <c r="AE301" s="9"/>
      <c r="AF301" s="9"/>
      <c r="AG301" s="9" t="s">
        <v>15389</v>
      </c>
    </row>
    <row r="302" spans="1:33" ht="16.5">
      <c r="A302" s="9">
        <v>297</v>
      </c>
      <c r="B302" s="9" t="s">
        <v>16321</v>
      </c>
      <c r="C302" s="9" t="s">
        <v>14705</v>
      </c>
      <c r="D302" s="9" t="s">
        <v>16207</v>
      </c>
      <c r="E302" s="12">
        <v>43941</v>
      </c>
      <c r="F302" s="12">
        <v>44892</v>
      </c>
      <c r="G302" s="12" t="s">
        <v>14702</v>
      </c>
      <c r="H302" s="9" t="s">
        <v>16320</v>
      </c>
      <c r="I302" s="9" t="s">
        <v>16319</v>
      </c>
      <c r="J302" s="9">
        <v>4111250101</v>
      </c>
      <c r="K302" s="9" t="s">
        <v>16318</v>
      </c>
      <c r="L302" s="9" t="s">
        <v>16317</v>
      </c>
      <c r="M302" s="11" t="s">
        <v>14794</v>
      </c>
      <c r="N302" s="10" t="s">
        <v>16316</v>
      </c>
      <c r="O302" s="9" t="s">
        <v>16315</v>
      </c>
      <c r="P302" s="9" t="s">
        <v>16314</v>
      </c>
      <c r="Q302" s="9" t="s">
        <v>16313</v>
      </c>
      <c r="R302" s="9" t="s">
        <v>16312</v>
      </c>
      <c r="S302" s="9" t="s">
        <v>16311</v>
      </c>
      <c r="T302" s="9" t="s">
        <v>14725</v>
      </c>
      <c r="U302" s="9" t="s">
        <v>16310</v>
      </c>
      <c r="V302" s="9" t="s">
        <v>14710</v>
      </c>
      <c r="W302" s="9" t="s">
        <v>16309</v>
      </c>
      <c r="X302" s="9" t="s">
        <v>16308</v>
      </c>
      <c r="Y302" s="9"/>
      <c r="Z302" s="9"/>
      <c r="AA302" s="9" t="s">
        <v>15389</v>
      </c>
      <c r="AB302" s="9"/>
      <c r="AC302" s="9"/>
      <c r="AD302" s="9" t="s">
        <v>15389</v>
      </c>
      <c r="AE302" s="9"/>
      <c r="AF302" s="9"/>
      <c r="AG302" s="9" t="s">
        <v>15389</v>
      </c>
    </row>
    <row r="303" spans="1:33" ht="16.5">
      <c r="A303" s="9">
        <v>298</v>
      </c>
      <c r="B303" s="9" t="s">
        <v>16307</v>
      </c>
      <c r="C303" s="9" t="s">
        <v>14705</v>
      </c>
      <c r="D303" s="9" t="s">
        <v>16207</v>
      </c>
      <c r="E303" s="12">
        <v>43941</v>
      </c>
      <c r="F303" s="12">
        <v>44863</v>
      </c>
      <c r="G303" s="12" t="s">
        <v>14702</v>
      </c>
      <c r="H303" s="9" t="s">
        <v>16306</v>
      </c>
      <c r="I303" s="9" t="s">
        <v>16305</v>
      </c>
      <c r="J303" s="9">
        <v>4321190301</v>
      </c>
      <c r="K303" s="9" t="s">
        <v>16304</v>
      </c>
      <c r="L303" s="9" t="s">
        <v>16303</v>
      </c>
      <c r="M303" s="11" t="s">
        <v>14794</v>
      </c>
      <c r="N303" s="10" t="s">
        <v>16302</v>
      </c>
      <c r="O303" s="9" t="s">
        <v>16301</v>
      </c>
      <c r="P303" s="9" t="s">
        <v>16300</v>
      </c>
      <c r="Q303" s="9" t="s">
        <v>16299</v>
      </c>
      <c r="R303" s="9" t="s">
        <v>16298</v>
      </c>
      <c r="S303" s="9" t="s">
        <v>16297</v>
      </c>
      <c r="T303" s="9" t="s">
        <v>14756</v>
      </c>
      <c r="U303" s="9" t="s">
        <v>16296</v>
      </c>
      <c r="V303" s="9" t="s">
        <v>15044</v>
      </c>
      <c r="W303" s="9" t="s">
        <v>16295</v>
      </c>
      <c r="X303" s="9" t="s">
        <v>16294</v>
      </c>
      <c r="Y303" s="9"/>
      <c r="Z303" s="9"/>
      <c r="AA303" s="9" t="s">
        <v>15389</v>
      </c>
      <c r="AB303" s="9"/>
      <c r="AC303" s="9"/>
      <c r="AD303" s="9" t="s">
        <v>15389</v>
      </c>
      <c r="AE303" s="9"/>
      <c r="AF303" s="9"/>
      <c r="AG303" s="9" t="s">
        <v>15389</v>
      </c>
    </row>
    <row r="304" spans="1:33" ht="16.5">
      <c r="A304" s="9">
        <v>299</v>
      </c>
      <c r="B304" s="9" t="s">
        <v>16293</v>
      </c>
      <c r="C304" s="9" t="s">
        <v>14750</v>
      </c>
      <c r="D304" s="9" t="s">
        <v>16207</v>
      </c>
      <c r="E304" s="12">
        <v>43941</v>
      </c>
      <c r="F304" s="12">
        <v>44518</v>
      </c>
      <c r="G304" s="12" t="s">
        <v>14702</v>
      </c>
      <c r="H304" s="9" t="s">
        <v>16292</v>
      </c>
      <c r="I304" s="9" t="s">
        <v>16291</v>
      </c>
      <c r="J304" s="9">
        <v>2711270501</v>
      </c>
      <c r="K304" s="9" t="s">
        <v>16290</v>
      </c>
      <c r="L304" s="9" t="s">
        <v>16289</v>
      </c>
      <c r="M304" s="11" t="s">
        <v>14746</v>
      </c>
      <c r="N304" s="10" t="s">
        <v>16288</v>
      </c>
      <c r="O304" s="9" t="s">
        <v>16287</v>
      </c>
      <c r="P304" s="9" t="s">
        <v>16286</v>
      </c>
      <c r="Q304" s="9" t="s">
        <v>16285</v>
      </c>
      <c r="R304" s="9" t="s">
        <v>16284</v>
      </c>
      <c r="S304" s="9" t="s">
        <v>16283</v>
      </c>
      <c r="T304" s="9" t="s">
        <v>14725</v>
      </c>
      <c r="U304" s="9" t="s">
        <v>16282</v>
      </c>
      <c r="V304" s="9" t="s">
        <v>77</v>
      </c>
      <c r="W304" s="9" t="s">
        <v>16281</v>
      </c>
      <c r="X304" s="9" t="s">
        <v>15523</v>
      </c>
      <c r="Y304" s="9"/>
      <c r="Z304" s="9"/>
      <c r="AA304" s="9" t="s">
        <v>15389</v>
      </c>
      <c r="AB304" s="9"/>
      <c r="AC304" s="9"/>
      <c r="AD304" s="9" t="s">
        <v>15389</v>
      </c>
      <c r="AE304" s="9"/>
      <c r="AF304" s="9"/>
      <c r="AG304" s="9" t="s">
        <v>15389</v>
      </c>
    </row>
    <row r="305" spans="1:33" ht="16.5">
      <c r="A305" s="9">
        <v>300</v>
      </c>
      <c r="B305" s="9" t="s">
        <v>16280</v>
      </c>
      <c r="C305" s="9" t="s">
        <v>15155</v>
      </c>
      <c r="D305" s="9" t="s">
        <v>16207</v>
      </c>
      <c r="E305" s="12">
        <v>43941</v>
      </c>
      <c r="F305" s="12">
        <v>44969</v>
      </c>
      <c r="G305" s="12" t="s">
        <v>14702</v>
      </c>
      <c r="H305" s="9" t="s">
        <v>16279</v>
      </c>
      <c r="I305" s="9" t="s">
        <v>16278</v>
      </c>
      <c r="J305" s="9">
        <v>8111159801</v>
      </c>
      <c r="K305" s="9" t="s">
        <v>15656</v>
      </c>
      <c r="L305" s="9" t="s">
        <v>16277</v>
      </c>
      <c r="M305" s="11" t="s">
        <v>14794</v>
      </c>
      <c r="N305" s="10" t="s">
        <v>16276</v>
      </c>
      <c r="O305" s="9" t="s">
        <v>16275</v>
      </c>
      <c r="P305" s="9" t="s">
        <v>16274</v>
      </c>
      <c r="Q305" s="9" t="s">
        <v>16274</v>
      </c>
      <c r="R305" s="9" t="s">
        <v>16273</v>
      </c>
      <c r="S305" s="9" t="s">
        <v>16272</v>
      </c>
      <c r="T305" s="9" t="s">
        <v>14692</v>
      </c>
      <c r="U305" s="9" t="s">
        <v>16271</v>
      </c>
      <c r="V305" s="9" t="s">
        <v>15377</v>
      </c>
      <c r="W305" s="9" t="s">
        <v>16270</v>
      </c>
      <c r="X305" s="9" t="s">
        <v>16269</v>
      </c>
      <c r="Y305" s="9"/>
      <c r="Z305" s="9"/>
      <c r="AA305" s="9" t="s">
        <v>15389</v>
      </c>
      <c r="AB305" s="9"/>
      <c r="AC305" s="9"/>
      <c r="AD305" s="9" t="s">
        <v>15389</v>
      </c>
      <c r="AE305" s="9"/>
      <c r="AF305" s="9"/>
      <c r="AG305" s="9" t="s">
        <v>15389</v>
      </c>
    </row>
    <row r="306" spans="1:33" ht="16.5">
      <c r="A306" s="9">
        <v>301</v>
      </c>
      <c r="B306" s="9" t="s">
        <v>16268</v>
      </c>
      <c r="C306" s="9" t="s">
        <v>14705</v>
      </c>
      <c r="D306" s="9" t="s">
        <v>16207</v>
      </c>
      <c r="E306" s="12">
        <v>43941</v>
      </c>
      <c r="F306" s="12">
        <v>44948</v>
      </c>
      <c r="G306" s="12" t="s">
        <v>14702</v>
      </c>
      <c r="H306" s="9" t="s">
        <v>16267</v>
      </c>
      <c r="I306" s="9" t="s">
        <v>16266</v>
      </c>
      <c r="J306" s="9">
        <v>4710151701</v>
      </c>
      <c r="K306" s="9" t="s">
        <v>16265</v>
      </c>
      <c r="L306" s="9" t="s">
        <v>16264</v>
      </c>
      <c r="M306" s="11" t="s">
        <v>14794</v>
      </c>
      <c r="N306" s="10" t="s">
        <v>16263</v>
      </c>
      <c r="O306" s="9" t="s">
        <v>16262</v>
      </c>
      <c r="P306" s="9" t="s">
        <v>16261</v>
      </c>
      <c r="Q306" s="9" t="s">
        <v>16260</v>
      </c>
      <c r="R306" s="9" t="s">
        <v>16259</v>
      </c>
      <c r="S306" s="9" t="s">
        <v>16258</v>
      </c>
      <c r="T306" s="9" t="s">
        <v>15678</v>
      </c>
      <c r="U306" s="9" t="s">
        <v>16257</v>
      </c>
      <c r="V306" s="9" t="s">
        <v>77</v>
      </c>
      <c r="W306" s="9" t="s">
        <v>16256</v>
      </c>
      <c r="X306" s="9" t="s">
        <v>16255</v>
      </c>
      <c r="Y306" s="9"/>
      <c r="Z306" s="9"/>
      <c r="AA306" s="9" t="s">
        <v>15389</v>
      </c>
      <c r="AB306" s="9"/>
      <c r="AC306" s="9"/>
      <c r="AD306" s="9" t="s">
        <v>15389</v>
      </c>
      <c r="AE306" s="9"/>
      <c r="AF306" s="9"/>
      <c r="AG306" s="9" t="s">
        <v>15389</v>
      </c>
    </row>
    <row r="307" spans="1:33" ht="16.5">
      <c r="A307" s="9">
        <v>302</v>
      </c>
      <c r="B307" s="9" t="s">
        <v>16254</v>
      </c>
      <c r="C307" s="9" t="s">
        <v>14705</v>
      </c>
      <c r="D307" s="9" t="s">
        <v>16207</v>
      </c>
      <c r="E307" s="12">
        <v>43941</v>
      </c>
      <c r="F307" s="12">
        <v>44791</v>
      </c>
      <c r="G307" s="12" t="s">
        <v>14702</v>
      </c>
      <c r="H307" s="9" t="s">
        <v>16253</v>
      </c>
      <c r="I307" s="9" t="s">
        <v>16252</v>
      </c>
      <c r="J307" s="9">
        <v>4014212301</v>
      </c>
      <c r="K307" s="9" t="s">
        <v>16251</v>
      </c>
      <c r="L307" s="9" t="s">
        <v>16250</v>
      </c>
      <c r="M307" s="11" t="s">
        <v>14794</v>
      </c>
      <c r="N307" s="10" t="s">
        <v>16249</v>
      </c>
      <c r="O307" s="9" t="s">
        <v>16248</v>
      </c>
      <c r="P307" s="9" t="s">
        <v>16247</v>
      </c>
      <c r="Q307" s="9" t="s">
        <v>16246</v>
      </c>
      <c r="R307" s="9" t="s">
        <v>16245</v>
      </c>
      <c r="S307" s="9" t="s">
        <v>16244</v>
      </c>
      <c r="T307" s="9" t="s">
        <v>15101</v>
      </c>
      <c r="U307" s="9" t="s">
        <v>16243</v>
      </c>
      <c r="V307" s="9" t="s">
        <v>75</v>
      </c>
      <c r="W307" s="9" t="s">
        <v>16242</v>
      </c>
      <c r="X307" s="9" t="s">
        <v>16241</v>
      </c>
      <c r="Y307" s="9"/>
      <c r="Z307" s="9"/>
      <c r="AA307" s="9" t="s">
        <v>15389</v>
      </c>
      <c r="AB307" s="9"/>
      <c r="AC307" s="9"/>
      <c r="AD307" s="9" t="s">
        <v>15389</v>
      </c>
      <c r="AE307" s="9"/>
      <c r="AF307" s="9"/>
      <c r="AG307" s="9" t="s">
        <v>15389</v>
      </c>
    </row>
    <row r="308" spans="1:33" ht="16.5">
      <c r="A308" s="9">
        <v>303</v>
      </c>
      <c r="B308" s="9" t="s">
        <v>16240</v>
      </c>
      <c r="C308" s="9" t="s">
        <v>14705</v>
      </c>
      <c r="D308" s="9" t="s">
        <v>16207</v>
      </c>
      <c r="E308" s="12">
        <v>43941</v>
      </c>
      <c r="F308" s="12">
        <v>44371</v>
      </c>
      <c r="G308" s="12" t="s">
        <v>14702</v>
      </c>
      <c r="H308" s="9" t="s">
        <v>16239</v>
      </c>
      <c r="I308" s="9" t="s">
        <v>16238</v>
      </c>
      <c r="J308" s="9">
        <v>3012178702</v>
      </c>
      <c r="K308" s="9" t="s">
        <v>16237</v>
      </c>
      <c r="L308" s="9" t="s">
        <v>16236</v>
      </c>
      <c r="M308" s="11" t="s">
        <v>14717</v>
      </c>
      <c r="N308" s="10" t="s">
        <v>16235</v>
      </c>
      <c r="O308" s="9" t="s">
        <v>16234</v>
      </c>
      <c r="P308" s="9" t="s">
        <v>16233</v>
      </c>
      <c r="Q308" s="9" t="s">
        <v>16232</v>
      </c>
      <c r="R308" s="9" t="s">
        <v>16231</v>
      </c>
      <c r="S308" s="9" t="s">
        <v>16230</v>
      </c>
      <c r="T308" s="9" t="s">
        <v>14725</v>
      </c>
      <c r="U308" s="9" t="s">
        <v>16229</v>
      </c>
      <c r="V308" s="9" t="s">
        <v>77</v>
      </c>
      <c r="W308" s="9" t="s">
        <v>16228</v>
      </c>
      <c r="X308" s="9" t="s">
        <v>15485</v>
      </c>
      <c r="Y308" s="9"/>
      <c r="Z308" s="9"/>
      <c r="AA308" s="9" t="s">
        <v>15389</v>
      </c>
      <c r="AB308" s="9"/>
      <c r="AC308" s="9"/>
      <c r="AD308" s="9" t="s">
        <v>15389</v>
      </c>
      <c r="AE308" s="9"/>
      <c r="AF308" s="9"/>
      <c r="AG308" s="9" t="s">
        <v>15389</v>
      </c>
    </row>
    <row r="309" spans="1:33" ht="16.5">
      <c r="A309" s="9">
        <v>304</v>
      </c>
      <c r="B309" s="9" t="s">
        <v>16227</v>
      </c>
      <c r="C309" s="9" t="s">
        <v>15155</v>
      </c>
      <c r="D309" s="9" t="s">
        <v>16207</v>
      </c>
      <c r="E309" s="12">
        <v>43941</v>
      </c>
      <c r="F309" s="12">
        <v>44879</v>
      </c>
      <c r="G309" s="12" t="s">
        <v>14702</v>
      </c>
      <c r="H309" s="9" t="s">
        <v>16226</v>
      </c>
      <c r="I309" s="9" t="s">
        <v>16225</v>
      </c>
      <c r="J309" s="9">
        <v>3020179001</v>
      </c>
      <c r="K309" s="9" t="s">
        <v>16224</v>
      </c>
      <c r="L309" s="9" t="s">
        <v>16223</v>
      </c>
      <c r="M309" s="11" t="s">
        <v>15065</v>
      </c>
      <c r="N309" s="10" t="s">
        <v>16222</v>
      </c>
      <c r="O309" s="9" t="s">
        <v>16221</v>
      </c>
      <c r="P309" s="9" t="s">
        <v>16220</v>
      </c>
      <c r="Q309" s="9" t="s">
        <v>16219</v>
      </c>
      <c r="R309" s="9" t="s">
        <v>16218</v>
      </c>
      <c r="S309" s="9" t="s">
        <v>16217</v>
      </c>
      <c r="T309" s="9" t="s">
        <v>14815</v>
      </c>
      <c r="U309" s="9" t="s">
        <v>16216</v>
      </c>
      <c r="V309" s="9" t="s">
        <v>16215</v>
      </c>
      <c r="W309" s="9" t="s">
        <v>16214</v>
      </c>
      <c r="X309" s="9" t="s">
        <v>16213</v>
      </c>
      <c r="Y309" s="9" t="s">
        <v>15377</v>
      </c>
      <c r="Z309" s="9" t="s">
        <v>16212</v>
      </c>
      <c r="AA309" s="9" t="s">
        <v>16211</v>
      </c>
      <c r="AB309" s="9" t="s">
        <v>15605</v>
      </c>
      <c r="AC309" s="9" t="s">
        <v>16210</v>
      </c>
      <c r="AD309" s="9" t="s">
        <v>16209</v>
      </c>
      <c r="AE309" s="9"/>
      <c r="AF309" s="9"/>
      <c r="AG309" s="9" t="s">
        <v>15389</v>
      </c>
    </row>
    <row r="310" spans="1:33" ht="16.5">
      <c r="A310" s="9">
        <v>305</v>
      </c>
      <c r="B310" s="9" t="s">
        <v>16208</v>
      </c>
      <c r="C310" s="9" t="s">
        <v>14705</v>
      </c>
      <c r="D310" s="9" t="s">
        <v>16207</v>
      </c>
      <c r="E310" s="12">
        <v>43941</v>
      </c>
      <c r="F310" s="12">
        <v>44871</v>
      </c>
      <c r="G310" s="12" t="s">
        <v>14702</v>
      </c>
      <c r="H310" s="9" t="s">
        <v>16206</v>
      </c>
      <c r="I310" s="9" t="s">
        <v>16205</v>
      </c>
      <c r="J310" s="9">
        <v>3911152601</v>
      </c>
      <c r="K310" s="9" t="s">
        <v>16204</v>
      </c>
      <c r="L310" s="9" t="s">
        <v>16203</v>
      </c>
      <c r="M310" s="11" t="s">
        <v>14717</v>
      </c>
      <c r="N310" s="10" t="s">
        <v>16202</v>
      </c>
      <c r="O310" s="9" t="s">
        <v>16201</v>
      </c>
      <c r="P310" s="9" t="s">
        <v>16200</v>
      </c>
      <c r="Q310" s="9" t="s">
        <v>16199</v>
      </c>
      <c r="R310" s="9" t="s">
        <v>16198</v>
      </c>
      <c r="S310" s="9" t="s">
        <v>16197</v>
      </c>
      <c r="T310" s="9" t="s">
        <v>14725</v>
      </c>
      <c r="U310" s="9" t="s">
        <v>16196</v>
      </c>
      <c r="V310" s="9" t="s">
        <v>75</v>
      </c>
      <c r="W310" s="9" t="s">
        <v>16195</v>
      </c>
      <c r="X310" s="9" t="s">
        <v>16037</v>
      </c>
      <c r="Y310" s="9"/>
      <c r="Z310" s="9"/>
      <c r="AA310" s="9" t="s">
        <v>15389</v>
      </c>
      <c r="AB310" s="9"/>
      <c r="AC310" s="9"/>
      <c r="AD310" s="9" t="s">
        <v>15389</v>
      </c>
      <c r="AE310" s="9"/>
      <c r="AF310" s="9"/>
      <c r="AG310" s="9" t="s">
        <v>15389</v>
      </c>
    </row>
    <row r="311" spans="1:33" ht="16.5">
      <c r="A311" s="9">
        <v>306</v>
      </c>
      <c r="B311" s="9" t="s">
        <v>16194</v>
      </c>
      <c r="C311" s="9" t="s">
        <v>15155</v>
      </c>
      <c r="D311" s="9" t="s">
        <v>15967</v>
      </c>
      <c r="E311" s="12">
        <v>43819</v>
      </c>
      <c r="F311" s="12">
        <v>44849</v>
      </c>
      <c r="G311" s="12" t="s">
        <v>14702</v>
      </c>
      <c r="H311" s="9" t="s">
        <v>16193</v>
      </c>
      <c r="I311" s="9" t="s">
        <v>16192</v>
      </c>
      <c r="J311" s="9">
        <v>4713160401</v>
      </c>
      <c r="K311" s="9" t="s">
        <v>16191</v>
      </c>
      <c r="L311" s="9"/>
      <c r="M311" s="11" t="s">
        <v>14746</v>
      </c>
      <c r="N311" s="10" t="s">
        <v>16190</v>
      </c>
      <c r="O311" s="9" t="s">
        <v>16189</v>
      </c>
      <c r="P311" s="9" t="s">
        <v>16188</v>
      </c>
      <c r="Q311" s="9" t="s">
        <v>16187</v>
      </c>
      <c r="R311" s="9" t="s">
        <v>16186</v>
      </c>
      <c r="S311" s="9" t="s">
        <v>16185</v>
      </c>
      <c r="T311" s="9" t="s">
        <v>14725</v>
      </c>
      <c r="U311" s="9" t="s">
        <v>16184</v>
      </c>
      <c r="V311" s="9" t="s">
        <v>15605</v>
      </c>
      <c r="W311" s="9" t="s">
        <v>16183</v>
      </c>
      <c r="X311" s="9" t="s">
        <v>16182</v>
      </c>
      <c r="Y311" s="9"/>
      <c r="Z311" s="9"/>
      <c r="AA311" s="9"/>
      <c r="AB311" s="9"/>
      <c r="AC311" s="9"/>
      <c r="AD311" s="9"/>
      <c r="AE311" s="9"/>
      <c r="AF311" s="9"/>
      <c r="AG311" s="9"/>
    </row>
    <row r="312" spans="1:33" ht="16.5">
      <c r="A312" s="9">
        <v>307</v>
      </c>
      <c r="B312" s="9" t="s">
        <v>16181</v>
      </c>
      <c r="C312" s="9" t="s">
        <v>15155</v>
      </c>
      <c r="D312" s="9" t="s">
        <v>15967</v>
      </c>
      <c r="E312" s="12">
        <v>43819</v>
      </c>
      <c r="F312" s="12">
        <v>44611</v>
      </c>
      <c r="G312" s="12" t="s">
        <v>14702</v>
      </c>
      <c r="H312" s="9" t="s">
        <v>16180</v>
      </c>
      <c r="I312" s="9" t="s">
        <v>16179</v>
      </c>
      <c r="J312" s="9">
        <v>4015152501</v>
      </c>
      <c r="K312" s="9" t="s">
        <v>16178</v>
      </c>
      <c r="L312" s="9"/>
      <c r="M312" s="11" t="s">
        <v>14746</v>
      </c>
      <c r="N312" s="10" t="s">
        <v>16177</v>
      </c>
      <c r="O312" s="9" t="s">
        <v>16176</v>
      </c>
      <c r="P312" s="9" t="s">
        <v>16175</v>
      </c>
      <c r="Q312" s="9" t="s">
        <v>16174</v>
      </c>
      <c r="R312" s="9" t="s">
        <v>16173</v>
      </c>
      <c r="S312" s="9" t="s">
        <v>16172</v>
      </c>
      <c r="T312" s="9" t="s">
        <v>14725</v>
      </c>
      <c r="U312" s="9" t="s">
        <v>16171</v>
      </c>
      <c r="V312" s="9" t="s">
        <v>77</v>
      </c>
      <c r="W312" s="9" t="s">
        <v>16170</v>
      </c>
      <c r="X312" s="9" t="s">
        <v>16169</v>
      </c>
      <c r="Y312" s="9"/>
      <c r="Z312" s="9"/>
      <c r="AA312" s="9"/>
      <c r="AB312" s="9"/>
      <c r="AC312" s="9"/>
      <c r="AD312" s="9"/>
      <c r="AE312" s="9"/>
      <c r="AF312" s="9"/>
      <c r="AG312" s="9"/>
    </row>
    <row r="313" spans="1:33" ht="16.5">
      <c r="A313" s="9">
        <v>308</v>
      </c>
      <c r="B313" s="9" t="s">
        <v>16168</v>
      </c>
      <c r="C313" s="9" t="s">
        <v>15155</v>
      </c>
      <c r="D313" s="9" t="s">
        <v>15967</v>
      </c>
      <c r="E313" s="12">
        <v>43819</v>
      </c>
      <c r="F313" s="12">
        <v>44781</v>
      </c>
      <c r="G313" s="12" t="s">
        <v>14702</v>
      </c>
      <c r="H313" s="9" t="s">
        <v>16167</v>
      </c>
      <c r="I313" s="9" t="s">
        <v>16166</v>
      </c>
      <c r="J313" s="9">
        <v>4111550302</v>
      </c>
      <c r="K313" s="9" t="s">
        <v>16165</v>
      </c>
      <c r="L313" s="9"/>
      <c r="M313" s="11" t="s">
        <v>14732</v>
      </c>
      <c r="N313" s="10" t="s">
        <v>16164</v>
      </c>
      <c r="O313" s="9" t="s">
        <v>16163</v>
      </c>
      <c r="P313" s="9" t="s">
        <v>16162</v>
      </c>
      <c r="Q313" s="9" t="s">
        <v>16161</v>
      </c>
      <c r="R313" s="9" t="s">
        <v>16160</v>
      </c>
      <c r="S313" s="9" t="s">
        <v>16159</v>
      </c>
      <c r="T313" s="9" t="s">
        <v>15060</v>
      </c>
      <c r="U313" s="9" t="s">
        <v>16158</v>
      </c>
      <c r="V313" s="9" t="s">
        <v>16083</v>
      </c>
      <c r="W313" s="9" t="s">
        <v>16157</v>
      </c>
      <c r="X313" s="9" t="s">
        <v>16156</v>
      </c>
      <c r="Y313" s="9"/>
      <c r="Z313" s="9"/>
      <c r="AA313" s="9"/>
      <c r="AB313" s="9"/>
      <c r="AC313" s="9"/>
      <c r="AD313" s="9"/>
      <c r="AE313" s="9"/>
      <c r="AF313" s="9"/>
      <c r="AG313" s="9"/>
    </row>
    <row r="314" spans="1:33" ht="16.5">
      <c r="A314" s="9">
        <v>309</v>
      </c>
      <c r="B314" s="9" t="s">
        <v>16155</v>
      </c>
      <c r="C314" s="9" t="s">
        <v>14750</v>
      </c>
      <c r="D314" s="9" t="s">
        <v>15880</v>
      </c>
      <c r="E314" s="12">
        <v>43819</v>
      </c>
      <c r="F314" s="12">
        <v>44742</v>
      </c>
      <c r="G314" s="12" t="s">
        <v>14702</v>
      </c>
      <c r="H314" s="9" t="s">
        <v>16154</v>
      </c>
      <c r="I314" s="9" t="s">
        <v>16153</v>
      </c>
      <c r="J314" s="9">
        <v>8111229901</v>
      </c>
      <c r="K314" s="9" t="s">
        <v>16152</v>
      </c>
      <c r="L314" s="9"/>
      <c r="M314" s="11" t="s">
        <v>14746</v>
      </c>
      <c r="N314" s="10" t="s">
        <v>6778</v>
      </c>
      <c r="O314" s="9" t="s">
        <v>16151</v>
      </c>
      <c r="P314" s="9" t="s">
        <v>16150</v>
      </c>
      <c r="Q314" s="9" t="s">
        <v>16149</v>
      </c>
      <c r="R314" s="9" t="s">
        <v>16148</v>
      </c>
      <c r="S314" s="9" t="s">
        <v>16147</v>
      </c>
      <c r="T314" s="9" t="s">
        <v>14815</v>
      </c>
      <c r="U314" s="9" t="s">
        <v>16146</v>
      </c>
      <c r="V314" s="9" t="s">
        <v>15243</v>
      </c>
      <c r="W314" s="9" t="s">
        <v>16145</v>
      </c>
      <c r="X314" s="9" t="s">
        <v>16144</v>
      </c>
      <c r="Y314" s="9"/>
      <c r="Z314" s="9"/>
      <c r="AA314" s="9" t="s">
        <v>15389</v>
      </c>
      <c r="AB314" s="9"/>
      <c r="AC314" s="9"/>
      <c r="AD314" s="9" t="s">
        <v>15389</v>
      </c>
      <c r="AE314" s="9"/>
      <c r="AF314" s="9"/>
      <c r="AG314" s="9" t="s">
        <v>15389</v>
      </c>
    </row>
    <row r="315" spans="1:33" ht="16.5">
      <c r="A315" s="9">
        <v>310</v>
      </c>
      <c r="B315" s="9" t="s">
        <v>16143</v>
      </c>
      <c r="C315" s="9" t="s">
        <v>14705</v>
      </c>
      <c r="D315" s="9" t="s">
        <v>15880</v>
      </c>
      <c r="E315" s="12">
        <v>43819</v>
      </c>
      <c r="F315" s="12">
        <v>44374</v>
      </c>
      <c r="G315" s="12" t="s">
        <v>14702</v>
      </c>
      <c r="H315" s="9" t="s">
        <v>16142</v>
      </c>
      <c r="I315" s="9" t="s">
        <v>16141</v>
      </c>
      <c r="J315" s="9">
        <v>3911161102</v>
      </c>
      <c r="K315" s="9" t="s">
        <v>14920</v>
      </c>
      <c r="L315" s="9"/>
      <c r="M315" s="11" t="s">
        <v>14717</v>
      </c>
      <c r="N315" s="10" t="s">
        <v>16114</v>
      </c>
      <c r="O315" s="9" t="s">
        <v>16113</v>
      </c>
      <c r="P315" s="9" t="s">
        <v>16112</v>
      </c>
      <c r="Q315" s="9" t="s">
        <v>16111</v>
      </c>
      <c r="R315" s="9" t="s">
        <v>16110</v>
      </c>
      <c r="S315" s="9" t="s">
        <v>16109</v>
      </c>
      <c r="T315" s="9" t="s">
        <v>14815</v>
      </c>
      <c r="U315" s="9" t="s">
        <v>16108</v>
      </c>
      <c r="V315" s="9" t="s">
        <v>75</v>
      </c>
      <c r="W315" s="9" t="s">
        <v>16119</v>
      </c>
      <c r="X315" s="9" t="s">
        <v>14924</v>
      </c>
      <c r="Y315" s="9"/>
      <c r="Z315" s="9"/>
      <c r="AA315" s="9" t="s">
        <v>15389</v>
      </c>
      <c r="AB315" s="9"/>
      <c r="AC315" s="9"/>
      <c r="AD315" s="9" t="s">
        <v>15389</v>
      </c>
      <c r="AE315" s="9"/>
      <c r="AF315" s="9"/>
      <c r="AG315" s="9" t="s">
        <v>15389</v>
      </c>
    </row>
    <row r="316" spans="1:33" ht="16.5">
      <c r="A316" s="9">
        <v>311</v>
      </c>
      <c r="B316" s="9" t="s">
        <v>16140</v>
      </c>
      <c r="C316" s="9" t="s">
        <v>14705</v>
      </c>
      <c r="D316" s="9" t="s">
        <v>15880</v>
      </c>
      <c r="E316" s="12">
        <v>43819</v>
      </c>
      <c r="F316" s="12">
        <v>44374</v>
      </c>
      <c r="G316" s="12" t="s">
        <v>14702</v>
      </c>
      <c r="H316" s="9" t="s">
        <v>16139</v>
      </c>
      <c r="I316" s="9" t="s">
        <v>16138</v>
      </c>
      <c r="J316" s="9">
        <v>3911160304</v>
      </c>
      <c r="K316" s="9" t="s">
        <v>15024</v>
      </c>
      <c r="L316" s="9"/>
      <c r="M316" s="11" t="s">
        <v>14717</v>
      </c>
      <c r="N316" s="10" t="s">
        <v>16114</v>
      </c>
      <c r="O316" s="9" t="s">
        <v>16113</v>
      </c>
      <c r="P316" s="9" t="s">
        <v>16112</v>
      </c>
      <c r="Q316" s="9" t="s">
        <v>16111</v>
      </c>
      <c r="R316" s="9" t="s">
        <v>16110</v>
      </c>
      <c r="S316" s="9" t="s">
        <v>16109</v>
      </c>
      <c r="T316" s="9" t="s">
        <v>14815</v>
      </c>
      <c r="U316" s="9" t="s">
        <v>16108</v>
      </c>
      <c r="V316" s="9" t="s">
        <v>75</v>
      </c>
      <c r="W316" s="9" t="s">
        <v>16119</v>
      </c>
      <c r="X316" s="9" t="s">
        <v>14924</v>
      </c>
      <c r="Y316" s="9"/>
      <c r="Z316" s="9"/>
      <c r="AA316" s="9" t="s">
        <v>15389</v>
      </c>
      <c r="AB316" s="9"/>
      <c r="AC316" s="9"/>
      <c r="AD316" s="9" t="s">
        <v>15389</v>
      </c>
      <c r="AE316" s="9"/>
      <c r="AF316" s="9"/>
      <c r="AG316" s="9" t="s">
        <v>15389</v>
      </c>
    </row>
    <row r="317" spans="1:33" ht="16.5">
      <c r="A317" s="9">
        <v>312</v>
      </c>
      <c r="B317" s="9" t="s">
        <v>16137</v>
      </c>
      <c r="C317" s="9" t="s">
        <v>14705</v>
      </c>
      <c r="D317" s="9" t="s">
        <v>15880</v>
      </c>
      <c r="E317" s="12">
        <v>43819</v>
      </c>
      <c r="F317" s="12">
        <v>44374</v>
      </c>
      <c r="G317" s="12" t="s">
        <v>14702</v>
      </c>
      <c r="H317" s="9" t="s">
        <v>16136</v>
      </c>
      <c r="I317" s="9" t="s">
        <v>16135</v>
      </c>
      <c r="J317" s="9">
        <v>3911160802</v>
      </c>
      <c r="K317" s="9" t="s">
        <v>15018</v>
      </c>
      <c r="L317" s="9"/>
      <c r="M317" s="11" t="s">
        <v>14717</v>
      </c>
      <c r="N317" s="10" t="s">
        <v>16114</v>
      </c>
      <c r="O317" s="9" t="s">
        <v>16113</v>
      </c>
      <c r="P317" s="9" t="s">
        <v>16112</v>
      </c>
      <c r="Q317" s="9" t="s">
        <v>16111</v>
      </c>
      <c r="R317" s="9" t="s">
        <v>16110</v>
      </c>
      <c r="S317" s="9" t="s">
        <v>16134</v>
      </c>
      <c r="T317" s="9" t="s">
        <v>14815</v>
      </c>
      <c r="U317" s="9" t="s">
        <v>16108</v>
      </c>
      <c r="V317" s="9" t="s">
        <v>75</v>
      </c>
      <c r="W317" s="9" t="s">
        <v>16119</v>
      </c>
      <c r="X317" s="9" t="s">
        <v>14924</v>
      </c>
      <c r="Y317" s="9"/>
      <c r="Z317" s="9"/>
      <c r="AA317" s="9" t="s">
        <v>15389</v>
      </c>
      <c r="AB317" s="9"/>
      <c r="AC317" s="9"/>
      <c r="AD317" s="9" t="s">
        <v>15389</v>
      </c>
      <c r="AE317" s="9"/>
      <c r="AF317" s="9"/>
      <c r="AG317" s="9" t="s">
        <v>15389</v>
      </c>
    </row>
    <row r="318" spans="1:33" ht="16.5">
      <c r="A318" s="9">
        <v>313</v>
      </c>
      <c r="B318" s="9" t="s">
        <v>16133</v>
      </c>
      <c r="C318" s="9" t="s">
        <v>14750</v>
      </c>
      <c r="D318" s="9" t="s">
        <v>15880</v>
      </c>
      <c r="E318" s="12">
        <v>43819</v>
      </c>
      <c r="F318" s="12">
        <v>45197</v>
      </c>
      <c r="G318" s="12" t="s">
        <v>14702</v>
      </c>
      <c r="H318" s="9" t="s">
        <v>16132</v>
      </c>
      <c r="I318" s="9" t="s">
        <v>16131</v>
      </c>
      <c r="J318" s="9">
        <v>3911210201</v>
      </c>
      <c r="K318" s="9" t="s">
        <v>14933</v>
      </c>
      <c r="L318" s="9"/>
      <c r="M318" s="11" t="s">
        <v>14699</v>
      </c>
      <c r="N318" s="10" t="s">
        <v>16130</v>
      </c>
      <c r="O318" s="9" t="s">
        <v>16129</v>
      </c>
      <c r="P318" s="9" t="s">
        <v>16128</v>
      </c>
      <c r="Q318" s="9" t="s">
        <v>16127</v>
      </c>
      <c r="R318" s="9" t="s">
        <v>16126</v>
      </c>
      <c r="S318" s="9" t="s">
        <v>16125</v>
      </c>
      <c r="T318" s="9" t="s">
        <v>14725</v>
      </c>
      <c r="U318" s="9" t="s">
        <v>16124</v>
      </c>
      <c r="V318" s="9" t="s">
        <v>75</v>
      </c>
      <c r="W318" s="9" t="s">
        <v>16123</v>
      </c>
      <c r="X318" s="9" t="s">
        <v>14950</v>
      </c>
      <c r="Y318" s="9"/>
      <c r="Z318" s="9"/>
      <c r="AA318" s="9" t="s">
        <v>15389</v>
      </c>
      <c r="AB318" s="9"/>
      <c r="AC318" s="9"/>
      <c r="AD318" s="9" t="s">
        <v>15389</v>
      </c>
      <c r="AE318" s="9"/>
      <c r="AF318" s="9"/>
      <c r="AG318" s="9" t="s">
        <v>15389</v>
      </c>
    </row>
    <row r="319" spans="1:33" ht="16.5">
      <c r="A319" s="9">
        <v>314</v>
      </c>
      <c r="B319" s="9" t="s">
        <v>16122</v>
      </c>
      <c r="C319" s="9" t="s">
        <v>14705</v>
      </c>
      <c r="D319" s="9" t="s">
        <v>15880</v>
      </c>
      <c r="E319" s="12">
        <v>43819</v>
      </c>
      <c r="F319" s="12">
        <v>44374</v>
      </c>
      <c r="G319" s="12" t="s">
        <v>14702</v>
      </c>
      <c r="H319" s="9" t="s">
        <v>16121</v>
      </c>
      <c r="I319" s="9" t="s">
        <v>16120</v>
      </c>
      <c r="J319" s="9">
        <v>3911160302</v>
      </c>
      <c r="K319" s="9" t="s">
        <v>14907</v>
      </c>
      <c r="L319" s="9"/>
      <c r="M319" s="11" t="s">
        <v>14763</v>
      </c>
      <c r="N319" s="10" t="s">
        <v>16114</v>
      </c>
      <c r="O319" s="9" t="s">
        <v>16113</v>
      </c>
      <c r="P319" s="9" t="s">
        <v>16112</v>
      </c>
      <c r="Q319" s="9" t="s">
        <v>16111</v>
      </c>
      <c r="R319" s="9" t="s">
        <v>16110</v>
      </c>
      <c r="S319" s="9" t="s">
        <v>16109</v>
      </c>
      <c r="T319" s="9" t="s">
        <v>14815</v>
      </c>
      <c r="U319" s="9" t="s">
        <v>16108</v>
      </c>
      <c r="V319" s="9" t="s">
        <v>75</v>
      </c>
      <c r="W319" s="9" t="s">
        <v>16119</v>
      </c>
      <c r="X319" s="9" t="s">
        <v>14924</v>
      </c>
      <c r="Y319" s="9"/>
      <c r="Z319" s="9"/>
      <c r="AA319" s="9" t="s">
        <v>15389</v>
      </c>
      <c r="AB319" s="9"/>
      <c r="AC319" s="9"/>
      <c r="AD319" s="9" t="s">
        <v>15389</v>
      </c>
      <c r="AE319" s="9"/>
      <c r="AF319" s="9"/>
      <c r="AG319" s="9" t="s">
        <v>15389</v>
      </c>
    </row>
    <row r="320" spans="1:33" ht="16.5">
      <c r="A320" s="9">
        <v>315</v>
      </c>
      <c r="B320" s="9" t="s">
        <v>16118</v>
      </c>
      <c r="C320" s="9" t="s">
        <v>14705</v>
      </c>
      <c r="D320" s="9" t="s">
        <v>15880</v>
      </c>
      <c r="E320" s="12">
        <v>43819</v>
      </c>
      <c r="F320" s="12">
        <v>44472</v>
      </c>
      <c r="G320" s="12" t="s">
        <v>14702</v>
      </c>
      <c r="H320" s="9" t="s">
        <v>16117</v>
      </c>
      <c r="I320" s="9" t="s">
        <v>16116</v>
      </c>
      <c r="J320" s="9">
        <v>3911151502</v>
      </c>
      <c r="K320" s="9" t="s">
        <v>16115</v>
      </c>
      <c r="L320" s="9"/>
      <c r="M320" s="11" t="s">
        <v>14763</v>
      </c>
      <c r="N320" s="10" t="s">
        <v>16114</v>
      </c>
      <c r="O320" s="9" t="s">
        <v>16113</v>
      </c>
      <c r="P320" s="9" t="s">
        <v>16112</v>
      </c>
      <c r="Q320" s="9" t="s">
        <v>16111</v>
      </c>
      <c r="R320" s="9" t="s">
        <v>16110</v>
      </c>
      <c r="S320" s="9" t="s">
        <v>16109</v>
      </c>
      <c r="T320" s="9" t="s">
        <v>14815</v>
      </c>
      <c r="U320" s="9" t="s">
        <v>16108</v>
      </c>
      <c r="V320" s="9" t="s">
        <v>75</v>
      </c>
      <c r="W320" s="9" t="s">
        <v>16107</v>
      </c>
      <c r="X320" s="9" t="s">
        <v>15325</v>
      </c>
      <c r="Y320" s="9"/>
      <c r="Z320" s="9"/>
      <c r="AA320" s="9" t="s">
        <v>15389</v>
      </c>
      <c r="AB320" s="9"/>
      <c r="AC320" s="9"/>
      <c r="AD320" s="9" t="s">
        <v>15389</v>
      </c>
      <c r="AE320" s="9"/>
      <c r="AF320" s="9"/>
      <c r="AG320" s="9" t="s">
        <v>15389</v>
      </c>
    </row>
    <row r="321" spans="1:33" ht="16.5">
      <c r="A321" s="9">
        <v>316</v>
      </c>
      <c r="B321" s="9" t="s">
        <v>16106</v>
      </c>
      <c r="C321" s="9" t="s">
        <v>14705</v>
      </c>
      <c r="D321" s="9" t="s">
        <v>15880</v>
      </c>
      <c r="E321" s="12">
        <v>43819</v>
      </c>
      <c r="F321" s="12">
        <v>44499</v>
      </c>
      <c r="G321" s="12" t="s">
        <v>14702</v>
      </c>
      <c r="H321" s="9" t="s">
        <v>16105</v>
      </c>
      <c r="I321" s="9" t="s">
        <v>16104</v>
      </c>
      <c r="J321" s="9">
        <v>4111222901</v>
      </c>
      <c r="K321" s="9" t="s">
        <v>16103</v>
      </c>
      <c r="L321" s="9"/>
      <c r="M321" s="11" t="s">
        <v>14794</v>
      </c>
      <c r="N321" s="10" t="s">
        <v>16102</v>
      </c>
      <c r="O321" s="9" t="s">
        <v>16101</v>
      </c>
      <c r="P321" s="9" t="s">
        <v>16100</v>
      </c>
      <c r="Q321" s="9" t="s">
        <v>16099</v>
      </c>
      <c r="R321" s="9" t="s">
        <v>16098</v>
      </c>
      <c r="S321" s="9" t="s">
        <v>16097</v>
      </c>
      <c r="T321" s="9" t="s">
        <v>14712</v>
      </c>
      <c r="U321" s="9" t="s">
        <v>16096</v>
      </c>
      <c r="V321" s="9" t="s">
        <v>14710</v>
      </c>
      <c r="W321" s="9" t="s">
        <v>16095</v>
      </c>
      <c r="X321" s="9" t="s">
        <v>16094</v>
      </c>
      <c r="Y321" s="9"/>
      <c r="Z321" s="9"/>
      <c r="AA321" s="9" t="s">
        <v>15389</v>
      </c>
      <c r="AB321" s="9"/>
      <c r="AC321" s="9"/>
      <c r="AD321" s="9" t="s">
        <v>15389</v>
      </c>
      <c r="AE321" s="9"/>
      <c r="AF321" s="9"/>
      <c r="AG321" s="9" t="s">
        <v>15389</v>
      </c>
    </row>
    <row r="322" spans="1:33" ht="16.5">
      <c r="A322" s="9">
        <v>317</v>
      </c>
      <c r="B322" s="9" t="s">
        <v>16093</v>
      </c>
      <c r="C322" s="9" t="s">
        <v>15155</v>
      </c>
      <c r="D322" s="9" t="s">
        <v>15967</v>
      </c>
      <c r="E322" s="12">
        <v>43819</v>
      </c>
      <c r="F322" s="12">
        <v>44863</v>
      </c>
      <c r="G322" s="12" t="s">
        <v>14702</v>
      </c>
      <c r="H322" s="9" t="s">
        <v>16092</v>
      </c>
      <c r="I322" s="9" t="s">
        <v>16091</v>
      </c>
      <c r="J322" s="9">
        <v>4810189801</v>
      </c>
      <c r="K322" s="9" t="s">
        <v>16090</v>
      </c>
      <c r="L322" s="9"/>
      <c r="M322" s="11" t="s">
        <v>14732</v>
      </c>
      <c r="N322" s="10" t="s">
        <v>16089</v>
      </c>
      <c r="O322" s="9" t="s">
        <v>16088</v>
      </c>
      <c r="P322" s="9" t="s">
        <v>16087</v>
      </c>
      <c r="Q322" s="9" t="s">
        <v>15756</v>
      </c>
      <c r="R322" s="9" t="s">
        <v>16086</v>
      </c>
      <c r="S322" s="9" t="s">
        <v>16085</v>
      </c>
      <c r="T322" s="9" t="s">
        <v>14787</v>
      </c>
      <c r="U322" s="9" t="s">
        <v>16084</v>
      </c>
      <c r="V322" s="9" t="s">
        <v>16083</v>
      </c>
      <c r="W322" s="9" t="s">
        <v>16082</v>
      </c>
      <c r="X322" s="9" t="s">
        <v>16081</v>
      </c>
      <c r="Y322" s="9"/>
      <c r="Z322" s="9"/>
      <c r="AA322" s="9"/>
      <c r="AB322" s="9"/>
      <c r="AC322" s="9"/>
      <c r="AD322" s="9"/>
      <c r="AE322" s="9"/>
      <c r="AF322" s="9"/>
      <c r="AG322" s="9"/>
    </row>
    <row r="323" spans="1:33" ht="16.5">
      <c r="A323" s="9">
        <v>318</v>
      </c>
      <c r="B323" s="9" t="s">
        <v>16080</v>
      </c>
      <c r="C323" s="9" t="s">
        <v>14705</v>
      </c>
      <c r="D323" s="9" t="s">
        <v>15880</v>
      </c>
      <c r="E323" s="12">
        <v>43819</v>
      </c>
      <c r="F323" s="12">
        <v>44738</v>
      </c>
      <c r="G323" s="12" t="s">
        <v>14702</v>
      </c>
      <c r="H323" s="9" t="s">
        <v>16079</v>
      </c>
      <c r="I323" s="9" t="s">
        <v>16078</v>
      </c>
      <c r="J323" s="9">
        <v>3912219202</v>
      </c>
      <c r="K323" s="9" t="s">
        <v>16077</v>
      </c>
      <c r="L323" s="9"/>
      <c r="M323" s="11" t="s">
        <v>14763</v>
      </c>
      <c r="N323" s="10" t="s">
        <v>15133</v>
      </c>
      <c r="O323" s="9" t="s">
        <v>15132</v>
      </c>
      <c r="P323" s="9" t="s">
        <v>15131</v>
      </c>
      <c r="Q323" s="9" t="s">
        <v>16076</v>
      </c>
      <c r="R323" s="9" t="s">
        <v>16075</v>
      </c>
      <c r="S323" s="9" t="s">
        <v>16074</v>
      </c>
      <c r="T323" s="9" t="s">
        <v>14815</v>
      </c>
      <c r="U323" s="9" t="s">
        <v>15744</v>
      </c>
      <c r="V323" s="9" t="s">
        <v>15044</v>
      </c>
      <c r="W323" s="9" t="s">
        <v>16073</v>
      </c>
      <c r="X323" s="9" t="s">
        <v>15997</v>
      </c>
      <c r="Y323" s="9"/>
      <c r="Z323" s="9"/>
      <c r="AA323" s="9" t="s">
        <v>15389</v>
      </c>
      <c r="AB323" s="9"/>
      <c r="AC323" s="9"/>
      <c r="AD323" s="9" t="s">
        <v>15389</v>
      </c>
      <c r="AE323" s="9"/>
      <c r="AF323" s="9"/>
      <c r="AG323" s="9" t="s">
        <v>15389</v>
      </c>
    </row>
    <row r="324" spans="1:33" ht="16.5">
      <c r="A324" s="9">
        <v>319</v>
      </c>
      <c r="B324" s="9" t="s">
        <v>16072</v>
      </c>
      <c r="C324" s="9" t="s">
        <v>14705</v>
      </c>
      <c r="D324" s="9" t="s">
        <v>15880</v>
      </c>
      <c r="E324" s="12">
        <v>43819</v>
      </c>
      <c r="F324" s="12">
        <v>44716</v>
      </c>
      <c r="G324" s="12" t="s">
        <v>14702</v>
      </c>
      <c r="H324" s="9" t="s">
        <v>16071</v>
      </c>
      <c r="I324" s="9" t="s">
        <v>16070</v>
      </c>
      <c r="J324" s="9">
        <v>2522175701</v>
      </c>
      <c r="K324" s="9" t="s">
        <v>16069</v>
      </c>
      <c r="L324" s="9"/>
      <c r="M324" s="11" t="s">
        <v>14763</v>
      </c>
      <c r="N324" s="10" t="s">
        <v>16068</v>
      </c>
      <c r="O324" s="9" t="s">
        <v>16067</v>
      </c>
      <c r="P324" s="9" t="s">
        <v>16066</v>
      </c>
      <c r="Q324" s="9" t="s">
        <v>16065</v>
      </c>
      <c r="R324" s="9" t="s">
        <v>16064</v>
      </c>
      <c r="S324" s="9" t="s">
        <v>16063</v>
      </c>
      <c r="T324" s="9" t="s">
        <v>14725</v>
      </c>
      <c r="U324" s="9" t="s">
        <v>16062</v>
      </c>
      <c r="V324" s="9" t="s">
        <v>15044</v>
      </c>
      <c r="W324" s="9" t="s">
        <v>16061</v>
      </c>
      <c r="X324" s="9" t="s">
        <v>16060</v>
      </c>
      <c r="Y324" s="9"/>
      <c r="Z324" s="9"/>
      <c r="AA324" s="9" t="s">
        <v>15389</v>
      </c>
      <c r="AB324" s="9"/>
      <c r="AC324" s="9"/>
      <c r="AD324" s="9" t="s">
        <v>15389</v>
      </c>
      <c r="AE324" s="9"/>
      <c r="AF324" s="9"/>
      <c r="AG324" s="9" t="s">
        <v>15389</v>
      </c>
    </row>
    <row r="325" spans="1:33" ht="16.5">
      <c r="A325" s="9">
        <v>320</v>
      </c>
      <c r="B325" s="9" t="s">
        <v>16059</v>
      </c>
      <c r="C325" s="9" t="s">
        <v>14750</v>
      </c>
      <c r="D325" s="9" t="s">
        <v>15880</v>
      </c>
      <c r="E325" s="12">
        <v>43819</v>
      </c>
      <c r="F325" s="12">
        <v>44914</v>
      </c>
      <c r="G325" s="12" t="s">
        <v>14702</v>
      </c>
      <c r="H325" s="9" t="s">
        <v>16058</v>
      </c>
      <c r="I325" s="9" t="s">
        <v>16057</v>
      </c>
      <c r="J325" s="9">
        <v>4015151301</v>
      </c>
      <c r="K325" s="9" t="s">
        <v>15854</v>
      </c>
      <c r="L325" s="9"/>
      <c r="M325" s="11" t="s">
        <v>15065</v>
      </c>
      <c r="N325" s="10" t="s">
        <v>6946</v>
      </c>
      <c r="O325" s="9" t="s">
        <v>16056</v>
      </c>
      <c r="P325" s="9" t="s">
        <v>16055</v>
      </c>
      <c r="Q325" s="9" t="s">
        <v>16055</v>
      </c>
      <c r="R325" s="9" t="s">
        <v>16054</v>
      </c>
      <c r="S325" s="9" t="s">
        <v>16053</v>
      </c>
      <c r="T325" s="9" t="s">
        <v>14725</v>
      </c>
      <c r="U325" s="9" t="s">
        <v>16052</v>
      </c>
      <c r="V325" s="9" t="s">
        <v>15846</v>
      </c>
      <c r="W325" s="9" t="s">
        <v>16051</v>
      </c>
      <c r="X325" s="9" t="s">
        <v>16050</v>
      </c>
      <c r="Y325" s="9"/>
      <c r="Z325" s="9"/>
      <c r="AA325" s="9" t="s">
        <v>15389</v>
      </c>
      <c r="AB325" s="9"/>
      <c r="AC325" s="9"/>
      <c r="AD325" s="9" t="s">
        <v>15389</v>
      </c>
      <c r="AE325" s="9"/>
      <c r="AF325" s="9"/>
      <c r="AG325" s="9" t="s">
        <v>15389</v>
      </c>
    </row>
    <row r="326" spans="1:33" ht="16.5">
      <c r="A326" s="9">
        <v>321</v>
      </c>
      <c r="B326" s="9" t="s">
        <v>16049</v>
      </c>
      <c r="C326" s="9" t="s">
        <v>14705</v>
      </c>
      <c r="D326" s="9" t="s">
        <v>15880</v>
      </c>
      <c r="E326" s="12">
        <v>43819</v>
      </c>
      <c r="F326" s="12">
        <v>44871</v>
      </c>
      <c r="G326" s="12" t="s">
        <v>14702</v>
      </c>
      <c r="H326" s="9" t="s">
        <v>16048</v>
      </c>
      <c r="I326" s="9" t="s">
        <v>16047</v>
      </c>
      <c r="J326" s="9">
        <v>3911161103</v>
      </c>
      <c r="K326" s="9" t="s">
        <v>16046</v>
      </c>
      <c r="L326" s="9"/>
      <c r="M326" s="11" t="s">
        <v>14794</v>
      </c>
      <c r="N326" s="10" t="s">
        <v>16045</v>
      </c>
      <c r="O326" s="9" t="s">
        <v>16044</v>
      </c>
      <c r="P326" s="9" t="s">
        <v>16043</v>
      </c>
      <c r="Q326" s="9" t="s">
        <v>16042</v>
      </c>
      <c r="R326" s="9" t="s">
        <v>16041</v>
      </c>
      <c r="S326" s="9" t="s">
        <v>16040</v>
      </c>
      <c r="T326" s="9" t="s">
        <v>14725</v>
      </c>
      <c r="U326" s="9" t="s">
        <v>16039</v>
      </c>
      <c r="V326" s="9" t="s">
        <v>75</v>
      </c>
      <c r="W326" s="9" t="s">
        <v>16038</v>
      </c>
      <c r="X326" s="9" t="s">
        <v>16037</v>
      </c>
      <c r="Y326" s="9"/>
      <c r="Z326" s="9"/>
      <c r="AA326" s="9" t="s">
        <v>15389</v>
      </c>
      <c r="AB326" s="9"/>
      <c r="AC326" s="9"/>
      <c r="AD326" s="9" t="s">
        <v>15389</v>
      </c>
      <c r="AE326" s="9"/>
      <c r="AF326" s="9"/>
      <c r="AG326" s="9" t="s">
        <v>15389</v>
      </c>
    </row>
    <row r="327" spans="1:33" ht="16.5">
      <c r="A327" s="9">
        <v>322</v>
      </c>
      <c r="B327" s="9" t="s">
        <v>16036</v>
      </c>
      <c r="C327" s="9" t="s">
        <v>14705</v>
      </c>
      <c r="D327" s="9" t="s">
        <v>15880</v>
      </c>
      <c r="E327" s="12">
        <v>43819</v>
      </c>
      <c r="F327" s="12">
        <v>44743</v>
      </c>
      <c r="G327" s="12" t="s">
        <v>14702</v>
      </c>
      <c r="H327" s="9" t="s">
        <v>16035</v>
      </c>
      <c r="I327" s="9" t="s">
        <v>16034</v>
      </c>
      <c r="J327" s="9">
        <v>4616152901</v>
      </c>
      <c r="K327" s="9" t="s">
        <v>16033</v>
      </c>
      <c r="L327" s="9"/>
      <c r="M327" s="11" t="s">
        <v>14794</v>
      </c>
      <c r="N327" s="10" t="s">
        <v>16032</v>
      </c>
      <c r="O327" s="9" t="s">
        <v>16031</v>
      </c>
      <c r="P327" s="9" t="s">
        <v>16030</v>
      </c>
      <c r="Q327" s="9" t="s">
        <v>16029</v>
      </c>
      <c r="R327" s="9" t="s">
        <v>16028</v>
      </c>
      <c r="S327" s="9" t="s">
        <v>16027</v>
      </c>
      <c r="T327" s="9" t="s">
        <v>14725</v>
      </c>
      <c r="U327" s="9" t="s">
        <v>16026</v>
      </c>
      <c r="V327" s="9" t="s">
        <v>77</v>
      </c>
      <c r="W327" s="9" t="s">
        <v>16025</v>
      </c>
      <c r="X327" s="9" t="s">
        <v>16024</v>
      </c>
      <c r="Y327" s="9"/>
      <c r="Z327" s="9"/>
      <c r="AA327" s="9" t="s">
        <v>15389</v>
      </c>
      <c r="AB327" s="9"/>
      <c r="AC327" s="9"/>
      <c r="AD327" s="9" t="s">
        <v>15389</v>
      </c>
      <c r="AE327" s="9"/>
      <c r="AF327" s="9"/>
      <c r="AG327" s="9" t="s">
        <v>15389</v>
      </c>
    </row>
    <row r="328" spans="1:33" ht="16.5">
      <c r="A328" s="9">
        <v>323</v>
      </c>
      <c r="B328" s="9" t="s">
        <v>16023</v>
      </c>
      <c r="C328" s="9" t="s">
        <v>14705</v>
      </c>
      <c r="D328" s="9" t="s">
        <v>15880</v>
      </c>
      <c r="E328" s="12">
        <v>43819</v>
      </c>
      <c r="F328" s="12">
        <v>44385</v>
      </c>
      <c r="G328" s="12" t="s">
        <v>14702</v>
      </c>
      <c r="H328" s="9" t="s">
        <v>16022</v>
      </c>
      <c r="I328" s="9" t="s">
        <v>16022</v>
      </c>
      <c r="J328" s="9">
        <v>4323229901</v>
      </c>
      <c r="K328" s="9" t="s">
        <v>16021</v>
      </c>
      <c r="L328" s="9"/>
      <c r="M328" s="11" t="s">
        <v>14717</v>
      </c>
      <c r="N328" s="10" t="s">
        <v>16020</v>
      </c>
      <c r="O328" s="9" t="s">
        <v>16019</v>
      </c>
      <c r="P328" s="9" t="s">
        <v>16018</v>
      </c>
      <c r="Q328" s="9" t="s">
        <v>16017</v>
      </c>
      <c r="R328" s="9" t="s">
        <v>16016</v>
      </c>
      <c r="S328" s="9" t="s">
        <v>16015</v>
      </c>
      <c r="T328" s="9" t="s">
        <v>15678</v>
      </c>
      <c r="U328" s="9" t="s">
        <v>16014</v>
      </c>
      <c r="V328" s="9" t="s">
        <v>77</v>
      </c>
      <c r="W328" s="9" t="s">
        <v>16013</v>
      </c>
      <c r="X328" s="9" t="s">
        <v>16012</v>
      </c>
      <c r="Y328" s="9" t="s">
        <v>15243</v>
      </c>
      <c r="Z328" s="9" t="s">
        <v>16011</v>
      </c>
      <c r="AA328" s="9" t="s">
        <v>16010</v>
      </c>
      <c r="AB328" s="9"/>
      <c r="AC328" s="9"/>
      <c r="AD328" s="9" t="s">
        <v>15389</v>
      </c>
      <c r="AE328" s="9"/>
      <c r="AF328" s="9"/>
      <c r="AG328" s="9" t="s">
        <v>15389</v>
      </c>
    </row>
    <row r="329" spans="1:33" ht="16.5">
      <c r="A329" s="9">
        <v>324</v>
      </c>
      <c r="B329" s="9" t="s">
        <v>16009</v>
      </c>
      <c r="C329" s="9" t="s">
        <v>15155</v>
      </c>
      <c r="D329" s="9" t="s">
        <v>15967</v>
      </c>
      <c r="E329" s="12">
        <v>43819</v>
      </c>
      <c r="F329" s="12">
        <v>44738</v>
      </c>
      <c r="G329" s="12" t="s">
        <v>14702</v>
      </c>
      <c r="H329" s="9" t="s">
        <v>16008</v>
      </c>
      <c r="I329" s="9" t="s">
        <v>16007</v>
      </c>
      <c r="J329" s="9">
        <v>4323290201</v>
      </c>
      <c r="K329" s="9" t="s">
        <v>16006</v>
      </c>
      <c r="L329" s="9"/>
      <c r="M329" s="11" t="s">
        <v>14794</v>
      </c>
      <c r="N329" s="10" t="s">
        <v>16005</v>
      </c>
      <c r="O329" s="9" t="s">
        <v>16004</v>
      </c>
      <c r="P329" s="9" t="s">
        <v>16003</v>
      </c>
      <c r="Q329" s="9" t="s">
        <v>16002</v>
      </c>
      <c r="R329" s="9" t="s">
        <v>16001</v>
      </c>
      <c r="S329" s="9" t="s">
        <v>16000</v>
      </c>
      <c r="T329" s="9" t="s">
        <v>14815</v>
      </c>
      <c r="U329" s="9" t="s">
        <v>15999</v>
      </c>
      <c r="V329" s="9" t="s">
        <v>15243</v>
      </c>
      <c r="W329" s="9" t="s">
        <v>15998</v>
      </c>
      <c r="X329" s="9" t="s">
        <v>15997</v>
      </c>
      <c r="Y329" s="9"/>
      <c r="Z329" s="9"/>
      <c r="AA329" s="9"/>
      <c r="AB329" s="9"/>
      <c r="AC329" s="9"/>
      <c r="AD329" s="9"/>
      <c r="AE329" s="9"/>
      <c r="AF329" s="9"/>
      <c r="AG329" s="9"/>
    </row>
    <row r="330" spans="1:33" ht="16.5">
      <c r="A330" s="9">
        <v>325</v>
      </c>
      <c r="B330" s="9" t="s">
        <v>15996</v>
      </c>
      <c r="C330" s="9" t="s">
        <v>14705</v>
      </c>
      <c r="D330" s="9" t="s">
        <v>15880</v>
      </c>
      <c r="E330" s="12">
        <v>43819</v>
      </c>
      <c r="F330" s="12">
        <v>44560</v>
      </c>
      <c r="G330" s="12" t="s">
        <v>14702</v>
      </c>
      <c r="H330" s="9" t="s">
        <v>15995</v>
      </c>
      <c r="I330" s="9" t="s">
        <v>15994</v>
      </c>
      <c r="J330" s="9">
        <v>4016150301</v>
      </c>
      <c r="K330" s="9" t="s">
        <v>15993</v>
      </c>
      <c r="L330" s="9"/>
      <c r="M330" s="11" t="s">
        <v>14794</v>
      </c>
      <c r="N330" s="10" t="s">
        <v>15992</v>
      </c>
      <c r="O330" s="9" t="s">
        <v>15991</v>
      </c>
      <c r="P330" s="9" t="s">
        <v>15990</v>
      </c>
      <c r="Q330" s="9" t="s">
        <v>15989</v>
      </c>
      <c r="R330" s="9" t="s">
        <v>15988</v>
      </c>
      <c r="S330" s="9" t="s">
        <v>15987</v>
      </c>
      <c r="T330" s="9" t="s">
        <v>14815</v>
      </c>
      <c r="U330" s="9" t="s">
        <v>15986</v>
      </c>
      <c r="V330" s="9" t="s">
        <v>15044</v>
      </c>
      <c r="W330" s="9" t="s">
        <v>15985</v>
      </c>
      <c r="X330" s="9" t="s">
        <v>15984</v>
      </c>
      <c r="Y330" s="9"/>
      <c r="Z330" s="9"/>
      <c r="AA330" s="9" t="s">
        <v>15389</v>
      </c>
      <c r="AB330" s="9"/>
      <c r="AC330" s="9"/>
      <c r="AD330" s="9" t="s">
        <v>15389</v>
      </c>
      <c r="AE330" s="9"/>
      <c r="AF330" s="9"/>
      <c r="AG330" s="9" t="s">
        <v>15389</v>
      </c>
    </row>
    <row r="331" spans="1:33" ht="16.5">
      <c r="A331" s="9">
        <v>326</v>
      </c>
      <c r="B331" s="9" t="s">
        <v>15983</v>
      </c>
      <c r="C331" s="9" t="s">
        <v>14705</v>
      </c>
      <c r="D331" s="9" t="s">
        <v>15880</v>
      </c>
      <c r="E331" s="12">
        <v>43819</v>
      </c>
      <c r="F331" s="12">
        <v>44445</v>
      </c>
      <c r="G331" s="12" t="s">
        <v>14702</v>
      </c>
      <c r="H331" s="9" t="s">
        <v>15982</v>
      </c>
      <c r="I331" s="9" t="s">
        <v>15981</v>
      </c>
      <c r="J331" s="9">
        <v>4010187201</v>
      </c>
      <c r="K331" s="9" t="s">
        <v>15980</v>
      </c>
      <c r="L331" s="9"/>
      <c r="M331" s="11" t="s">
        <v>14717</v>
      </c>
      <c r="N331" s="10" t="s">
        <v>15979</v>
      </c>
      <c r="O331" s="9" t="s">
        <v>15978</v>
      </c>
      <c r="P331" s="9" t="s">
        <v>15977</v>
      </c>
      <c r="Q331" s="9" t="s">
        <v>15976</v>
      </c>
      <c r="R331" s="9" t="s">
        <v>15975</v>
      </c>
      <c r="S331" s="9" t="s">
        <v>15974</v>
      </c>
      <c r="T331" s="9" t="s">
        <v>15678</v>
      </c>
      <c r="U331" s="9" t="s">
        <v>15973</v>
      </c>
      <c r="V331" s="9" t="s">
        <v>14754</v>
      </c>
      <c r="W331" s="9" t="s">
        <v>15972</v>
      </c>
      <c r="X331" s="9" t="s">
        <v>15971</v>
      </c>
      <c r="Y331" s="9" t="s">
        <v>75</v>
      </c>
      <c r="Z331" s="9" t="s">
        <v>15970</v>
      </c>
      <c r="AA331" s="9" t="s">
        <v>15969</v>
      </c>
      <c r="AB331" s="9"/>
      <c r="AC331" s="9"/>
      <c r="AD331" s="9" t="s">
        <v>15389</v>
      </c>
      <c r="AE331" s="9"/>
      <c r="AF331" s="9"/>
      <c r="AG331" s="9" t="s">
        <v>15389</v>
      </c>
    </row>
    <row r="332" spans="1:33" ht="16.5">
      <c r="A332" s="9">
        <v>327</v>
      </c>
      <c r="B332" s="9" t="s">
        <v>15968</v>
      </c>
      <c r="C332" s="9" t="s">
        <v>15155</v>
      </c>
      <c r="D332" s="9" t="s">
        <v>15967</v>
      </c>
      <c r="E332" s="12">
        <v>43819</v>
      </c>
      <c r="F332" s="12">
        <v>44662</v>
      </c>
      <c r="G332" s="12" t="s">
        <v>14702</v>
      </c>
      <c r="H332" s="9" t="s">
        <v>15966</v>
      </c>
      <c r="I332" s="9" t="s">
        <v>15965</v>
      </c>
      <c r="J332" s="9">
        <v>4010200302</v>
      </c>
      <c r="K332" s="9" t="s">
        <v>15964</v>
      </c>
      <c r="L332" s="9"/>
      <c r="M332" s="11" t="s">
        <v>14794</v>
      </c>
      <c r="N332" s="10" t="s">
        <v>15963</v>
      </c>
      <c r="O332" s="9" t="s">
        <v>15962</v>
      </c>
      <c r="P332" s="9" t="s">
        <v>15961</v>
      </c>
      <c r="Q332" s="9" t="s">
        <v>15961</v>
      </c>
      <c r="R332" s="9" t="s">
        <v>15960</v>
      </c>
      <c r="S332" s="9" t="s">
        <v>15959</v>
      </c>
      <c r="T332" s="9" t="s">
        <v>14725</v>
      </c>
      <c r="U332" s="9" t="s">
        <v>15958</v>
      </c>
      <c r="V332" s="9" t="s">
        <v>77</v>
      </c>
      <c r="W332" s="9" t="s">
        <v>15957</v>
      </c>
      <c r="X332" s="9" t="s">
        <v>15956</v>
      </c>
      <c r="Y332" s="9"/>
      <c r="Z332" s="9"/>
      <c r="AA332" s="9"/>
      <c r="AB332" s="9"/>
      <c r="AC332" s="9"/>
      <c r="AD332" s="9"/>
      <c r="AE332" s="9"/>
      <c r="AF332" s="9"/>
      <c r="AG332" s="9"/>
    </row>
    <row r="333" spans="1:33" ht="16.5">
      <c r="A333" s="9">
        <v>328</v>
      </c>
      <c r="B333" s="9" t="s">
        <v>15955</v>
      </c>
      <c r="C333" s="9" t="s">
        <v>14705</v>
      </c>
      <c r="D333" s="9" t="s">
        <v>15880</v>
      </c>
      <c r="E333" s="12">
        <v>43819</v>
      </c>
      <c r="F333" s="12">
        <v>44835</v>
      </c>
      <c r="G333" s="12" t="s">
        <v>14702</v>
      </c>
      <c r="H333" s="9" t="s">
        <v>15954</v>
      </c>
      <c r="I333" s="9" t="s">
        <v>15953</v>
      </c>
      <c r="J333" s="9">
        <v>2522030601</v>
      </c>
      <c r="K333" s="9" t="s">
        <v>15952</v>
      </c>
      <c r="L333" s="9"/>
      <c r="M333" s="11" t="s">
        <v>14794</v>
      </c>
      <c r="N333" s="10" t="s">
        <v>15951</v>
      </c>
      <c r="O333" s="9" t="s">
        <v>15950</v>
      </c>
      <c r="P333" s="9" t="s">
        <v>15949</v>
      </c>
      <c r="Q333" s="9" t="s">
        <v>15948</v>
      </c>
      <c r="R333" s="9" t="s">
        <v>15947</v>
      </c>
      <c r="S333" s="9" t="s">
        <v>15946</v>
      </c>
      <c r="T333" s="9" t="s">
        <v>14725</v>
      </c>
      <c r="U333" s="9" t="s">
        <v>15945</v>
      </c>
      <c r="V333" s="9" t="s">
        <v>15044</v>
      </c>
      <c r="W333" s="9" t="s">
        <v>15944</v>
      </c>
      <c r="X333" s="9" t="s">
        <v>15943</v>
      </c>
      <c r="Y333" s="9"/>
      <c r="Z333" s="9"/>
      <c r="AA333" s="9" t="s">
        <v>15389</v>
      </c>
      <c r="AB333" s="9"/>
      <c r="AC333" s="9"/>
      <c r="AD333" s="9" t="s">
        <v>15389</v>
      </c>
      <c r="AE333" s="9"/>
      <c r="AF333" s="9"/>
      <c r="AG333" s="9" t="s">
        <v>15389</v>
      </c>
    </row>
    <row r="334" spans="1:33" ht="16.5">
      <c r="A334" s="9">
        <v>329</v>
      </c>
      <c r="B334" s="9" t="s">
        <v>15942</v>
      </c>
      <c r="C334" s="9" t="s">
        <v>14705</v>
      </c>
      <c r="D334" s="9" t="s">
        <v>15880</v>
      </c>
      <c r="E334" s="12">
        <v>43819</v>
      </c>
      <c r="F334" s="12">
        <v>44665</v>
      </c>
      <c r="G334" s="12" t="s">
        <v>14702</v>
      </c>
      <c r="H334" s="9" t="s">
        <v>15941</v>
      </c>
      <c r="I334" s="9" t="s">
        <v>15940</v>
      </c>
      <c r="J334" s="9">
        <v>4323260801</v>
      </c>
      <c r="K334" s="9" t="s">
        <v>15939</v>
      </c>
      <c r="L334" s="9"/>
      <c r="M334" s="11" t="s">
        <v>14717</v>
      </c>
      <c r="N334" s="10" t="s">
        <v>15938</v>
      </c>
      <c r="O334" s="9" t="s">
        <v>15937</v>
      </c>
      <c r="P334" s="9" t="s">
        <v>15936</v>
      </c>
      <c r="Q334" s="9" t="s">
        <v>15935</v>
      </c>
      <c r="R334" s="9" t="s">
        <v>15934</v>
      </c>
      <c r="S334" s="9" t="s">
        <v>15933</v>
      </c>
      <c r="T334" s="9" t="s">
        <v>14815</v>
      </c>
      <c r="U334" s="9" t="s">
        <v>15932</v>
      </c>
      <c r="V334" s="9" t="s">
        <v>15243</v>
      </c>
      <c r="W334" s="9" t="s">
        <v>15931</v>
      </c>
      <c r="X334" s="9" t="s">
        <v>15930</v>
      </c>
      <c r="Y334" s="9"/>
      <c r="Z334" s="9"/>
      <c r="AA334" s="9" t="s">
        <v>15389</v>
      </c>
      <c r="AB334" s="9"/>
      <c r="AC334" s="9"/>
      <c r="AD334" s="9" t="s">
        <v>15389</v>
      </c>
      <c r="AE334" s="9"/>
      <c r="AF334" s="9"/>
      <c r="AG334" s="9" t="s">
        <v>15389</v>
      </c>
    </row>
    <row r="335" spans="1:33" ht="16.5">
      <c r="A335" s="9">
        <v>330</v>
      </c>
      <c r="B335" s="9" t="s">
        <v>15929</v>
      </c>
      <c r="C335" s="9" t="s">
        <v>14705</v>
      </c>
      <c r="D335" s="9" t="s">
        <v>15880</v>
      </c>
      <c r="E335" s="12">
        <v>43819</v>
      </c>
      <c r="F335" s="12">
        <v>44493</v>
      </c>
      <c r="G335" s="12" t="s">
        <v>14702</v>
      </c>
      <c r="H335" s="9" t="s">
        <v>15928</v>
      </c>
      <c r="I335" s="9" t="s">
        <v>15927</v>
      </c>
      <c r="J335" s="9">
        <v>2523110801</v>
      </c>
      <c r="K335" s="9" t="s">
        <v>15927</v>
      </c>
      <c r="L335" s="9"/>
      <c r="M335" s="11" t="s">
        <v>14794</v>
      </c>
      <c r="N335" s="10" t="s">
        <v>15926</v>
      </c>
      <c r="O335" s="9" t="s">
        <v>15925</v>
      </c>
      <c r="P335" s="9" t="s">
        <v>15924</v>
      </c>
      <c r="Q335" s="9" t="s">
        <v>15923</v>
      </c>
      <c r="R335" s="9" t="s">
        <v>15922</v>
      </c>
      <c r="S335" s="9" t="s">
        <v>15921</v>
      </c>
      <c r="T335" s="9" t="s">
        <v>14725</v>
      </c>
      <c r="U335" s="9" t="s">
        <v>15920</v>
      </c>
      <c r="V335" s="9" t="s">
        <v>15703</v>
      </c>
      <c r="W335" s="9" t="s">
        <v>15919</v>
      </c>
      <c r="X335" s="9" t="s">
        <v>15918</v>
      </c>
      <c r="Y335" s="9"/>
      <c r="Z335" s="9"/>
      <c r="AA335" s="9" t="s">
        <v>15389</v>
      </c>
      <c r="AB335" s="9"/>
      <c r="AC335" s="9"/>
      <c r="AD335" s="9" t="s">
        <v>15389</v>
      </c>
      <c r="AE335" s="9"/>
      <c r="AF335" s="9"/>
      <c r="AG335" s="9" t="s">
        <v>15389</v>
      </c>
    </row>
    <row r="336" spans="1:33" ht="16.5">
      <c r="A336" s="9">
        <v>331</v>
      </c>
      <c r="B336" s="9" t="s">
        <v>15917</v>
      </c>
      <c r="C336" s="9" t="s">
        <v>14705</v>
      </c>
      <c r="D336" s="9" t="s">
        <v>15880</v>
      </c>
      <c r="E336" s="12">
        <v>43819</v>
      </c>
      <c r="F336" s="12">
        <v>44689</v>
      </c>
      <c r="G336" s="12" t="s">
        <v>14702</v>
      </c>
      <c r="H336" s="9" t="s">
        <v>15916</v>
      </c>
      <c r="I336" s="9" t="s">
        <v>15915</v>
      </c>
      <c r="J336" s="9">
        <v>4111410701</v>
      </c>
      <c r="K336" s="9" t="s">
        <v>15914</v>
      </c>
      <c r="L336" s="9"/>
      <c r="M336" s="11" t="s">
        <v>14732</v>
      </c>
      <c r="N336" s="10" t="s">
        <v>15913</v>
      </c>
      <c r="O336" s="9" t="s">
        <v>15912</v>
      </c>
      <c r="P336" s="9" t="s">
        <v>15911</v>
      </c>
      <c r="Q336" s="9" t="s">
        <v>15910</v>
      </c>
      <c r="R336" s="9" t="s">
        <v>15909</v>
      </c>
      <c r="S336" s="9" t="s">
        <v>15908</v>
      </c>
      <c r="T336" s="9" t="s">
        <v>14725</v>
      </c>
      <c r="U336" s="9" t="s">
        <v>15907</v>
      </c>
      <c r="V336" s="9" t="s">
        <v>77</v>
      </c>
      <c r="W336" s="9" t="s">
        <v>15906</v>
      </c>
      <c r="X336" s="9" t="s">
        <v>15905</v>
      </c>
      <c r="Y336" s="9"/>
      <c r="Z336" s="9"/>
      <c r="AA336" s="9" t="s">
        <v>15389</v>
      </c>
      <c r="AB336" s="9"/>
      <c r="AC336" s="9"/>
      <c r="AD336" s="9" t="s">
        <v>15389</v>
      </c>
      <c r="AE336" s="9"/>
      <c r="AF336" s="9"/>
      <c r="AG336" s="9" t="s">
        <v>15389</v>
      </c>
    </row>
    <row r="337" spans="1:33" ht="16.5">
      <c r="A337" s="9">
        <v>332</v>
      </c>
      <c r="B337" s="9" t="s">
        <v>15904</v>
      </c>
      <c r="C337" s="9" t="s">
        <v>14705</v>
      </c>
      <c r="D337" s="9" t="s">
        <v>15880</v>
      </c>
      <c r="E337" s="12">
        <v>43819</v>
      </c>
      <c r="F337" s="12">
        <v>45059</v>
      </c>
      <c r="G337" s="12" t="s">
        <v>14702</v>
      </c>
      <c r="H337" s="9" t="s">
        <v>15903</v>
      </c>
      <c r="I337" s="9" t="s">
        <v>15902</v>
      </c>
      <c r="J337" s="9">
        <v>4617162201</v>
      </c>
      <c r="K337" s="9" t="s">
        <v>14959</v>
      </c>
      <c r="L337" s="9"/>
      <c r="M337" s="11" t="s">
        <v>14794</v>
      </c>
      <c r="N337" s="10" t="s">
        <v>5747</v>
      </c>
      <c r="O337" s="9" t="s">
        <v>15901</v>
      </c>
      <c r="P337" s="9" t="s">
        <v>15900</v>
      </c>
      <c r="Q337" s="9" t="s">
        <v>15899</v>
      </c>
      <c r="R337" s="9" t="s">
        <v>15898</v>
      </c>
      <c r="S337" s="9" t="s">
        <v>15897</v>
      </c>
      <c r="T337" s="9" t="s">
        <v>14815</v>
      </c>
      <c r="U337" s="9" t="s">
        <v>15896</v>
      </c>
      <c r="V337" s="9" t="s">
        <v>77</v>
      </c>
      <c r="W337" s="9" t="s">
        <v>15895</v>
      </c>
      <c r="X337" s="9" t="s">
        <v>15894</v>
      </c>
      <c r="Y337" s="9"/>
      <c r="Z337" s="9"/>
      <c r="AA337" s="9" t="s">
        <v>15389</v>
      </c>
      <c r="AB337" s="9"/>
      <c r="AC337" s="9"/>
      <c r="AD337" s="9" t="s">
        <v>15389</v>
      </c>
      <c r="AE337" s="9"/>
      <c r="AF337" s="9"/>
      <c r="AG337" s="9" t="s">
        <v>15389</v>
      </c>
    </row>
    <row r="338" spans="1:33" ht="16.5">
      <c r="A338" s="9">
        <v>333</v>
      </c>
      <c r="B338" s="9" t="s">
        <v>15893</v>
      </c>
      <c r="C338" s="9" t="s">
        <v>15155</v>
      </c>
      <c r="D338" s="9" t="s">
        <v>15856</v>
      </c>
      <c r="E338" s="12">
        <v>43819</v>
      </c>
      <c r="F338" s="12">
        <v>44830</v>
      </c>
      <c r="G338" s="12" t="s">
        <v>14702</v>
      </c>
      <c r="H338" s="9" t="s">
        <v>15892</v>
      </c>
      <c r="I338" s="9" t="s">
        <v>15891</v>
      </c>
      <c r="J338" s="9">
        <v>3911160302</v>
      </c>
      <c r="K338" s="9" t="s">
        <v>14907</v>
      </c>
      <c r="L338" s="9"/>
      <c r="M338" s="11" t="s">
        <v>15065</v>
      </c>
      <c r="N338" s="10" t="s">
        <v>15890</v>
      </c>
      <c r="O338" s="9" t="s">
        <v>15889</v>
      </c>
      <c r="P338" s="9" t="s">
        <v>15888</v>
      </c>
      <c r="Q338" s="9" t="s">
        <v>15887</v>
      </c>
      <c r="R338" s="9" t="s">
        <v>15886</v>
      </c>
      <c r="S338" s="9" t="s">
        <v>15885</v>
      </c>
      <c r="T338" s="9" t="s">
        <v>15101</v>
      </c>
      <c r="U338" s="9" t="s">
        <v>15884</v>
      </c>
      <c r="V338" s="9" t="s">
        <v>77</v>
      </c>
      <c r="W338" s="9" t="s">
        <v>15883</v>
      </c>
      <c r="X338" s="9" t="s">
        <v>15882</v>
      </c>
      <c r="Y338" s="9"/>
      <c r="Z338" s="9"/>
      <c r="AA338" s="9"/>
      <c r="AB338" s="9"/>
      <c r="AC338" s="9"/>
      <c r="AD338" s="9"/>
      <c r="AE338" s="9"/>
      <c r="AF338" s="9"/>
      <c r="AG338" s="9"/>
    </row>
    <row r="339" spans="1:33" ht="16.5">
      <c r="A339" s="9">
        <v>334</v>
      </c>
      <c r="B339" s="9" t="s">
        <v>15881</v>
      </c>
      <c r="C339" s="9" t="s">
        <v>14705</v>
      </c>
      <c r="D339" s="9" t="s">
        <v>15880</v>
      </c>
      <c r="E339" s="12">
        <v>43819</v>
      </c>
      <c r="F339" s="12">
        <v>44472</v>
      </c>
      <c r="G339" s="12" t="s">
        <v>14702</v>
      </c>
      <c r="H339" s="9" t="s">
        <v>15879</v>
      </c>
      <c r="I339" s="9" t="s">
        <v>15878</v>
      </c>
      <c r="J339" s="9">
        <v>3911210201</v>
      </c>
      <c r="K339" s="9" t="s">
        <v>14933</v>
      </c>
      <c r="L339" s="9"/>
      <c r="M339" s="11" t="s">
        <v>14732</v>
      </c>
      <c r="N339" s="10" t="s">
        <v>15877</v>
      </c>
      <c r="O339" s="9" t="s">
        <v>15876</v>
      </c>
      <c r="P339" s="9" t="s">
        <v>15875</v>
      </c>
      <c r="Q339" s="9" t="s">
        <v>15874</v>
      </c>
      <c r="R339" s="9" t="s">
        <v>15873</v>
      </c>
      <c r="S339" s="9" t="s">
        <v>15872</v>
      </c>
      <c r="T339" s="9" t="s">
        <v>14725</v>
      </c>
      <c r="U339" s="9" t="s">
        <v>15871</v>
      </c>
      <c r="V339" s="9" t="s">
        <v>75</v>
      </c>
      <c r="W339" s="9" t="s">
        <v>15870</v>
      </c>
      <c r="X339" s="9" t="s">
        <v>15325</v>
      </c>
      <c r="Y339" s="9"/>
      <c r="Z339" s="9"/>
      <c r="AA339" s="9" t="s">
        <v>15389</v>
      </c>
      <c r="AB339" s="9"/>
      <c r="AC339" s="9"/>
      <c r="AD339" s="9" t="s">
        <v>15389</v>
      </c>
      <c r="AE339" s="9"/>
      <c r="AF339" s="9"/>
      <c r="AG339" s="9" t="s">
        <v>15389</v>
      </c>
    </row>
    <row r="340" spans="1:33" ht="16.5">
      <c r="A340" s="9">
        <v>335</v>
      </c>
      <c r="B340" s="9" t="s">
        <v>15869</v>
      </c>
      <c r="C340" s="9" t="s">
        <v>15155</v>
      </c>
      <c r="D340" s="9" t="s">
        <v>15856</v>
      </c>
      <c r="E340" s="12">
        <v>43819</v>
      </c>
      <c r="F340" s="12">
        <v>44773</v>
      </c>
      <c r="G340" s="12" t="s">
        <v>14702</v>
      </c>
      <c r="H340" s="9" t="s">
        <v>15868</v>
      </c>
      <c r="I340" s="9" t="s">
        <v>15868</v>
      </c>
      <c r="J340" s="9">
        <v>4323230401</v>
      </c>
      <c r="K340" s="9" t="s">
        <v>15867</v>
      </c>
      <c r="L340" s="9"/>
      <c r="M340" s="11" t="s">
        <v>15065</v>
      </c>
      <c r="N340" s="10" t="s">
        <v>15866</v>
      </c>
      <c r="O340" s="9" t="s">
        <v>15865</v>
      </c>
      <c r="P340" s="9" t="s">
        <v>15864</v>
      </c>
      <c r="Q340" s="9" t="s">
        <v>15863</v>
      </c>
      <c r="R340" s="9" t="s">
        <v>15862</v>
      </c>
      <c r="S340" s="9" t="s">
        <v>15861</v>
      </c>
      <c r="T340" s="9" t="s">
        <v>14815</v>
      </c>
      <c r="U340" s="9" t="s">
        <v>15860</v>
      </c>
      <c r="V340" s="9" t="s">
        <v>15243</v>
      </c>
      <c r="W340" s="9" t="s">
        <v>15859</v>
      </c>
      <c r="X340" s="9" t="s">
        <v>15858</v>
      </c>
      <c r="Y340" s="9"/>
      <c r="Z340" s="9"/>
      <c r="AA340" s="9"/>
      <c r="AB340" s="9"/>
      <c r="AC340" s="9"/>
      <c r="AD340" s="9"/>
      <c r="AE340" s="9"/>
      <c r="AF340" s="9"/>
      <c r="AG340" s="9"/>
    </row>
    <row r="341" spans="1:33" ht="16.5">
      <c r="A341" s="9">
        <v>336</v>
      </c>
      <c r="B341" s="9" t="s">
        <v>15857</v>
      </c>
      <c r="C341" s="9" t="s">
        <v>15155</v>
      </c>
      <c r="D341" s="9" t="s">
        <v>15856</v>
      </c>
      <c r="E341" s="12">
        <v>43819</v>
      </c>
      <c r="F341" s="12">
        <v>44916</v>
      </c>
      <c r="G341" s="12" t="s">
        <v>14702</v>
      </c>
      <c r="H341" s="9" t="s">
        <v>15854</v>
      </c>
      <c r="I341" s="9" t="s">
        <v>15855</v>
      </c>
      <c r="J341" s="9">
        <v>4015151301</v>
      </c>
      <c r="K341" s="9" t="s">
        <v>15854</v>
      </c>
      <c r="L341" s="9"/>
      <c r="M341" s="11" t="s">
        <v>14732</v>
      </c>
      <c r="N341" s="10" t="s">
        <v>15853</v>
      </c>
      <c r="O341" s="9" t="s">
        <v>15852</v>
      </c>
      <c r="P341" s="9" t="s">
        <v>15851</v>
      </c>
      <c r="Q341" s="9" t="s">
        <v>15850</v>
      </c>
      <c r="R341" s="9" t="s">
        <v>15849</v>
      </c>
      <c r="S341" s="9" t="s">
        <v>15848</v>
      </c>
      <c r="T341" s="9" t="s">
        <v>14725</v>
      </c>
      <c r="U341" s="9" t="s">
        <v>15847</v>
      </c>
      <c r="V341" s="9" t="s">
        <v>15846</v>
      </c>
      <c r="W341" s="9" t="s">
        <v>15845</v>
      </c>
      <c r="X341" s="9" t="s">
        <v>15844</v>
      </c>
      <c r="Y341" s="9"/>
      <c r="Z341" s="9"/>
      <c r="AA341" s="9"/>
      <c r="AB341" s="9"/>
      <c r="AC341" s="9"/>
      <c r="AD341" s="9"/>
      <c r="AE341" s="9"/>
      <c r="AF341" s="9"/>
      <c r="AG341" s="9"/>
    </row>
    <row r="342" spans="1:33" ht="16.5">
      <c r="A342" s="9">
        <v>337</v>
      </c>
      <c r="B342" s="9" t="s">
        <v>15843</v>
      </c>
      <c r="C342" s="9" t="s">
        <v>15155</v>
      </c>
      <c r="D342" s="9" t="s">
        <v>15842</v>
      </c>
      <c r="E342" s="12">
        <v>43784</v>
      </c>
      <c r="F342" s="12">
        <v>44735</v>
      </c>
      <c r="G342" s="12" t="s">
        <v>14702</v>
      </c>
      <c r="H342" s="9" t="s">
        <v>15841</v>
      </c>
      <c r="I342" s="9" t="s">
        <v>15840</v>
      </c>
      <c r="J342" s="9">
        <v>5215201002</v>
      </c>
      <c r="K342" s="9" t="s">
        <v>15839</v>
      </c>
      <c r="L342" s="9"/>
      <c r="M342" s="11" t="s">
        <v>14746</v>
      </c>
      <c r="N342" s="10" t="s">
        <v>15838</v>
      </c>
      <c r="O342" s="9" t="s">
        <v>15837</v>
      </c>
      <c r="P342" s="9" t="s">
        <v>15836</v>
      </c>
      <c r="Q342" s="9" t="s">
        <v>15836</v>
      </c>
      <c r="R342" s="9" t="s">
        <v>15835</v>
      </c>
      <c r="S342" s="9" t="s">
        <v>15834</v>
      </c>
      <c r="T342" s="9" t="s">
        <v>14815</v>
      </c>
      <c r="U342" s="9" t="s">
        <v>15833</v>
      </c>
      <c r="V342" s="9" t="s">
        <v>15605</v>
      </c>
      <c r="W342" s="9" t="s">
        <v>15832</v>
      </c>
      <c r="X342" s="9" t="s">
        <v>15831</v>
      </c>
      <c r="Y342" s="9"/>
      <c r="Z342" s="9"/>
      <c r="AA342" s="9"/>
      <c r="AB342" s="9"/>
      <c r="AC342" s="9"/>
      <c r="AD342" s="9"/>
      <c r="AE342" s="9"/>
      <c r="AF342" s="9"/>
      <c r="AG342" s="9"/>
    </row>
    <row r="343" spans="1:33" ht="16.5">
      <c r="A343" s="9">
        <v>338</v>
      </c>
      <c r="B343" s="9" t="s">
        <v>15830</v>
      </c>
      <c r="C343" s="9" t="s">
        <v>14705</v>
      </c>
      <c r="D343" s="9" t="s">
        <v>15645</v>
      </c>
      <c r="E343" s="12">
        <v>43784</v>
      </c>
      <c r="F343" s="12">
        <v>44578</v>
      </c>
      <c r="G343" s="12" t="s">
        <v>14702</v>
      </c>
      <c r="H343" s="9" t="s">
        <v>15829</v>
      </c>
      <c r="I343" s="9" t="s">
        <v>15828</v>
      </c>
      <c r="J343" s="9">
        <v>3912110101</v>
      </c>
      <c r="K343" s="9" t="s">
        <v>14733</v>
      </c>
      <c r="L343" s="9"/>
      <c r="M343" s="11" t="s">
        <v>14746</v>
      </c>
      <c r="N343" s="10" t="s">
        <v>6384</v>
      </c>
      <c r="O343" s="9" t="s">
        <v>15827</v>
      </c>
      <c r="P343" s="9" t="s">
        <v>15826</v>
      </c>
      <c r="Q343" s="9" t="s">
        <v>15826</v>
      </c>
      <c r="R343" s="9" t="s">
        <v>15825</v>
      </c>
      <c r="S343" s="9" t="s">
        <v>15824</v>
      </c>
      <c r="T343" s="9" t="s">
        <v>14815</v>
      </c>
      <c r="U343" s="9" t="s">
        <v>15823</v>
      </c>
      <c r="V343" s="9" t="s">
        <v>77</v>
      </c>
      <c r="W343" s="9" t="s">
        <v>15822</v>
      </c>
      <c r="X343" s="9" t="s">
        <v>15821</v>
      </c>
      <c r="Y343" s="9"/>
      <c r="Z343" s="9"/>
      <c r="AA343" s="9" t="s">
        <v>15389</v>
      </c>
      <c r="AB343" s="9"/>
      <c r="AC343" s="9"/>
      <c r="AD343" s="9" t="s">
        <v>15389</v>
      </c>
      <c r="AE343" s="9"/>
      <c r="AF343" s="9"/>
      <c r="AG343" s="9" t="s">
        <v>15389</v>
      </c>
    </row>
    <row r="344" spans="1:33" ht="16.5">
      <c r="A344" s="9">
        <v>339</v>
      </c>
      <c r="B344" s="9" t="s">
        <v>15820</v>
      </c>
      <c r="C344" s="9" t="s">
        <v>14750</v>
      </c>
      <c r="D344" s="9" t="s">
        <v>15645</v>
      </c>
      <c r="E344" s="12">
        <v>43784</v>
      </c>
      <c r="F344" s="12">
        <v>44374</v>
      </c>
      <c r="G344" s="12" t="s">
        <v>14702</v>
      </c>
      <c r="H344" s="9" t="s">
        <v>15018</v>
      </c>
      <c r="I344" s="9" t="s">
        <v>15819</v>
      </c>
      <c r="J344" s="9">
        <v>3911160802</v>
      </c>
      <c r="K344" s="9" t="s">
        <v>15018</v>
      </c>
      <c r="L344" s="9"/>
      <c r="M344" s="11" t="s">
        <v>14746</v>
      </c>
      <c r="N344" s="10" t="s">
        <v>15818</v>
      </c>
      <c r="O344" s="9" t="s">
        <v>15817</v>
      </c>
      <c r="P344" s="9" t="s">
        <v>15816</v>
      </c>
      <c r="Q344" s="9" t="s">
        <v>15815</v>
      </c>
      <c r="R344" s="9" t="s">
        <v>15814</v>
      </c>
      <c r="S344" s="9" t="s">
        <v>15813</v>
      </c>
      <c r="T344" s="9" t="s">
        <v>14725</v>
      </c>
      <c r="U344" s="9" t="s">
        <v>15812</v>
      </c>
      <c r="V344" s="9" t="s">
        <v>75</v>
      </c>
      <c r="W344" s="9" t="s">
        <v>15811</v>
      </c>
      <c r="X344" s="9" t="s">
        <v>14924</v>
      </c>
      <c r="Y344" s="9"/>
      <c r="Z344" s="9"/>
      <c r="AA344" s="9" t="s">
        <v>15389</v>
      </c>
      <c r="AB344" s="9"/>
      <c r="AC344" s="9"/>
      <c r="AD344" s="9" t="s">
        <v>15389</v>
      </c>
      <c r="AE344" s="9"/>
      <c r="AF344" s="9"/>
      <c r="AG344" s="9" t="s">
        <v>15389</v>
      </c>
    </row>
    <row r="345" spans="1:33" ht="16.5">
      <c r="A345" s="9">
        <v>340</v>
      </c>
      <c r="B345" s="9" t="s">
        <v>15810</v>
      </c>
      <c r="C345" s="9" t="s">
        <v>14705</v>
      </c>
      <c r="D345" s="9" t="s">
        <v>15645</v>
      </c>
      <c r="E345" s="12">
        <v>43784</v>
      </c>
      <c r="F345" s="12">
        <v>44547</v>
      </c>
      <c r="G345" s="12" t="s">
        <v>14702</v>
      </c>
      <c r="H345" s="9" t="s">
        <v>15809</v>
      </c>
      <c r="I345" s="9" t="s">
        <v>15808</v>
      </c>
      <c r="J345" s="9">
        <v>3912140601</v>
      </c>
      <c r="K345" s="9" t="s">
        <v>15807</v>
      </c>
      <c r="L345" s="9"/>
      <c r="M345" s="11" t="s">
        <v>14717</v>
      </c>
      <c r="N345" s="10" t="s">
        <v>15806</v>
      </c>
      <c r="O345" s="9" t="s">
        <v>15805</v>
      </c>
      <c r="P345" s="9" t="s">
        <v>15804</v>
      </c>
      <c r="Q345" s="9" t="s">
        <v>15803</v>
      </c>
      <c r="R345" s="9" t="s">
        <v>15802</v>
      </c>
      <c r="S345" s="9" t="s">
        <v>15801</v>
      </c>
      <c r="T345" s="9" t="s">
        <v>14725</v>
      </c>
      <c r="U345" s="9" t="s">
        <v>15800</v>
      </c>
      <c r="V345" s="9" t="s">
        <v>75</v>
      </c>
      <c r="W345" s="9" t="s">
        <v>15799</v>
      </c>
      <c r="X345" s="9" t="s">
        <v>15231</v>
      </c>
      <c r="Y345" s="9"/>
      <c r="Z345" s="9"/>
      <c r="AA345" s="9" t="s">
        <v>15389</v>
      </c>
      <c r="AB345" s="9"/>
      <c r="AC345" s="9"/>
      <c r="AD345" s="9" t="s">
        <v>15389</v>
      </c>
      <c r="AE345" s="9"/>
      <c r="AF345" s="9"/>
      <c r="AG345" s="9" t="s">
        <v>15389</v>
      </c>
    </row>
    <row r="346" spans="1:33" ht="16.5">
      <c r="A346" s="9">
        <v>341</v>
      </c>
      <c r="B346" s="9" t="s">
        <v>15798</v>
      </c>
      <c r="C346" s="9" t="s">
        <v>14705</v>
      </c>
      <c r="D346" s="9" t="s">
        <v>15645</v>
      </c>
      <c r="E346" s="12">
        <v>43784</v>
      </c>
      <c r="F346" s="12">
        <v>44724</v>
      </c>
      <c r="G346" s="12" t="s">
        <v>14702</v>
      </c>
      <c r="H346" s="9" t="s">
        <v>15797</v>
      </c>
      <c r="I346" s="9" t="s">
        <v>15796</v>
      </c>
      <c r="J346" s="9">
        <v>3911160802</v>
      </c>
      <c r="K346" s="9" t="s">
        <v>15018</v>
      </c>
      <c r="L346" s="9"/>
      <c r="M346" s="11" t="s">
        <v>14732</v>
      </c>
      <c r="N346" s="10" t="s">
        <v>15795</v>
      </c>
      <c r="O346" s="9" t="s">
        <v>15794</v>
      </c>
      <c r="P346" s="9" t="s">
        <v>15793</v>
      </c>
      <c r="Q346" s="9" t="s">
        <v>15792</v>
      </c>
      <c r="R346" s="9" t="s">
        <v>15791</v>
      </c>
      <c r="S346" s="9" t="s">
        <v>15790</v>
      </c>
      <c r="T346" s="9" t="s">
        <v>14725</v>
      </c>
      <c r="U346" s="9" t="s">
        <v>15789</v>
      </c>
      <c r="V346" s="9" t="s">
        <v>75</v>
      </c>
      <c r="W346" s="9" t="s">
        <v>15788</v>
      </c>
      <c r="X346" s="9" t="s">
        <v>15717</v>
      </c>
      <c r="Y346" s="9"/>
      <c r="Z346" s="9"/>
      <c r="AA346" s="9" t="s">
        <v>15389</v>
      </c>
      <c r="AB346" s="9"/>
      <c r="AC346" s="9"/>
      <c r="AD346" s="9" t="s">
        <v>15389</v>
      </c>
      <c r="AE346" s="9"/>
      <c r="AF346" s="9"/>
      <c r="AG346" s="9" t="s">
        <v>15389</v>
      </c>
    </row>
    <row r="347" spans="1:33" ht="16.5">
      <c r="A347" s="9">
        <v>342</v>
      </c>
      <c r="B347" s="9" t="s">
        <v>15787</v>
      </c>
      <c r="C347" s="9" t="s">
        <v>14750</v>
      </c>
      <c r="D347" s="9" t="s">
        <v>15645</v>
      </c>
      <c r="E347" s="12">
        <v>43784</v>
      </c>
      <c r="F347" s="12">
        <v>44756</v>
      </c>
      <c r="G347" s="12" t="s">
        <v>14702</v>
      </c>
      <c r="H347" s="9" t="s">
        <v>15786</v>
      </c>
      <c r="I347" s="9" t="s">
        <v>15785</v>
      </c>
      <c r="J347" s="9">
        <v>3012179401</v>
      </c>
      <c r="K347" s="9" t="s">
        <v>15784</v>
      </c>
      <c r="L347" s="9"/>
      <c r="M347" s="11" t="s">
        <v>15065</v>
      </c>
      <c r="N347" s="10" t="s">
        <v>15783</v>
      </c>
      <c r="O347" s="9" t="s">
        <v>15782</v>
      </c>
      <c r="P347" s="9" t="s">
        <v>15781</v>
      </c>
      <c r="Q347" s="9" t="s">
        <v>15781</v>
      </c>
      <c r="R347" s="9" t="s">
        <v>15780</v>
      </c>
      <c r="S347" s="9" t="s">
        <v>15779</v>
      </c>
      <c r="T347" s="9" t="s">
        <v>14725</v>
      </c>
      <c r="U347" s="9" t="s">
        <v>15778</v>
      </c>
      <c r="V347" s="9" t="s">
        <v>77</v>
      </c>
      <c r="W347" s="9" t="s">
        <v>15777</v>
      </c>
      <c r="X347" s="9" t="s">
        <v>15776</v>
      </c>
      <c r="Y347" s="9"/>
      <c r="Z347" s="9"/>
      <c r="AA347" s="9" t="s">
        <v>15389</v>
      </c>
      <c r="AB347" s="9"/>
      <c r="AC347" s="9"/>
      <c r="AD347" s="9" t="s">
        <v>15389</v>
      </c>
      <c r="AE347" s="9"/>
      <c r="AF347" s="9"/>
      <c r="AG347" s="9" t="s">
        <v>15389</v>
      </c>
    </row>
    <row r="348" spans="1:33" ht="16.5">
      <c r="A348" s="9">
        <v>343</v>
      </c>
      <c r="B348" s="9" t="s">
        <v>15775</v>
      </c>
      <c r="C348" s="9" t="s">
        <v>14705</v>
      </c>
      <c r="D348" s="9" t="s">
        <v>15645</v>
      </c>
      <c r="E348" s="12">
        <v>43784</v>
      </c>
      <c r="F348" s="12">
        <v>44752</v>
      </c>
      <c r="G348" s="12" t="s">
        <v>14702</v>
      </c>
      <c r="H348" s="9" t="s">
        <v>15774</v>
      </c>
      <c r="I348" s="9" t="s">
        <v>15773</v>
      </c>
      <c r="J348" s="9">
        <v>3012189301</v>
      </c>
      <c r="K348" s="9" t="s">
        <v>15772</v>
      </c>
      <c r="L348" s="9"/>
      <c r="M348" s="11" t="s">
        <v>14763</v>
      </c>
      <c r="N348" s="10" t="s">
        <v>15771</v>
      </c>
      <c r="O348" s="9" t="s">
        <v>15770</v>
      </c>
      <c r="P348" s="9" t="s">
        <v>15769</v>
      </c>
      <c r="Q348" s="9" t="s">
        <v>15768</v>
      </c>
      <c r="R348" s="9" t="s">
        <v>15767</v>
      </c>
      <c r="S348" s="9" t="s">
        <v>15766</v>
      </c>
      <c r="T348" s="9" t="s">
        <v>14725</v>
      </c>
      <c r="U348" s="9" t="s">
        <v>15765</v>
      </c>
      <c r="V348" s="9" t="s">
        <v>77</v>
      </c>
      <c r="W348" s="9" t="s">
        <v>15764</v>
      </c>
      <c r="X348" s="9" t="s">
        <v>15763</v>
      </c>
      <c r="Y348" s="9"/>
      <c r="Z348" s="9"/>
      <c r="AA348" s="9" t="s">
        <v>15389</v>
      </c>
      <c r="AB348" s="9"/>
      <c r="AC348" s="9"/>
      <c r="AD348" s="9" t="s">
        <v>15389</v>
      </c>
      <c r="AE348" s="9"/>
      <c r="AF348" s="9"/>
      <c r="AG348" s="9" t="s">
        <v>15389</v>
      </c>
    </row>
    <row r="349" spans="1:33" ht="16.5">
      <c r="A349" s="9">
        <v>344</v>
      </c>
      <c r="B349" s="9" t="s">
        <v>15762</v>
      </c>
      <c r="C349" s="9" t="s">
        <v>14705</v>
      </c>
      <c r="D349" s="9" t="s">
        <v>15645</v>
      </c>
      <c r="E349" s="12">
        <v>43784</v>
      </c>
      <c r="F349" s="12">
        <v>44396</v>
      </c>
      <c r="G349" s="12" t="s">
        <v>14702</v>
      </c>
      <c r="H349" s="9" t="s">
        <v>15761</v>
      </c>
      <c r="I349" s="9" t="s">
        <v>15760</v>
      </c>
      <c r="J349" s="9">
        <v>2328160101</v>
      </c>
      <c r="K349" s="9" t="s">
        <v>15759</v>
      </c>
      <c r="L349" s="9"/>
      <c r="M349" s="11" t="s">
        <v>14717</v>
      </c>
      <c r="N349" s="10" t="s">
        <v>15758</v>
      </c>
      <c r="O349" s="9" t="s">
        <v>15757</v>
      </c>
      <c r="P349" s="9" t="s">
        <v>15756</v>
      </c>
      <c r="Q349" s="9" t="s">
        <v>15755</v>
      </c>
      <c r="R349" s="9" t="s">
        <v>15754</v>
      </c>
      <c r="S349" s="9" t="s">
        <v>15753</v>
      </c>
      <c r="T349" s="9" t="s">
        <v>15588</v>
      </c>
      <c r="U349" s="9" t="s">
        <v>15752</v>
      </c>
      <c r="V349" s="9" t="s">
        <v>77</v>
      </c>
      <c r="W349" s="9" t="s">
        <v>15751</v>
      </c>
      <c r="X349" s="9" t="s">
        <v>15750</v>
      </c>
      <c r="Y349" s="9" t="s">
        <v>14754</v>
      </c>
      <c r="Z349" s="9" t="s">
        <v>15749</v>
      </c>
      <c r="AA349" s="9" t="s">
        <v>14752</v>
      </c>
      <c r="AB349" s="9"/>
      <c r="AC349" s="9"/>
      <c r="AD349" s="9" t="s">
        <v>15389</v>
      </c>
      <c r="AE349" s="9"/>
      <c r="AF349" s="9"/>
      <c r="AG349" s="9" t="s">
        <v>15389</v>
      </c>
    </row>
    <row r="350" spans="1:33" ht="16.5">
      <c r="A350" s="9">
        <v>345</v>
      </c>
      <c r="B350" s="9" t="s">
        <v>15748</v>
      </c>
      <c r="C350" s="9" t="s">
        <v>14705</v>
      </c>
      <c r="D350" s="9" t="s">
        <v>15645</v>
      </c>
      <c r="E350" s="12">
        <v>43784</v>
      </c>
      <c r="F350" s="12">
        <v>44724</v>
      </c>
      <c r="G350" s="12" t="s">
        <v>14702</v>
      </c>
      <c r="H350" s="9" t="s">
        <v>15747</v>
      </c>
      <c r="I350" s="9" t="s">
        <v>15746</v>
      </c>
      <c r="J350" s="9">
        <v>3912110401</v>
      </c>
      <c r="K350" s="9" t="s">
        <v>15356</v>
      </c>
      <c r="L350" s="9"/>
      <c r="M350" s="11" t="s">
        <v>14763</v>
      </c>
      <c r="N350" s="10" t="s">
        <v>15133</v>
      </c>
      <c r="O350" s="9" t="s">
        <v>15132</v>
      </c>
      <c r="P350" s="9" t="s">
        <v>15131</v>
      </c>
      <c r="Q350" s="9" t="s">
        <v>15130</v>
      </c>
      <c r="R350" s="9" t="s">
        <v>15745</v>
      </c>
      <c r="S350" s="9" t="s">
        <v>15128</v>
      </c>
      <c r="T350" s="9" t="s">
        <v>14815</v>
      </c>
      <c r="U350" s="9" t="s">
        <v>15744</v>
      </c>
      <c r="V350" s="9" t="s">
        <v>75</v>
      </c>
      <c r="W350" s="9" t="s">
        <v>15743</v>
      </c>
      <c r="X350" s="9" t="s">
        <v>15717</v>
      </c>
      <c r="Y350" s="9"/>
      <c r="Z350" s="9"/>
      <c r="AA350" s="9" t="s">
        <v>15389</v>
      </c>
      <c r="AB350" s="9"/>
      <c r="AC350" s="9"/>
      <c r="AD350" s="9" t="s">
        <v>15389</v>
      </c>
      <c r="AE350" s="9"/>
      <c r="AF350" s="9"/>
      <c r="AG350" s="9" t="s">
        <v>15389</v>
      </c>
    </row>
    <row r="351" spans="1:33" ht="16.5">
      <c r="A351" s="9">
        <v>346</v>
      </c>
      <c r="B351" s="9" t="s">
        <v>15742</v>
      </c>
      <c r="C351" s="9" t="s">
        <v>14705</v>
      </c>
      <c r="D351" s="9" t="s">
        <v>15645</v>
      </c>
      <c r="E351" s="12">
        <v>43784</v>
      </c>
      <c r="F351" s="12">
        <v>44364</v>
      </c>
      <c r="G351" s="12" t="s">
        <v>14702</v>
      </c>
      <c r="H351" s="9" t="s">
        <v>15741</v>
      </c>
      <c r="I351" s="9" t="s">
        <v>15741</v>
      </c>
      <c r="J351" s="9">
        <v>4323320501</v>
      </c>
      <c r="K351" s="9" t="s">
        <v>15740</v>
      </c>
      <c r="L351" s="9"/>
      <c r="M351" s="11" t="s">
        <v>14794</v>
      </c>
      <c r="N351" s="10" t="s">
        <v>15735</v>
      </c>
      <c r="O351" s="9" t="s">
        <v>15734</v>
      </c>
      <c r="P351" s="9" t="s">
        <v>15733</v>
      </c>
      <c r="Q351" s="9" t="s">
        <v>15732</v>
      </c>
      <c r="R351" s="9" t="s">
        <v>15731</v>
      </c>
      <c r="S351" s="9" t="s">
        <v>15730</v>
      </c>
      <c r="T351" s="9" t="s">
        <v>14815</v>
      </c>
      <c r="U351" s="9" t="s">
        <v>15729</v>
      </c>
      <c r="V351" s="9" t="s">
        <v>15243</v>
      </c>
      <c r="W351" s="9" t="s">
        <v>15739</v>
      </c>
      <c r="X351" s="9" t="s">
        <v>15738</v>
      </c>
      <c r="Y351" s="9"/>
      <c r="Z351" s="9"/>
      <c r="AA351" s="9" t="s">
        <v>15389</v>
      </c>
      <c r="AB351" s="9"/>
      <c r="AC351" s="9"/>
      <c r="AD351" s="9" t="s">
        <v>15389</v>
      </c>
      <c r="AE351" s="9"/>
      <c r="AF351" s="9"/>
      <c r="AG351" s="9" t="s">
        <v>15389</v>
      </c>
    </row>
    <row r="352" spans="1:33" ht="16.5">
      <c r="A352" s="9">
        <v>347</v>
      </c>
      <c r="B352" s="9" t="s">
        <v>15737</v>
      </c>
      <c r="C352" s="9" t="s">
        <v>14705</v>
      </c>
      <c r="D352" s="9" t="s">
        <v>15645</v>
      </c>
      <c r="E352" s="12">
        <v>43784</v>
      </c>
      <c r="F352" s="12">
        <v>44378</v>
      </c>
      <c r="G352" s="12" t="s">
        <v>14702</v>
      </c>
      <c r="H352" s="9" t="s">
        <v>15736</v>
      </c>
      <c r="I352" s="9" t="s">
        <v>15736</v>
      </c>
      <c r="J352" s="9">
        <v>4323300101</v>
      </c>
      <c r="K352" s="9" t="s">
        <v>14700</v>
      </c>
      <c r="L352" s="9"/>
      <c r="M352" s="11" t="s">
        <v>14732</v>
      </c>
      <c r="N352" s="10" t="s">
        <v>15735</v>
      </c>
      <c r="O352" s="9" t="s">
        <v>15734</v>
      </c>
      <c r="P352" s="9" t="s">
        <v>15733</v>
      </c>
      <c r="Q352" s="9" t="s">
        <v>15732</v>
      </c>
      <c r="R352" s="9" t="s">
        <v>15731</v>
      </c>
      <c r="S352" s="9" t="s">
        <v>15730</v>
      </c>
      <c r="T352" s="9" t="s">
        <v>14815</v>
      </c>
      <c r="U352" s="9" t="s">
        <v>15729</v>
      </c>
      <c r="V352" s="9" t="s">
        <v>15243</v>
      </c>
      <c r="W352" s="9" t="s">
        <v>15728</v>
      </c>
      <c r="X352" s="9" t="s">
        <v>15218</v>
      </c>
      <c r="Y352" s="9"/>
      <c r="Z352" s="9"/>
      <c r="AA352" s="9" t="s">
        <v>15389</v>
      </c>
      <c r="AB352" s="9"/>
      <c r="AC352" s="9"/>
      <c r="AD352" s="9" t="s">
        <v>15389</v>
      </c>
      <c r="AE352" s="9"/>
      <c r="AF352" s="9"/>
      <c r="AG352" s="9" t="s">
        <v>15389</v>
      </c>
    </row>
    <row r="353" spans="1:33" ht="16.5">
      <c r="A353" s="9">
        <v>348</v>
      </c>
      <c r="B353" s="9" t="s">
        <v>15727</v>
      </c>
      <c r="C353" s="9" t="s">
        <v>14750</v>
      </c>
      <c r="D353" s="9" t="s">
        <v>15645</v>
      </c>
      <c r="E353" s="12">
        <v>43784</v>
      </c>
      <c r="F353" s="12">
        <v>44724</v>
      </c>
      <c r="G353" s="12" t="s">
        <v>14702</v>
      </c>
      <c r="H353" s="9" t="s">
        <v>15726</v>
      </c>
      <c r="I353" s="9" t="s">
        <v>15725</v>
      </c>
      <c r="J353" s="9">
        <v>3912110301</v>
      </c>
      <c r="K353" s="9" t="s">
        <v>14808</v>
      </c>
      <c r="L353" s="9"/>
      <c r="M353" s="11" t="s">
        <v>14746</v>
      </c>
      <c r="N353" s="10" t="s">
        <v>15724</v>
      </c>
      <c r="O353" s="9" t="s">
        <v>15723</v>
      </c>
      <c r="P353" s="9" t="s">
        <v>15722</v>
      </c>
      <c r="Q353" s="9" t="s">
        <v>15722</v>
      </c>
      <c r="R353" s="9" t="s">
        <v>15721</v>
      </c>
      <c r="S353" s="9" t="s">
        <v>15720</v>
      </c>
      <c r="T353" s="9" t="s">
        <v>15101</v>
      </c>
      <c r="U353" s="9" t="s">
        <v>15719</v>
      </c>
      <c r="V353" s="9" t="s">
        <v>75</v>
      </c>
      <c r="W353" s="9" t="s">
        <v>15718</v>
      </c>
      <c r="X353" s="9" t="s">
        <v>15717</v>
      </c>
      <c r="Y353" s="9" t="s">
        <v>77</v>
      </c>
      <c r="Z353" s="9" t="s">
        <v>15716</v>
      </c>
      <c r="AA353" s="9" t="s">
        <v>15715</v>
      </c>
      <c r="AB353" s="9"/>
      <c r="AC353" s="9"/>
      <c r="AD353" s="9" t="s">
        <v>15389</v>
      </c>
      <c r="AE353" s="9"/>
      <c r="AF353" s="9"/>
      <c r="AG353" s="9" t="s">
        <v>15389</v>
      </c>
    </row>
    <row r="354" spans="1:33" ht="16.5">
      <c r="A354" s="9">
        <v>349</v>
      </c>
      <c r="B354" s="9" t="s">
        <v>15714</v>
      </c>
      <c r="C354" s="9" t="s">
        <v>14705</v>
      </c>
      <c r="D354" s="9" t="s">
        <v>15645</v>
      </c>
      <c r="E354" s="12">
        <v>43784</v>
      </c>
      <c r="F354" s="12">
        <v>44427</v>
      </c>
      <c r="G354" s="12" t="s">
        <v>14702</v>
      </c>
      <c r="H354" s="9" t="s">
        <v>15713</v>
      </c>
      <c r="I354" s="9" t="s">
        <v>15712</v>
      </c>
      <c r="J354" s="9">
        <v>2525040201</v>
      </c>
      <c r="K354" s="9" t="s">
        <v>15711</v>
      </c>
      <c r="L354" s="9"/>
      <c r="M354" s="11" t="s">
        <v>14717</v>
      </c>
      <c r="N354" s="10" t="s">
        <v>15710</v>
      </c>
      <c r="O354" s="9" t="s">
        <v>15709</v>
      </c>
      <c r="P354" s="9" t="s">
        <v>15708</v>
      </c>
      <c r="Q354" s="9" t="s">
        <v>15707</v>
      </c>
      <c r="R354" s="9" t="s">
        <v>15706</v>
      </c>
      <c r="S354" s="9" t="s">
        <v>15705</v>
      </c>
      <c r="T354" s="9" t="s">
        <v>15060</v>
      </c>
      <c r="U354" s="9" t="s">
        <v>15704</v>
      </c>
      <c r="V354" s="9" t="s">
        <v>15703</v>
      </c>
      <c r="W354" s="9" t="s">
        <v>15702</v>
      </c>
      <c r="X354" s="9" t="s">
        <v>15701</v>
      </c>
      <c r="Y354" s="9"/>
      <c r="Z354" s="9"/>
      <c r="AA354" s="9" t="s">
        <v>15389</v>
      </c>
      <c r="AB354" s="9"/>
      <c r="AC354" s="9"/>
      <c r="AD354" s="9" t="s">
        <v>15389</v>
      </c>
      <c r="AE354" s="9"/>
      <c r="AF354" s="9"/>
      <c r="AG354" s="9" t="s">
        <v>15389</v>
      </c>
    </row>
    <row r="355" spans="1:33" ht="16.5">
      <c r="A355" s="9">
        <v>350</v>
      </c>
      <c r="B355" s="9" t="s">
        <v>15700</v>
      </c>
      <c r="C355" s="9" t="s">
        <v>14750</v>
      </c>
      <c r="D355" s="9" t="s">
        <v>15645</v>
      </c>
      <c r="E355" s="12">
        <v>43784</v>
      </c>
      <c r="F355" s="12">
        <v>44551</v>
      </c>
      <c r="G355" s="12" t="s">
        <v>14702</v>
      </c>
      <c r="H355" s="9" t="s">
        <v>15699</v>
      </c>
      <c r="I355" s="9" t="s">
        <v>15698</v>
      </c>
      <c r="J355" s="9">
        <v>5611210201</v>
      </c>
      <c r="K355" s="9" t="s">
        <v>15697</v>
      </c>
      <c r="L355" s="9"/>
      <c r="M355" s="11" t="s">
        <v>14888</v>
      </c>
      <c r="N355" s="10" t="s">
        <v>15696</v>
      </c>
      <c r="O355" s="9" t="s">
        <v>15695</v>
      </c>
      <c r="P355" s="9" t="s">
        <v>15694</v>
      </c>
      <c r="Q355" s="9" t="s">
        <v>15693</v>
      </c>
      <c r="R355" s="9" t="s">
        <v>15692</v>
      </c>
      <c r="S355" s="9" t="s">
        <v>15691</v>
      </c>
      <c r="T355" s="9" t="s">
        <v>15690</v>
      </c>
      <c r="U355" s="9" t="s">
        <v>15689</v>
      </c>
      <c r="V355" s="9" t="s">
        <v>75</v>
      </c>
      <c r="W355" s="9" t="s">
        <v>15688</v>
      </c>
      <c r="X355" s="9" t="s">
        <v>15687</v>
      </c>
      <c r="Y355" s="9"/>
      <c r="Z355" s="9"/>
      <c r="AA355" s="9" t="s">
        <v>15389</v>
      </c>
      <c r="AB355" s="9"/>
      <c r="AC355" s="9"/>
      <c r="AD355" s="9" t="s">
        <v>15389</v>
      </c>
      <c r="AE355" s="9"/>
      <c r="AF355" s="9"/>
      <c r="AG355" s="9" t="s">
        <v>15389</v>
      </c>
    </row>
    <row r="356" spans="1:33" ht="16.5">
      <c r="A356" s="9">
        <v>351</v>
      </c>
      <c r="B356" s="9" t="s">
        <v>15686</v>
      </c>
      <c r="C356" s="9" t="s">
        <v>14750</v>
      </c>
      <c r="D356" s="9" t="s">
        <v>15645</v>
      </c>
      <c r="E356" s="12">
        <v>43784</v>
      </c>
      <c r="F356" s="12">
        <v>44716</v>
      </c>
      <c r="G356" s="12" t="s">
        <v>14702</v>
      </c>
      <c r="H356" s="9" t="s">
        <v>15685</v>
      </c>
      <c r="I356" s="9" t="s">
        <v>15685</v>
      </c>
      <c r="J356" s="9">
        <v>3912110301</v>
      </c>
      <c r="K356" s="9" t="s">
        <v>14808</v>
      </c>
      <c r="L356" s="9"/>
      <c r="M356" s="11" t="s">
        <v>14746</v>
      </c>
      <c r="N356" s="10" t="s">
        <v>15684</v>
      </c>
      <c r="O356" s="9" t="s">
        <v>15683</v>
      </c>
      <c r="P356" s="9" t="s">
        <v>15682</v>
      </c>
      <c r="Q356" s="9" t="s">
        <v>15681</v>
      </c>
      <c r="R356" s="9" t="s">
        <v>15680</v>
      </c>
      <c r="S356" s="9" t="s">
        <v>15679</v>
      </c>
      <c r="T356" s="9" t="s">
        <v>15678</v>
      </c>
      <c r="U356" s="9" t="s">
        <v>15677</v>
      </c>
      <c r="V356" s="9" t="s">
        <v>15044</v>
      </c>
      <c r="W356" s="9" t="s">
        <v>15676</v>
      </c>
      <c r="X356" s="9" t="s">
        <v>15620</v>
      </c>
      <c r="Y356" s="9"/>
      <c r="Z356" s="9"/>
      <c r="AA356" s="9" t="s">
        <v>15389</v>
      </c>
      <c r="AB356" s="9"/>
      <c r="AC356" s="9"/>
      <c r="AD356" s="9" t="s">
        <v>15389</v>
      </c>
      <c r="AE356" s="9"/>
      <c r="AF356" s="9"/>
      <c r="AG356" s="9" t="s">
        <v>15389</v>
      </c>
    </row>
    <row r="357" spans="1:33" ht="16.5">
      <c r="A357" s="9">
        <v>352</v>
      </c>
      <c r="B357" s="9" t="s">
        <v>15675</v>
      </c>
      <c r="C357" s="9" t="s">
        <v>14750</v>
      </c>
      <c r="D357" s="9" t="s">
        <v>15645</v>
      </c>
      <c r="E357" s="12">
        <v>43784</v>
      </c>
      <c r="F357" s="12">
        <v>44472</v>
      </c>
      <c r="G357" s="12" t="s">
        <v>14702</v>
      </c>
      <c r="H357" s="9" t="s">
        <v>15334</v>
      </c>
      <c r="I357" s="9" t="s">
        <v>15674</v>
      </c>
      <c r="J357" s="9">
        <v>3911161102</v>
      </c>
      <c r="K357" s="9" t="s">
        <v>14920</v>
      </c>
      <c r="L357" s="9"/>
      <c r="M357" s="11" t="s">
        <v>15065</v>
      </c>
      <c r="N357" s="10" t="s">
        <v>15332</v>
      </c>
      <c r="O357" s="9" t="s">
        <v>15331</v>
      </c>
      <c r="P357" s="9" t="s">
        <v>15330</v>
      </c>
      <c r="Q357" s="9" t="s">
        <v>15673</v>
      </c>
      <c r="R357" s="9" t="s">
        <v>15672</v>
      </c>
      <c r="S357" s="9" t="s">
        <v>15327</v>
      </c>
      <c r="T357" s="9" t="s">
        <v>14787</v>
      </c>
      <c r="U357" s="9" t="s">
        <v>15671</v>
      </c>
      <c r="V357" s="9" t="s">
        <v>75</v>
      </c>
      <c r="W357" s="9" t="s">
        <v>15670</v>
      </c>
      <c r="X357" s="9" t="s">
        <v>15325</v>
      </c>
      <c r="Y357" s="9"/>
      <c r="Z357" s="9"/>
      <c r="AA357" s="9" t="s">
        <v>15389</v>
      </c>
      <c r="AB357" s="9"/>
      <c r="AC357" s="9"/>
      <c r="AD357" s="9" t="s">
        <v>15389</v>
      </c>
      <c r="AE357" s="9"/>
      <c r="AF357" s="9"/>
      <c r="AG357" s="9" t="s">
        <v>15389</v>
      </c>
    </row>
    <row r="358" spans="1:33" ht="16.5">
      <c r="A358" s="9">
        <v>353</v>
      </c>
      <c r="B358" s="9" t="s">
        <v>15669</v>
      </c>
      <c r="C358" s="9" t="s">
        <v>14750</v>
      </c>
      <c r="D358" s="9" t="s">
        <v>15645</v>
      </c>
      <c r="E358" s="12">
        <v>43784</v>
      </c>
      <c r="F358" s="12">
        <v>44574</v>
      </c>
      <c r="G358" s="12" t="s">
        <v>14702</v>
      </c>
      <c r="H358" s="9" t="s">
        <v>15668</v>
      </c>
      <c r="I358" s="9" t="s">
        <v>15667</v>
      </c>
      <c r="J358" s="9">
        <v>8111159801</v>
      </c>
      <c r="K358" s="9" t="s">
        <v>15656</v>
      </c>
      <c r="L358" s="9"/>
      <c r="M358" s="11" t="s">
        <v>15065</v>
      </c>
      <c r="N358" s="10" t="s">
        <v>15666</v>
      </c>
      <c r="O358" s="9" t="s">
        <v>15665</v>
      </c>
      <c r="P358" s="9" t="s">
        <v>15664</v>
      </c>
      <c r="Q358" s="9" t="s">
        <v>15664</v>
      </c>
      <c r="R358" s="9" t="s">
        <v>15663</v>
      </c>
      <c r="S358" s="9" t="s">
        <v>15662</v>
      </c>
      <c r="T358" s="9" t="s">
        <v>14756</v>
      </c>
      <c r="U358" s="9" t="s">
        <v>15661</v>
      </c>
      <c r="V358" s="9" t="s">
        <v>15243</v>
      </c>
      <c r="W358" s="9" t="s">
        <v>15660</v>
      </c>
      <c r="X358" s="9" t="s">
        <v>15659</v>
      </c>
      <c r="Y358" s="9"/>
      <c r="Z358" s="9"/>
      <c r="AA358" s="9" t="s">
        <v>15389</v>
      </c>
      <c r="AB358" s="9"/>
      <c r="AC358" s="9"/>
      <c r="AD358" s="9" t="s">
        <v>15389</v>
      </c>
      <c r="AE358" s="9"/>
      <c r="AF358" s="9"/>
      <c r="AG358" s="9" t="s">
        <v>15389</v>
      </c>
    </row>
    <row r="359" spans="1:33" ht="16.5">
      <c r="A359" s="9">
        <v>354</v>
      </c>
      <c r="B359" s="9" t="s">
        <v>15658</v>
      </c>
      <c r="C359" s="9" t="s">
        <v>14705</v>
      </c>
      <c r="D359" s="9" t="s">
        <v>15645</v>
      </c>
      <c r="E359" s="12">
        <v>43784</v>
      </c>
      <c r="F359" s="12">
        <v>44630</v>
      </c>
      <c r="G359" s="12" t="s">
        <v>14702</v>
      </c>
      <c r="H359" s="9" t="s">
        <v>15657</v>
      </c>
      <c r="I359" s="9" t="s">
        <v>15657</v>
      </c>
      <c r="J359" s="9">
        <v>8111159801</v>
      </c>
      <c r="K359" s="9" t="s">
        <v>15656</v>
      </c>
      <c r="L359" s="9"/>
      <c r="M359" s="11" t="s">
        <v>14732</v>
      </c>
      <c r="N359" s="10" t="s">
        <v>15655</v>
      </c>
      <c r="O359" s="9" t="s">
        <v>15654</v>
      </c>
      <c r="P359" s="9" t="s">
        <v>15653</v>
      </c>
      <c r="Q359" s="9" t="s">
        <v>15652</v>
      </c>
      <c r="R359" s="9" t="s">
        <v>15651</v>
      </c>
      <c r="S359" s="9" t="s">
        <v>15650</v>
      </c>
      <c r="T359" s="9" t="s">
        <v>14725</v>
      </c>
      <c r="U359" s="9" t="s">
        <v>15649</v>
      </c>
      <c r="V359" s="9" t="s">
        <v>15243</v>
      </c>
      <c r="W359" s="9" t="s">
        <v>15648</v>
      </c>
      <c r="X359" s="9" t="s">
        <v>15647</v>
      </c>
      <c r="Y359" s="9"/>
      <c r="Z359" s="9"/>
      <c r="AA359" s="9" t="s">
        <v>15389</v>
      </c>
      <c r="AB359" s="9"/>
      <c r="AC359" s="9"/>
      <c r="AD359" s="9" t="s">
        <v>15389</v>
      </c>
      <c r="AE359" s="9"/>
      <c r="AF359" s="9"/>
      <c r="AG359" s="9" t="s">
        <v>15389</v>
      </c>
    </row>
    <row r="360" spans="1:33" ht="16.5">
      <c r="A360" s="9">
        <v>355</v>
      </c>
      <c r="B360" s="9" t="s">
        <v>15646</v>
      </c>
      <c r="C360" s="9" t="s">
        <v>14705</v>
      </c>
      <c r="D360" s="9" t="s">
        <v>15645</v>
      </c>
      <c r="E360" s="12">
        <v>43784</v>
      </c>
      <c r="F360" s="12">
        <v>44632</v>
      </c>
      <c r="G360" s="12" t="s">
        <v>14702</v>
      </c>
      <c r="H360" s="9" t="s">
        <v>15644</v>
      </c>
      <c r="I360" s="9" t="s">
        <v>15643</v>
      </c>
      <c r="J360" s="9">
        <v>4615150101</v>
      </c>
      <c r="K360" s="9" t="s">
        <v>15642</v>
      </c>
      <c r="L360" s="9"/>
      <c r="M360" s="11" t="s">
        <v>14732</v>
      </c>
      <c r="N360" s="10" t="s">
        <v>15641</v>
      </c>
      <c r="O360" s="9" t="s">
        <v>15640</v>
      </c>
      <c r="P360" s="9" t="s">
        <v>15639</v>
      </c>
      <c r="Q360" s="9" t="s">
        <v>15638</v>
      </c>
      <c r="R360" s="9" t="s">
        <v>15637</v>
      </c>
      <c r="S360" s="9" t="s">
        <v>15636</v>
      </c>
      <c r="T360" s="9" t="s">
        <v>14725</v>
      </c>
      <c r="U360" s="9" t="s">
        <v>15635</v>
      </c>
      <c r="V360" s="9" t="s">
        <v>77</v>
      </c>
      <c r="W360" s="9" t="s">
        <v>15634</v>
      </c>
      <c r="X360" s="9" t="s">
        <v>15633</v>
      </c>
      <c r="Y360" s="9"/>
      <c r="Z360" s="9"/>
      <c r="AA360" s="9" t="s">
        <v>15389</v>
      </c>
      <c r="AB360" s="9"/>
      <c r="AC360" s="9"/>
      <c r="AD360" s="9" t="s">
        <v>15389</v>
      </c>
      <c r="AE360" s="9"/>
      <c r="AF360" s="9"/>
      <c r="AG360" s="9" t="s">
        <v>15389</v>
      </c>
    </row>
    <row r="361" spans="1:33" ht="16.5">
      <c r="A361" s="9">
        <v>356</v>
      </c>
      <c r="B361" s="9" t="s">
        <v>15632</v>
      </c>
      <c r="C361" s="9" t="s">
        <v>15155</v>
      </c>
      <c r="D361" s="9" t="s">
        <v>15614</v>
      </c>
      <c r="E361" s="12" t="s">
        <v>15401</v>
      </c>
      <c r="F361" s="12">
        <v>44716</v>
      </c>
      <c r="G361" s="12" t="s">
        <v>14702</v>
      </c>
      <c r="H361" s="9" t="s">
        <v>15631</v>
      </c>
      <c r="I361" s="9" t="s">
        <v>15630</v>
      </c>
      <c r="J361" s="9">
        <v>4617161601</v>
      </c>
      <c r="K361" s="9" t="s">
        <v>15629</v>
      </c>
      <c r="L361" s="9"/>
      <c r="M361" s="11" t="s">
        <v>14732</v>
      </c>
      <c r="N361" s="10" t="s">
        <v>15628</v>
      </c>
      <c r="O361" s="9" t="s">
        <v>15627</v>
      </c>
      <c r="P361" s="9" t="s">
        <v>15626</v>
      </c>
      <c r="Q361" s="9" t="s">
        <v>15625</v>
      </c>
      <c r="R361" s="9" t="s">
        <v>15624</v>
      </c>
      <c r="S361" s="9" t="s">
        <v>15623</v>
      </c>
      <c r="T361" s="9" t="s">
        <v>14773</v>
      </c>
      <c r="U361" s="9" t="s">
        <v>15622</v>
      </c>
      <c r="V361" s="9" t="s">
        <v>77</v>
      </c>
      <c r="W361" s="9" t="s">
        <v>15621</v>
      </c>
      <c r="X361" s="9" t="s">
        <v>15620</v>
      </c>
      <c r="Y361" s="9"/>
      <c r="Z361" s="9"/>
      <c r="AA361" s="9"/>
      <c r="AB361" s="9"/>
      <c r="AC361" s="9"/>
      <c r="AD361" s="9"/>
      <c r="AE361" s="9"/>
      <c r="AF361" s="9"/>
      <c r="AG361" s="9"/>
    </row>
    <row r="362" spans="1:33" ht="16.5">
      <c r="A362" s="9">
        <v>357</v>
      </c>
      <c r="B362" s="9" t="s">
        <v>15619</v>
      </c>
      <c r="C362" s="9" t="s">
        <v>15155</v>
      </c>
      <c r="D362" s="9" t="s">
        <v>15430</v>
      </c>
      <c r="E362" s="12" t="s">
        <v>15429</v>
      </c>
      <c r="F362" s="12">
        <v>44633</v>
      </c>
      <c r="G362" s="12" t="s">
        <v>14702</v>
      </c>
      <c r="H362" s="9" t="s">
        <v>15618</v>
      </c>
      <c r="I362" s="9" t="s">
        <v>15617</v>
      </c>
      <c r="J362" s="9">
        <v>3911160802</v>
      </c>
      <c r="K362" s="9" t="s">
        <v>15018</v>
      </c>
      <c r="L362" s="9"/>
      <c r="M362" s="11" t="s">
        <v>14794</v>
      </c>
      <c r="N362" s="10" t="s">
        <v>15616</v>
      </c>
      <c r="O362" s="9" t="s">
        <v>15580</v>
      </c>
      <c r="P362" s="9" t="s">
        <v>15579</v>
      </c>
      <c r="Q362" s="9" t="s">
        <v>15578</v>
      </c>
      <c r="R362" s="9" t="s">
        <v>15577</v>
      </c>
      <c r="S362" s="9" t="s">
        <v>15576</v>
      </c>
      <c r="T362" s="9" t="s">
        <v>15575</v>
      </c>
      <c r="U362" s="9" t="s">
        <v>15574</v>
      </c>
      <c r="V362" s="9" t="s">
        <v>15572</v>
      </c>
      <c r="W362" s="9" t="s">
        <v>15573</v>
      </c>
      <c r="X362" s="9" t="s">
        <v>15570</v>
      </c>
      <c r="Y362" s="9"/>
      <c r="Z362" s="9"/>
      <c r="AA362" s="9"/>
      <c r="AB362" s="9"/>
      <c r="AC362" s="9"/>
      <c r="AD362" s="9"/>
      <c r="AE362" s="9"/>
      <c r="AF362" s="9"/>
      <c r="AG362" s="9"/>
    </row>
    <row r="363" spans="1:33" s="31" customFormat="1" ht="16.5">
      <c r="A363" s="28">
        <v>358</v>
      </c>
      <c r="B363" s="28" t="s">
        <v>15615</v>
      </c>
      <c r="C363" s="28" t="s">
        <v>15155</v>
      </c>
      <c r="D363" s="28" t="s">
        <v>15614</v>
      </c>
      <c r="E363" s="29" t="s">
        <v>15401</v>
      </c>
      <c r="F363" s="29">
        <v>44515</v>
      </c>
      <c r="G363" s="29" t="s">
        <v>14702</v>
      </c>
      <c r="H363" s="28" t="s">
        <v>19895</v>
      </c>
      <c r="I363" s="28" t="s">
        <v>15613</v>
      </c>
      <c r="J363" s="28">
        <v>4618200103</v>
      </c>
      <c r="K363" s="28" t="s">
        <v>15612</v>
      </c>
      <c r="L363" s="28"/>
      <c r="M363" s="33" t="s">
        <v>14794</v>
      </c>
      <c r="N363" s="30" t="s">
        <v>19888</v>
      </c>
      <c r="O363" s="28" t="s">
        <v>15611</v>
      </c>
      <c r="P363" s="28" t="s">
        <v>15610</v>
      </c>
      <c r="Q363" s="28" t="s">
        <v>15609</v>
      </c>
      <c r="R363" s="28" t="s">
        <v>15608</v>
      </c>
      <c r="S363" s="28" t="s">
        <v>15607</v>
      </c>
      <c r="T363" s="28" t="s">
        <v>15101</v>
      </c>
      <c r="U363" s="28" t="s">
        <v>15606</v>
      </c>
      <c r="V363" s="28" t="s">
        <v>15605</v>
      </c>
      <c r="W363" s="28" t="s">
        <v>15604</v>
      </c>
      <c r="X363" s="28" t="s">
        <v>15603</v>
      </c>
      <c r="Y363" s="28"/>
      <c r="Z363" s="28"/>
      <c r="AA363" s="28"/>
      <c r="AB363" s="28"/>
      <c r="AC363" s="28"/>
      <c r="AD363" s="28"/>
      <c r="AE363" s="28"/>
      <c r="AF363" s="28"/>
      <c r="AG363" s="28"/>
    </row>
    <row r="364" spans="1:33" ht="16.5">
      <c r="A364" s="9">
        <v>359</v>
      </c>
      <c r="B364" s="9" t="s">
        <v>15602</v>
      </c>
      <c r="C364" s="9" t="s">
        <v>15155</v>
      </c>
      <c r="D364" s="9" t="s">
        <v>15430</v>
      </c>
      <c r="E364" s="12" t="s">
        <v>15429</v>
      </c>
      <c r="F364" s="12">
        <v>44388</v>
      </c>
      <c r="G364" s="12" t="s">
        <v>14702</v>
      </c>
      <c r="H364" s="9" t="s">
        <v>15601</v>
      </c>
      <c r="I364" s="9" t="s">
        <v>15600</v>
      </c>
      <c r="J364" s="9">
        <v>3911161102</v>
      </c>
      <c r="K364" s="9" t="s">
        <v>14920</v>
      </c>
      <c r="L364" s="9"/>
      <c r="M364" s="11" t="s">
        <v>14794</v>
      </c>
      <c r="N364" s="10" t="s">
        <v>15581</v>
      </c>
      <c r="O364" s="9" t="s">
        <v>15580</v>
      </c>
      <c r="P364" s="9" t="s">
        <v>15579</v>
      </c>
      <c r="Q364" s="9" t="s">
        <v>15578</v>
      </c>
      <c r="R364" s="9" t="s">
        <v>15577</v>
      </c>
      <c r="S364" s="9" t="s">
        <v>15576</v>
      </c>
      <c r="T364" s="9" t="s">
        <v>15575</v>
      </c>
      <c r="U364" s="9" t="s">
        <v>15574</v>
      </c>
      <c r="V364" s="9" t="s">
        <v>15572</v>
      </c>
      <c r="W364" s="9" t="s">
        <v>15599</v>
      </c>
      <c r="X364" s="9" t="s">
        <v>15598</v>
      </c>
      <c r="Y364" s="9"/>
      <c r="Z364" s="9"/>
      <c r="AA364" s="9"/>
      <c r="AB364" s="9"/>
      <c r="AC364" s="9"/>
      <c r="AD364" s="9"/>
      <c r="AE364" s="9"/>
      <c r="AF364" s="9"/>
      <c r="AG364" s="9"/>
    </row>
    <row r="365" spans="1:33" ht="16.5">
      <c r="A365" s="9">
        <v>360</v>
      </c>
      <c r="B365" s="9" t="s">
        <v>15597</v>
      </c>
      <c r="C365" s="9" t="s">
        <v>14750</v>
      </c>
      <c r="D365" s="9" t="s">
        <v>15402</v>
      </c>
      <c r="E365" s="12" t="s">
        <v>15401</v>
      </c>
      <c r="F365" s="12">
        <v>44695</v>
      </c>
      <c r="G365" s="12" t="s">
        <v>14702</v>
      </c>
      <c r="H365" s="9" t="s">
        <v>15596</v>
      </c>
      <c r="I365" s="9" t="s">
        <v>15595</v>
      </c>
      <c r="J365" s="9">
        <v>4924159601</v>
      </c>
      <c r="K365" s="9" t="s">
        <v>15594</v>
      </c>
      <c r="L365" s="9"/>
      <c r="M365" s="11" t="s">
        <v>14746</v>
      </c>
      <c r="N365" s="10" t="s">
        <v>19894</v>
      </c>
      <c r="O365" s="9" t="s">
        <v>15593</v>
      </c>
      <c r="P365" s="9" t="s">
        <v>15592</v>
      </c>
      <c r="Q365" s="9" t="s">
        <v>15591</v>
      </c>
      <c r="R365" s="9" t="s">
        <v>15590</v>
      </c>
      <c r="S365" s="9" t="s">
        <v>15589</v>
      </c>
      <c r="T365" s="9" t="s">
        <v>15588</v>
      </c>
      <c r="U365" s="9" t="s">
        <v>15587</v>
      </c>
      <c r="V365" s="9" t="s">
        <v>77</v>
      </c>
      <c r="W365" s="9" t="s">
        <v>15586</v>
      </c>
      <c r="X365" s="9" t="s">
        <v>15585</v>
      </c>
      <c r="Y365" s="9"/>
      <c r="Z365" s="9"/>
      <c r="AA365" s="9" t="s">
        <v>15389</v>
      </c>
      <c r="AB365" s="9"/>
      <c r="AC365" s="9"/>
      <c r="AD365" s="9" t="s">
        <v>15389</v>
      </c>
      <c r="AE365" s="9"/>
      <c r="AF365" s="9"/>
      <c r="AG365" s="9" t="s">
        <v>15389</v>
      </c>
    </row>
    <row r="366" spans="1:33" ht="16.5">
      <c r="A366" s="9">
        <v>361</v>
      </c>
      <c r="B366" s="9" t="s">
        <v>15584</v>
      </c>
      <c r="C366" s="9" t="s">
        <v>15155</v>
      </c>
      <c r="D366" s="9" t="s">
        <v>15430</v>
      </c>
      <c r="E366" s="12">
        <v>43669</v>
      </c>
      <c r="F366" s="12">
        <v>44633</v>
      </c>
      <c r="G366" s="12" t="s">
        <v>14702</v>
      </c>
      <c r="H366" s="9" t="s">
        <v>15583</v>
      </c>
      <c r="I366" s="9" t="s">
        <v>15582</v>
      </c>
      <c r="J366" s="9">
        <v>3911160302</v>
      </c>
      <c r="K366" s="9" t="s">
        <v>14907</v>
      </c>
      <c r="L366" s="9"/>
      <c r="M366" s="11" t="s">
        <v>14794</v>
      </c>
      <c r="N366" s="10" t="s">
        <v>15581</v>
      </c>
      <c r="O366" s="9" t="s">
        <v>15580</v>
      </c>
      <c r="P366" s="9" t="s">
        <v>15579</v>
      </c>
      <c r="Q366" s="9" t="s">
        <v>15578</v>
      </c>
      <c r="R366" s="9" t="s">
        <v>15577</v>
      </c>
      <c r="S366" s="9" t="s">
        <v>15576</v>
      </c>
      <c r="T366" s="9" t="s">
        <v>15575</v>
      </c>
      <c r="U366" s="9" t="s">
        <v>15574</v>
      </c>
      <c r="V366" s="9" t="s">
        <v>15572</v>
      </c>
      <c r="W366" s="9" t="s">
        <v>15573</v>
      </c>
      <c r="X366" s="9" t="s">
        <v>15570</v>
      </c>
      <c r="Y366" s="9" t="s">
        <v>15572</v>
      </c>
      <c r="Z366" s="9" t="s">
        <v>15571</v>
      </c>
      <c r="AA366" s="9" t="s">
        <v>15570</v>
      </c>
      <c r="AB366" s="9"/>
      <c r="AC366" s="9"/>
      <c r="AD366" s="9"/>
      <c r="AE366" s="9"/>
      <c r="AF366" s="9"/>
      <c r="AG366" s="9"/>
    </row>
    <row r="367" spans="1:33" ht="16.5">
      <c r="A367" s="9">
        <v>362</v>
      </c>
      <c r="B367" s="9" t="s">
        <v>15569</v>
      </c>
      <c r="C367" s="9" t="s">
        <v>14705</v>
      </c>
      <c r="D367" s="9" t="s">
        <v>15402</v>
      </c>
      <c r="E367" s="12" t="s">
        <v>15401</v>
      </c>
      <c r="F367" s="12">
        <v>44711</v>
      </c>
      <c r="G367" s="12" t="s">
        <v>14702</v>
      </c>
      <c r="H367" s="9" t="s">
        <v>15568</v>
      </c>
      <c r="I367" s="9" t="s">
        <v>15567</v>
      </c>
      <c r="J367" s="9">
        <v>4016150201</v>
      </c>
      <c r="K367" s="9" t="s">
        <v>15566</v>
      </c>
      <c r="L367" s="9"/>
      <c r="M367" s="11" t="s">
        <v>14732</v>
      </c>
      <c r="N367" s="10" t="s">
        <v>15565</v>
      </c>
      <c r="O367" s="9" t="s">
        <v>15564</v>
      </c>
      <c r="P367" s="9" t="s">
        <v>15563</v>
      </c>
      <c r="Q367" s="9" t="s">
        <v>15562</v>
      </c>
      <c r="R367" s="9" t="s">
        <v>15561</v>
      </c>
      <c r="S367" s="9" t="s">
        <v>15560</v>
      </c>
      <c r="T367" s="9" t="s">
        <v>14725</v>
      </c>
      <c r="U367" s="9" t="s">
        <v>15559</v>
      </c>
      <c r="V367" s="9" t="s">
        <v>77</v>
      </c>
      <c r="W367" s="9" t="s">
        <v>15558</v>
      </c>
      <c r="X367" s="9" t="s">
        <v>15557</v>
      </c>
      <c r="Y367" s="9"/>
      <c r="Z367" s="9"/>
      <c r="AA367" s="9" t="s">
        <v>15389</v>
      </c>
      <c r="AB367" s="9"/>
      <c r="AC367" s="9"/>
      <c r="AD367" s="9" t="s">
        <v>15389</v>
      </c>
      <c r="AE367" s="9"/>
      <c r="AF367" s="9"/>
      <c r="AG367" s="9" t="s">
        <v>15389</v>
      </c>
    </row>
    <row r="368" spans="1:33" ht="16.5">
      <c r="A368" s="9">
        <v>363</v>
      </c>
      <c r="B368" s="9" t="s">
        <v>15556</v>
      </c>
      <c r="C368" s="9" t="s">
        <v>14750</v>
      </c>
      <c r="D368" s="9" t="s">
        <v>15402</v>
      </c>
      <c r="E368" s="12" t="s">
        <v>15401</v>
      </c>
      <c r="F368" s="12">
        <v>44612</v>
      </c>
      <c r="G368" s="12" t="s">
        <v>14702</v>
      </c>
      <c r="H368" s="9" t="s">
        <v>15555</v>
      </c>
      <c r="I368" s="9" t="s">
        <v>15554</v>
      </c>
      <c r="J368" s="9">
        <v>3015200101</v>
      </c>
      <c r="K368" s="9" t="s">
        <v>15553</v>
      </c>
      <c r="L368" s="9"/>
      <c r="M368" s="11" t="s">
        <v>15065</v>
      </c>
      <c r="N368" s="10" t="s">
        <v>471</v>
      </c>
      <c r="O368" s="9" t="s">
        <v>15552</v>
      </c>
      <c r="P368" s="9" t="s">
        <v>15551</v>
      </c>
      <c r="Q368" s="9" t="s">
        <v>15550</v>
      </c>
      <c r="R368" s="9" t="s">
        <v>15549</v>
      </c>
      <c r="S368" s="9" t="s">
        <v>15548</v>
      </c>
      <c r="T368" s="9" t="s">
        <v>15291</v>
      </c>
      <c r="U368" s="9" t="s">
        <v>15547</v>
      </c>
      <c r="V368" s="9" t="s">
        <v>77</v>
      </c>
      <c r="W368" s="9" t="s">
        <v>15546</v>
      </c>
      <c r="X368" s="9" t="s">
        <v>15545</v>
      </c>
      <c r="Y368" s="9"/>
      <c r="Z368" s="9"/>
      <c r="AA368" s="9" t="s">
        <v>15389</v>
      </c>
      <c r="AB368" s="9"/>
      <c r="AC368" s="9"/>
      <c r="AD368" s="9" t="s">
        <v>15389</v>
      </c>
      <c r="AE368" s="9"/>
      <c r="AF368" s="9"/>
      <c r="AG368" s="9" t="s">
        <v>15389</v>
      </c>
    </row>
    <row r="369" spans="1:33" ht="16.5">
      <c r="A369" s="9">
        <v>364</v>
      </c>
      <c r="B369" s="9" t="s">
        <v>15544</v>
      </c>
      <c r="C369" s="9" t="s">
        <v>14750</v>
      </c>
      <c r="D369" s="9" t="s">
        <v>15402</v>
      </c>
      <c r="E369" s="12" t="s">
        <v>15401</v>
      </c>
      <c r="F369" s="12">
        <v>44591</v>
      </c>
      <c r="G369" s="12" t="s">
        <v>14702</v>
      </c>
      <c r="H369" s="9" t="s">
        <v>15543</v>
      </c>
      <c r="I369" s="9" t="s">
        <v>15542</v>
      </c>
      <c r="J369" s="9">
        <v>4710998001</v>
      </c>
      <c r="K369" s="9" t="s">
        <v>15541</v>
      </c>
      <c r="L369" s="9"/>
      <c r="M369" s="11" t="s">
        <v>15065</v>
      </c>
      <c r="N369" s="10" t="s">
        <v>1531</v>
      </c>
      <c r="O369" s="9" t="s">
        <v>15540</v>
      </c>
      <c r="P369" s="9" t="s">
        <v>15539</v>
      </c>
      <c r="Q369" s="9" t="s">
        <v>15538</v>
      </c>
      <c r="R369" s="9" t="s">
        <v>15537</v>
      </c>
      <c r="S369" s="9" t="s">
        <v>15536</v>
      </c>
      <c r="T369" s="9" t="s">
        <v>14725</v>
      </c>
      <c r="U369" s="9" t="s">
        <v>15535</v>
      </c>
      <c r="V369" s="9" t="s">
        <v>77</v>
      </c>
      <c r="W369" s="9" t="s">
        <v>15534</v>
      </c>
      <c r="X369" s="9" t="s">
        <v>15190</v>
      </c>
      <c r="Y369" s="9"/>
      <c r="Z369" s="9"/>
      <c r="AA369" s="9" t="s">
        <v>15389</v>
      </c>
      <c r="AB369" s="9"/>
      <c r="AC369" s="9"/>
      <c r="AD369" s="9" t="s">
        <v>15389</v>
      </c>
      <c r="AE369" s="9"/>
      <c r="AF369" s="9"/>
      <c r="AG369" s="9" t="s">
        <v>15389</v>
      </c>
    </row>
    <row r="370" spans="1:33" ht="16.5">
      <c r="A370" s="9">
        <v>365</v>
      </c>
      <c r="B370" s="9" t="s">
        <v>15533</v>
      </c>
      <c r="C370" s="9" t="s">
        <v>14705</v>
      </c>
      <c r="D370" s="9" t="s">
        <v>15402</v>
      </c>
      <c r="E370" s="12" t="s">
        <v>15401</v>
      </c>
      <c r="F370" s="12">
        <v>44518</v>
      </c>
      <c r="G370" s="12" t="s">
        <v>14702</v>
      </c>
      <c r="H370" s="9" t="s">
        <v>15532</v>
      </c>
      <c r="I370" s="9" t="s">
        <v>15532</v>
      </c>
      <c r="J370" s="9">
        <v>4617162201</v>
      </c>
      <c r="K370" s="9" t="s">
        <v>14959</v>
      </c>
      <c r="L370" s="9"/>
      <c r="M370" s="11" t="s">
        <v>14794</v>
      </c>
      <c r="N370" s="10" t="s">
        <v>15531</v>
      </c>
      <c r="O370" s="9" t="s">
        <v>15530</v>
      </c>
      <c r="P370" s="9" t="s">
        <v>15529</v>
      </c>
      <c r="Q370" s="9" t="s">
        <v>15528</v>
      </c>
      <c r="R370" s="9" t="s">
        <v>15527</v>
      </c>
      <c r="S370" s="9" t="s">
        <v>15526</v>
      </c>
      <c r="T370" s="9" t="s">
        <v>14815</v>
      </c>
      <c r="U370" s="9" t="s">
        <v>15525</v>
      </c>
      <c r="V370" s="9" t="s">
        <v>15243</v>
      </c>
      <c r="W370" s="9" t="s">
        <v>15524</v>
      </c>
      <c r="X370" s="9" t="s">
        <v>15523</v>
      </c>
      <c r="Y370" s="9"/>
      <c r="Z370" s="9"/>
      <c r="AA370" s="9" t="s">
        <v>15389</v>
      </c>
      <c r="AB370" s="9"/>
      <c r="AC370" s="9"/>
      <c r="AD370" s="9" t="s">
        <v>15389</v>
      </c>
      <c r="AE370" s="9"/>
      <c r="AF370" s="9"/>
      <c r="AG370" s="9" t="s">
        <v>15389</v>
      </c>
    </row>
    <row r="371" spans="1:33" ht="16.5">
      <c r="A371" s="9">
        <v>366</v>
      </c>
      <c r="B371" s="9" t="s">
        <v>15522</v>
      </c>
      <c r="C371" s="9" t="s">
        <v>14705</v>
      </c>
      <c r="D371" s="9" t="s">
        <v>15402</v>
      </c>
      <c r="E371" s="12" t="s">
        <v>15401</v>
      </c>
      <c r="F371" s="12">
        <v>44653</v>
      </c>
      <c r="G371" s="12" t="s">
        <v>14702</v>
      </c>
      <c r="H371" s="9" t="s">
        <v>15521</v>
      </c>
      <c r="I371" s="9" t="s">
        <v>15520</v>
      </c>
      <c r="J371" s="9">
        <v>3012169501</v>
      </c>
      <c r="K371" s="9" t="s">
        <v>15519</v>
      </c>
      <c r="L371" s="9"/>
      <c r="M371" s="11" t="s">
        <v>14794</v>
      </c>
      <c r="N371" s="10" t="s">
        <v>15518</v>
      </c>
      <c r="O371" s="9" t="s">
        <v>15517</v>
      </c>
      <c r="P371" s="9" t="s">
        <v>15516</v>
      </c>
      <c r="Q371" s="9" t="s">
        <v>15515</v>
      </c>
      <c r="R371" s="9" t="s">
        <v>15514</v>
      </c>
      <c r="S371" s="9" t="s">
        <v>15513</v>
      </c>
      <c r="T371" s="9" t="s">
        <v>15488</v>
      </c>
      <c r="U371" s="9" t="s">
        <v>15512</v>
      </c>
      <c r="V371" s="9" t="s">
        <v>75</v>
      </c>
      <c r="W371" s="9" t="s">
        <v>15511</v>
      </c>
      <c r="X371" s="9" t="s">
        <v>15510</v>
      </c>
      <c r="Y371" s="9"/>
      <c r="Z371" s="9"/>
      <c r="AA371" s="9"/>
      <c r="AB371" s="9"/>
      <c r="AC371" s="9"/>
      <c r="AD371" s="9" t="s">
        <v>15389</v>
      </c>
      <c r="AE371" s="9"/>
      <c r="AF371" s="9"/>
      <c r="AG371" s="9" t="s">
        <v>15389</v>
      </c>
    </row>
    <row r="372" spans="1:33" ht="16.5">
      <c r="A372" s="9">
        <v>367</v>
      </c>
      <c r="B372" s="9" t="s">
        <v>15509</v>
      </c>
      <c r="C372" s="9" t="s">
        <v>14705</v>
      </c>
      <c r="D372" s="9" t="s">
        <v>15402</v>
      </c>
      <c r="E372" s="12" t="s">
        <v>15401</v>
      </c>
      <c r="F372" s="12">
        <v>44630</v>
      </c>
      <c r="G372" s="12" t="s">
        <v>14702</v>
      </c>
      <c r="H372" s="9" t="s">
        <v>15508</v>
      </c>
      <c r="I372" s="9" t="s">
        <v>15508</v>
      </c>
      <c r="J372" s="9">
        <v>4016150303</v>
      </c>
      <c r="K372" s="9" t="s">
        <v>15507</v>
      </c>
      <c r="L372" s="9"/>
      <c r="M372" s="11" t="s">
        <v>14763</v>
      </c>
      <c r="N372" s="10" t="s">
        <v>15506</v>
      </c>
      <c r="O372" s="9" t="s">
        <v>15505</v>
      </c>
      <c r="P372" s="9" t="s">
        <v>15504</v>
      </c>
      <c r="Q372" s="9" t="s">
        <v>15503</v>
      </c>
      <c r="R372" s="9" t="s">
        <v>15502</v>
      </c>
      <c r="S372" s="9" t="s">
        <v>15501</v>
      </c>
      <c r="T372" s="9" t="s">
        <v>14712</v>
      </c>
      <c r="U372" s="9" t="s">
        <v>15500</v>
      </c>
      <c r="V372" s="9" t="s">
        <v>14710</v>
      </c>
      <c r="W372" s="9" t="s">
        <v>15499</v>
      </c>
      <c r="X372" s="9" t="s">
        <v>15445</v>
      </c>
      <c r="Y372" s="9"/>
      <c r="Z372" s="9"/>
      <c r="AA372" s="9" t="s">
        <v>15389</v>
      </c>
      <c r="AB372" s="9"/>
      <c r="AC372" s="9"/>
      <c r="AD372" s="9" t="s">
        <v>15389</v>
      </c>
      <c r="AE372" s="9"/>
      <c r="AF372" s="9"/>
      <c r="AG372" s="9" t="s">
        <v>15389</v>
      </c>
    </row>
    <row r="373" spans="1:33" ht="16.5">
      <c r="A373" s="9">
        <v>368</v>
      </c>
      <c r="B373" s="9" t="s">
        <v>15498</v>
      </c>
      <c r="C373" s="9" t="s">
        <v>14705</v>
      </c>
      <c r="D373" s="9" t="s">
        <v>15402</v>
      </c>
      <c r="E373" s="12" t="s">
        <v>15401</v>
      </c>
      <c r="F373" s="12">
        <v>44371</v>
      </c>
      <c r="G373" s="12" t="s">
        <v>14702</v>
      </c>
      <c r="H373" s="9" t="s">
        <v>15497</v>
      </c>
      <c r="I373" s="9" t="s">
        <v>15496</v>
      </c>
      <c r="J373" s="9">
        <v>4111180902</v>
      </c>
      <c r="K373" s="9" t="s">
        <v>15495</v>
      </c>
      <c r="L373" s="9"/>
      <c r="M373" s="11" t="s">
        <v>14794</v>
      </c>
      <c r="N373" s="10" t="s">
        <v>15494</v>
      </c>
      <c r="O373" s="9" t="s">
        <v>15493</v>
      </c>
      <c r="P373" s="9" t="s">
        <v>15492</v>
      </c>
      <c r="Q373" s="9" t="s">
        <v>15491</v>
      </c>
      <c r="R373" s="9" t="s">
        <v>15490</v>
      </c>
      <c r="S373" s="9" t="s">
        <v>15489</v>
      </c>
      <c r="T373" s="9" t="s">
        <v>15488</v>
      </c>
      <c r="U373" s="9" t="s">
        <v>15487</v>
      </c>
      <c r="V373" s="9" t="s">
        <v>14710</v>
      </c>
      <c r="W373" s="9" t="s">
        <v>15486</v>
      </c>
      <c r="X373" s="9" t="s">
        <v>15485</v>
      </c>
      <c r="Y373" s="9"/>
      <c r="Z373" s="9"/>
      <c r="AA373" s="9" t="s">
        <v>15389</v>
      </c>
      <c r="AB373" s="9"/>
      <c r="AC373" s="9"/>
      <c r="AD373" s="9" t="s">
        <v>15389</v>
      </c>
      <c r="AE373" s="9"/>
      <c r="AF373" s="9"/>
      <c r="AG373" s="9" t="s">
        <v>15389</v>
      </c>
    </row>
    <row r="374" spans="1:33" ht="16.5">
      <c r="A374" s="9">
        <v>369</v>
      </c>
      <c r="B374" s="9" t="s">
        <v>15484</v>
      </c>
      <c r="C374" s="9" t="s">
        <v>14750</v>
      </c>
      <c r="D374" s="9" t="s">
        <v>15402</v>
      </c>
      <c r="E374" s="12" t="s">
        <v>15401</v>
      </c>
      <c r="F374" s="12">
        <v>44394</v>
      </c>
      <c r="G374" s="12" t="s">
        <v>14702</v>
      </c>
      <c r="H374" s="9" t="s">
        <v>15483</v>
      </c>
      <c r="I374" s="9" t="s">
        <v>15482</v>
      </c>
      <c r="J374" s="9">
        <v>4322260901</v>
      </c>
      <c r="K374" s="9" t="s">
        <v>15481</v>
      </c>
      <c r="L374" s="9"/>
      <c r="M374" s="11" t="s">
        <v>14746</v>
      </c>
      <c r="N374" s="10" t="s">
        <v>15480</v>
      </c>
      <c r="O374" s="9" t="s">
        <v>15479</v>
      </c>
      <c r="P374" s="9" t="s">
        <v>15478</v>
      </c>
      <c r="Q374" s="9" t="s">
        <v>15477</v>
      </c>
      <c r="R374" s="9" t="s">
        <v>15476</v>
      </c>
      <c r="S374" s="9" t="s">
        <v>15475</v>
      </c>
      <c r="T374" s="9" t="s">
        <v>14815</v>
      </c>
      <c r="U374" s="9" t="s">
        <v>15474</v>
      </c>
      <c r="V374" s="9" t="s">
        <v>77</v>
      </c>
      <c r="W374" s="9" t="s">
        <v>15473</v>
      </c>
      <c r="X374" s="9" t="s">
        <v>15472</v>
      </c>
      <c r="Y374" s="9"/>
      <c r="Z374" s="9"/>
      <c r="AA374" s="9" t="s">
        <v>15389</v>
      </c>
      <c r="AB374" s="9"/>
      <c r="AC374" s="9"/>
      <c r="AD374" s="9" t="s">
        <v>15389</v>
      </c>
      <c r="AE374" s="9"/>
      <c r="AF374" s="9"/>
      <c r="AG374" s="9" t="s">
        <v>15389</v>
      </c>
    </row>
    <row r="375" spans="1:33" ht="16.5">
      <c r="A375" s="9">
        <v>370</v>
      </c>
      <c r="B375" s="9" t="s">
        <v>15471</v>
      </c>
      <c r="C375" s="9" t="s">
        <v>14705</v>
      </c>
      <c r="D375" s="9" t="s">
        <v>15402</v>
      </c>
      <c r="E375" s="12" t="s">
        <v>15401</v>
      </c>
      <c r="F375" s="12">
        <v>44661</v>
      </c>
      <c r="G375" s="12" t="s">
        <v>14702</v>
      </c>
      <c r="H375" s="9" t="s">
        <v>15470</v>
      </c>
      <c r="I375" s="9" t="s">
        <v>15469</v>
      </c>
      <c r="J375" s="9">
        <v>4111530303</v>
      </c>
      <c r="K375" s="9" t="s">
        <v>15468</v>
      </c>
      <c r="L375" s="9"/>
      <c r="M375" s="11" t="s">
        <v>14717</v>
      </c>
      <c r="N375" s="10" t="s">
        <v>15467</v>
      </c>
      <c r="O375" s="9" t="s">
        <v>15466</v>
      </c>
      <c r="P375" s="9" t="s">
        <v>15465</v>
      </c>
      <c r="Q375" s="9" t="s">
        <v>15464</v>
      </c>
      <c r="R375" s="9" t="s">
        <v>15463</v>
      </c>
      <c r="S375" s="9" t="s">
        <v>15462</v>
      </c>
      <c r="T375" s="9" t="s">
        <v>14725</v>
      </c>
      <c r="U375" s="9" t="s">
        <v>15461</v>
      </c>
      <c r="V375" s="9" t="s">
        <v>15460</v>
      </c>
      <c r="W375" s="9" t="s">
        <v>15459</v>
      </c>
      <c r="X375" s="9" t="s">
        <v>15458</v>
      </c>
      <c r="Y375" s="9"/>
      <c r="Z375" s="9"/>
      <c r="AA375" s="9" t="s">
        <v>15389</v>
      </c>
      <c r="AB375" s="9"/>
      <c r="AC375" s="9"/>
      <c r="AD375" s="9" t="s">
        <v>15389</v>
      </c>
      <c r="AE375" s="9"/>
      <c r="AF375" s="9"/>
      <c r="AG375" s="9" t="s">
        <v>15389</v>
      </c>
    </row>
    <row r="376" spans="1:33" ht="16.5">
      <c r="A376" s="9">
        <v>371</v>
      </c>
      <c r="B376" s="9" t="s">
        <v>15457</v>
      </c>
      <c r="C376" s="9" t="s">
        <v>14705</v>
      </c>
      <c r="D376" s="9" t="s">
        <v>15402</v>
      </c>
      <c r="E376" s="12" t="s">
        <v>15401</v>
      </c>
      <c r="F376" s="12">
        <v>44536</v>
      </c>
      <c r="G376" s="12" t="s">
        <v>14702</v>
      </c>
      <c r="H376" s="9" t="s">
        <v>15456</v>
      </c>
      <c r="I376" s="9" t="s">
        <v>15455</v>
      </c>
      <c r="J376" s="9">
        <v>4015154601</v>
      </c>
      <c r="K376" s="9" t="s">
        <v>15454</v>
      </c>
      <c r="L376" s="9"/>
      <c r="M376" s="11" t="s">
        <v>14794</v>
      </c>
      <c r="N376" s="10" t="s">
        <v>15453</v>
      </c>
      <c r="O376" s="9" t="s">
        <v>15452</v>
      </c>
      <c r="P376" s="9" t="s">
        <v>15451</v>
      </c>
      <c r="Q376" s="9" t="s">
        <v>15450</v>
      </c>
      <c r="R376" s="9" t="s">
        <v>15449</v>
      </c>
      <c r="S376" s="9" t="s">
        <v>15448</v>
      </c>
      <c r="T376" s="9" t="s">
        <v>14725</v>
      </c>
      <c r="U376" s="9" t="s">
        <v>15447</v>
      </c>
      <c r="V376" s="9" t="s">
        <v>14710</v>
      </c>
      <c r="W376" s="9" t="s">
        <v>15446</v>
      </c>
      <c r="X376" s="9" t="s">
        <v>15445</v>
      </c>
      <c r="Y376" s="9"/>
      <c r="Z376" s="9"/>
      <c r="AA376" s="9" t="s">
        <v>15389</v>
      </c>
      <c r="AB376" s="9"/>
      <c r="AC376" s="9"/>
      <c r="AD376" s="9" t="s">
        <v>15389</v>
      </c>
      <c r="AE376" s="9"/>
      <c r="AF376" s="9"/>
      <c r="AG376" s="9" t="s">
        <v>15389</v>
      </c>
    </row>
    <row r="377" spans="1:33" ht="16.5">
      <c r="A377" s="9">
        <v>372</v>
      </c>
      <c r="B377" s="9" t="s">
        <v>15444</v>
      </c>
      <c r="C377" s="9" t="s">
        <v>14705</v>
      </c>
      <c r="D377" s="9" t="s">
        <v>15402</v>
      </c>
      <c r="E377" s="12" t="s">
        <v>15401</v>
      </c>
      <c r="F377" s="12">
        <v>44560</v>
      </c>
      <c r="G377" s="12" t="s">
        <v>14702</v>
      </c>
      <c r="H377" s="9" t="s">
        <v>15443</v>
      </c>
      <c r="I377" s="9" t="s">
        <v>15442</v>
      </c>
      <c r="J377" s="9">
        <v>3912163501</v>
      </c>
      <c r="K377" s="9" t="s">
        <v>15441</v>
      </c>
      <c r="L377" s="9"/>
      <c r="M377" s="11" t="s">
        <v>14794</v>
      </c>
      <c r="N377" s="10" t="s">
        <v>15440</v>
      </c>
      <c r="O377" s="9" t="s">
        <v>15439</v>
      </c>
      <c r="P377" s="9" t="s">
        <v>15438</v>
      </c>
      <c r="Q377" s="9" t="s">
        <v>15437</v>
      </c>
      <c r="R377" s="9" t="s">
        <v>15436</v>
      </c>
      <c r="S377" s="9" t="s">
        <v>15435</v>
      </c>
      <c r="T377" s="9" t="s">
        <v>14815</v>
      </c>
      <c r="U377" s="9" t="s">
        <v>15434</v>
      </c>
      <c r="V377" s="9" t="s">
        <v>77</v>
      </c>
      <c r="W377" s="9" t="s">
        <v>15433</v>
      </c>
      <c r="X377" s="9" t="s">
        <v>15432</v>
      </c>
      <c r="Y377" s="9"/>
      <c r="Z377" s="9"/>
      <c r="AA377" s="9" t="s">
        <v>15389</v>
      </c>
      <c r="AB377" s="9"/>
      <c r="AC377" s="9"/>
      <c r="AD377" s="9" t="s">
        <v>15389</v>
      </c>
      <c r="AE377" s="9"/>
      <c r="AF377" s="9"/>
      <c r="AG377" s="9" t="s">
        <v>15389</v>
      </c>
    </row>
    <row r="378" spans="1:33" ht="16.5">
      <c r="A378" s="9">
        <v>373</v>
      </c>
      <c r="B378" s="9" t="s">
        <v>15431</v>
      </c>
      <c r="C378" s="9" t="s">
        <v>15155</v>
      </c>
      <c r="D378" s="9" t="s">
        <v>15430</v>
      </c>
      <c r="E378" s="12" t="s">
        <v>15429</v>
      </c>
      <c r="F378" s="12">
        <v>44455</v>
      </c>
      <c r="G378" s="12" t="s">
        <v>14702</v>
      </c>
      <c r="H378" s="9" t="s">
        <v>15428</v>
      </c>
      <c r="I378" s="9" t="s">
        <v>15427</v>
      </c>
      <c r="J378" s="9">
        <v>3015229901</v>
      </c>
      <c r="K378" s="9" t="s">
        <v>15426</v>
      </c>
      <c r="L378" s="9"/>
      <c r="M378" s="11" t="s">
        <v>14794</v>
      </c>
      <c r="N378" s="10" t="s">
        <v>15425</v>
      </c>
      <c r="O378" s="9" t="s">
        <v>15424</v>
      </c>
      <c r="P378" s="9" t="s">
        <v>15423</v>
      </c>
      <c r="Q378" s="9" t="s">
        <v>15422</v>
      </c>
      <c r="R378" s="9" t="s">
        <v>15421</v>
      </c>
      <c r="S378" s="9" t="s">
        <v>15420</v>
      </c>
      <c r="T378" s="9" t="s">
        <v>14756</v>
      </c>
      <c r="U378" s="9" t="s">
        <v>15419</v>
      </c>
      <c r="V378" s="9" t="s">
        <v>14868</v>
      </c>
      <c r="W378" s="9" t="s">
        <v>15418</v>
      </c>
      <c r="X378" s="9" t="s">
        <v>15417</v>
      </c>
      <c r="Y378" s="9"/>
      <c r="Z378" s="9"/>
      <c r="AA378" s="9"/>
      <c r="AB378" s="9"/>
      <c r="AC378" s="9"/>
      <c r="AD378" s="9"/>
      <c r="AE378" s="9"/>
      <c r="AF378" s="9"/>
      <c r="AG378" s="9"/>
    </row>
    <row r="379" spans="1:33" ht="16.5">
      <c r="A379" s="9">
        <v>374</v>
      </c>
      <c r="B379" s="9" t="s">
        <v>15416</v>
      </c>
      <c r="C379" s="9" t="s">
        <v>14705</v>
      </c>
      <c r="D379" s="9" t="s">
        <v>15402</v>
      </c>
      <c r="E379" s="12" t="s">
        <v>15401</v>
      </c>
      <c r="F379" s="12">
        <v>44521</v>
      </c>
      <c r="G379" s="12" t="s">
        <v>14702</v>
      </c>
      <c r="H379" s="9" t="s">
        <v>15415</v>
      </c>
      <c r="I379" s="9" t="s">
        <v>15414</v>
      </c>
      <c r="J379" s="9">
        <v>5215165001</v>
      </c>
      <c r="K379" s="9" t="s">
        <v>15413</v>
      </c>
      <c r="L379" s="9"/>
      <c r="M379" s="11" t="s">
        <v>14763</v>
      </c>
      <c r="N379" s="10" t="s">
        <v>15412</v>
      </c>
      <c r="O379" s="9" t="s">
        <v>15411</v>
      </c>
      <c r="P379" s="9" t="s">
        <v>15410</v>
      </c>
      <c r="Q379" s="9" t="s">
        <v>15409</v>
      </c>
      <c r="R379" s="9" t="s">
        <v>15408</v>
      </c>
      <c r="S379" s="9" t="s">
        <v>15407</v>
      </c>
      <c r="T379" s="9" t="s">
        <v>15101</v>
      </c>
      <c r="U379" s="9" t="s">
        <v>15406</v>
      </c>
      <c r="V379" s="9" t="s">
        <v>77</v>
      </c>
      <c r="W379" s="9" t="s">
        <v>15405</v>
      </c>
      <c r="X379" s="9" t="s">
        <v>15404</v>
      </c>
      <c r="Y379" s="9"/>
      <c r="Z379" s="9"/>
      <c r="AA379" s="9" t="s">
        <v>15389</v>
      </c>
      <c r="AB379" s="9"/>
      <c r="AC379" s="9"/>
      <c r="AD379" s="9" t="s">
        <v>15389</v>
      </c>
      <c r="AE379" s="9"/>
      <c r="AF379" s="9"/>
      <c r="AG379" s="9" t="s">
        <v>15389</v>
      </c>
    </row>
    <row r="380" spans="1:33" ht="16.5">
      <c r="A380" s="9">
        <v>375</v>
      </c>
      <c r="B380" s="9" t="s">
        <v>15403</v>
      </c>
      <c r="C380" s="9" t="s">
        <v>14705</v>
      </c>
      <c r="D380" s="9" t="s">
        <v>15402</v>
      </c>
      <c r="E380" s="12" t="s">
        <v>15401</v>
      </c>
      <c r="F380" s="12">
        <v>44547</v>
      </c>
      <c r="G380" s="12" t="s">
        <v>14702</v>
      </c>
      <c r="H380" s="9" t="s">
        <v>15400</v>
      </c>
      <c r="I380" s="9" t="s">
        <v>15399</v>
      </c>
      <c r="J380" s="9">
        <v>3913170101</v>
      </c>
      <c r="K380" s="9" t="s">
        <v>15398</v>
      </c>
      <c r="L380" s="9"/>
      <c r="M380" s="11" t="s">
        <v>14794</v>
      </c>
      <c r="N380" s="10" t="s">
        <v>15397</v>
      </c>
      <c r="O380" s="9" t="s">
        <v>15396</v>
      </c>
      <c r="P380" s="9" t="s">
        <v>15395</v>
      </c>
      <c r="Q380" s="9" t="s">
        <v>15394</v>
      </c>
      <c r="R380" s="9" t="s">
        <v>15393</v>
      </c>
      <c r="S380" s="9" t="s">
        <v>15392</v>
      </c>
      <c r="T380" s="9" t="s">
        <v>14787</v>
      </c>
      <c r="U380" s="9" t="s">
        <v>15391</v>
      </c>
      <c r="V380" s="9" t="s">
        <v>75</v>
      </c>
      <c r="W380" s="9" t="s">
        <v>15390</v>
      </c>
      <c r="X380" s="9" t="s">
        <v>15231</v>
      </c>
      <c r="Y380" s="9"/>
      <c r="Z380" s="9"/>
      <c r="AA380" s="9" t="s">
        <v>15389</v>
      </c>
      <c r="AB380" s="9"/>
      <c r="AC380" s="9"/>
      <c r="AD380" s="9" t="s">
        <v>15389</v>
      </c>
      <c r="AE380" s="9"/>
      <c r="AF380" s="9"/>
      <c r="AG380" s="9" t="s">
        <v>15389</v>
      </c>
    </row>
    <row r="381" spans="1:33" ht="16.5">
      <c r="A381" s="9">
        <v>376</v>
      </c>
      <c r="B381" s="9" t="s">
        <v>15388</v>
      </c>
      <c r="C381" s="9" t="s">
        <v>15155</v>
      </c>
      <c r="D381" s="9" t="s">
        <v>15387</v>
      </c>
      <c r="E381" s="12" t="s">
        <v>15386</v>
      </c>
      <c r="F381" s="12">
        <v>44544</v>
      </c>
      <c r="G381" s="12" t="s">
        <v>14702</v>
      </c>
      <c r="H381" s="9" t="s">
        <v>15385</v>
      </c>
      <c r="I381" s="9" t="s">
        <v>15384</v>
      </c>
      <c r="J381" s="9">
        <v>4616152604</v>
      </c>
      <c r="K381" s="9" t="s">
        <v>15383</v>
      </c>
      <c r="L381" s="9"/>
      <c r="M381" s="11" t="s">
        <v>15065</v>
      </c>
      <c r="N381" s="10" t="s">
        <v>5761</v>
      </c>
      <c r="O381" s="9" t="s">
        <v>15382</v>
      </c>
      <c r="P381" s="9" t="s">
        <v>15381</v>
      </c>
      <c r="Q381" s="9" t="s">
        <v>15381</v>
      </c>
      <c r="R381" s="9" t="s">
        <v>15380</v>
      </c>
      <c r="S381" s="9" t="s">
        <v>15379</v>
      </c>
      <c r="T381" s="9" t="s">
        <v>14815</v>
      </c>
      <c r="U381" s="9" t="s">
        <v>15378</v>
      </c>
      <c r="V381" s="9" t="s">
        <v>15377</v>
      </c>
      <c r="W381" s="9" t="s">
        <v>15376</v>
      </c>
      <c r="X381" s="9" t="s">
        <v>15375</v>
      </c>
      <c r="Y381" s="9" t="s">
        <v>15374</v>
      </c>
      <c r="Z381" s="9" t="s">
        <v>15373</v>
      </c>
      <c r="AA381" s="9" t="s">
        <v>15372</v>
      </c>
      <c r="AB381" s="9"/>
      <c r="AC381" s="9"/>
      <c r="AD381" s="9"/>
      <c r="AE381" s="9"/>
      <c r="AF381" s="9"/>
      <c r="AG381" s="9"/>
    </row>
    <row r="382" spans="1:33" ht="16.5">
      <c r="A382" s="9">
        <v>377</v>
      </c>
      <c r="B382" s="9" t="s">
        <v>15371</v>
      </c>
      <c r="C382" s="9" t="s">
        <v>14705</v>
      </c>
      <c r="D382" s="9" t="s">
        <v>15203</v>
      </c>
      <c r="E382" s="12" t="s">
        <v>15202</v>
      </c>
      <c r="F382" s="12">
        <v>44379</v>
      </c>
      <c r="G382" s="12" t="s">
        <v>14702</v>
      </c>
      <c r="H382" s="9" t="s">
        <v>15370</v>
      </c>
      <c r="I382" s="9" t="s">
        <v>15369</v>
      </c>
      <c r="J382" s="9">
        <v>4618250401</v>
      </c>
      <c r="K382" s="9" t="s">
        <v>15368</v>
      </c>
      <c r="L382" s="9"/>
      <c r="M382" s="11" t="s">
        <v>14717</v>
      </c>
      <c r="N382" s="10" t="s">
        <v>15367</v>
      </c>
      <c r="O382" s="9" t="s">
        <v>15366</v>
      </c>
      <c r="P382" s="9" t="s">
        <v>15365</v>
      </c>
      <c r="Q382" s="9" t="s">
        <v>15364</v>
      </c>
      <c r="R382" s="9" t="s">
        <v>15363</v>
      </c>
      <c r="S382" s="9" t="s">
        <v>15362</v>
      </c>
      <c r="T382" s="9" t="s">
        <v>14725</v>
      </c>
      <c r="U382" s="9" t="s">
        <v>15361</v>
      </c>
      <c r="V382" s="9" t="s">
        <v>75</v>
      </c>
      <c r="W382" s="9">
        <v>2015056</v>
      </c>
      <c r="X382" s="9" t="s">
        <v>15360</v>
      </c>
      <c r="Y382" s="9"/>
      <c r="Z382" s="9"/>
      <c r="AA382" s="9"/>
      <c r="AB382" s="9"/>
      <c r="AC382" s="9"/>
      <c r="AD382" s="9"/>
      <c r="AE382" s="9"/>
      <c r="AF382" s="9"/>
      <c r="AG382" s="9"/>
    </row>
    <row r="383" spans="1:33" ht="16.5">
      <c r="A383" s="9">
        <v>378</v>
      </c>
      <c r="B383" s="9" t="s">
        <v>15359</v>
      </c>
      <c r="C383" s="9" t="s">
        <v>14705</v>
      </c>
      <c r="D383" s="9" t="s">
        <v>15203</v>
      </c>
      <c r="E383" s="12" t="s">
        <v>15202</v>
      </c>
      <c r="F383" s="12">
        <v>44459</v>
      </c>
      <c r="G383" s="12" t="s">
        <v>14702</v>
      </c>
      <c r="H383" s="9" t="s">
        <v>15358</v>
      </c>
      <c r="I383" s="9" t="s">
        <v>15357</v>
      </c>
      <c r="J383" s="9">
        <v>3912110401</v>
      </c>
      <c r="K383" s="9" t="s">
        <v>15356</v>
      </c>
      <c r="L383" s="9"/>
      <c r="M383" s="11" t="s">
        <v>14717</v>
      </c>
      <c r="N383" s="10" t="s">
        <v>15355</v>
      </c>
      <c r="O383" s="9" t="s">
        <v>15354</v>
      </c>
      <c r="P383" s="9" t="s">
        <v>15353</v>
      </c>
      <c r="Q383" s="9" t="s">
        <v>15352</v>
      </c>
      <c r="R383" s="9" t="s">
        <v>15351</v>
      </c>
      <c r="S383" s="9" t="s">
        <v>15350</v>
      </c>
      <c r="T383" s="9" t="s">
        <v>15349</v>
      </c>
      <c r="U383" s="9" t="s">
        <v>15348</v>
      </c>
      <c r="V383" s="9" t="s">
        <v>77</v>
      </c>
      <c r="W383" s="9" t="s">
        <v>15347</v>
      </c>
      <c r="X383" s="9" t="s">
        <v>15346</v>
      </c>
      <c r="Y383" s="9"/>
      <c r="Z383" s="9"/>
      <c r="AA383" s="9"/>
      <c r="AB383" s="9"/>
      <c r="AC383" s="9"/>
      <c r="AD383" s="9"/>
      <c r="AE383" s="9"/>
      <c r="AF383" s="9"/>
      <c r="AG383" s="9"/>
    </row>
    <row r="384" spans="1:33" ht="16.5">
      <c r="A384" s="9">
        <v>379</v>
      </c>
      <c r="B384" s="9" t="s">
        <v>15345</v>
      </c>
      <c r="C384" s="9" t="s">
        <v>14750</v>
      </c>
      <c r="D384" s="9" t="s">
        <v>15203</v>
      </c>
      <c r="E384" s="12" t="s">
        <v>15202</v>
      </c>
      <c r="F384" s="12">
        <v>44618</v>
      </c>
      <c r="G384" s="12" t="s">
        <v>14702</v>
      </c>
      <c r="H384" s="9" t="s">
        <v>15344</v>
      </c>
      <c r="I384" s="9" t="s">
        <v>15344</v>
      </c>
      <c r="J384" s="9">
        <v>4713182301</v>
      </c>
      <c r="K384" s="9" t="s">
        <v>15343</v>
      </c>
      <c r="L384" s="9"/>
      <c r="M384" s="11" t="s">
        <v>15065</v>
      </c>
      <c r="N384" s="10" t="s">
        <v>125</v>
      </c>
      <c r="O384" s="9" t="s">
        <v>15342</v>
      </c>
      <c r="P384" s="9" t="s">
        <v>15341</v>
      </c>
      <c r="Q384" s="9" t="s">
        <v>15340</v>
      </c>
      <c r="R384" s="9">
        <v>1094279540</v>
      </c>
      <c r="S384" s="9" t="s">
        <v>15339</v>
      </c>
      <c r="T384" s="9" t="s">
        <v>14815</v>
      </c>
      <c r="U384" s="9" t="s">
        <v>15338</v>
      </c>
      <c r="V384" s="9" t="s">
        <v>77</v>
      </c>
      <c r="W384" s="9" t="s">
        <v>15337</v>
      </c>
      <c r="X384" s="9" t="s">
        <v>15336</v>
      </c>
      <c r="Y384" s="9"/>
      <c r="Z384" s="9"/>
      <c r="AA384" s="9"/>
      <c r="AB384" s="9"/>
      <c r="AC384" s="9"/>
      <c r="AD384" s="9"/>
      <c r="AE384" s="9"/>
      <c r="AF384" s="9"/>
      <c r="AG384" s="9"/>
    </row>
    <row r="385" spans="1:33" ht="16.5">
      <c r="A385" s="9">
        <v>380</v>
      </c>
      <c r="B385" s="9" t="s">
        <v>15335</v>
      </c>
      <c r="C385" s="9" t="s">
        <v>14705</v>
      </c>
      <c r="D385" s="9" t="s">
        <v>15203</v>
      </c>
      <c r="E385" s="12" t="s">
        <v>15202</v>
      </c>
      <c r="F385" s="12">
        <v>44472</v>
      </c>
      <c r="G385" s="12" t="s">
        <v>14702</v>
      </c>
      <c r="H385" s="9" t="s">
        <v>15334</v>
      </c>
      <c r="I385" s="9" t="s">
        <v>15333</v>
      </c>
      <c r="J385" s="9">
        <v>3911161102</v>
      </c>
      <c r="K385" s="9" t="s">
        <v>14920</v>
      </c>
      <c r="L385" s="9"/>
      <c r="M385" s="11" t="s">
        <v>15065</v>
      </c>
      <c r="N385" s="10" t="s">
        <v>15332</v>
      </c>
      <c r="O385" s="9" t="s">
        <v>15331</v>
      </c>
      <c r="P385" s="9" t="s">
        <v>15330</v>
      </c>
      <c r="Q385" s="9" t="s">
        <v>15329</v>
      </c>
      <c r="R385" s="9" t="s">
        <v>15328</v>
      </c>
      <c r="S385" s="9" t="s">
        <v>15327</v>
      </c>
      <c r="T385" s="9" t="s">
        <v>14787</v>
      </c>
      <c r="U385" s="9" t="s">
        <v>15326</v>
      </c>
      <c r="V385" s="9" t="s">
        <v>75</v>
      </c>
      <c r="W385" s="9">
        <v>2018175</v>
      </c>
      <c r="X385" s="9" t="s">
        <v>15325</v>
      </c>
      <c r="Y385" s="9"/>
      <c r="Z385" s="9"/>
      <c r="AA385" s="9"/>
      <c r="AB385" s="9"/>
      <c r="AC385" s="9"/>
      <c r="AD385" s="9"/>
      <c r="AE385" s="9"/>
      <c r="AF385" s="9"/>
      <c r="AG385" s="9"/>
    </row>
    <row r="386" spans="1:33" ht="16.5">
      <c r="A386" s="9">
        <v>381</v>
      </c>
      <c r="B386" s="9" t="s">
        <v>15324</v>
      </c>
      <c r="C386" s="9" t="s">
        <v>14705</v>
      </c>
      <c r="D386" s="9" t="s">
        <v>15203</v>
      </c>
      <c r="E386" s="12" t="s">
        <v>15202</v>
      </c>
      <c r="F386" s="12">
        <v>44374</v>
      </c>
      <c r="G386" s="12" t="s">
        <v>14702</v>
      </c>
      <c r="H386" s="9" t="s">
        <v>15323</v>
      </c>
      <c r="I386" s="9" t="s">
        <v>15322</v>
      </c>
      <c r="J386" s="9">
        <v>4010209201</v>
      </c>
      <c r="K386" s="9" t="s">
        <v>15321</v>
      </c>
      <c r="L386" s="9"/>
      <c r="M386" s="11" t="s">
        <v>14717</v>
      </c>
      <c r="N386" s="10" t="s">
        <v>15320</v>
      </c>
      <c r="O386" s="9" t="s">
        <v>15319</v>
      </c>
      <c r="P386" s="9" t="s">
        <v>15318</v>
      </c>
      <c r="Q386" s="9" t="s">
        <v>15317</v>
      </c>
      <c r="R386" s="9" t="s">
        <v>15316</v>
      </c>
      <c r="S386" s="9" t="s">
        <v>15315</v>
      </c>
      <c r="T386" s="9" t="s">
        <v>14815</v>
      </c>
      <c r="U386" s="9" t="s">
        <v>15314</v>
      </c>
      <c r="V386" s="9" t="s">
        <v>75</v>
      </c>
      <c r="W386" s="9">
        <v>2018059</v>
      </c>
      <c r="X386" s="9" t="s">
        <v>14924</v>
      </c>
      <c r="Y386" s="9"/>
      <c r="Z386" s="9"/>
      <c r="AA386" s="9"/>
      <c r="AB386" s="9"/>
      <c r="AC386" s="9"/>
      <c r="AD386" s="9"/>
      <c r="AE386" s="9"/>
      <c r="AF386" s="9"/>
      <c r="AG386" s="9"/>
    </row>
    <row r="387" spans="1:33" ht="16.5">
      <c r="A387" s="9">
        <v>382</v>
      </c>
      <c r="B387" s="9" t="s">
        <v>15313</v>
      </c>
      <c r="C387" s="9" t="s">
        <v>14750</v>
      </c>
      <c r="D387" s="9" t="s">
        <v>15203</v>
      </c>
      <c r="E387" s="12" t="s">
        <v>15202</v>
      </c>
      <c r="F387" s="12">
        <v>44433</v>
      </c>
      <c r="G387" s="12" t="s">
        <v>14702</v>
      </c>
      <c r="H387" s="9" t="s">
        <v>15312</v>
      </c>
      <c r="I387" s="9" t="s">
        <v>15311</v>
      </c>
      <c r="J387" s="9">
        <v>3912110101</v>
      </c>
      <c r="K387" s="9" t="s">
        <v>14733</v>
      </c>
      <c r="L387" s="9"/>
      <c r="M387" s="11" t="s">
        <v>14746</v>
      </c>
      <c r="N387" s="10" t="s">
        <v>15310</v>
      </c>
      <c r="O387" s="9" t="s">
        <v>15309</v>
      </c>
      <c r="P387" s="9" t="s">
        <v>15308</v>
      </c>
      <c r="Q387" s="9" t="s">
        <v>15308</v>
      </c>
      <c r="R387" s="9" t="s">
        <v>15307</v>
      </c>
      <c r="S387" s="9" t="s">
        <v>15306</v>
      </c>
      <c r="T387" s="9" t="s">
        <v>15101</v>
      </c>
      <c r="U387" s="9" t="s">
        <v>15305</v>
      </c>
      <c r="V387" s="9" t="s">
        <v>75</v>
      </c>
      <c r="W387" s="9">
        <v>2017166</v>
      </c>
      <c r="X387" s="9" t="s">
        <v>15304</v>
      </c>
      <c r="Y387" s="9" t="s">
        <v>77</v>
      </c>
      <c r="Z387" s="9" t="s">
        <v>15303</v>
      </c>
      <c r="AA387" s="9" t="s">
        <v>15302</v>
      </c>
      <c r="AB387" s="9"/>
      <c r="AC387" s="9"/>
      <c r="AD387" s="9"/>
      <c r="AE387" s="9"/>
      <c r="AF387" s="9"/>
      <c r="AG387" s="9"/>
    </row>
    <row r="388" spans="1:33" ht="16.5">
      <c r="A388" s="9">
        <v>383</v>
      </c>
      <c r="B388" s="9" t="s">
        <v>15301</v>
      </c>
      <c r="C388" s="9" t="s">
        <v>14750</v>
      </c>
      <c r="D388" s="9" t="s">
        <v>15203</v>
      </c>
      <c r="E388" s="12" t="s">
        <v>15202</v>
      </c>
      <c r="F388" s="12">
        <v>44562</v>
      </c>
      <c r="G388" s="12" t="s">
        <v>14702</v>
      </c>
      <c r="H388" s="9" t="s">
        <v>15300</v>
      </c>
      <c r="I388" s="9" t="s">
        <v>15299</v>
      </c>
      <c r="J388" s="9">
        <v>4619160111</v>
      </c>
      <c r="K388" s="9" t="s">
        <v>15298</v>
      </c>
      <c r="L388" s="9"/>
      <c r="M388" s="11" t="s">
        <v>15065</v>
      </c>
      <c r="N388" s="10" t="s">
        <v>15297</v>
      </c>
      <c r="O388" s="9" t="s">
        <v>15296</v>
      </c>
      <c r="P388" s="9" t="s">
        <v>15295</v>
      </c>
      <c r="Q388" s="9" t="s">
        <v>15294</v>
      </c>
      <c r="R388" s="9" t="s">
        <v>15293</v>
      </c>
      <c r="S388" s="9" t="s">
        <v>15292</v>
      </c>
      <c r="T388" s="9" t="s">
        <v>15291</v>
      </c>
      <c r="U388" s="9" t="s">
        <v>722</v>
      </c>
      <c r="V388" s="9" t="s">
        <v>77</v>
      </c>
      <c r="W388" s="9" t="s">
        <v>15290</v>
      </c>
      <c r="X388" s="9" t="s">
        <v>15289</v>
      </c>
      <c r="Y388" s="9"/>
      <c r="Z388" s="9"/>
      <c r="AA388" s="9"/>
      <c r="AB388" s="9"/>
      <c r="AC388" s="9"/>
      <c r="AD388" s="9"/>
      <c r="AE388" s="9"/>
      <c r="AF388" s="9"/>
      <c r="AG388" s="9"/>
    </row>
    <row r="389" spans="1:33" ht="16.5">
      <c r="A389" s="9">
        <v>384</v>
      </c>
      <c r="B389" s="9" t="s">
        <v>15288</v>
      </c>
      <c r="C389" s="9" t="s">
        <v>14705</v>
      </c>
      <c r="D389" s="9" t="s">
        <v>15203</v>
      </c>
      <c r="E389" s="12" t="s">
        <v>15202</v>
      </c>
      <c r="F389" s="12">
        <v>44480</v>
      </c>
      <c r="G389" s="12" t="s">
        <v>14702</v>
      </c>
      <c r="H389" s="9" t="s">
        <v>15286</v>
      </c>
      <c r="I389" s="9" t="s">
        <v>15287</v>
      </c>
      <c r="J389" s="9">
        <v>4619160201</v>
      </c>
      <c r="K389" s="9" t="s">
        <v>15286</v>
      </c>
      <c r="L389" s="9"/>
      <c r="M389" s="11" t="s">
        <v>14763</v>
      </c>
      <c r="N389" s="10" t="s">
        <v>15285</v>
      </c>
      <c r="O389" s="9" t="s">
        <v>15284</v>
      </c>
      <c r="P389" s="9" t="s">
        <v>15283</v>
      </c>
      <c r="Q389" s="9" t="s">
        <v>15282</v>
      </c>
      <c r="R389" s="9" t="s">
        <v>15281</v>
      </c>
      <c r="S389" s="9" t="s">
        <v>15280</v>
      </c>
      <c r="T389" s="9" t="s">
        <v>14756</v>
      </c>
      <c r="U389" s="9" t="s">
        <v>15279</v>
      </c>
      <c r="V389" s="9" t="s">
        <v>77</v>
      </c>
      <c r="W389" s="9" t="s">
        <v>15278</v>
      </c>
      <c r="X389" s="9" t="s">
        <v>15277</v>
      </c>
      <c r="Y389" s="9"/>
      <c r="Z389" s="9"/>
      <c r="AA389" s="9"/>
      <c r="AB389" s="9"/>
      <c r="AC389" s="9"/>
      <c r="AD389" s="9"/>
      <c r="AE389" s="9"/>
      <c r="AF389" s="9"/>
      <c r="AG389" s="9"/>
    </row>
    <row r="390" spans="1:33" ht="16.5">
      <c r="A390" s="9">
        <v>385</v>
      </c>
      <c r="B390" s="9" t="s">
        <v>15276</v>
      </c>
      <c r="C390" s="9" t="s">
        <v>14750</v>
      </c>
      <c r="D390" s="9" t="s">
        <v>15203</v>
      </c>
      <c r="E390" s="12" t="s">
        <v>15202</v>
      </c>
      <c r="F390" s="12">
        <v>44396</v>
      </c>
      <c r="G390" s="12" t="s">
        <v>14702</v>
      </c>
      <c r="H390" s="9" t="s">
        <v>15275</v>
      </c>
      <c r="I390" s="9" t="s">
        <v>15274</v>
      </c>
      <c r="J390" s="9">
        <v>3121150201</v>
      </c>
      <c r="K390" s="9" t="s">
        <v>15273</v>
      </c>
      <c r="L390" s="9"/>
      <c r="M390" s="11" t="s">
        <v>15065</v>
      </c>
      <c r="N390" s="10" t="s">
        <v>15272</v>
      </c>
      <c r="O390" s="9" t="s">
        <v>15271</v>
      </c>
      <c r="P390" s="9" t="s">
        <v>15270</v>
      </c>
      <c r="Q390" s="9" t="s">
        <v>15269</v>
      </c>
      <c r="R390" s="9">
        <v>317115460</v>
      </c>
      <c r="S390" s="9" t="s">
        <v>15268</v>
      </c>
      <c r="T390" s="9" t="s">
        <v>14725</v>
      </c>
      <c r="U390" s="9" t="s">
        <v>15267</v>
      </c>
      <c r="V390" s="9" t="s">
        <v>14754</v>
      </c>
      <c r="W390" s="9" t="s">
        <v>15266</v>
      </c>
      <c r="X390" s="9" t="s">
        <v>14752</v>
      </c>
      <c r="Y390" s="9"/>
      <c r="Z390" s="9"/>
      <c r="AA390" s="9"/>
      <c r="AB390" s="9"/>
      <c r="AC390" s="9"/>
      <c r="AD390" s="9"/>
      <c r="AE390" s="9"/>
      <c r="AF390" s="9"/>
      <c r="AG390" s="9"/>
    </row>
    <row r="391" spans="1:33" ht="16.5">
      <c r="A391" s="9">
        <v>386</v>
      </c>
      <c r="B391" s="9" t="s">
        <v>15265</v>
      </c>
      <c r="C391" s="9" t="s">
        <v>14750</v>
      </c>
      <c r="D391" s="9" t="s">
        <v>15203</v>
      </c>
      <c r="E391" s="12" t="s">
        <v>15202</v>
      </c>
      <c r="F391" s="12">
        <v>44396</v>
      </c>
      <c r="G391" s="12" t="s">
        <v>14702</v>
      </c>
      <c r="H391" s="9" t="s">
        <v>15264</v>
      </c>
      <c r="I391" s="9" t="s">
        <v>15263</v>
      </c>
      <c r="J391" s="9">
        <v>3912110301</v>
      </c>
      <c r="K391" s="9" t="s">
        <v>14808</v>
      </c>
      <c r="L391" s="9"/>
      <c r="M391" s="11" t="s">
        <v>15065</v>
      </c>
      <c r="N391" s="10" t="s">
        <v>15262</v>
      </c>
      <c r="O391" s="9" t="s">
        <v>15261</v>
      </c>
      <c r="P391" s="9" t="s">
        <v>15260</v>
      </c>
      <c r="Q391" s="9" t="s">
        <v>15259</v>
      </c>
      <c r="R391" s="9" t="s">
        <v>15258</v>
      </c>
      <c r="S391" s="9" t="s">
        <v>15257</v>
      </c>
      <c r="T391" s="9" t="s">
        <v>14787</v>
      </c>
      <c r="U391" s="9" t="s">
        <v>15256</v>
      </c>
      <c r="V391" s="9" t="s">
        <v>14754</v>
      </c>
      <c r="W391" s="9" t="s">
        <v>15255</v>
      </c>
      <c r="X391" s="9" t="s">
        <v>14752</v>
      </c>
      <c r="Y391" s="9"/>
      <c r="Z391" s="9"/>
      <c r="AA391" s="9"/>
      <c r="AB391" s="9"/>
      <c r="AC391" s="9"/>
      <c r="AD391" s="9"/>
      <c r="AE391" s="9"/>
      <c r="AF391" s="9"/>
      <c r="AG391" s="9"/>
    </row>
    <row r="392" spans="1:33" ht="16.5">
      <c r="A392" s="9">
        <v>387</v>
      </c>
      <c r="B392" s="9" t="s">
        <v>15254</v>
      </c>
      <c r="C392" s="9" t="s">
        <v>14750</v>
      </c>
      <c r="D392" s="9" t="s">
        <v>15203</v>
      </c>
      <c r="E392" s="12" t="s">
        <v>15202</v>
      </c>
      <c r="F392" s="12">
        <v>44441</v>
      </c>
      <c r="G392" s="12" t="s">
        <v>14702</v>
      </c>
      <c r="H392" s="9" t="s">
        <v>15253</v>
      </c>
      <c r="I392" s="9" t="s">
        <v>15252</v>
      </c>
      <c r="J392" s="9">
        <v>4323270201</v>
      </c>
      <c r="K392" s="9" t="s">
        <v>15251</v>
      </c>
      <c r="L392" s="9"/>
      <c r="M392" s="11" t="s">
        <v>14746</v>
      </c>
      <c r="N392" s="10" t="s">
        <v>15250</v>
      </c>
      <c r="O392" s="9" t="s">
        <v>15249</v>
      </c>
      <c r="P392" s="9" t="s">
        <v>15248</v>
      </c>
      <c r="Q392" s="9" t="s">
        <v>15247</v>
      </c>
      <c r="R392" s="9" t="s">
        <v>15246</v>
      </c>
      <c r="S392" s="9" t="s">
        <v>15245</v>
      </c>
      <c r="T392" s="9" t="s">
        <v>14725</v>
      </c>
      <c r="U392" s="9" t="s">
        <v>15244</v>
      </c>
      <c r="V392" s="9" t="s">
        <v>15243</v>
      </c>
      <c r="W392" s="9" t="s">
        <v>15242</v>
      </c>
      <c r="X392" s="9" t="s">
        <v>15241</v>
      </c>
      <c r="Y392" s="9"/>
      <c r="Z392" s="9"/>
      <c r="AA392" s="9"/>
      <c r="AB392" s="9"/>
      <c r="AC392" s="9"/>
      <c r="AD392" s="9"/>
      <c r="AE392" s="9"/>
      <c r="AF392" s="9"/>
      <c r="AG392" s="9"/>
    </row>
    <row r="393" spans="1:33" ht="16.5">
      <c r="A393" s="9">
        <v>388</v>
      </c>
      <c r="B393" s="9" t="s">
        <v>15240</v>
      </c>
      <c r="C393" s="9" t="s">
        <v>14705</v>
      </c>
      <c r="D393" s="9" t="s">
        <v>15203</v>
      </c>
      <c r="E393" s="12" t="s">
        <v>15202</v>
      </c>
      <c r="F393" s="12">
        <v>44547</v>
      </c>
      <c r="G393" s="12" t="s">
        <v>14702</v>
      </c>
      <c r="H393" s="9" t="s">
        <v>14997</v>
      </c>
      <c r="I393" s="9" t="s">
        <v>15239</v>
      </c>
      <c r="J393" s="9">
        <v>4410160301</v>
      </c>
      <c r="K393" s="9" t="s">
        <v>14997</v>
      </c>
      <c r="L393" s="9"/>
      <c r="M393" s="11" t="s">
        <v>15065</v>
      </c>
      <c r="N393" s="10" t="s">
        <v>15238</v>
      </c>
      <c r="O393" s="9" t="s">
        <v>15237</v>
      </c>
      <c r="P393" s="9" t="s">
        <v>15236</v>
      </c>
      <c r="Q393" s="9" t="s">
        <v>15235</v>
      </c>
      <c r="R393" s="9" t="s">
        <v>15234</v>
      </c>
      <c r="S393" s="9" t="s">
        <v>15233</v>
      </c>
      <c r="T393" s="9" t="s">
        <v>14725</v>
      </c>
      <c r="U393" s="9" t="s">
        <v>15232</v>
      </c>
      <c r="V393" s="9" t="s">
        <v>75</v>
      </c>
      <c r="W393" s="9">
        <v>2018217</v>
      </c>
      <c r="X393" s="9" t="s">
        <v>15231</v>
      </c>
      <c r="Y393" s="9"/>
      <c r="Z393" s="9"/>
      <c r="AA393" s="9"/>
      <c r="AB393" s="9"/>
      <c r="AC393" s="9"/>
      <c r="AD393" s="9"/>
      <c r="AE393" s="9"/>
      <c r="AF393" s="9"/>
      <c r="AG393" s="9"/>
    </row>
    <row r="394" spans="1:33" ht="16.5">
      <c r="A394" s="9">
        <v>389</v>
      </c>
      <c r="B394" s="9" t="s">
        <v>15230</v>
      </c>
      <c r="C394" s="9" t="s">
        <v>14705</v>
      </c>
      <c r="D394" s="9" t="s">
        <v>15203</v>
      </c>
      <c r="E394" s="12" t="s">
        <v>15202</v>
      </c>
      <c r="F394" s="12">
        <v>44378</v>
      </c>
      <c r="G394" s="12" t="s">
        <v>14702</v>
      </c>
      <c r="H394" s="9" t="s">
        <v>15229</v>
      </c>
      <c r="I394" s="9" t="s">
        <v>15228</v>
      </c>
      <c r="J394" s="9">
        <v>4710152502</v>
      </c>
      <c r="K394" s="9" t="s">
        <v>15227</v>
      </c>
      <c r="L394" s="9"/>
      <c r="M394" s="11" t="s">
        <v>14732</v>
      </c>
      <c r="N394" s="10" t="s">
        <v>15226</v>
      </c>
      <c r="O394" s="9" t="s">
        <v>15225</v>
      </c>
      <c r="P394" s="9" t="s">
        <v>15224</v>
      </c>
      <c r="Q394" s="9" t="s">
        <v>15223</v>
      </c>
      <c r="R394" s="9" t="s">
        <v>15222</v>
      </c>
      <c r="S394" s="9" t="s">
        <v>15221</v>
      </c>
      <c r="T394" s="9" t="s">
        <v>14725</v>
      </c>
      <c r="U394" s="9" t="s">
        <v>15220</v>
      </c>
      <c r="V394" s="9" t="s">
        <v>77</v>
      </c>
      <c r="W394" s="9" t="s">
        <v>15219</v>
      </c>
      <c r="X394" s="9" t="s">
        <v>15218</v>
      </c>
      <c r="Y394" s="9"/>
      <c r="Z394" s="9"/>
      <c r="AA394" s="9"/>
      <c r="AB394" s="9"/>
      <c r="AC394" s="9"/>
      <c r="AD394" s="9"/>
      <c r="AE394" s="9"/>
      <c r="AF394" s="9"/>
      <c r="AG394" s="9"/>
    </row>
    <row r="395" spans="1:33" ht="16.5">
      <c r="A395" s="9">
        <v>390</v>
      </c>
      <c r="B395" s="9" t="s">
        <v>15217</v>
      </c>
      <c r="C395" s="9" t="s">
        <v>14705</v>
      </c>
      <c r="D395" s="9" t="s">
        <v>15203</v>
      </c>
      <c r="E395" s="12" t="s">
        <v>15202</v>
      </c>
      <c r="F395" s="12">
        <v>45446</v>
      </c>
      <c r="G395" s="12" t="s">
        <v>14702</v>
      </c>
      <c r="H395" s="9" t="s">
        <v>15216</v>
      </c>
      <c r="I395" s="9" t="s">
        <v>15215</v>
      </c>
      <c r="J395" s="9">
        <v>4319151001</v>
      </c>
      <c r="K395" s="9" t="s">
        <v>15214</v>
      </c>
      <c r="L395" s="9"/>
      <c r="M395" s="11" t="s">
        <v>14732</v>
      </c>
      <c r="N395" s="10" t="s">
        <v>15213</v>
      </c>
      <c r="O395" s="9" t="s">
        <v>15212</v>
      </c>
      <c r="P395" s="9" t="s">
        <v>15211</v>
      </c>
      <c r="Q395" s="9" t="s">
        <v>15210</v>
      </c>
      <c r="R395" s="9" t="s">
        <v>15209</v>
      </c>
      <c r="S395" s="9" t="s">
        <v>15208</v>
      </c>
      <c r="T395" s="9" t="s">
        <v>14712</v>
      </c>
      <c r="U395" s="9" t="s">
        <v>15207</v>
      </c>
      <c r="V395" s="9" t="s">
        <v>77</v>
      </c>
      <c r="W395" s="9" t="s">
        <v>15206</v>
      </c>
      <c r="X395" s="9" t="s">
        <v>15205</v>
      </c>
      <c r="Y395" s="9"/>
      <c r="Z395" s="9"/>
      <c r="AA395" s="9"/>
      <c r="AB395" s="9"/>
      <c r="AC395" s="9"/>
      <c r="AD395" s="9"/>
      <c r="AE395" s="9"/>
      <c r="AF395" s="9"/>
      <c r="AG395" s="9"/>
    </row>
    <row r="396" spans="1:33" ht="16.5">
      <c r="A396" s="9">
        <v>391</v>
      </c>
      <c r="B396" s="9" t="s">
        <v>15204</v>
      </c>
      <c r="C396" s="9" t="s">
        <v>14750</v>
      </c>
      <c r="D396" s="9" t="s">
        <v>15203</v>
      </c>
      <c r="E396" s="12" t="s">
        <v>15202</v>
      </c>
      <c r="F396" s="12">
        <v>44591</v>
      </c>
      <c r="G396" s="12" t="s">
        <v>14702</v>
      </c>
      <c r="H396" s="9" t="s">
        <v>15201</v>
      </c>
      <c r="I396" s="9" t="s">
        <v>15200</v>
      </c>
      <c r="J396" s="9">
        <v>4617161901</v>
      </c>
      <c r="K396" s="9" t="s">
        <v>15199</v>
      </c>
      <c r="L396" s="9"/>
      <c r="M396" s="11" t="s">
        <v>14746</v>
      </c>
      <c r="N396" s="10" t="s">
        <v>15198</v>
      </c>
      <c r="O396" s="9" t="s">
        <v>15197</v>
      </c>
      <c r="P396" s="9" t="s">
        <v>15196</v>
      </c>
      <c r="Q396" s="9" t="s">
        <v>15195</v>
      </c>
      <c r="R396" s="9" t="s">
        <v>15194</v>
      </c>
      <c r="S396" s="9" t="s">
        <v>15193</v>
      </c>
      <c r="T396" s="9" t="s">
        <v>14725</v>
      </c>
      <c r="U396" s="9" t="s">
        <v>15192</v>
      </c>
      <c r="V396" s="9" t="s">
        <v>14754</v>
      </c>
      <c r="W396" s="9" t="s">
        <v>15191</v>
      </c>
      <c r="X396" s="9" t="s">
        <v>15190</v>
      </c>
      <c r="Y396" s="9"/>
      <c r="Z396" s="9"/>
      <c r="AA396" s="9" t="s">
        <v>15189</v>
      </c>
      <c r="AB396" s="9"/>
      <c r="AC396" s="9"/>
      <c r="AD396" s="9" t="s">
        <v>15188</v>
      </c>
      <c r="AE396" s="9"/>
      <c r="AF396" s="9"/>
      <c r="AG396" s="9"/>
    </row>
    <row r="397" spans="1:33" ht="16.5">
      <c r="A397" s="9">
        <v>392</v>
      </c>
      <c r="B397" s="9" t="s">
        <v>15187</v>
      </c>
      <c r="C397" s="9" t="s">
        <v>15155</v>
      </c>
      <c r="D397" s="9" t="s">
        <v>15186</v>
      </c>
      <c r="E397" s="12" t="s">
        <v>15185</v>
      </c>
      <c r="F397" s="12">
        <v>44514</v>
      </c>
      <c r="G397" s="12" t="s">
        <v>14702</v>
      </c>
      <c r="H397" s="9" t="s">
        <v>15184</v>
      </c>
      <c r="I397" s="9" t="s">
        <v>15183</v>
      </c>
      <c r="J397" s="9">
        <v>3013170204</v>
      </c>
      <c r="K397" s="9" t="s">
        <v>15182</v>
      </c>
      <c r="L397" s="9"/>
      <c r="M397" s="11" t="s">
        <v>14794</v>
      </c>
      <c r="N397" s="10" t="s">
        <v>15181</v>
      </c>
      <c r="O397" s="9" t="s">
        <v>15180</v>
      </c>
      <c r="P397" s="9" t="s">
        <v>15179</v>
      </c>
      <c r="Q397" s="9" t="s">
        <v>15178</v>
      </c>
      <c r="R397" s="9" t="s">
        <v>15177</v>
      </c>
      <c r="S397" s="9" t="s">
        <v>15176</v>
      </c>
      <c r="T397" s="9" t="s">
        <v>15101</v>
      </c>
      <c r="U397" s="9" t="s">
        <v>15175</v>
      </c>
      <c r="V397" s="9" t="s">
        <v>15142</v>
      </c>
      <c r="W397" s="9" t="s">
        <v>15174</v>
      </c>
      <c r="X397" s="9" t="s">
        <v>15173</v>
      </c>
      <c r="Y397" s="9"/>
      <c r="Z397" s="9"/>
      <c r="AA397" s="9"/>
      <c r="AB397" s="9"/>
      <c r="AC397" s="9"/>
      <c r="AD397" s="9"/>
      <c r="AE397" s="9"/>
      <c r="AF397" s="9"/>
      <c r="AG397" s="9"/>
    </row>
    <row r="398" spans="1:33" ht="16.5">
      <c r="A398" s="9">
        <v>393</v>
      </c>
      <c r="B398" s="9" t="s">
        <v>15172</v>
      </c>
      <c r="C398" s="9" t="s">
        <v>15155</v>
      </c>
      <c r="D398" s="9" t="s">
        <v>15171</v>
      </c>
      <c r="E398" s="12" t="s">
        <v>15170</v>
      </c>
      <c r="F398" s="12">
        <v>44358</v>
      </c>
      <c r="G398" s="12" t="s">
        <v>14702</v>
      </c>
      <c r="H398" s="9" t="s">
        <v>15169</v>
      </c>
      <c r="I398" s="9" t="s">
        <v>15168</v>
      </c>
      <c r="J398" s="9">
        <v>3910169901</v>
      </c>
      <c r="K398" s="9" t="s">
        <v>15167</v>
      </c>
      <c r="L398" s="9"/>
      <c r="M398" s="11" t="s">
        <v>14732</v>
      </c>
      <c r="N398" s="10" t="s">
        <v>15166</v>
      </c>
      <c r="O398" s="9" t="s">
        <v>15165</v>
      </c>
      <c r="P398" s="9" t="s">
        <v>15164</v>
      </c>
      <c r="Q398" s="9" t="s">
        <v>15163</v>
      </c>
      <c r="R398" s="9" t="s">
        <v>15162</v>
      </c>
      <c r="S398" s="9" t="s">
        <v>15161</v>
      </c>
      <c r="T398" s="9" t="s">
        <v>14712</v>
      </c>
      <c r="U398" s="9" t="s">
        <v>15160</v>
      </c>
      <c r="V398" s="9" t="s">
        <v>77</v>
      </c>
      <c r="W398" s="9" t="s">
        <v>15159</v>
      </c>
      <c r="X398" s="9" t="s">
        <v>15158</v>
      </c>
      <c r="Y398" s="9" t="s">
        <v>14800</v>
      </c>
      <c r="Z398" s="9" t="s">
        <v>15157</v>
      </c>
      <c r="AA398" s="9" t="s">
        <v>14893</v>
      </c>
      <c r="AB398" s="9"/>
      <c r="AC398" s="9"/>
      <c r="AD398" s="9"/>
      <c r="AE398" s="9"/>
      <c r="AF398" s="9"/>
      <c r="AG398" s="9"/>
    </row>
    <row r="399" spans="1:33" ht="16.5">
      <c r="A399" s="9">
        <v>394</v>
      </c>
      <c r="B399" s="9" t="s">
        <v>15156</v>
      </c>
      <c r="C399" s="9" t="s">
        <v>15155</v>
      </c>
      <c r="D399" s="9" t="s">
        <v>15154</v>
      </c>
      <c r="E399" s="12" t="s">
        <v>15153</v>
      </c>
      <c r="F399" s="12">
        <v>44444</v>
      </c>
      <c r="G399" s="12" t="s">
        <v>14702</v>
      </c>
      <c r="H399" s="9" t="s">
        <v>15152</v>
      </c>
      <c r="I399" s="9" t="s">
        <v>15151</v>
      </c>
      <c r="J399" s="9">
        <v>4713181601</v>
      </c>
      <c r="K399" s="9" t="s">
        <v>15150</v>
      </c>
      <c r="L399" s="9"/>
      <c r="M399" s="11" t="s">
        <v>15065</v>
      </c>
      <c r="N399" s="10" t="s">
        <v>15149</v>
      </c>
      <c r="O399" s="9" t="s">
        <v>15148</v>
      </c>
      <c r="P399" s="9" t="s">
        <v>15147</v>
      </c>
      <c r="Q399" s="9" t="s">
        <v>15146</v>
      </c>
      <c r="R399" s="9" t="s">
        <v>15145</v>
      </c>
      <c r="S399" s="9" t="s">
        <v>15144</v>
      </c>
      <c r="T399" s="9" t="s">
        <v>14787</v>
      </c>
      <c r="U399" s="9" t="s">
        <v>15143</v>
      </c>
      <c r="V399" s="9" t="s">
        <v>15142</v>
      </c>
      <c r="W399" s="9" t="s">
        <v>15141</v>
      </c>
      <c r="X399" s="9" t="s">
        <v>15140</v>
      </c>
      <c r="Y399" s="9" t="s">
        <v>15139</v>
      </c>
      <c r="Z399" s="9" t="s">
        <v>15138</v>
      </c>
      <c r="AA399" s="9" t="s">
        <v>15137</v>
      </c>
      <c r="AB399" s="9"/>
      <c r="AC399" s="9"/>
      <c r="AD399" s="9"/>
      <c r="AE399" s="9"/>
      <c r="AF399" s="9"/>
      <c r="AG399" s="9"/>
    </row>
    <row r="400" spans="1:33" ht="16.5">
      <c r="A400" s="9">
        <v>395</v>
      </c>
      <c r="B400" s="9" t="s">
        <v>15136</v>
      </c>
      <c r="C400" s="9" t="s">
        <v>14705</v>
      </c>
      <c r="D400" s="9" t="s">
        <v>14768</v>
      </c>
      <c r="E400" s="12" t="s">
        <v>14767</v>
      </c>
      <c r="F400" s="12">
        <v>44374</v>
      </c>
      <c r="G400" s="12" t="s">
        <v>14702</v>
      </c>
      <c r="H400" s="9" t="s">
        <v>15135</v>
      </c>
      <c r="I400" s="9" t="s">
        <v>15134</v>
      </c>
      <c r="J400" s="9">
        <v>3912110101</v>
      </c>
      <c r="K400" s="9" t="s">
        <v>14733</v>
      </c>
      <c r="L400" s="9"/>
      <c r="M400" s="11" t="s">
        <v>14763</v>
      </c>
      <c r="N400" s="10" t="s">
        <v>15133</v>
      </c>
      <c r="O400" s="9" t="s">
        <v>15132</v>
      </c>
      <c r="P400" s="9" t="s">
        <v>15131</v>
      </c>
      <c r="Q400" s="9" t="s">
        <v>15130</v>
      </c>
      <c r="R400" s="9" t="s">
        <v>15129</v>
      </c>
      <c r="S400" s="9" t="s">
        <v>15128</v>
      </c>
      <c r="T400" s="9" t="s">
        <v>14815</v>
      </c>
      <c r="U400" s="9" t="s">
        <v>15127</v>
      </c>
      <c r="V400" s="9" t="s">
        <v>14800</v>
      </c>
      <c r="W400" s="9" t="s">
        <v>15126</v>
      </c>
      <c r="X400" s="9" t="s">
        <v>15125</v>
      </c>
      <c r="Y400" s="9"/>
      <c r="Z400" s="9"/>
      <c r="AA400" s="9"/>
      <c r="AB400" s="9"/>
      <c r="AC400" s="9"/>
      <c r="AD400" s="9"/>
      <c r="AE400" s="9"/>
      <c r="AF400" s="9"/>
      <c r="AG400" s="9"/>
    </row>
    <row r="401" spans="1:33" ht="16.5">
      <c r="A401" s="9">
        <v>396</v>
      </c>
      <c r="B401" s="9" t="s">
        <v>15124</v>
      </c>
      <c r="C401" s="9" t="s">
        <v>14705</v>
      </c>
      <c r="D401" s="9" t="s">
        <v>14768</v>
      </c>
      <c r="E401" s="12" t="s">
        <v>14767</v>
      </c>
      <c r="F401" s="12">
        <v>44418</v>
      </c>
      <c r="G401" s="12" t="s">
        <v>14702</v>
      </c>
      <c r="H401" s="9" t="s">
        <v>15123</v>
      </c>
      <c r="I401" s="9" t="s">
        <v>15122</v>
      </c>
      <c r="J401" s="9">
        <v>4710150601</v>
      </c>
      <c r="K401" s="9" t="s">
        <v>15121</v>
      </c>
      <c r="L401" s="9"/>
      <c r="M401" s="11" t="s">
        <v>14717</v>
      </c>
      <c r="N401" s="10" t="s">
        <v>15120</v>
      </c>
      <c r="O401" s="9" t="s">
        <v>15119</v>
      </c>
      <c r="P401" s="9" t="s">
        <v>15118</v>
      </c>
      <c r="Q401" s="9" t="s">
        <v>15117</v>
      </c>
      <c r="R401" s="9" t="s">
        <v>15116</v>
      </c>
      <c r="S401" s="9" t="s">
        <v>15115</v>
      </c>
      <c r="T401" s="9" t="s">
        <v>14725</v>
      </c>
      <c r="U401" s="9" t="s">
        <v>15114</v>
      </c>
      <c r="V401" s="9" t="s">
        <v>14868</v>
      </c>
      <c r="W401" s="9" t="s">
        <v>15113</v>
      </c>
      <c r="X401" s="9" t="s">
        <v>15112</v>
      </c>
      <c r="Y401" s="9"/>
      <c r="Z401" s="9"/>
      <c r="AA401" s="9"/>
      <c r="AB401" s="9"/>
      <c r="AC401" s="9"/>
      <c r="AD401" s="9"/>
      <c r="AE401" s="9"/>
      <c r="AF401" s="9"/>
      <c r="AG401" s="9"/>
    </row>
    <row r="402" spans="1:33" ht="16.5">
      <c r="A402" s="9">
        <v>397</v>
      </c>
      <c r="B402" s="9" t="s">
        <v>15111</v>
      </c>
      <c r="C402" s="9" t="s">
        <v>14750</v>
      </c>
      <c r="D402" s="9" t="s">
        <v>14768</v>
      </c>
      <c r="E402" s="12" t="s">
        <v>14767</v>
      </c>
      <c r="F402" s="12">
        <v>44441</v>
      </c>
      <c r="G402" s="12" t="s">
        <v>14702</v>
      </c>
      <c r="H402" s="9" t="s">
        <v>15110</v>
      </c>
      <c r="I402" s="9" t="s">
        <v>15109</v>
      </c>
      <c r="J402" s="9">
        <v>3118160301</v>
      </c>
      <c r="K402" s="9" t="s">
        <v>15108</v>
      </c>
      <c r="L402" s="9"/>
      <c r="M402" s="11" t="s">
        <v>14888</v>
      </c>
      <c r="N402" s="10" t="s">
        <v>15107</v>
      </c>
      <c r="O402" s="9" t="s">
        <v>15106</v>
      </c>
      <c r="P402" s="9" t="s">
        <v>15105</v>
      </c>
      <c r="Q402" s="9" t="s">
        <v>15104</v>
      </c>
      <c r="R402" s="9" t="s">
        <v>15103</v>
      </c>
      <c r="S402" s="9" t="s">
        <v>15102</v>
      </c>
      <c r="T402" s="9" t="s">
        <v>15101</v>
      </c>
      <c r="U402" s="9" t="s">
        <v>15100</v>
      </c>
      <c r="V402" s="9" t="s">
        <v>77</v>
      </c>
      <c r="W402" s="9" t="s">
        <v>15099</v>
      </c>
      <c r="X402" s="9" t="s">
        <v>15098</v>
      </c>
      <c r="Y402" s="9" t="s">
        <v>15044</v>
      </c>
      <c r="Z402" s="9" t="s">
        <v>15097</v>
      </c>
      <c r="AA402" s="9" t="s">
        <v>15096</v>
      </c>
      <c r="AB402" s="9"/>
      <c r="AC402" s="9"/>
      <c r="AD402" s="9"/>
      <c r="AE402" s="9"/>
      <c r="AF402" s="9"/>
      <c r="AG402" s="9"/>
    </row>
    <row r="403" spans="1:33" ht="16.5">
      <c r="A403" s="9">
        <v>398</v>
      </c>
      <c r="B403" s="9" t="s">
        <v>15095</v>
      </c>
      <c r="C403" s="9" t="s">
        <v>14705</v>
      </c>
      <c r="D403" s="9" t="s">
        <v>14768</v>
      </c>
      <c r="E403" s="12" t="s">
        <v>14767</v>
      </c>
      <c r="F403" s="12">
        <v>44414</v>
      </c>
      <c r="G403" s="12" t="s">
        <v>14702</v>
      </c>
      <c r="H403" s="9" t="s">
        <v>15094</v>
      </c>
      <c r="I403" s="9" t="s">
        <v>15093</v>
      </c>
      <c r="J403" s="9">
        <v>4016160501</v>
      </c>
      <c r="K403" s="9" t="s">
        <v>14833</v>
      </c>
      <c r="L403" s="9"/>
      <c r="M403" s="11" t="s">
        <v>14763</v>
      </c>
      <c r="N403" s="10" t="s">
        <v>15092</v>
      </c>
      <c r="O403" s="9" t="s">
        <v>15091</v>
      </c>
      <c r="P403" s="9" t="s">
        <v>15090</v>
      </c>
      <c r="Q403" s="9" t="s">
        <v>15089</v>
      </c>
      <c r="R403" s="9" t="s">
        <v>15088</v>
      </c>
      <c r="S403" s="9" t="s">
        <v>15087</v>
      </c>
      <c r="T403" s="9" t="s">
        <v>14756</v>
      </c>
      <c r="U403" s="9" t="s">
        <v>15086</v>
      </c>
      <c r="V403" s="9" t="s">
        <v>77</v>
      </c>
      <c r="W403" s="9" t="s">
        <v>15085</v>
      </c>
      <c r="X403" s="9" t="s">
        <v>15084</v>
      </c>
      <c r="Y403" s="9"/>
      <c r="Z403" s="9"/>
      <c r="AA403" s="9"/>
      <c r="AB403" s="9"/>
      <c r="AC403" s="9"/>
      <c r="AD403" s="9"/>
      <c r="AE403" s="9"/>
      <c r="AF403" s="9"/>
      <c r="AG403" s="9"/>
    </row>
    <row r="404" spans="1:33" ht="16.5">
      <c r="A404" s="9">
        <v>399</v>
      </c>
      <c r="B404" s="9" t="s">
        <v>15083</v>
      </c>
      <c r="C404" s="9" t="s">
        <v>14705</v>
      </c>
      <c r="D404" s="9" t="s">
        <v>14768</v>
      </c>
      <c r="E404" s="12" t="s">
        <v>14767</v>
      </c>
      <c r="F404" s="12">
        <v>44374</v>
      </c>
      <c r="G404" s="12" t="s">
        <v>14702</v>
      </c>
      <c r="H404" s="9" t="s">
        <v>15082</v>
      </c>
      <c r="I404" s="9" t="s">
        <v>15081</v>
      </c>
      <c r="J404" s="9">
        <v>2611160701</v>
      </c>
      <c r="K404" s="9" t="s">
        <v>15080</v>
      </c>
      <c r="L404" s="9"/>
      <c r="M404" s="11" t="s">
        <v>14763</v>
      </c>
      <c r="N404" s="10" t="s">
        <v>15079</v>
      </c>
      <c r="O404" s="9" t="s">
        <v>15078</v>
      </c>
      <c r="P404" s="9" t="s">
        <v>15077</v>
      </c>
      <c r="Q404" s="9" t="s">
        <v>15076</v>
      </c>
      <c r="R404" s="9" t="s">
        <v>15075</v>
      </c>
      <c r="S404" s="9" t="s">
        <v>15074</v>
      </c>
      <c r="T404" s="9" t="s">
        <v>14756</v>
      </c>
      <c r="U404" s="9" t="s">
        <v>15073</v>
      </c>
      <c r="V404" s="9" t="s">
        <v>14800</v>
      </c>
      <c r="W404" s="9" t="s">
        <v>15072</v>
      </c>
      <c r="X404" s="9" t="s">
        <v>14924</v>
      </c>
      <c r="Y404" s="9" t="s">
        <v>77</v>
      </c>
      <c r="Z404" s="9" t="s">
        <v>15071</v>
      </c>
      <c r="AA404" s="9" t="s">
        <v>15070</v>
      </c>
      <c r="AB404" s="9"/>
      <c r="AC404" s="9"/>
      <c r="AD404" s="9"/>
      <c r="AE404" s="9"/>
      <c r="AF404" s="9"/>
      <c r="AG404" s="9"/>
    </row>
    <row r="405" spans="1:33" ht="16.5">
      <c r="A405" s="9">
        <v>400</v>
      </c>
      <c r="B405" s="9" t="s">
        <v>15069</v>
      </c>
      <c r="C405" s="9" t="s">
        <v>14750</v>
      </c>
      <c r="D405" s="9" t="s">
        <v>14768</v>
      </c>
      <c r="E405" s="12" t="s">
        <v>14767</v>
      </c>
      <c r="F405" s="12">
        <v>44667</v>
      </c>
      <c r="G405" s="12" t="s">
        <v>14702</v>
      </c>
      <c r="H405" s="9" t="s">
        <v>15068</v>
      </c>
      <c r="I405" s="9" t="s">
        <v>15067</v>
      </c>
      <c r="J405" s="9">
        <v>3912180101</v>
      </c>
      <c r="K405" s="9" t="s">
        <v>15066</v>
      </c>
      <c r="L405" s="9"/>
      <c r="M405" s="11" t="s">
        <v>15065</v>
      </c>
      <c r="N405" s="10" t="s">
        <v>3362</v>
      </c>
      <c r="O405" s="9" t="s">
        <v>15064</v>
      </c>
      <c r="P405" s="9" t="s">
        <v>15063</v>
      </c>
      <c r="Q405" s="9" t="s">
        <v>15063</v>
      </c>
      <c r="R405" s="9" t="s">
        <v>15062</v>
      </c>
      <c r="S405" s="9" t="s">
        <v>15061</v>
      </c>
      <c r="T405" s="9" t="s">
        <v>15060</v>
      </c>
      <c r="U405" s="9" t="s">
        <v>15059</v>
      </c>
      <c r="V405" s="9" t="s">
        <v>77</v>
      </c>
      <c r="W405" s="9" t="s">
        <v>15058</v>
      </c>
      <c r="X405" s="9" t="s">
        <v>15057</v>
      </c>
      <c r="Y405" s="9" t="s">
        <v>14688</v>
      </c>
      <c r="Z405" s="9" t="s">
        <v>15056</v>
      </c>
      <c r="AA405" s="9"/>
      <c r="AB405" s="9"/>
      <c r="AC405" s="9"/>
      <c r="AD405" s="9"/>
      <c r="AE405" s="9"/>
      <c r="AF405" s="9"/>
      <c r="AG405" s="9"/>
    </row>
    <row r="406" spans="1:33" ht="16.5">
      <c r="A406" s="9">
        <v>401</v>
      </c>
      <c r="B406" s="9" t="s">
        <v>15055</v>
      </c>
      <c r="C406" s="9" t="s">
        <v>14705</v>
      </c>
      <c r="D406" s="9" t="s">
        <v>14768</v>
      </c>
      <c r="E406" s="12" t="s">
        <v>14767</v>
      </c>
      <c r="F406" s="12">
        <v>44367</v>
      </c>
      <c r="G406" s="12" t="s">
        <v>14702</v>
      </c>
      <c r="H406" s="9" t="s">
        <v>15054</v>
      </c>
      <c r="I406" s="9" t="s">
        <v>15053</v>
      </c>
      <c r="J406" s="9">
        <v>4111251801</v>
      </c>
      <c r="K406" s="9" t="s">
        <v>15052</v>
      </c>
      <c r="L406" s="9"/>
      <c r="M406" s="11" t="s">
        <v>14794</v>
      </c>
      <c r="N406" s="10" t="s">
        <v>15051</v>
      </c>
      <c r="O406" s="9" t="s">
        <v>15050</v>
      </c>
      <c r="P406" s="9" t="s">
        <v>15049</v>
      </c>
      <c r="Q406" s="9" t="s">
        <v>15048</v>
      </c>
      <c r="R406" s="9" t="s">
        <v>15047</v>
      </c>
      <c r="S406" s="9" t="s">
        <v>15046</v>
      </c>
      <c r="T406" s="9" t="s">
        <v>14815</v>
      </c>
      <c r="U406" s="9" t="s">
        <v>15045</v>
      </c>
      <c r="V406" s="9" t="s">
        <v>15044</v>
      </c>
      <c r="W406" s="9" t="s">
        <v>15043</v>
      </c>
      <c r="X406" s="9" t="s">
        <v>15042</v>
      </c>
      <c r="Y406" s="9" t="s">
        <v>14839</v>
      </c>
      <c r="Z406" s="9" t="s">
        <v>15041</v>
      </c>
      <c r="AA406" s="9" t="s">
        <v>15040</v>
      </c>
      <c r="AB406" s="9"/>
      <c r="AC406" s="9"/>
      <c r="AD406" s="9"/>
      <c r="AE406" s="9"/>
      <c r="AF406" s="9"/>
      <c r="AG406" s="9"/>
    </row>
    <row r="407" spans="1:33" ht="16.5">
      <c r="A407" s="9">
        <v>402</v>
      </c>
      <c r="B407" s="9" t="s">
        <v>15039</v>
      </c>
      <c r="C407" s="9" t="s">
        <v>14705</v>
      </c>
      <c r="D407" s="9" t="s">
        <v>14768</v>
      </c>
      <c r="E407" s="12" t="s">
        <v>14767</v>
      </c>
      <c r="F407" s="12">
        <v>44376</v>
      </c>
      <c r="G407" s="12" t="s">
        <v>14702</v>
      </c>
      <c r="H407" s="9" t="s">
        <v>15038</v>
      </c>
      <c r="I407" s="9" t="s">
        <v>15037</v>
      </c>
      <c r="J407" s="9">
        <v>3912110301</v>
      </c>
      <c r="K407" s="9" t="s">
        <v>14808</v>
      </c>
      <c r="L407" s="9"/>
      <c r="M407" s="11" t="s">
        <v>14717</v>
      </c>
      <c r="N407" s="10" t="s">
        <v>15036</v>
      </c>
      <c r="O407" s="9" t="s">
        <v>15035</v>
      </c>
      <c r="P407" s="9" t="s">
        <v>15034</v>
      </c>
      <c r="Q407" s="9" t="s">
        <v>15033</v>
      </c>
      <c r="R407" s="9" t="s">
        <v>15032</v>
      </c>
      <c r="S407" s="9" t="s">
        <v>15031</v>
      </c>
      <c r="T407" s="9" t="s">
        <v>14725</v>
      </c>
      <c r="U407" s="9" t="s">
        <v>15030</v>
      </c>
      <c r="V407" s="9" t="s">
        <v>14800</v>
      </c>
      <c r="W407" s="9" t="s">
        <v>15029</v>
      </c>
      <c r="X407" s="9" t="s">
        <v>15028</v>
      </c>
      <c r="Y407" s="9"/>
      <c r="Z407" s="9"/>
      <c r="AA407" s="9"/>
      <c r="AB407" s="9"/>
      <c r="AC407" s="9"/>
      <c r="AD407" s="9"/>
      <c r="AE407" s="9"/>
      <c r="AF407" s="9"/>
      <c r="AG407" s="9"/>
    </row>
    <row r="408" spans="1:33" ht="16.5">
      <c r="A408" s="9">
        <v>403</v>
      </c>
      <c r="B408" s="9" t="s">
        <v>15027</v>
      </c>
      <c r="C408" s="9" t="s">
        <v>14705</v>
      </c>
      <c r="D408" s="9" t="s">
        <v>14768</v>
      </c>
      <c r="E408" s="12" t="s">
        <v>14767</v>
      </c>
      <c r="F408" s="12">
        <v>44457</v>
      </c>
      <c r="G408" s="12" t="s">
        <v>14702</v>
      </c>
      <c r="H408" s="9" t="s">
        <v>15026</v>
      </c>
      <c r="I408" s="9" t="s">
        <v>15025</v>
      </c>
      <c r="J408" s="9">
        <v>3911160304</v>
      </c>
      <c r="K408" s="9" t="s">
        <v>15024</v>
      </c>
      <c r="L408" s="9"/>
      <c r="M408" s="11" t="s">
        <v>14794</v>
      </c>
      <c r="N408" s="10" t="s">
        <v>15023</v>
      </c>
      <c r="O408" s="9" t="s">
        <v>15012</v>
      </c>
      <c r="P408" s="9" t="s">
        <v>15011</v>
      </c>
      <c r="Q408" s="9" t="s">
        <v>15010</v>
      </c>
      <c r="R408" s="9" t="s">
        <v>15009</v>
      </c>
      <c r="S408" s="9" t="s">
        <v>15008</v>
      </c>
      <c r="T408" s="9" t="s">
        <v>14725</v>
      </c>
      <c r="U408" s="9" t="s">
        <v>15007</v>
      </c>
      <c r="V408" s="9" t="s">
        <v>14868</v>
      </c>
      <c r="W408" s="9" t="s">
        <v>15004</v>
      </c>
      <c r="X408" s="9" t="s">
        <v>15022</v>
      </c>
      <c r="Y408" s="9" t="s">
        <v>77</v>
      </c>
      <c r="Z408" s="9" t="s">
        <v>15002</v>
      </c>
      <c r="AA408" s="9" t="s">
        <v>15001</v>
      </c>
      <c r="AB408" s="9"/>
      <c r="AC408" s="9"/>
      <c r="AD408" s="9"/>
      <c r="AE408" s="9"/>
      <c r="AF408" s="9"/>
      <c r="AG408" s="9"/>
    </row>
    <row r="409" spans="1:33" ht="16.5">
      <c r="A409" s="9">
        <v>404</v>
      </c>
      <c r="B409" s="9" t="s">
        <v>15021</v>
      </c>
      <c r="C409" s="9" t="s">
        <v>14705</v>
      </c>
      <c r="D409" s="9" t="s">
        <v>14768</v>
      </c>
      <c r="E409" s="12" t="s">
        <v>14767</v>
      </c>
      <c r="F409" s="12">
        <v>44457</v>
      </c>
      <c r="G409" s="12" t="s">
        <v>14702</v>
      </c>
      <c r="H409" s="9" t="s">
        <v>15020</v>
      </c>
      <c r="I409" s="9" t="s">
        <v>15019</v>
      </c>
      <c r="J409" s="9">
        <v>3911160802</v>
      </c>
      <c r="K409" s="9" t="s">
        <v>15018</v>
      </c>
      <c r="L409" s="9"/>
      <c r="M409" s="11" t="s">
        <v>14794</v>
      </c>
      <c r="N409" s="10" t="s">
        <v>15013</v>
      </c>
      <c r="O409" s="9" t="s">
        <v>15012</v>
      </c>
      <c r="P409" s="9" t="s">
        <v>15011</v>
      </c>
      <c r="Q409" s="9" t="s">
        <v>15010</v>
      </c>
      <c r="R409" s="9" t="s">
        <v>15009</v>
      </c>
      <c r="S409" s="9" t="s">
        <v>15008</v>
      </c>
      <c r="T409" s="9" t="s">
        <v>14725</v>
      </c>
      <c r="U409" s="9" t="s">
        <v>15017</v>
      </c>
      <c r="V409" s="9" t="s">
        <v>14800</v>
      </c>
      <c r="W409" s="9" t="s">
        <v>15006</v>
      </c>
      <c r="X409" s="9" t="s">
        <v>15005</v>
      </c>
      <c r="Y409" s="9" t="s">
        <v>14868</v>
      </c>
      <c r="Z409" s="9" t="s">
        <v>15004</v>
      </c>
      <c r="AA409" s="9" t="s">
        <v>15003</v>
      </c>
      <c r="AB409" s="9" t="s">
        <v>77</v>
      </c>
      <c r="AC409" s="9" t="s">
        <v>15002</v>
      </c>
      <c r="AD409" s="9" t="s">
        <v>15001</v>
      </c>
      <c r="AE409" s="9"/>
      <c r="AF409" s="9"/>
      <c r="AG409" s="9"/>
    </row>
    <row r="410" spans="1:33" ht="16.5">
      <c r="A410" s="9">
        <v>405</v>
      </c>
      <c r="B410" s="9" t="s">
        <v>15016</v>
      </c>
      <c r="C410" s="9" t="s">
        <v>14705</v>
      </c>
      <c r="D410" s="9" t="s">
        <v>14768</v>
      </c>
      <c r="E410" s="12" t="s">
        <v>14767</v>
      </c>
      <c r="F410" s="12">
        <v>44457</v>
      </c>
      <c r="G410" s="12" t="s">
        <v>14702</v>
      </c>
      <c r="H410" s="9" t="s">
        <v>15015</v>
      </c>
      <c r="I410" s="9" t="s">
        <v>15014</v>
      </c>
      <c r="J410" s="9">
        <v>3911160302</v>
      </c>
      <c r="K410" s="9" t="s">
        <v>14907</v>
      </c>
      <c r="L410" s="9"/>
      <c r="M410" s="11" t="s">
        <v>14732</v>
      </c>
      <c r="N410" s="10" t="s">
        <v>15013</v>
      </c>
      <c r="O410" s="9" t="s">
        <v>15012</v>
      </c>
      <c r="P410" s="9" t="s">
        <v>15011</v>
      </c>
      <c r="Q410" s="9" t="s">
        <v>15010</v>
      </c>
      <c r="R410" s="9" t="s">
        <v>15009</v>
      </c>
      <c r="S410" s="9" t="s">
        <v>15008</v>
      </c>
      <c r="T410" s="9" t="s">
        <v>14725</v>
      </c>
      <c r="U410" s="9" t="s">
        <v>15007</v>
      </c>
      <c r="V410" s="9" t="s">
        <v>14800</v>
      </c>
      <c r="W410" s="9" t="s">
        <v>15006</v>
      </c>
      <c r="X410" s="9" t="s">
        <v>15005</v>
      </c>
      <c r="Y410" s="9" t="s">
        <v>14868</v>
      </c>
      <c r="Z410" s="9" t="s">
        <v>15004</v>
      </c>
      <c r="AA410" s="9" t="s">
        <v>15003</v>
      </c>
      <c r="AB410" s="9" t="s">
        <v>77</v>
      </c>
      <c r="AC410" s="9" t="s">
        <v>15002</v>
      </c>
      <c r="AD410" s="9" t="s">
        <v>15001</v>
      </c>
      <c r="AE410" s="9"/>
      <c r="AF410" s="9"/>
      <c r="AG410" s="9"/>
    </row>
    <row r="411" spans="1:33" ht="16.5">
      <c r="A411" s="9">
        <v>406</v>
      </c>
      <c r="B411" s="9" t="s">
        <v>15000</v>
      </c>
      <c r="C411" s="9" t="s">
        <v>14705</v>
      </c>
      <c r="D411" s="9" t="s">
        <v>14768</v>
      </c>
      <c r="E411" s="12" t="s">
        <v>14767</v>
      </c>
      <c r="F411" s="12">
        <v>44343</v>
      </c>
      <c r="G411" s="12" t="s">
        <v>14702</v>
      </c>
      <c r="H411" s="9" t="s">
        <v>14999</v>
      </c>
      <c r="I411" s="9" t="s">
        <v>14998</v>
      </c>
      <c r="J411" s="9">
        <v>4410160301</v>
      </c>
      <c r="K411" s="9" t="s">
        <v>14997</v>
      </c>
      <c r="L411" s="9"/>
      <c r="M411" s="11" t="s">
        <v>14763</v>
      </c>
      <c r="N411" s="10" t="s">
        <v>14996</v>
      </c>
      <c r="O411" s="9" t="s">
        <v>14995</v>
      </c>
      <c r="P411" s="9" t="s">
        <v>14994</v>
      </c>
      <c r="Q411" s="9" t="s">
        <v>14993</v>
      </c>
      <c r="R411" s="9" t="s">
        <v>14992</v>
      </c>
      <c r="S411" s="9" t="s">
        <v>14991</v>
      </c>
      <c r="T411" s="9" t="s">
        <v>14712</v>
      </c>
      <c r="U411" s="9" t="s">
        <v>14990</v>
      </c>
      <c r="V411" s="9" t="s">
        <v>77</v>
      </c>
      <c r="W411" s="9" t="s">
        <v>14989</v>
      </c>
      <c r="X411" s="9" t="s">
        <v>14784</v>
      </c>
      <c r="Y411" s="9" t="s">
        <v>14800</v>
      </c>
      <c r="Z411" s="9" t="s">
        <v>14988</v>
      </c>
      <c r="AA411" s="9" t="s">
        <v>14924</v>
      </c>
      <c r="AB411" s="9"/>
      <c r="AC411" s="9"/>
      <c r="AD411" s="9"/>
      <c r="AE411" s="9"/>
      <c r="AF411" s="9"/>
      <c r="AG411" s="9"/>
    </row>
    <row r="412" spans="1:33" ht="16.5">
      <c r="A412" s="9">
        <v>407</v>
      </c>
      <c r="B412" s="9" t="s">
        <v>14987</v>
      </c>
      <c r="C412" s="9" t="s">
        <v>14705</v>
      </c>
      <c r="D412" s="9" t="s">
        <v>14768</v>
      </c>
      <c r="E412" s="12" t="s">
        <v>14767</v>
      </c>
      <c r="F412" s="12">
        <v>44618</v>
      </c>
      <c r="G412" s="12" t="s">
        <v>14702</v>
      </c>
      <c r="H412" s="9" t="s">
        <v>14986</v>
      </c>
      <c r="I412" s="9" t="s">
        <v>14985</v>
      </c>
      <c r="J412" s="9">
        <v>2611160101</v>
      </c>
      <c r="K412" s="9" t="s">
        <v>14984</v>
      </c>
      <c r="L412" s="9"/>
      <c r="M412" s="11" t="s">
        <v>14794</v>
      </c>
      <c r="N412" s="10" t="s">
        <v>14983</v>
      </c>
      <c r="O412" s="9" t="s">
        <v>14982</v>
      </c>
      <c r="P412" s="9" t="s">
        <v>14981</v>
      </c>
      <c r="Q412" s="9" t="s">
        <v>14980</v>
      </c>
      <c r="R412" s="9" t="s">
        <v>14979</v>
      </c>
      <c r="S412" s="9" t="s">
        <v>14978</v>
      </c>
      <c r="T412" s="9" t="s">
        <v>14725</v>
      </c>
      <c r="U412" s="9" t="s">
        <v>14977</v>
      </c>
      <c r="V412" s="9" t="s">
        <v>77</v>
      </c>
      <c r="W412" s="9" t="s">
        <v>14976</v>
      </c>
      <c r="X412" s="9" t="s">
        <v>14975</v>
      </c>
      <c r="Y412" s="9"/>
      <c r="Z412" s="9"/>
      <c r="AA412" s="9"/>
      <c r="AB412" s="9"/>
      <c r="AC412" s="9"/>
      <c r="AD412" s="9"/>
      <c r="AE412" s="9"/>
      <c r="AF412" s="9"/>
      <c r="AG412" s="9"/>
    </row>
    <row r="413" spans="1:33" ht="16.5">
      <c r="A413" s="9">
        <v>408</v>
      </c>
      <c r="B413" s="9" t="s">
        <v>14974</v>
      </c>
      <c r="C413" s="9" t="s">
        <v>14705</v>
      </c>
      <c r="D413" s="9" t="s">
        <v>14768</v>
      </c>
      <c r="E413" s="12" t="s">
        <v>14767</v>
      </c>
      <c r="F413" s="12">
        <v>44396</v>
      </c>
      <c r="G413" s="12" t="s">
        <v>14702</v>
      </c>
      <c r="H413" s="9" t="s">
        <v>14973</v>
      </c>
      <c r="I413" s="9" t="s">
        <v>14972</v>
      </c>
      <c r="J413" s="9">
        <v>3017169801</v>
      </c>
      <c r="K413" s="9" t="s">
        <v>14971</v>
      </c>
      <c r="L413" s="9"/>
      <c r="M413" s="11" t="s">
        <v>14717</v>
      </c>
      <c r="N413" s="10" t="s">
        <v>14970</v>
      </c>
      <c r="O413" s="9" t="s">
        <v>14969</v>
      </c>
      <c r="P413" s="9" t="s">
        <v>14968</v>
      </c>
      <c r="Q413" s="9" t="s">
        <v>14967</v>
      </c>
      <c r="R413" s="9" t="s">
        <v>14966</v>
      </c>
      <c r="S413" s="9" t="s">
        <v>14965</v>
      </c>
      <c r="T413" s="9" t="s">
        <v>14725</v>
      </c>
      <c r="U413" s="9" t="s">
        <v>14964</v>
      </c>
      <c r="V413" s="9" t="s">
        <v>14754</v>
      </c>
      <c r="W413" s="9" t="s">
        <v>14963</v>
      </c>
      <c r="X413" s="9" t="s">
        <v>14752</v>
      </c>
      <c r="Y413" s="9"/>
      <c r="Z413" s="9"/>
      <c r="AA413" s="9"/>
      <c r="AB413" s="9"/>
      <c r="AC413" s="9"/>
      <c r="AD413" s="9"/>
      <c r="AE413" s="9"/>
      <c r="AF413" s="9"/>
      <c r="AG413" s="9"/>
    </row>
    <row r="414" spans="1:33" ht="16.5">
      <c r="A414" s="9">
        <v>409</v>
      </c>
      <c r="B414" s="9" t="s">
        <v>14962</v>
      </c>
      <c r="C414" s="9" t="s">
        <v>14750</v>
      </c>
      <c r="D414" s="9" t="s">
        <v>14768</v>
      </c>
      <c r="E414" s="12" t="s">
        <v>14767</v>
      </c>
      <c r="F414" s="12">
        <v>45197</v>
      </c>
      <c r="G414" s="12" t="s">
        <v>14702</v>
      </c>
      <c r="H414" s="9" t="s">
        <v>14961</v>
      </c>
      <c r="I414" s="9" t="s">
        <v>14960</v>
      </c>
      <c r="J414" s="9">
        <v>4617162201</v>
      </c>
      <c r="K414" s="9" t="s">
        <v>14959</v>
      </c>
      <c r="L414" s="9"/>
      <c r="M414" s="11" t="s">
        <v>14746</v>
      </c>
      <c r="N414" s="10" t="s">
        <v>14958</v>
      </c>
      <c r="O414" s="9" t="s">
        <v>14957</v>
      </c>
      <c r="P414" s="9" t="s">
        <v>14956</v>
      </c>
      <c r="Q414" s="9" t="s">
        <v>14955</v>
      </c>
      <c r="R414" s="9" t="s">
        <v>14954</v>
      </c>
      <c r="S414" s="9" t="s">
        <v>14953</v>
      </c>
      <c r="T414" s="9" t="s">
        <v>14725</v>
      </c>
      <c r="U414" s="9" t="s">
        <v>14952</v>
      </c>
      <c r="V414" s="9" t="s">
        <v>14800</v>
      </c>
      <c r="W414" s="9" t="s">
        <v>14951</v>
      </c>
      <c r="X414" s="9" t="s">
        <v>14950</v>
      </c>
      <c r="Y414" s="9"/>
      <c r="Z414" s="9"/>
      <c r="AA414" s="9"/>
      <c r="AB414" s="9"/>
      <c r="AC414" s="9"/>
      <c r="AD414" s="9"/>
      <c r="AE414" s="9"/>
      <c r="AF414" s="9"/>
      <c r="AG414" s="9"/>
    </row>
    <row r="415" spans="1:33" ht="16.5">
      <c r="A415" s="9">
        <v>410</v>
      </c>
      <c r="B415" s="9" t="s">
        <v>14949</v>
      </c>
      <c r="C415" s="9" t="s">
        <v>14705</v>
      </c>
      <c r="D415" s="9" t="s">
        <v>14768</v>
      </c>
      <c r="E415" s="12" t="s">
        <v>14767</v>
      </c>
      <c r="F415" s="12">
        <v>44388</v>
      </c>
      <c r="G415" s="12" t="s">
        <v>14702</v>
      </c>
      <c r="H415" s="9" t="s">
        <v>14948</v>
      </c>
      <c r="I415" s="9" t="s">
        <v>14947</v>
      </c>
      <c r="J415" s="9">
        <v>3912101101</v>
      </c>
      <c r="K415" s="9" t="s">
        <v>14946</v>
      </c>
      <c r="L415" s="9"/>
      <c r="M415" s="11" t="s">
        <v>14763</v>
      </c>
      <c r="N415" s="10" t="s">
        <v>14945</v>
      </c>
      <c r="O415" s="9" t="s">
        <v>14944</v>
      </c>
      <c r="P415" s="9" t="s">
        <v>14943</v>
      </c>
      <c r="Q415" s="9" t="s">
        <v>14942</v>
      </c>
      <c r="R415" s="9" t="s">
        <v>14941</v>
      </c>
      <c r="S415" s="9" t="s">
        <v>14940</v>
      </c>
      <c r="T415" s="9" t="s">
        <v>14725</v>
      </c>
      <c r="U415" s="9" t="s">
        <v>14939</v>
      </c>
      <c r="V415" s="9" t="s">
        <v>77</v>
      </c>
      <c r="W415" s="9" t="s">
        <v>14938</v>
      </c>
      <c r="X415" s="9" t="s">
        <v>14937</v>
      </c>
      <c r="Y415" s="9"/>
      <c r="Z415" s="9"/>
      <c r="AA415" s="9"/>
      <c r="AB415" s="9"/>
      <c r="AC415" s="9"/>
      <c r="AD415" s="9"/>
      <c r="AE415" s="9"/>
      <c r="AF415" s="9"/>
      <c r="AG415" s="9"/>
    </row>
    <row r="416" spans="1:33" ht="16.5">
      <c r="A416" s="9">
        <v>411</v>
      </c>
      <c r="B416" s="9" t="s">
        <v>14936</v>
      </c>
      <c r="C416" s="9" t="s">
        <v>14705</v>
      </c>
      <c r="D416" s="9" t="s">
        <v>14768</v>
      </c>
      <c r="E416" s="12" t="s">
        <v>14767</v>
      </c>
      <c r="F416" s="12">
        <v>44374</v>
      </c>
      <c r="G416" s="12" t="s">
        <v>14702</v>
      </c>
      <c r="H416" s="9" t="s">
        <v>14935</v>
      </c>
      <c r="I416" s="9" t="s">
        <v>14934</v>
      </c>
      <c r="J416" s="9">
        <v>3911210201</v>
      </c>
      <c r="K416" s="9" t="s">
        <v>14933</v>
      </c>
      <c r="L416" s="9"/>
      <c r="M416" s="11" t="s">
        <v>14794</v>
      </c>
      <c r="N416" s="10" t="s">
        <v>14932</v>
      </c>
      <c r="O416" s="9" t="s">
        <v>14931</v>
      </c>
      <c r="P416" s="9" t="s">
        <v>14930</v>
      </c>
      <c r="Q416" s="9" t="s">
        <v>14929</v>
      </c>
      <c r="R416" s="9" t="s">
        <v>14928</v>
      </c>
      <c r="S416" s="9" t="s">
        <v>14927</v>
      </c>
      <c r="T416" s="9" t="s">
        <v>14815</v>
      </c>
      <c r="U416" s="9" t="s">
        <v>14926</v>
      </c>
      <c r="V416" s="9" t="s">
        <v>14800</v>
      </c>
      <c r="W416" s="9" t="s">
        <v>14925</v>
      </c>
      <c r="X416" s="9" t="s">
        <v>14924</v>
      </c>
      <c r="Y416" s="9"/>
      <c r="Z416" s="9"/>
      <c r="AA416" s="9"/>
      <c r="AB416" s="9"/>
      <c r="AC416" s="9"/>
      <c r="AD416" s="9"/>
      <c r="AE416" s="9"/>
      <c r="AF416" s="9"/>
      <c r="AG416" s="9"/>
    </row>
    <row r="417" spans="1:33" ht="16.5">
      <c r="A417" s="9">
        <v>412</v>
      </c>
      <c r="B417" s="9" t="s">
        <v>14923</v>
      </c>
      <c r="C417" s="9" t="s">
        <v>14705</v>
      </c>
      <c r="D417" s="9" t="s">
        <v>14768</v>
      </c>
      <c r="E417" s="12" t="s">
        <v>14767</v>
      </c>
      <c r="F417" s="12">
        <v>44413</v>
      </c>
      <c r="G417" s="12" t="s">
        <v>14702</v>
      </c>
      <c r="H417" s="9" t="s">
        <v>14922</v>
      </c>
      <c r="I417" s="9" t="s">
        <v>14921</v>
      </c>
      <c r="J417" s="9">
        <v>3911161102</v>
      </c>
      <c r="K417" s="9" t="s">
        <v>14920</v>
      </c>
      <c r="L417" s="9"/>
      <c r="M417" s="11" t="s">
        <v>14746</v>
      </c>
      <c r="N417" s="10" t="s">
        <v>14919</v>
      </c>
      <c r="O417" s="9" t="s">
        <v>14918</v>
      </c>
      <c r="P417" s="9" t="s">
        <v>14917</v>
      </c>
      <c r="Q417" s="9" t="s">
        <v>14916</v>
      </c>
      <c r="R417" s="9" t="s">
        <v>14915</v>
      </c>
      <c r="S417" s="9" t="s">
        <v>14914</v>
      </c>
      <c r="T417" s="9" t="s">
        <v>14725</v>
      </c>
      <c r="U417" s="9" t="s">
        <v>14913</v>
      </c>
      <c r="V417" s="9" t="s">
        <v>77</v>
      </c>
      <c r="W417" s="9" t="s">
        <v>14912</v>
      </c>
      <c r="X417" s="9" t="s">
        <v>14911</v>
      </c>
      <c r="Y417" s="9"/>
      <c r="Z417" s="9"/>
      <c r="AA417" s="9"/>
      <c r="AB417" s="9"/>
      <c r="AC417" s="9"/>
      <c r="AD417" s="9"/>
      <c r="AE417" s="9"/>
      <c r="AF417" s="9"/>
      <c r="AG417" s="9"/>
    </row>
    <row r="418" spans="1:33" ht="16.5">
      <c r="A418" s="9">
        <v>413</v>
      </c>
      <c r="B418" s="9" t="s">
        <v>14910</v>
      </c>
      <c r="C418" s="9" t="s">
        <v>14705</v>
      </c>
      <c r="D418" s="9" t="s">
        <v>14768</v>
      </c>
      <c r="E418" s="12" t="s">
        <v>14767</v>
      </c>
      <c r="F418" s="12">
        <v>44416</v>
      </c>
      <c r="G418" s="12" t="s">
        <v>14702</v>
      </c>
      <c r="H418" s="9" t="s">
        <v>14909</v>
      </c>
      <c r="I418" s="9" t="s">
        <v>14908</v>
      </c>
      <c r="J418" s="9">
        <v>3911160302</v>
      </c>
      <c r="K418" s="9" t="s">
        <v>14907</v>
      </c>
      <c r="L418" s="9"/>
      <c r="M418" s="11" t="s">
        <v>14717</v>
      </c>
      <c r="N418" s="10" t="s">
        <v>14906</v>
      </c>
      <c r="O418" s="9" t="s">
        <v>14905</v>
      </c>
      <c r="P418" s="9" t="s">
        <v>14904</v>
      </c>
      <c r="Q418" s="9" t="s">
        <v>14903</v>
      </c>
      <c r="R418" s="9" t="s">
        <v>14902</v>
      </c>
      <c r="S418" s="9" t="s">
        <v>14901</v>
      </c>
      <c r="T418" s="9" t="s">
        <v>14756</v>
      </c>
      <c r="U418" s="9" t="s">
        <v>14900</v>
      </c>
      <c r="V418" s="9" t="s">
        <v>77</v>
      </c>
      <c r="W418" s="9" t="s">
        <v>14899</v>
      </c>
      <c r="X418" s="9" t="s">
        <v>14898</v>
      </c>
      <c r="Y418" s="9" t="s">
        <v>14754</v>
      </c>
      <c r="Z418" s="9" t="s">
        <v>14897</v>
      </c>
      <c r="AA418" s="9" t="s">
        <v>14893</v>
      </c>
      <c r="AB418" s="9" t="s">
        <v>14800</v>
      </c>
      <c r="AC418" s="9" t="s">
        <v>14896</v>
      </c>
      <c r="AD418" s="9" t="s">
        <v>14895</v>
      </c>
      <c r="AE418" s="9" t="s">
        <v>14800</v>
      </c>
      <c r="AF418" s="9" t="s">
        <v>14894</v>
      </c>
      <c r="AG418" s="9" t="s">
        <v>14893</v>
      </c>
    </row>
    <row r="419" spans="1:33" ht="16.5">
      <c r="A419" s="9">
        <v>414</v>
      </c>
      <c r="B419" s="9" t="s">
        <v>14892</v>
      </c>
      <c r="C419" s="9" t="s">
        <v>14750</v>
      </c>
      <c r="D419" s="9" t="s">
        <v>14768</v>
      </c>
      <c r="E419" s="12" t="s">
        <v>14767</v>
      </c>
      <c r="F419" s="12">
        <v>44407</v>
      </c>
      <c r="G419" s="12" t="s">
        <v>14702</v>
      </c>
      <c r="H419" s="9" t="s">
        <v>14891</v>
      </c>
      <c r="I419" s="9" t="s">
        <v>14890</v>
      </c>
      <c r="J419" s="9">
        <v>3912100403</v>
      </c>
      <c r="K419" s="9" t="s">
        <v>14889</v>
      </c>
      <c r="L419" s="9"/>
      <c r="M419" s="11" t="s">
        <v>14888</v>
      </c>
      <c r="N419" s="10" t="s">
        <v>14887</v>
      </c>
      <c r="O419" s="9" t="s">
        <v>14886</v>
      </c>
      <c r="P419" s="9" t="s">
        <v>14885</v>
      </c>
      <c r="Q419" s="9" t="s">
        <v>14884</v>
      </c>
      <c r="R419" s="9" t="s">
        <v>14883</v>
      </c>
      <c r="S419" s="9" t="s">
        <v>14882</v>
      </c>
      <c r="T419" s="9" t="s">
        <v>14815</v>
      </c>
      <c r="U419" s="9" t="s">
        <v>14881</v>
      </c>
      <c r="V419" s="9" t="s">
        <v>14710</v>
      </c>
      <c r="W419" s="9" t="s">
        <v>14880</v>
      </c>
      <c r="X419" s="9"/>
      <c r="Y419" s="9"/>
      <c r="Z419" s="9"/>
      <c r="AA419" s="9"/>
      <c r="AB419" s="9"/>
      <c r="AC419" s="9"/>
      <c r="AD419" s="9"/>
      <c r="AE419" s="9"/>
      <c r="AF419" s="9"/>
      <c r="AG419" s="9"/>
    </row>
    <row r="420" spans="1:33" ht="16.5">
      <c r="A420" s="9">
        <v>415</v>
      </c>
      <c r="B420" s="9" t="s">
        <v>14879</v>
      </c>
      <c r="C420" s="9" t="s">
        <v>14705</v>
      </c>
      <c r="D420" s="9" t="s">
        <v>14768</v>
      </c>
      <c r="E420" s="12" t="s">
        <v>14767</v>
      </c>
      <c r="F420" s="12">
        <v>44874</v>
      </c>
      <c r="G420" s="12" t="s">
        <v>14702</v>
      </c>
      <c r="H420" s="9" t="s">
        <v>14878</v>
      </c>
      <c r="I420" s="9" t="s">
        <v>14878</v>
      </c>
      <c r="J420" s="9">
        <v>2411181001</v>
      </c>
      <c r="K420" s="9" t="s">
        <v>14877</v>
      </c>
      <c r="L420" s="9"/>
      <c r="M420" s="11" t="s">
        <v>14732</v>
      </c>
      <c r="N420" s="10" t="s">
        <v>14876</v>
      </c>
      <c r="O420" s="9" t="s">
        <v>14875</v>
      </c>
      <c r="P420" s="9" t="s">
        <v>14874</v>
      </c>
      <c r="Q420" s="9" t="s">
        <v>14873</v>
      </c>
      <c r="R420" s="9" t="s">
        <v>14872</v>
      </c>
      <c r="S420" s="9" t="s">
        <v>14871</v>
      </c>
      <c r="T420" s="9" t="s">
        <v>14815</v>
      </c>
      <c r="U420" s="9" t="s">
        <v>14870</v>
      </c>
      <c r="V420" s="9" t="s">
        <v>77</v>
      </c>
      <c r="W420" s="9" t="s">
        <v>14869</v>
      </c>
      <c r="X420" s="9" t="s">
        <v>14784</v>
      </c>
      <c r="Y420" s="9" t="s">
        <v>14868</v>
      </c>
      <c r="Z420" s="9" t="s">
        <v>14867</v>
      </c>
      <c r="AA420" s="9" t="s">
        <v>14866</v>
      </c>
      <c r="AB420" s="9"/>
      <c r="AC420" s="9"/>
      <c r="AD420" s="9"/>
      <c r="AE420" s="9"/>
      <c r="AF420" s="9"/>
      <c r="AG420" s="9"/>
    </row>
    <row r="421" spans="1:33" ht="16.5">
      <c r="A421" s="9">
        <v>416</v>
      </c>
      <c r="B421" s="9" t="s">
        <v>14865</v>
      </c>
      <c r="C421" s="9" t="s">
        <v>14705</v>
      </c>
      <c r="D421" s="9" t="s">
        <v>14768</v>
      </c>
      <c r="E421" s="12" t="s">
        <v>14767</v>
      </c>
      <c r="F421" s="12">
        <v>44407</v>
      </c>
      <c r="G421" s="12" t="s">
        <v>14702</v>
      </c>
      <c r="H421" s="9" t="s">
        <v>14864</v>
      </c>
      <c r="I421" s="9" t="s">
        <v>14863</v>
      </c>
      <c r="J421" s="9">
        <v>3912103001</v>
      </c>
      <c r="K421" s="9" t="s">
        <v>14862</v>
      </c>
      <c r="L421" s="9"/>
      <c r="M421" s="11" t="s">
        <v>14732</v>
      </c>
      <c r="N421" s="10" t="s">
        <v>14861</v>
      </c>
      <c r="O421" s="9" t="s">
        <v>14860</v>
      </c>
      <c r="P421" s="9" t="s">
        <v>14859</v>
      </c>
      <c r="Q421" s="9" t="s">
        <v>14859</v>
      </c>
      <c r="R421" s="9" t="s">
        <v>14858</v>
      </c>
      <c r="S421" s="9" t="s">
        <v>14857</v>
      </c>
      <c r="T421" s="9" t="s">
        <v>14725</v>
      </c>
      <c r="U421" s="9" t="s">
        <v>14856</v>
      </c>
      <c r="V421" s="9" t="s">
        <v>14710</v>
      </c>
      <c r="W421" s="9" t="s">
        <v>14855</v>
      </c>
      <c r="X421" s="9" t="s">
        <v>14854</v>
      </c>
      <c r="Y421" s="9"/>
      <c r="Z421" s="9"/>
      <c r="AA421" s="9"/>
      <c r="AB421" s="9"/>
      <c r="AC421" s="9"/>
      <c r="AD421" s="9"/>
      <c r="AE421" s="9"/>
      <c r="AF421" s="9"/>
      <c r="AG421" s="9"/>
    </row>
    <row r="422" spans="1:33" ht="16.5">
      <c r="A422" s="9">
        <v>417</v>
      </c>
      <c r="B422" s="9" t="s">
        <v>14853</v>
      </c>
      <c r="C422" s="9" t="s">
        <v>14705</v>
      </c>
      <c r="D422" s="9" t="s">
        <v>14768</v>
      </c>
      <c r="E422" s="12" t="s">
        <v>14767</v>
      </c>
      <c r="F422" s="12">
        <v>44396</v>
      </c>
      <c r="G422" s="12" t="s">
        <v>14702</v>
      </c>
      <c r="H422" s="9" t="s">
        <v>14852</v>
      </c>
      <c r="I422" s="9" t="s">
        <v>14851</v>
      </c>
      <c r="J422" s="9">
        <v>4111210501</v>
      </c>
      <c r="K422" s="9" t="s">
        <v>14850</v>
      </c>
      <c r="L422" s="9"/>
      <c r="M422" s="11" t="s">
        <v>14732</v>
      </c>
      <c r="N422" s="10" t="s">
        <v>14849</v>
      </c>
      <c r="O422" s="9" t="s">
        <v>14848</v>
      </c>
      <c r="P422" s="9" t="s">
        <v>14847</v>
      </c>
      <c r="Q422" s="9" t="s">
        <v>14846</v>
      </c>
      <c r="R422" s="9" t="s">
        <v>14845</v>
      </c>
      <c r="S422" s="9" t="s">
        <v>14844</v>
      </c>
      <c r="T422" s="9" t="s">
        <v>14815</v>
      </c>
      <c r="U422" s="9" t="s">
        <v>14843</v>
      </c>
      <c r="V422" s="9" t="s">
        <v>14754</v>
      </c>
      <c r="W422" s="9" t="s">
        <v>14842</v>
      </c>
      <c r="X422" s="9" t="s">
        <v>14752</v>
      </c>
      <c r="Y422" s="9" t="s">
        <v>14710</v>
      </c>
      <c r="Z422" s="9" t="s">
        <v>14841</v>
      </c>
      <c r="AA422" s="9" t="s">
        <v>14840</v>
      </c>
      <c r="AB422" s="9" t="s">
        <v>14839</v>
      </c>
      <c r="AC422" s="9" t="s">
        <v>14838</v>
      </c>
      <c r="AD422" s="9" t="s">
        <v>14837</v>
      </c>
      <c r="AE422" s="9"/>
      <c r="AF422" s="9"/>
      <c r="AG422" s="9"/>
    </row>
    <row r="423" spans="1:33" ht="16.5">
      <c r="A423" s="9">
        <v>418</v>
      </c>
      <c r="B423" s="9" t="s">
        <v>14836</v>
      </c>
      <c r="C423" s="9" t="s">
        <v>14705</v>
      </c>
      <c r="D423" s="9" t="s">
        <v>14768</v>
      </c>
      <c r="E423" s="12" t="s">
        <v>14767</v>
      </c>
      <c r="F423" s="12">
        <v>44372</v>
      </c>
      <c r="G423" s="12" t="s">
        <v>14702</v>
      </c>
      <c r="H423" s="9" t="s">
        <v>14835</v>
      </c>
      <c r="I423" s="9" t="s">
        <v>14834</v>
      </c>
      <c r="J423" s="9">
        <v>4016160501</v>
      </c>
      <c r="K423" s="9" t="s">
        <v>14833</v>
      </c>
      <c r="L423" s="9"/>
      <c r="M423" s="11" t="s">
        <v>14717</v>
      </c>
      <c r="N423" s="10" t="s">
        <v>14832</v>
      </c>
      <c r="O423" s="9" t="s">
        <v>14831</v>
      </c>
      <c r="P423" s="9" t="s">
        <v>14830</v>
      </c>
      <c r="Q423" s="9" t="s">
        <v>14830</v>
      </c>
      <c r="R423" s="9" t="s">
        <v>14829</v>
      </c>
      <c r="S423" s="9" t="s">
        <v>14828</v>
      </c>
      <c r="T423" s="9" t="s">
        <v>14725</v>
      </c>
      <c r="U423" s="9" t="s">
        <v>14827</v>
      </c>
      <c r="V423" s="9" t="s">
        <v>77</v>
      </c>
      <c r="W423" s="9" t="s">
        <v>14826</v>
      </c>
      <c r="X423" s="9" t="s">
        <v>14770</v>
      </c>
      <c r="Y423" s="9"/>
      <c r="Z423" s="9"/>
      <c r="AA423" s="9"/>
      <c r="AB423" s="9"/>
      <c r="AC423" s="9"/>
      <c r="AD423" s="9"/>
      <c r="AE423" s="9"/>
      <c r="AF423" s="9"/>
      <c r="AG423" s="9"/>
    </row>
    <row r="424" spans="1:33" ht="16.5">
      <c r="A424" s="9">
        <v>419</v>
      </c>
      <c r="B424" s="9" t="s">
        <v>14825</v>
      </c>
      <c r="C424" s="9" t="s">
        <v>14705</v>
      </c>
      <c r="D424" s="9" t="s">
        <v>14768</v>
      </c>
      <c r="E424" s="12" t="s">
        <v>14767</v>
      </c>
      <c r="F424" s="12">
        <v>44401</v>
      </c>
      <c r="G424" s="12" t="s">
        <v>14702</v>
      </c>
      <c r="H424" s="9" t="s">
        <v>14824</v>
      </c>
      <c r="I424" s="9" t="s">
        <v>14823</v>
      </c>
      <c r="J424" s="9">
        <v>1512180401</v>
      </c>
      <c r="K424" s="9" t="s">
        <v>14822</v>
      </c>
      <c r="L424" s="9"/>
      <c r="M424" s="11" t="s">
        <v>14717</v>
      </c>
      <c r="N424" s="10" t="s">
        <v>14821</v>
      </c>
      <c r="O424" s="9" t="s">
        <v>14820</v>
      </c>
      <c r="P424" s="9" t="s">
        <v>14819</v>
      </c>
      <c r="Q424" s="9" t="s">
        <v>14818</v>
      </c>
      <c r="R424" s="9" t="s">
        <v>14817</v>
      </c>
      <c r="S424" s="9" t="s">
        <v>14816</v>
      </c>
      <c r="T424" s="9" t="s">
        <v>14815</v>
      </c>
      <c r="U424" s="9" t="s">
        <v>14814</v>
      </c>
      <c r="V424" s="9" t="s">
        <v>77</v>
      </c>
      <c r="W424" s="9" t="s">
        <v>14813</v>
      </c>
      <c r="X424" s="9" t="s">
        <v>14812</v>
      </c>
      <c r="Y424" s="9"/>
      <c r="Z424" s="9"/>
      <c r="AA424" s="9"/>
      <c r="AB424" s="9"/>
      <c r="AC424" s="9"/>
      <c r="AD424" s="9"/>
      <c r="AE424" s="9"/>
      <c r="AF424" s="9"/>
      <c r="AG424" s="9"/>
    </row>
    <row r="425" spans="1:33" ht="16.5">
      <c r="A425" s="9">
        <v>420</v>
      </c>
      <c r="B425" s="9" t="s">
        <v>14811</v>
      </c>
      <c r="C425" s="9" t="s">
        <v>14750</v>
      </c>
      <c r="D425" s="9" t="s">
        <v>14768</v>
      </c>
      <c r="E425" s="12" t="s">
        <v>14767</v>
      </c>
      <c r="F425" s="12">
        <v>45287</v>
      </c>
      <c r="G425" s="12" t="s">
        <v>14702</v>
      </c>
      <c r="H425" s="9" t="s">
        <v>14810</v>
      </c>
      <c r="I425" s="9" t="s">
        <v>14809</v>
      </c>
      <c r="J425" s="9">
        <v>3912110301</v>
      </c>
      <c r="K425" s="9" t="s">
        <v>14808</v>
      </c>
      <c r="L425" s="9"/>
      <c r="M425" s="11" t="s">
        <v>14699</v>
      </c>
      <c r="N425" s="10" t="s">
        <v>14807</v>
      </c>
      <c r="O425" s="9" t="s">
        <v>14806</v>
      </c>
      <c r="P425" s="9" t="s">
        <v>14805</v>
      </c>
      <c r="Q425" s="9" t="s">
        <v>14804</v>
      </c>
      <c r="R425" s="9" t="s">
        <v>14803</v>
      </c>
      <c r="S425" s="9" t="s">
        <v>14802</v>
      </c>
      <c r="T425" s="9" t="s">
        <v>14725</v>
      </c>
      <c r="U425" s="9" t="s">
        <v>14801</v>
      </c>
      <c r="V425" s="9" t="s">
        <v>14800</v>
      </c>
      <c r="W425" s="9" t="s">
        <v>14799</v>
      </c>
      <c r="X425" s="9" t="s">
        <v>14798</v>
      </c>
      <c r="Y425" s="9"/>
      <c r="Z425" s="9"/>
      <c r="AA425" s="9"/>
      <c r="AB425" s="9"/>
      <c r="AC425" s="9"/>
      <c r="AD425" s="9"/>
      <c r="AE425" s="9"/>
      <c r="AF425" s="9"/>
      <c r="AG425" s="9"/>
    </row>
    <row r="426" spans="1:33" ht="16.5">
      <c r="A426" s="9">
        <v>421</v>
      </c>
      <c r="B426" s="9" t="s">
        <v>14797</v>
      </c>
      <c r="C426" s="9" t="s">
        <v>14705</v>
      </c>
      <c r="D426" s="9" t="s">
        <v>14768</v>
      </c>
      <c r="E426" s="12" t="s">
        <v>14767</v>
      </c>
      <c r="F426" s="12">
        <v>44343</v>
      </c>
      <c r="G426" s="12" t="s">
        <v>14702</v>
      </c>
      <c r="H426" s="9" t="s">
        <v>14795</v>
      </c>
      <c r="I426" s="9" t="s">
        <v>14796</v>
      </c>
      <c r="J426" s="9">
        <v>4010171501</v>
      </c>
      <c r="K426" s="9" t="s">
        <v>14795</v>
      </c>
      <c r="L426" s="9"/>
      <c r="M426" s="11" t="s">
        <v>14794</v>
      </c>
      <c r="N426" s="10" t="s">
        <v>14793</v>
      </c>
      <c r="O426" s="9" t="s">
        <v>14792</v>
      </c>
      <c r="P426" s="9" t="s">
        <v>14791</v>
      </c>
      <c r="Q426" s="9" t="s">
        <v>14790</v>
      </c>
      <c r="R426" s="9" t="s">
        <v>14789</v>
      </c>
      <c r="S426" s="9" t="s">
        <v>14788</v>
      </c>
      <c r="T426" s="9" t="s">
        <v>14787</v>
      </c>
      <c r="U426" s="9" t="s">
        <v>14786</v>
      </c>
      <c r="V426" s="9" t="s">
        <v>77</v>
      </c>
      <c r="W426" s="9" t="s">
        <v>14785</v>
      </c>
      <c r="X426" s="9" t="s">
        <v>14784</v>
      </c>
      <c r="Y426" s="9"/>
      <c r="Z426" s="9"/>
      <c r="AA426" s="9"/>
      <c r="AB426" s="9"/>
      <c r="AC426" s="9"/>
      <c r="AD426" s="9"/>
      <c r="AE426" s="9"/>
      <c r="AF426" s="9"/>
      <c r="AG426" s="9"/>
    </row>
    <row r="427" spans="1:33" ht="16.5">
      <c r="A427" s="9">
        <v>422</v>
      </c>
      <c r="B427" s="9" t="s">
        <v>14783</v>
      </c>
      <c r="C427" s="9" t="s">
        <v>14750</v>
      </c>
      <c r="D427" s="9" t="s">
        <v>14768</v>
      </c>
      <c r="E427" s="12" t="s">
        <v>14767</v>
      </c>
      <c r="F427" s="12">
        <v>44372</v>
      </c>
      <c r="G427" s="12" t="s">
        <v>14702</v>
      </c>
      <c r="H427" s="9" t="s">
        <v>14782</v>
      </c>
      <c r="I427" s="9" t="s">
        <v>14781</v>
      </c>
      <c r="J427" s="9">
        <v>4014169401</v>
      </c>
      <c r="K427" s="9" t="s">
        <v>14780</v>
      </c>
      <c r="L427" s="9"/>
      <c r="M427" s="11" t="s">
        <v>14746</v>
      </c>
      <c r="N427" s="10" t="s">
        <v>14779</v>
      </c>
      <c r="O427" s="9" t="s">
        <v>14778</v>
      </c>
      <c r="P427" s="9" t="s">
        <v>14777</v>
      </c>
      <c r="Q427" s="9" t="s">
        <v>14776</v>
      </c>
      <c r="R427" s="9" t="s">
        <v>14775</v>
      </c>
      <c r="S427" s="9" t="s">
        <v>14774</v>
      </c>
      <c r="T427" s="9" t="s">
        <v>14773</v>
      </c>
      <c r="U427" s="9" t="s">
        <v>14772</v>
      </c>
      <c r="V427" s="9" t="s">
        <v>77</v>
      </c>
      <c r="W427" s="9" t="s">
        <v>14771</v>
      </c>
      <c r="X427" s="9" t="s">
        <v>14770</v>
      </c>
      <c r="Y427" s="9"/>
      <c r="Z427" s="9"/>
      <c r="AA427" s="9"/>
      <c r="AB427" s="9"/>
      <c r="AC427" s="9"/>
      <c r="AD427" s="9"/>
      <c r="AE427" s="9"/>
      <c r="AF427" s="9"/>
      <c r="AG427" s="9"/>
    </row>
    <row r="428" spans="1:33" ht="16.5">
      <c r="A428" s="9">
        <v>423</v>
      </c>
      <c r="B428" s="9" t="s">
        <v>14769</v>
      </c>
      <c r="C428" s="9" t="s">
        <v>14705</v>
      </c>
      <c r="D428" s="9" t="s">
        <v>14768</v>
      </c>
      <c r="E428" s="12" t="s">
        <v>14767</v>
      </c>
      <c r="F428" s="12">
        <v>44396</v>
      </c>
      <c r="G428" s="12" t="s">
        <v>14702</v>
      </c>
      <c r="H428" s="9" t="s">
        <v>14766</v>
      </c>
      <c r="I428" s="9" t="s">
        <v>14765</v>
      </c>
      <c r="J428" s="9">
        <v>4111452401</v>
      </c>
      <c r="K428" s="9" t="s">
        <v>14764</v>
      </c>
      <c r="L428" s="9"/>
      <c r="M428" s="11" t="s">
        <v>14763</v>
      </c>
      <c r="N428" s="10" t="s">
        <v>14762</v>
      </c>
      <c r="O428" s="9" t="s">
        <v>14761</v>
      </c>
      <c r="P428" s="9" t="s">
        <v>14760</v>
      </c>
      <c r="Q428" s="9" t="s">
        <v>14759</v>
      </c>
      <c r="R428" s="9" t="s">
        <v>14758</v>
      </c>
      <c r="S428" s="9" t="s">
        <v>14757</v>
      </c>
      <c r="T428" s="9" t="s">
        <v>14756</v>
      </c>
      <c r="U428" s="9" t="s">
        <v>14755</v>
      </c>
      <c r="V428" s="9" t="s">
        <v>14754</v>
      </c>
      <c r="W428" s="9" t="s">
        <v>14753</v>
      </c>
      <c r="X428" s="9" t="s">
        <v>14752</v>
      </c>
      <c r="Y428" s="9"/>
      <c r="Z428" s="9"/>
      <c r="AA428" s="9"/>
      <c r="AB428" s="9"/>
      <c r="AC428" s="9"/>
      <c r="AD428" s="9"/>
      <c r="AE428" s="9"/>
      <c r="AF428" s="9"/>
      <c r="AG428" s="9"/>
    </row>
    <row r="429" spans="1:33" ht="16.5">
      <c r="A429" s="9">
        <v>424</v>
      </c>
      <c r="B429" s="9" t="s">
        <v>14751</v>
      </c>
      <c r="C429" s="9" t="s">
        <v>14750</v>
      </c>
      <c r="D429" s="9" t="s">
        <v>14704</v>
      </c>
      <c r="E429" s="12" t="s">
        <v>14703</v>
      </c>
      <c r="F429" s="12">
        <v>44360</v>
      </c>
      <c r="G429" s="12" t="s">
        <v>14702</v>
      </c>
      <c r="H429" s="9" t="s">
        <v>14749</v>
      </c>
      <c r="I429" s="9" t="s">
        <v>14748</v>
      </c>
      <c r="J429" s="9">
        <v>2713160501</v>
      </c>
      <c r="K429" s="9" t="s">
        <v>14747</v>
      </c>
      <c r="L429" s="9"/>
      <c r="M429" s="11" t="s">
        <v>14746</v>
      </c>
      <c r="N429" s="10" t="s">
        <v>14745</v>
      </c>
      <c r="O429" s="9" t="s">
        <v>14744</v>
      </c>
      <c r="P429" s="9" t="s">
        <v>14743</v>
      </c>
      <c r="Q429" s="9" t="s">
        <v>14742</v>
      </c>
      <c r="R429" s="9" t="s">
        <v>14741</v>
      </c>
      <c r="S429" s="9" t="s">
        <v>14740</v>
      </c>
      <c r="T429" s="9" t="s">
        <v>14692</v>
      </c>
      <c r="U429" s="9" t="s">
        <v>14739</v>
      </c>
      <c r="V429" s="9" t="s">
        <v>77</v>
      </c>
      <c r="W429" s="9" t="s">
        <v>14738</v>
      </c>
      <c r="X429" s="9" t="s">
        <v>14737</v>
      </c>
      <c r="Y429" s="9"/>
      <c r="Z429" s="9"/>
      <c r="AA429" s="9"/>
      <c r="AB429" s="9"/>
      <c r="AC429" s="9"/>
      <c r="AD429" s="9"/>
      <c r="AE429" s="9"/>
      <c r="AF429" s="9"/>
      <c r="AG429" s="9"/>
    </row>
    <row r="430" spans="1:33" ht="16.5">
      <c r="A430" s="9">
        <v>425</v>
      </c>
      <c r="B430" s="9" t="s">
        <v>14736</v>
      </c>
      <c r="C430" s="9" t="s">
        <v>14705</v>
      </c>
      <c r="D430" s="9" t="s">
        <v>14704</v>
      </c>
      <c r="E430" s="12" t="s">
        <v>14703</v>
      </c>
      <c r="F430" s="12">
        <v>45356</v>
      </c>
      <c r="G430" s="12" t="s">
        <v>14702</v>
      </c>
      <c r="H430" s="9" t="s">
        <v>14735</v>
      </c>
      <c r="I430" s="9" t="s">
        <v>14734</v>
      </c>
      <c r="J430" s="9">
        <v>3912110101</v>
      </c>
      <c r="K430" s="9" t="s">
        <v>14733</v>
      </c>
      <c r="L430" s="9"/>
      <c r="M430" s="11" t="s">
        <v>14732</v>
      </c>
      <c r="N430" s="10" t="s">
        <v>14731</v>
      </c>
      <c r="O430" s="9" t="s">
        <v>14730</v>
      </c>
      <c r="P430" s="9" t="s">
        <v>14729</v>
      </c>
      <c r="Q430" s="9" t="s">
        <v>14728</v>
      </c>
      <c r="R430" s="9" t="s">
        <v>14727</v>
      </c>
      <c r="S430" s="9" t="s">
        <v>14726</v>
      </c>
      <c r="T430" s="9" t="s">
        <v>14725</v>
      </c>
      <c r="U430" s="9" t="s">
        <v>14724</v>
      </c>
      <c r="V430" s="9" t="s">
        <v>77</v>
      </c>
      <c r="W430" s="9" t="s">
        <v>14723</v>
      </c>
      <c r="X430" s="9" t="s">
        <v>14722</v>
      </c>
      <c r="Y430" s="9"/>
      <c r="Z430" s="9"/>
      <c r="AA430" s="9"/>
      <c r="AB430" s="9"/>
      <c r="AC430" s="9"/>
      <c r="AD430" s="9"/>
      <c r="AE430" s="9"/>
      <c r="AF430" s="9"/>
      <c r="AG430" s="9"/>
    </row>
    <row r="431" spans="1:33" ht="16.5">
      <c r="A431" s="9">
        <v>426</v>
      </c>
      <c r="B431" s="9" t="s">
        <v>14721</v>
      </c>
      <c r="C431" s="9" t="s">
        <v>14705</v>
      </c>
      <c r="D431" s="9" t="s">
        <v>14704</v>
      </c>
      <c r="E431" s="12" t="s">
        <v>14703</v>
      </c>
      <c r="F431" s="12">
        <v>45237</v>
      </c>
      <c r="G431" s="12" t="s">
        <v>14702</v>
      </c>
      <c r="H431" s="9" t="s">
        <v>14720</v>
      </c>
      <c r="I431" s="9" t="s">
        <v>14719</v>
      </c>
      <c r="J431" s="9">
        <v>3912118901</v>
      </c>
      <c r="K431" s="9" t="s">
        <v>14718</v>
      </c>
      <c r="L431" s="9"/>
      <c r="M431" s="11" t="s">
        <v>14717</v>
      </c>
      <c r="N431" s="10" t="s">
        <v>14716</v>
      </c>
      <c r="O431" s="9" t="s">
        <v>14715</v>
      </c>
      <c r="P431" s="9" t="s">
        <v>14714</v>
      </c>
      <c r="Q431" s="9" t="s">
        <v>14714</v>
      </c>
      <c r="R431" s="9">
        <v>32715650</v>
      </c>
      <c r="S431" s="9" t="s">
        <v>14713</v>
      </c>
      <c r="T431" s="9" t="s">
        <v>14712</v>
      </c>
      <c r="U431" s="9" t="s">
        <v>14711</v>
      </c>
      <c r="V431" s="9" t="s">
        <v>14710</v>
      </c>
      <c r="W431" s="9" t="s">
        <v>14709</v>
      </c>
      <c r="X431" s="9"/>
      <c r="Y431" s="9" t="s">
        <v>77</v>
      </c>
      <c r="Z431" s="9" t="s">
        <v>14708</v>
      </c>
      <c r="AA431" s="9" t="s">
        <v>14707</v>
      </c>
      <c r="AB431" s="9"/>
      <c r="AC431" s="9"/>
      <c r="AD431" s="9"/>
      <c r="AE431" s="9"/>
      <c r="AF431" s="9"/>
      <c r="AG431" s="9"/>
    </row>
    <row r="432" spans="1:33" ht="16.5">
      <c r="A432" s="9">
        <v>427</v>
      </c>
      <c r="B432" s="9" t="s">
        <v>14706</v>
      </c>
      <c r="C432" s="9" t="s">
        <v>14705</v>
      </c>
      <c r="D432" s="9" t="s">
        <v>14704</v>
      </c>
      <c r="E432" s="12" t="s">
        <v>14703</v>
      </c>
      <c r="F432" s="12">
        <v>44353</v>
      </c>
      <c r="G432" s="12" t="s">
        <v>14702</v>
      </c>
      <c r="H432" s="9" t="s">
        <v>14701</v>
      </c>
      <c r="I432" s="9"/>
      <c r="J432" s="9">
        <v>4323300101</v>
      </c>
      <c r="K432" s="9" t="s">
        <v>14700</v>
      </c>
      <c r="L432" s="9"/>
      <c r="M432" s="11" t="s">
        <v>14699</v>
      </c>
      <c r="N432" s="10" t="s">
        <v>14698</v>
      </c>
      <c r="O432" s="9" t="s">
        <v>14697</v>
      </c>
      <c r="P432" s="9" t="s">
        <v>14696</v>
      </c>
      <c r="Q432" s="9" t="s">
        <v>14695</v>
      </c>
      <c r="R432" s="9" t="s">
        <v>14694</v>
      </c>
      <c r="S432" s="9" t="s">
        <v>14693</v>
      </c>
      <c r="T432" s="9" t="s">
        <v>14692</v>
      </c>
      <c r="U432" s="9" t="s">
        <v>14691</v>
      </c>
      <c r="V432" s="9" t="s">
        <v>77</v>
      </c>
      <c r="W432" s="9" t="s">
        <v>14690</v>
      </c>
      <c r="X432" s="9" t="s">
        <v>14689</v>
      </c>
      <c r="Y432" s="9" t="s">
        <v>14688</v>
      </c>
      <c r="Z432" s="9" t="s">
        <v>14687</v>
      </c>
      <c r="AA432" s="9"/>
      <c r="AB432" s="9"/>
      <c r="AC432" s="9"/>
      <c r="AD432" s="9"/>
      <c r="AE432" s="9"/>
      <c r="AF432" s="9"/>
      <c r="AG432" s="9"/>
    </row>
  </sheetData>
  <mergeCells count="4">
    <mergeCell ref="H4:L4"/>
    <mergeCell ref="M4:U4"/>
    <mergeCell ref="V4:AG4"/>
    <mergeCell ref="A4:G4"/>
  </mergeCells>
  <phoneticPr fontId="7" type="noConversion"/>
  <hyperlinks>
    <hyperlink ref="S192" r:id="rId1"/>
  </hyperlinks>
  <pageMargins left="0.7" right="0.7" top="0.75" bottom="0.75" header="0.3" footer="0.3"/>
  <pageSetup paperSize="9" orientation="portrait"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vt:i4>
      </vt:variant>
      <vt:variant>
        <vt:lpstr>이름이 지정된 범위</vt:lpstr>
      </vt:variant>
      <vt:variant>
        <vt:i4>7</vt:i4>
      </vt:variant>
    </vt:vector>
  </HeadingPairs>
  <TitlesOfParts>
    <vt:vector size="12" baseType="lpstr">
      <vt:lpstr>RAW</vt:lpstr>
      <vt:lpstr>총괄표</vt:lpstr>
      <vt:lpstr>녹색,자활용 목표액</vt:lpstr>
      <vt:lpstr>창업기업리스트(21년 7월 7일자) (1)</vt:lpstr>
      <vt:lpstr>시범구매 선정제품목록</vt:lpstr>
      <vt:lpstr>총괄표!Print_Area</vt:lpstr>
      <vt:lpstr>구매구분</vt:lpstr>
      <vt:lpstr>기술개발제품</vt:lpstr>
      <vt:lpstr>물품금액</vt:lpstr>
      <vt:lpstr>사회적기업</vt:lpstr>
      <vt:lpstr>사회적협동조합</vt:lpstr>
      <vt:lpstr>여성기업제품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김나영</cp:lastModifiedBy>
  <cp:lastPrinted>2025-11-17T07:50:53Z</cp:lastPrinted>
  <dcterms:created xsi:type="dcterms:W3CDTF">2021-07-05T04:41:23Z</dcterms:created>
  <dcterms:modified xsi:type="dcterms:W3CDTF">2026-05-20T04:43:42Z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Fasoo_Trace_ID" pid="2">
    <vt:lpwstr>eyJub2RlMSI6eyJkc2QiOiIwMTAwMDAwMDAwMDAyMTcxIiwibG9nVGltZSI6IjIwMjYtMDEtMDdUMDU6MjQ6NDVaIiwicElEIjoxLCJwcm9jZXNzTmFtZSI6IkVYQ0VMLkVYRSIsInRyYWNlSWQiOiJENjAxOUI1MzcwRkM0RjBEOEM2RUI5NzQ3MkMyRDZERSIsInVzZXJDb2RlIjoiMjUwNzAwMSJ9LCJub2RlMiI6eyJkc2QiOiIwMTAwMDAwMDAwMDAyMTcxIiwibG9nVGltZSI6IjIwMjYtMDUtMTVUMDE6NDg6MDVaIiwicElEIjoxLCJwcm9jZXNzTmFtZSI6IkVYQ0VMLkVYRSIsInRyYWNlSWQiOiI1RjRBODkyRjQ5QUM0RTMzQTkxOUY3MTYyRDBDMDBCNiIsInVzZXJDb2RlIjoiMjUwNzAwMSJ9LCJub2RlMyI6eyJkc2QiOiIwMTAwMDAwMDAwMDAyMTcxIiwibG9nVGltZSI6IjIwMjYtMDUtMThUMDA6MzU6MjlaIiwicElEIjoxLCJwcm9jZXNzTmFtZSI6IkVYQ0VMLkVYRSIsInRyYWNlSWQiOiJCNURCQjFCMTRERjk0MkVBQjkxNzBBNDQ4NzNCOTA2NiIsInVzZXJDb2RlIjoiMjUwNzAwMSJ9LCJub2RlNCI6eyJkc2QiOiIwMTAwMDAwMDAwMDAyMTcxIiwibG9nVGltZSI6IjIwMjYtMDUtMjBUMDQ6NDM6NDFaIiwicElEIjoxLCJwcm9jZXNzTmFtZSI6IkVYQ0VMLkVYRSIsInRyYWNlSWQiOiI5QkFBMzU5ODdDMkQ0RURGQUFDQkNCMkM4OEY3NkMyRCIsInVzZXJDb2RlIjoiMjUwNzAwMSJ9LCJub2RlNSI6eyJkc2QiOiIwMDAwMDAwMDAwMDAwMDAwIiwibG9nVGltZSI6IjIwMjYtMDUtMzFUMTA6MDU6NTZaIiwicElEIjoyMDQ4LCJwcm9jZXNzSWQiOjE1MTY0LCJwcm9jZXNzTmFtZSI6IkVYQ0VMLkVYRSIsInRyYWNlSWQiOiIyNDU2MzhCMjgwOEU0QjZBQTkxOUJDNzlDMzgyQzVEMyIsInVzZXJDb2RlIjoiMjUwNzAwMSJ9LCJub2RlQ291bnQiOjMzfQ==</vt:lpwstr>
  </property>
</Properties>
</file>